
<file path=[Content_Types].xml><?xml version="1.0" encoding="utf-8"?>
<Types xmlns="http://schemas.openxmlformats.org/package/2006/content-types">
  <Default Extension="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Khaziev\YandexDisk-hazei83\Рабочая папка\Преподавание\МГТУ\Аспиранты\Михаил Костылев\Свойства анизогридного заполнения\Статья\Additional Data\Test Results\"/>
    </mc:Choice>
  </mc:AlternateContent>
  <xr:revisionPtr revIDLastSave="0" documentId="13_ncr:1_{DDA4391B-9D08-48A9-BFA4-6179167EBEDA}" xr6:coauthVersionLast="36" xr6:coauthVersionMax="47" xr10:uidLastSave="{00000000-0000-0000-0000-000000000000}"/>
  <bookViews>
    <workbookView xWindow="-108" yWindow="-108" windowWidth="23256" windowHeight="12576" xr2:uid="{7CCF84CF-11DA-45D2-BE25-5BD6DEDB180A}"/>
  </bookViews>
  <sheets>
    <sheet name="OLC3" sheetId="4" r:id="rId1"/>
    <sheet name="OLT3-1" sheetId="1" r:id="rId2"/>
    <sheet name="OLT3-2" sheetId="2" r:id="rId3"/>
    <sheet name="OLT3-3" sheetId="3" r:id="rId4"/>
  </sheets>
  <calcPr calcId="191029"/>
</workbook>
</file>

<file path=xl/calcChain.xml><?xml version="1.0" encoding="utf-8"?>
<calcChain xmlns="http://schemas.openxmlformats.org/spreadsheetml/2006/main">
  <c r="V4" i="4" l="1"/>
  <c r="V3" i="4"/>
  <c r="R4" i="4" l="1"/>
  <c r="L3" i="4" l="1"/>
  <c r="M3" i="4" s="1"/>
  <c r="K3" i="4"/>
  <c r="N3" i="4" s="1"/>
  <c r="D2" i="4"/>
  <c r="C2" i="4"/>
  <c r="B2" i="4"/>
  <c r="V6" i="3"/>
  <c r="W6" i="3"/>
  <c r="AA6" i="3" s="1"/>
  <c r="X6" i="3"/>
  <c r="Y6" i="3"/>
  <c r="Z6" i="3"/>
  <c r="V7" i="3"/>
  <c r="W7" i="3"/>
  <c r="X7" i="3"/>
  <c r="Y7" i="3"/>
  <c r="Z7" i="3"/>
  <c r="V8" i="3"/>
  <c r="W8" i="3"/>
  <c r="X8" i="3"/>
  <c r="Y8" i="3"/>
  <c r="Z8" i="3"/>
  <c r="V9" i="3"/>
  <c r="W9" i="3"/>
  <c r="AA9" i="3" s="1"/>
  <c r="X9" i="3"/>
  <c r="Y9" i="3"/>
  <c r="Z9" i="3"/>
  <c r="V10" i="3"/>
  <c r="W10" i="3"/>
  <c r="X10" i="3"/>
  <c r="Y10" i="3"/>
  <c r="Z10" i="3"/>
  <c r="V11" i="3"/>
  <c r="W11" i="3"/>
  <c r="AA11" i="3" s="1"/>
  <c r="X11" i="3"/>
  <c r="Y11" i="3"/>
  <c r="Z11" i="3"/>
  <c r="V12" i="3"/>
  <c r="W12" i="3"/>
  <c r="X12" i="3"/>
  <c r="Y12" i="3"/>
  <c r="Z12" i="3"/>
  <c r="V13" i="3"/>
  <c r="W13" i="3"/>
  <c r="X13" i="3"/>
  <c r="Y13" i="3"/>
  <c r="Z13" i="3"/>
  <c r="V14" i="3"/>
  <c r="W14" i="3"/>
  <c r="X14" i="3"/>
  <c r="Y14" i="3"/>
  <c r="Z14" i="3"/>
  <c r="AA14" i="3"/>
  <c r="V15" i="3"/>
  <c r="W15" i="3"/>
  <c r="X15" i="3"/>
  <c r="Y15" i="3"/>
  <c r="Z15" i="3"/>
  <c r="V16" i="3"/>
  <c r="W16" i="3"/>
  <c r="X16" i="3"/>
  <c r="Y16" i="3"/>
  <c r="Z16" i="3"/>
  <c r="V17" i="3"/>
  <c r="W17" i="3"/>
  <c r="X17" i="3"/>
  <c r="Y17" i="3"/>
  <c r="Z17" i="3"/>
  <c r="AA17" i="3"/>
  <c r="V18" i="3"/>
  <c r="W18" i="3"/>
  <c r="X18" i="3"/>
  <c r="Y18" i="3"/>
  <c r="Z18" i="3"/>
  <c r="AA18" i="3"/>
  <c r="V19" i="3"/>
  <c r="W19" i="3"/>
  <c r="X19" i="3"/>
  <c r="Y19" i="3"/>
  <c r="Z19" i="3"/>
  <c r="V20" i="3"/>
  <c r="W20" i="3"/>
  <c r="X20" i="3"/>
  <c r="Y20" i="3"/>
  <c r="AA20" i="3" s="1"/>
  <c r="Z20" i="3"/>
  <c r="V21" i="3"/>
  <c r="W21" i="3"/>
  <c r="X21" i="3"/>
  <c r="Y21" i="3"/>
  <c r="Z21" i="3"/>
  <c r="V22" i="3"/>
  <c r="W22" i="3"/>
  <c r="AA22" i="3" s="1"/>
  <c r="X22" i="3"/>
  <c r="Y22" i="3"/>
  <c r="Z22" i="3"/>
  <c r="V23" i="3"/>
  <c r="W23" i="3"/>
  <c r="X23" i="3"/>
  <c r="Y23" i="3"/>
  <c r="Z23" i="3"/>
  <c r="V24" i="3"/>
  <c r="W24" i="3"/>
  <c r="X24" i="3"/>
  <c r="Y24" i="3"/>
  <c r="Z24" i="3"/>
  <c r="V25" i="3"/>
  <c r="W25" i="3"/>
  <c r="X25" i="3"/>
  <c r="Y25" i="3"/>
  <c r="Z25" i="3"/>
  <c r="AA25" i="3"/>
  <c r="V26" i="3"/>
  <c r="W26" i="3"/>
  <c r="X26" i="3"/>
  <c r="Y26" i="3"/>
  <c r="Z26" i="3"/>
  <c r="V27" i="3"/>
  <c r="W27" i="3"/>
  <c r="X27" i="3"/>
  <c r="Y27" i="3"/>
  <c r="Z27" i="3"/>
  <c r="V28" i="3"/>
  <c r="W28" i="3"/>
  <c r="X28" i="3"/>
  <c r="Y28" i="3"/>
  <c r="Z28" i="3"/>
  <c r="V29" i="3"/>
  <c r="W29" i="3"/>
  <c r="X29" i="3"/>
  <c r="Y29" i="3"/>
  <c r="Z29" i="3"/>
  <c r="AA29" i="3"/>
  <c r="V30" i="3"/>
  <c r="W30" i="3"/>
  <c r="X30" i="3"/>
  <c r="Y30" i="3"/>
  <c r="Z30" i="3"/>
  <c r="V31" i="3"/>
  <c r="W31" i="3"/>
  <c r="X31" i="3"/>
  <c r="Y31" i="3"/>
  <c r="Z31" i="3"/>
  <c r="V32" i="3"/>
  <c r="W32" i="3"/>
  <c r="X32" i="3"/>
  <c r="Y32" i="3"/>
  <c r="Z32" i="3"/>
  <c r="V33" i="3"/>
  <c r="W33" i="3"/>
  <c r="X33" i="3"/>
  <c r="Y33" i="3"/>
  <c r="Z33" i="3"/>
  <c r="V34" i="3"/>
  <c r="W34" i="3"/>
  <c r="AA34" i="3" s="1"/>
  <c r="X34" i="3"/>
  <c r="Y34" i="3"/>
  <c r="Z34" i="3"/>
  <c r="V35" i="3"/>
  <c r="W35" i="3"/>
  <c r="AA35" i="3" s="1"/>
  <c r="X35" i="3"/>
  <c r="Y35" i="3"/>
  <c r="Z35" i="3"/>
  <c r="V36" i="3"/>
  <c r="W36" i="3"/>
  <c r="X36" i="3"/>
  <c r="Y36" i="3"/>
  <c r="Z36" i="3"/>
  <c r="V37" i="3"/>
  <c r="W37" i="3"/>
  <c r="X37" i="3"/>
  <c r="Y37" i="3"/>
  <c r="Z37" i="3"/>
  <c r="V38" i="3"/>
  <c r="W38" i="3"/>
  <c r="X38" i="3"/>
  <c r="Y38" i="3"/>
  <c r="Z38" i="3"/>
  <c r="AA38" i="3"/>
  <c r="V39" i="3"/>
  <c r="W39" i="3"/>
  <c r="X39" i="3"/>
  <c r="Y39" i="3"/>
  <c r="Z39" i="3"/>
  <c r="V40" i="3"/>
  <c r="W40" i="3"/>
  <c r="X40" i="3"/>
  <c r="Y40" i="3"/>
  <c r="Z40" i="3"/>
  <c r="V41" i="3"/>
  <c r="W41" i="3"/>
  <c r="AA41" i="3" s="1"/>
  <c r="X41" i="3"/>
  <c r="Y41" i="3"/>
  <c r="Z41" i="3"/>
  <c r="V42" i="3"/>
  <c r="W42" i="3"/>
  <c r="X42" i="3"/>
  <c r="Y42" i="3"/>
  <c r="Z42" i="3"/>
  <c r="AA42" i="3"/>
  <c r="V43" i="3"/>
  <c r="W43" i="3"/>
  <c r="AA43" i="3" s="1"/>
  <c r="X43" i="3"/>
  <c r="Y43" i="3"/>
  <c r="Z43" i="3"/>
  <c r="V44" i="3"/>
  <c r="W44" i="3"/>
  <c r="AA44" i="3" s="1"/>
  <c r="X44" i="3"/>
  <c r="Y44" i="3"/>
  <c r="Z44" i="3"/>
  <c r="V45" i="3"/>
  <c r="W45" i="3"/>
  <c r="X45" i="3"/>
  <c r="Y45" i="3"/>
  <c r="Z45" i="3"/>
  <c r="V46" i="3"/>
  <c r="W46" i="3"/>
  <c r="X46" i="3"/>
  <c r="Y46" i="3"/>
  <c r="Z46" i="3"/>
  <c r="V47" i="3"/>
  <c r="W47" i="3"/>
  <c r="X47" i="3"/>
  <c r="Y47" i="3"/>
  <c r="Z47" i="3"/>
  <c r="V48" i="3"/>
  <c r="W48" i="3"/>
  <c r="X48" i="3"/>
  <c r="Y48" i="3"/>
  <c r="Z48" i="3"/>
  <c r="V49" i="3"/>
  <c r="W49" i="3"/>
  <c r="X49" i="3"/>
  <c r="Y49" i="3"/>
  <c r="Z49" i="3"/>
  <c r="AA49" i="3"/>
  <c r="V50" i="3"/>
  <c r="W50" i="3"/>
  <c r="X50" i="3"/>
  <c r="Y50" i="3"/>
  <c r="Z50" i="3"/>
  <c r="V51" i="3"/>
  <c r="W51" i="3"/>
  <c r="X51" i="3"/>
  <c r="Y51" i="3"/>
  <c r="Z51" i="3"/>
  <c r="V52" i="3"/>
  <c r="W52" i="3"/>
  <c r="AA52" i="3" s="1"/>
  <c r="X52" i="3"/>
  <c r="Y52" i="3"/>
  <c r="Z52" i="3"/>
  <c r="V53" i="3"/>
  <c r="W53" i="3"/>
  <c r="X53" i="3"/>
  <c r="Y53" i="3"/>
  <c r="Z53" i="3"/>
  <c r="AA53" i="3"/>
  <c r="V54" i="3"/>
  <c r="W54" i="3"/>
  <c r="AA54" i="3" s="1"/>
  <c r="X54" i="3"/>
  <c r="Y54" i="3"/>
  <c r="Z54" i="3"/>
  <c r="V55" i="3"/>
  <c r="W55" i="3"/>
  <c r="X55" i="3"/>
  <c r="Y55" i="3"/>
  <c r="Z55" i="3"/>
  <c r="V56" i="3"/>
  <c r="W56" i="3"/>
  <c r="X56" i="3"/>
  <c r="Y56" i="3"/>
  <c r="Z56" i="3"/>
  <c r="V57" i="3"/>
  <c r="W57" i="3"/>
  <c r="X57" i="3"/>
  <c r="Y57" i="3"/>
  <c r="Z57" i="3"/>
  <c r="V58" i="3"/>
  <c r="W58" i="3"/>
  <c r="X58" i="3"/>
  <c r="Y58" i="3"/>
  <c r="Z58" i="3"/>
  <c r="V59" i="3"/>
  <c r="W59" i="3"/>
  <c r="X59" i="3"/>
  <c r="Y59" i="3"/>
  <c r="Z59" i="3"/>
  <c r="V60" i="3"/>
  <c r="W60" i="3"/>
  <c r="X60" i="3"/>
  <c r="Y60" i="3"/>
  <c r="Z60" i="3"/>
  <c r="V61" i="3"/>
  <c r="W61" i="3"/>
  <c r="X61" i="3"/>
  <c r="Y61" i="3"/>
  <c r="Z61" i="3"/>
  <c r="V62" i="3"/>
  <c r="W62" i="3"/>
  <c r="X62" i="3"/>
  <c r="Y62" i="3"/>
  <c r="AA62" i="3" s="1"/>
  <c r="Z62" i="3"/>
  <c r="V63" i="3"/>
  <c r="W63" i="3"/>
  <c r="X63" i="3"/>
  <c r="Y63" i="3"/>
  <c r="Z63" i="3"/>
  <c r="V64" i="3"/>
  <c r="W64" i="3"/>
  <c r="X64" i="3"/>
  <c r="Y64" i="3"/>
  <c r="Z64" i="3"/>
  <c r="V65" i="3"/>
  <c r="W65" i="3"/>
  <c r="X65" i="3"/>
  <c r="Y65" i="3"/>
  <c r="Z65" i="3"/>
  <c r="AA65" i="3"/>
  <c r="V66" i="3"/>
  <c r="W66" i="3"/>
  <c r="X66" i="3"/>
  <c r="Y66" i="3"/>
  <c r="Z66" i="3"/>
  <c r="AA66" i="3"/>
  <c r="V67" i="3"/>
  <c r="W67" i="3"/>
  <c r="X67" i="3"/>
  <c r="Y67" i="3"/>
  <c r="Z67" i="3"/>
  <c r="V68" i="3"/>
  <c r="W68" i="3"/>
  <c r="X68" i="3"/>
  <c r="Y68" i="3"/>
  <c r="Z68" i="3"/>
  <c r="V69" i="3"/>
  <c r="W69" i="3"/>
  <c r="X69" i="3"/>
  <c r="Y69" i="3"/>
  <c r="Z69" i="3"/>
  <c r="V70" i="3"/>
  <c r="W70" i="3"/>
  <c r="X70" i="3"/>
  <c r="Y70" i="3"/>
  <c r="Z70" i="3"/>
  <c r="V71" i="3"/>
  <c r="W71" i="3"/>
  <c r="X71" i="3"/>
  <c r="Y71" i="3"/>
  <c r="Z71" i="3"/>
  <c r="V72" i="3"/>
  <c r="W72" i="3"/>
  <c r="X72" i="3"/>
  <c r="Y72" i="3"/>
  <c r="AA72" i="3" s="1"/>
  <c r="Z72" i="3"/>
  <c r="V73" i="3"/>
  <c r="W73" i="3"/>
  <c r="X73" i="3"/>
  <c r="Y73" i="3"/>
  <c r="Z73" i="3"/>
  <c r="AA73" i="3"/>
  <c r="V74" i="3"/>
  <c r="W74" i="3"/>
  <c r="X74" i="3"/>
  <c r="Y74" i="3"/>
  <c r="Z74" i="3"/>
  <c r="V75" i="3"/>
  <c r="W75" i="3"/>
  <c r="X75" i="3"/>
  <c r="Y75" i="3"/>
  <c r="Z75" i="3"/>
  <c r="V76" i="3"/>
  <c r="W76" i="3"/>
  <c r="X76" i="3"/>
  <c r="Y76" i="3"/>
  <c r="Z76" i="3"/>
  <c r="V77" i="3"/>
  <c r="W77" i="3"/>
  <c r="AA77" i="3" s="1"/>
  <c r="X77" i="3"/>
  <c r="Y77" i="3"/>
  <c r="Z77" i="3"/>
  <c r="V78" i="3"/>
  <c r="W78" i="3"/>
  <c r="X78" i="3"/>
  <c r="Y78" i="3"/>
  <c r="Z78" i="3"/>
  <c r="V79" i="3"/>
  <c r="W79" i="3"/>
  <c r="X79" i="3"/>
  <c r="Y79" i="3"/>
  <c r="Z79" i="3"/>
  <c r="V80" i="3"/>
  <c r="W80" i="3"/>
  <c r="X80" i="3"/>
  <c r="Y80" i="3"/>
  <c r="AA80" i="3" s="1"/>
  <c r="Z80" i="3"/>
  <c r="V81" i="3"/>
  <c r="W81" i="3"/>
  <c r="X81" i="3"/>
  <c r="Y81" i="3"/>
  <c r="Z81" i="3"/>
  <c r="V82" i="3"/>
  <c r="W82" i="3"/>
  <c r="X82" i="3"/>
  <c r="Y82" i="3"/>
  <c r="Z82" i="3"/>
  <c r="V83" i="3"/>
  <c r="W83" i="3"/>
  <c r="X83" i="3"/>
  <c r="Y83" i="3"/>
  <c r="Z83" i="3"/>
  <c r="V84" i="3"/>
  <c r="W84" i="3"/>
  <c r="X84" i="3"/>
  <c r="Y84" i="3"/>
  <c r="AA84" i="3" s="1"/>
  <c r="Z84" i="3"/>
  <c r="V85" i="3"/>
  <c r="W85" i="3"/>
  <c r="X85" i="3"/>
  <c r="Y85" i="3"/>
  <c r="Z85" i="3"/>
  <c r="V86" i="3"/>
  <c r="W86" i="3"/>
  <c r="AA86" i="3" s="1"/>
  <c r="X86" i="3"/>
  <c r="Y86" i="3"/>
  <c r="Z86" i="3"/>
  <c r="V87" i="3"/>
  <c r="W87" i="3"/>
  <c r="X87" i="3"/>
  <c r="Y87" i="3"/>
  <c r="Z87" i="3"/>
  <c r="V88" i="3"/>
  <c r="W88" i="3"/>
  <c r="X88" i="3"/>
  <c r="Y88" i="3"/>
  <c r="Z88" i="3"/>
  <c r="V89" i="3"/>
  <c r="W89" i="3"/>
  <c r="X89" i="3"/>
  <c r="Y89" i="3"/>
  <c r="AA89" i="3" s="1"/>
  <c r="Z89" i="3"/>
  <c r="V90" i="3"/>
  <c r="W90" i="3"/>
  <c r="X90" i="3"/>
  <c r="Y90" i="3"/>
  <c r="Z90" i="3"/>
  <c r="V91" i="3"/>
  <c r="W91" i="3"/>
  <c r="X91" i="3"/>
  <c r="Y91" i="3"/>
  <c r="Z91" i="3"/>
  <c r="V92" i="3"/>
  <c r="W92" i="3"/>
  <c r="X92" i="3"/>
  <c r="Y92" i="3"/>
  <c r="Z92" i="3"/>
  <c r="V93" i="3"/>
  <c r="W93" i="3"/>
  <c r="AA93" i="3" s="1"/>
  <c r="X93" i="3"/>
  <c r="Y93" i="3"/>
  <c r="Z93" i="3"/>
  <c r="V94" i="3"/>
  <c r="W94" i="3"/>
  <c r="X94" i="3"/>
  <c r="Y94" i="3"/>
  <c r="Z94" i="3"/>
  <c r="V95" i="3"/>
  <c r="W95" i="3"/>
  <c r="X95" i="3"/>
  <c r="Y95" i="3"/>
  <c r="Z95" i="3"/>
  <c r="V96" i="3"/>
  <c r="W96" i="3"/>
  <c r="X96" i="3"/>
  <c r="Y96" i="3"/>
  <c r="Z96" i="3"/>
  <c r="V97" i="3"/>
  <c r="W97" i="3"/>
  <c r="X97" i="3"/>
  <c r="Y97" i="3"/>
  <c r="Z97" i="3"/>
  <c r="V98" i="3"/>
  <c r="W98" i="3"/>
  <c r="X98" i="3"/>
  <c r="Y98" i="3"/>
  <c r="Z98" i="3"/>
  <c r="V99" i="3"/>
  <c r="W99" i="3"/>
  <c r="AA99" i="3" s="1"/>
  <c r="X99" i="3"/>
  <c r="Y99" i="3"/>
  <c r="Z99" i="3"/>
  <c r="V100" i="3"/>
  <c r="W100" i="3"/>
  <c r="X100" i="3"/>
  <c r="Y100" i="3"/>
  <c r="AA100" i="3" s="1"/>
  <c r="Z100" i="3"/>
  <c r="V101" i="3"/>
  <c r="W101" i="3"/>
  <c r="AA101" i="3" s="1"/>
  <c r="X101" i="3"/>
  <c r="Y101" i="3"/>
  <c r="Z101" i="3"/>
  <c r="V102" i="3"/>
  <c r="W102" i="3"/>
  <c r="AA102" i="3" s="1"/>
  <c r="X102" i="3"/>
  <c r="Y102" i="3"/>
  <c r="Z102" i="3"/>
  <c r="V103" i="3"/>
  <c r="W103" i="3"/>
  <c r="X103" i="3"/>
  <c r="Y103" i="3"/>
  <c r="Z103" i="3"/>
  <c r="V104" i="3"/>
  <c r="W104" i="3"/>
  <c r="X104" i="3"/>
  <c r="Y104" i="3"/>
  <c r="AA104" i="3" s="1"/>
  <c r="Z104" i="3"/>
  <c r="V105" i="3"/>
  <c r="W105" i="3"/>
  <c r="X105" i="3"/>
  <c r="Y105" i="3"/>
  <c r="Z105" i="3"/>
  <c r="AA105" i="3"/>
  <c r="V106" i="3"/>
  <c r="W106" i="3"/>
  <c r="X106" i="3"/>
  <c r="Y106" i="3"/>
  <c r="Z106" i="3"/>
  <c r="V107" i="3"/>
  <c r="W107" i="3"/>
  <c r="X107" i="3"/>
  <c r="Y107" i="3"/>
  <c r="Z107" i="3"/>
  <c r="V108" i="3"/>
  <c r="W108" i="3"/>
  <c r="X108" i="3"/>
  <c r="Y108" i="3"/>
  <c r="Z108" i="3"/>
  <c r="V109" i="3"/>
  <c r="W109" i="3"/>
  <c r="AA109" i="3" s="1"/>
  <c r="X109" i="3"/>
  <c r="Y109" i="3"/>
  <c r="Z109" i="3"/>
  <c r="V110" i="3"/>
  <c r="W110" i="3"/>
  <c r="X110" i="3"/>
  <c r="Y110" i="3"/>
  <c r="Z110" i="3"/>
  <c r="V111" i="3"/>
  <c r="W111" i="3"/>
  <c r="AA111" i="3" s="1"/>
  <c r="X111" i="3"/>
  <c r="Y111" i="3"/>
  <c r="Z111" i="3"/>
  <c r="V112" i="3"/>
  <c r="W112" i="3"/>
  <c r="X112" i="3"/>
  <c r="Y112" i="3"/>
  <c r="Z112" i="3"/>
  <c r="V113" i="3"/>
  <c r="W113" i="3"/>
  <c r="X113" i="3"/>
  <c r="Y113" i="3"/>
  <c r="Z113" i="3"/>
  <c r="V114" i="3"/>
  <c r="W114" i="3"/>
  <c r="X114" i="3"/>
  <c r="Y114" i="3"/>
  <c r="Z114" i="3"/>
  <c r="V115" i="3"/>
  <c r="W115" i="3"/>
  <c r="X115" i="3"/>
  <c r="Y115" i="3"/>
  <c r="Z115" i="3"/>
  <c r="V116" i="3"/>
  <c r="W116" i="3"/>
  <c r="X116" i="3"/>
  <c r="Y116" i="3"/>
  <c r="AA116" i="3" s="1"/>
  <c r="Z116" i="3"/>
  <c r="V117" i="3"/>
  <c r="W117" i="3"/>
  <c r="X117" i="3"/>
  <c r="Y117" i="3"/>
  <c r="Z117" i="3"/>
  <c r="AA117" i="3"/>
  <c r="V118" i="3"/>
  <c r="W118" i="3"/>
  <c r="AA118" i="3" s="1"/>
  <c r="X118" i="3"/>
  <c r="Y118" i="3"/>
  <c r="Z118" i="3"/>
  <c r="V119" i="3"/>
  <c r="W119" i="3"/>
  <c r="X119" i="3"/>
  <c r="Y119" i="3"/>
  <c r="Z119" i="3"/>
  <c r="V120" i="3"/>
  <c r="W120" i="3"/>
  <c r="X120" i="3"/>
  <c r="Y120" i="3"/>
  <c r="Z120" i="3"/>
  <c r="V121" i="3"/>
  <c r="W121" i="3"/>
  <c r="X121" i="3"/>
  <c r="Y121" i="3"/>
  <c r="Z121" i="3"/>
  <c r="AA121" i="3"/>
  <c r="V122" i="3"/>
  <c r="W122" i="3"/>
  <c r="X122" i="3"/>
  <c r="Y122" i="3"/>
  <c r="Z122" i="3"/>
  <c r="V123" i="3"/>
  <c r="W123" i="3"/>
  <c r="X123" i="3"/>
  <c r="Y123" i="3"/>
  <c r="Z123" i="3"/>
  <c r="V124" i="3"/>
  <c r="W124" i="3"/>
  <c r="X124" i="3"/>
  <c r="Y124" i="3"/>
  <c r="Z124" i="3"/>
  <c r="V125" i="3"/>
  <c r="W125" i="3"/>
  <c r="AA125" i="3" s="1"/>
  <c r="X125" i="3"/>
  <c r="Y125" i="3"/>
  <c r="Z125" i="3"/>
  <c r="V126" i="3"/>
  <c r="W126" i="3"/>
  <c r="X126" i="3"/>
  <c r="Y126" i="3"/>
  <c r="Z126" i="3"/>
  <c r="V127" i="3"/>
  <c r="W127" i="3"/>
  <c r="AA127" i="3" s="1"/>
  <c r="X127" i="3"/>
  <c r="Y127" i="3"/>
  <c r="Z127" i="3"/>
  <c r="V128" i="3"/>
  <c r="W128" i="3"/>
  <c r="X128" i="3"/>
  <c r="Y128" i="3"/>
  <c r="Z128" i="3"/>
  <c r="V129" i="3"/>
  <c r="W129" i="3"/>
  <c r="X129" i="3"/>
  <c r="Y129" i="3"/>
  <c r="Z129" i="3"/>
  <c r="V130" i="3"/>
  <c r="W130" i="3"/>
  <c r="X130" i="3"/>
  <c r="Y130" i="3"/>
  <c r="Z130" i="3"/>
  <c r="V131" i="3"/>
  <c r="W131" i="3"/>
  <c r="X131" i="3"/>
  <c r="Y131" i="3"/>
  <c r="Z131" i="3"/>
  <c r="V132" i="3"/>
  <c r="W132" i="3"/>
  <c r="X132" i="3"/>
  <c r="Y132" i="3"/>
  <c r="AA132" i="3" s="1"/>
  <c r="Z132" i="3"/>
  <c r="V133" i="3"/>
  <c r="W133" i="3"/>
  <c r="X133" i="3"/>
  <c r="Y133" i="3"/>
  <c r="Z133" i="3"/>
  <c r="AA133" i="3"/>
  <c r="V134" i="3"/>
  <c r="W134" i="3"/>
  <c r="AA134" i="3" s="1"/>
  <c r="X134" i="3"/>
  <c r="Y134" i="3"/>
  <c r="Z134" i="3"/>
  <c r="V135" i="3"/>
  <c r="W135" i="3"/>
  <c r="X135" i="3"/>
  <c r="Y135" i="3"/>
  <c r="Z135" i="3"/>
  <c r="V136" i="3"/>
  <c r="W136" i="3"/>
  <c r="X136" i="3"/>
  <c r="Y136" i="3"/>
  <c r="AA136" i="3" s="1"/>
  <c r="Z136" i="3"/>
  <c r="V137" i="3"/>
  <c r="W137" i="3"/>
  <c r="X137" i="3"/>
  <c r="Y137" i="3"/>
  <c r="Z137" i="3"/>
  <c r="AA137" i="3"/>
  <c r="V138" i="3"/>
  <c r="W138" i="3"/>
  <c r="X138" i="3"/>
  <c r="Y138" i="3"/>
  <c r="Z138" i="3"/>
  <c r="V139" i="3"/>
  <c r="W139" i="3"/>
  <c r="X139" i="3"/>
  <c r="Y139" i="3"/>
  <c r="Z139" i="3"/>
  <c r="V140" i="3"/>
  <c r="W140" i="3"/>
  <c r="X140" i="3"/>
  <c r="Y140" i="3"/>
  <c r="Z140" i="3"/>
  <c r="V141" i="3"/>
  <c r="W141" i="3"/>
  <c r="X141" i="3"/>
  <c r="Y141" i="3"/>
  <c r="Z141" i="3"/>
  <c r="AA141" i="3"/>
  <c r="V142" i="3"/>
  <c r="W142" i="3"/>
  <c r="X142" i="3"/>
  <c r="Y142" i="3"/>
  <c r="Z142" i="3"/>
  <c r="V143" i="3"/>
  <c r="W143" i="3"/>
  <c r="AA143" i="3" s="1"/>
  <c r="X143" i="3"/>
  <c r="Y143" i="3"/>
  <c r="Z143" i="3"/>
  <c r="V144" i="3"/>
  <c r="W144" i="3"/>
  <c r="X144" i="3"/>
  <c r="Y144" i="3"/>
  <c r="Z144" i="3"/>
  <c r="V145" i="3"/>
  <c r="W145" i="3"/>
  <c r="X145" i="3"/>
  <c r="Y145" i="3"/>
  <c r="Z145" i="3"/>
  <c r="V146" i="3"/>
  <c r="W146" i="3"/>
  <c r="X146" i="3"/>
  <c r="Y146" i="3"/>
  <c r="Z146" i="3"/>
  <c r="V147" i="3"/>
  <c r="W147" i="3"/>
  <c r="X147" i="3"/>
  <c r="Y147" i="3"/>
  <c r="Z147" i="3"/>
  <c r="V148" i="3"/>
  <c r="W148" i="3"/>
  <c r="X148" i="3"/>
  <c r="Y148" i="3"/>
  <c r="Z148" i="3"/>
  <c r="V149" i="3"/>
  <c r="W149" i="3"/>
  <c r="X149" i="3"/>
  <c r="Y149" i="3"/>
  <c r="Z149" i="3"/>
  <c r="AA149" i="3"/>
  <c r="V150" i="3"/>
  <c r="W150" i="3"/>
  <c r="X150" i="3"/>
  <c r="Y150" i="3"/>
  <c r="Z150" i="3"/>
  <c r="AA150" i="3"/>
  <c r="V151" i="3"/>
  <c r="W151" i="3"/>
  <c r="X151" i="3"/>
  <c r="Y151" i="3"/>
  <c r="Z151" i="3"/>
  <c r="V152" i="3"/>
  <c r="W152" i="3"/>
  <c r="X152" i="3"/>
  <c r="Y152" i="3"/>
  <c r="Z152" i="3"/>
  <c r="V153" i="3"/>
  <c r="W153" i="3"/>
  <c r="X153" i="3"/>
  <c r="Y153" i="3"/>
  <c r="Z153" i="3"/>
  <c r="V154" i="3"/>
  <c r="W154" i="3"/>
  <c r="X154" i="3"/>
  <c r="Y154" i="3"/>
  <c r="Z154" i="3"/>
  <c r="V155" i="3"/>
  <c r="W155" i="3"/>
  <c r="X155" i="3"/>
  <c r="Y155" i="3"/>
  <c r="Z155" i="3"/>
  <c r="V156" i="3"/>
  <c r="W156" i="3"/>
  <c r="X156" i="3"/>
  <c r="Y156" i="3"/>
  <c r="Z156" i="3"/>
  <c r="V157" i="3"/>
  <c r="W157" i="3"/>
  <c r="X157" i="3"/>
  <c r="Y157" i="3"/>
  <c r="Z157" i="3"/>
  <c r="AA157" i="3" s="1"/>
  <c r="V158" i="3"/>
  <c r="W158" i="3"/>
  <c r="X158" i="3"/>
  <c r="Y158" i="3"/>
  <c r="Z158" i="3"/>
  <c r="AA158" i="3"/>
  <c r="V159" i="3"/>
  <c r="W159" i="3"/>
  <c r="X159" i="3"/>
  <c r="Y159" i="3"/>
  <c r="Z159" i="3"/>
  <c r="V160" i="3"/>
  <c r="W160" i="3"/>
  <c r="X160" i="3"/>
  <c r="Y160" i="3"/>
  <c r="Z160" i="3"/>
  <c r="V161" i="3"/>
  <c r="W161" i="3"/>
  <c r="AA161" i="3" s="1"/>
  <c r="X161" i="3"/>
  <c r="Y161" i="3"/>
  <c r="Z161" i="3"/>
  <c r="V162" i="3"/>
  <c r="W162" i="3"/>
  <c r="X162" i="3"/>
  <c r="Y162" i="3"/>
  <c r="Z162" i="3"/>
  <c r="V163" i="3"/>
  <c r="W163" i="3"/>
  <c r="X163" i="3"/>
  <c r="Y163" i="3"/>
  <c r="Z163" i="3"/>
  <c r="V164" i="3"/>
  <c r="W164" i="3"/>
  <c r="X164" i="3"/>
  <c r="Y164" i="3"/>
  <c r="AA164" i="3" s="1"/>
  <c r="Z164" i="3"/>
  <c r="V165" i="3"/>
  <c r="W165" i="3"/>
  <c r="X165" i="3"/>
  <c r="Y165" i="3"/>
  <c r="Z165" i="3"/>
  <c r="V166" i="3"/>
  <c r="W166" i="3"/>
  <c r="X166" i="3"/>
  <c r="Y166" i="3"/>
  <c r="Z166" i="3"/>
  <c r="V167" i="3"/>
  <c r="W167" i="3"/>
  <c r="X167" i="3"/>
  <c r="Y167" i="3"/>
  <c r="Z167" i="3"/>
  <c r="V168" i="3"/>
  <c r="W168" i="3"/>
  <c r="X168" i="3"/>
  <c r="Y168" i="3"/>
  <c r="AA168" i="3" s="1"/>
  <c r="Z168" i="3"/>
  <c r="V169" i="3"/>
  <c r="W169" i="3"/>
  <c r="X169" i="3"/>
  <c r="Y169" i="3"/>
  <c r="Z169" i="3"/>
  <c r="AA169" i="3"/>
  <c r="V170" i="3"/>
  <c r="W170" i="3"/>
  <c r="AA170" i="3" s="1"/>
  <c r="X170" i="3"/>
  <c r="Y170" i="3"/>
  <c r="Z170" i="3"/>
  <c r="V171" i="3"/>
  <c r="W171" i="3"/>
  <c r="AA171" i="3" s="1"/>
  <c r="X171" i="3"/>
  <c r="Y171" i="3"/>
  <c r="Z171" i="3"/>
  <c r="V172" i="3"/>
  <c r="W172" i="3"/>
  <c r="X172" i="3"/>
  <c r="Y172" i="3"/>
  <c r="Z172" i="3"/>
  <c r="V173" i="3"/>
  <c r="W173" i="3"/>
  <c r="X173" i="3"/>
  <c r="AA173" i="3" s="1"/>
  <c r="Y173" i="3"/>
  <c r="Z173" i="3"/>
  <c r="V174" i="3"/>
  <c r="W174" i="3"/>
  <c r="X174" i="3"/>
  <c r="Y174" i="3"/>
  <c r="Z174" i="3"/>
  <c r="V175" i="3"/>
  <c r="W175" i="3"/>
  <c r="X175" i="3"/>
  <c r="Y175" i="3"/>
  <c r="Z175" i="3"/>
  <c r="V176" i="3"/>
  <c r="W176" i="3"/>
  <c r="X176" i="3"/>
  <c r="Y176" i="3"/>
  <c r="Z176" i="3"/>
  <c r="V177" i="3"/>
  <c r="W177" i="3"/>
  <c r="X177" i="3"/>
  <c r="Y177" i="3"/>
  <c r="Z177" i="3"/>
  <c r="AA177" i="3"/>
  <c r="V178" i="3"/>
  <c r="W178" i="3"/>
  <c r="X178" i="3"/>
  <c r="Y178" i="3"/>
  <c r="Z178" i="3"/>
  <c r="V179" i="3"/>
  <c r="W179" i="3"/>
  <c r="AA179" i="3" s="1"/>
  <c r="X179" i="3"/>
  <c r="Y179" i="3"/>
  <c r="Z179" i="3"/>
  <c r="V180" i="3"/>
  <c r="W180" i="3"/>
  <c r="X180" i="3"/>
  <c r="Y180" i="3"/>
  <c r="Z180" i="3"/>
  <c r="V181" i="3"/>
  <c r="W181" i="3"/>
  <c r="X181" i="3"/>
  <c r="Y181" i="3"/>
  <c r="Z181" i="3"/>
  <c r="V182" i="3"/>
  <c r="W182" i="3"/>
  <c r="X182" i="3"/>
  <c r="Y182" i="3"/>
  <c r="Z182" i="3"/>
  <c r="V183" i="3"/>
  <c r="W183" i="3"/>
  <c r="X183" i="3"/>
  <c r="Y183" i="3"/>
  <c r="Z183" i="3"/>
  <c r="V184" i="3"/>
  <c r="W184" i="3"/>
  <c r="X184" i="3"/>
  <c r="Y184" i="3"/>
  <c r="Z184" i="3"/>
  <c r="V185" i="3"/>
  <c r="W185" i="3"/>
  <c r="AA185" i="3" s="1"/>
  <c r="X185" i="3"/>
  <c r="Y185" i="3"/>
  <c r="Z185" i="3"/>
  <c r="V186" i="3"/>
  <c r="W186" i="3"/>
  <c r="X186" i="3"/>
  <c r="Y186" i="3"/>
  <c r="Z186" i="3"/>
  <c r="V187" i="3"/>
  <c r="W187" i="3"/>
  <c r="X187" i="3"/>
  <c r="Y187" i="3"/>
  <c r="Z187" i="3"/>
  <c r="V188" i="3"/>
  <c r="W188" i="3"/>
  <c r="X188" i="3"/>
  <c r="Y188" i="3"/>
  <c r="Z188" i="3"/>
  <c r="V189" i="3"/>
  <c r="W189" i="3"/>
  <c r="X189" i="3"/>
  <c r="AA189" i="3" s="1"/>
  <c r="Y189" i="3"/>
  <c r="Z189" i="3"/>
  <c r="V190" i="3"/>
  <c r="W190" i="3"/>
  <c r="X190" i="3"/>
  <c r="Y190" i="3"/>
  <c r="Z190" i="3"/>
  <c r="V191" i="3"/>
  <c r="W191" i="3"/>
  <c r="X191" i="3"/>
  <c r="Y191" i="3"/>
  <c r="Z191" i="3"/>
  <c r="V192" i="3"/>
  <c r="W192" i="3"/>
  <c r="X192" i="3"/>
  <c r="Y192" i="3"/>
  <c r="Z192" i="3"/>
  <c r="V193" i="3"/>
  <c r="W193" i="3"/>
  <c r="X193" i="3"/>
  <c r="Y193" i="3"/>
  <c r="Z193" i="3"/>
  <c r="AA193" i="3"/>
  <c r="V194" i="3"/>
  <c r="W194" i="3"/>
  <c r="AA194" i="3" s="1"/>
  <c r="X194" i="3"/>
  <c r="Y194" i="3"/>
  <c r="Z194" i="3"/>
  <c r="V195" i="3"/>
  <c r="W195" i="3"/>
  <c r="X195" i="3"/>
  <c r="Y195" i="3"/>
  <c r="Z195" i="3"/>
  <c r="V196" i="3"/>
  <c r="W196" i="3"/>
  <c r="X196" i="3"/>
  <c r="Y196" i="3"/>
  <c r="Z196" i="3"/>
  <c r="V197" i="3"/>
  <c r="W197" i="3"/>
  <c r="X197" i="3"/>
  <c r="Y197" i="3"/>
  <c r="Z197" i="3"/>
  <c r="V198" i="3"/>
  <c r="W198" i="3"/>
  <c r="X198" i="3"/>
  <c r="Y198" i="3"/>
  <c r="Z198" i="3"/>
  <c r="V199" i="3"/>
  <c r="W199" i="3"/>
  <c r="AA199" i="3" s="1"/>
  <c r="X199" i="3"/>
  <c r="Y199" i="3"/>
  <c r="Z199" i="3"/>
  <c r="V200" i="3"/>
  <c r="W200" i="3"/>
  <c r="X200" i="3"/>
  <c r="Y200" i="3"/>
  <c r="Z200" i="3"/>
  <c r="V201" i="3"/>
  <c r="W201" i="3"/>
  <c r="X201" i="3"/>
  <c r="Y201" i="3"/>
  <c r="Z201" i="3"/>
  <c r="V202" i="3"/>
  <c r="W202" i="3"/>
  <c r="X202" i="3"/>
  <c r="Y202" i="3"/>
  <c r="Z202" i="3"/>
  <c r="V203" i="3"/>
  <c r="W203" i="3"/>
  <c r="X203" i="3"/>
  <c r="Y203" i="3"/>
  <c r="Z203" i="3"/>
  <c r="V204" i="3"/>
  <c r="W204" i="3"/>
  <c r="X204" i="3"/>
  <c r="Y204" i="3"/>
  <c r="AA204" i="3" s="1"/>
  <c r="Z204" i="3"/>
  <c r="V205" i="3"/>
  <c r="W205" i="3"/>
  <c r="X205" i="3"/>
  <c r="Y205" i="3"/>
  <c r="Z205" i="3"/>
  <c r="AA205" i="3"/>
  <c r="V206" i="3"/>
  <c r="W206" i="3"/>
  <c r="AA206" i="3" s="1"/>
  <c r="X206" i="3"/>
  <c r="Y206" i="3"/>
  <c r="Z206" i="3"/>
  <c r="V207" i="3"/>
  <c r="W207" i="3"/>
  <c r="X207" i="3"/>
  <c r="Y207" i="3"/>
  <c r="Z207" i="3"/>
  <c r="V208" i="3"/>
  <c r="W208" i="3"/>
  <c r="X208" i="3"/>
  <c r="Y208" i="3"/>
  <c r="Z208" i="3"/>
  <c r="V209" i="3"/>
  <c r="W209" i="3"/>
  <c r="X209" i="3"/>
  <c r="Y209" i="3"/>
  <c r="Z209" i="3"/>
  <c r="AA209" i="3"/>
  <c r="V210" i="3"/>
  <c r="W210" i="3"/>
  <c r="X210" i="3"/>
  <c r="AA210" i="3" s="1"/>
  <c r="Y210" i="3"/>
  <c r="Z210" i="3"/>
  <c r="V211" i="3"/>
  <c r="W211" i="3"/>
  <c r="X211" i="3"/>
  <c r="Y211" i="3"/>
  <c r="Z211" i="3"/>
  <c r="V212" i="3"/>
  <c r="W212" i="3"/>
  <c r="X212" i="3"/>
  <c r="Y212" i="3"/>
  <c r="Z212" i="3"/>
  <c r="V213" i="3"/>
  <c r="W213" i="3"/>
  <c r="X213" i="3"/>
  <c r="Y213" i="3"/>
  <c r="Z213" i="3"/>
  <c r="AA213" i="3"/>
  <c r="V214" i="3"/>
  <c r="W214" i="3"/>
  <c r="X214" i="3"/>
  <c r="Y214" i="3"/>
  <c r="Z214" i="3"/>
  <c r="V215" i="3"/>
  <c r="W215" i="3"/>
  <c r="AA215" i="3" s="1"/>
  <c r="X215" i="3"/>
  <c r="Y215" i="3"/>
  <c r="Z215" i="3"/>
  <c r="V216" i="3"/>
  <c r="W216" i="3"/>
  <c r="X216" i="3"/>
  <c r="Y216" i="3"/>
  <c r="Z216" i="3"/>
  <c r="V217" i="3"/>
  <c r="W217" i="3"/>
  <c r="X217" i="3"/>
  <c r="Y217" i="3"/>
  <c r="Z217" i="3"/>
  <c r="V218" i="3"/>
  <c r="W218" i="3"/>
  <c r="X218" i="3"/>
  <c r="Y218" i="3"/>
  <c r="Z218" i="3"/>
  <c r="V219" i="3"/>
  <c r="W219" i="3"/>
  <c r="X219" i="3"/>
  <c r="Y219" i="3"/>
  <c r="Z219" i="3"/>
  <c r="V220" i="3"/>
  <c r="W220" i="3"/>
  <c r="X220" i="3"/>
  <c r="Y220" i="3"/>
  <c r="Z220" i="3"/>
  <c r="V221" i="3"/>
  <c r="W221" i="3"/>
  <c r="X221" i="3"/>
  <c r="Y221" i="3"/>
  <c r="Z221" i="3"/>
  <c r="AA221" i="3"/>
  <c r="V222" i="3"/>
  <c r="W222" i="3"/>
  <c r="X222" i="3"/>
  <c r="Y222" i="3"/>
  <c r="Z222" i="3"/>
  <c r="V223" i="3"/>
  <c r="W223" i="3"/>
  <c r="X223" i="3"/>
  <c r="Y223" i="3"/>
  <c r="Z223" i="3"/>
  <c r="V224" i="3"/>
  <c r="W224" i="3"/>
  <c r="X224" i="3"/>
  <c r="Y224" i="3"/>
  <c r="Z224" i="3"/>
  <c r="V225" i="3"/>
  <c r="W225" i="3"/>
  <c r="X225" i="3"/>
  <c r="Y225" i="3"/>
  <c r="Z225" i="3"/>
  <c r="AA225" i="3"/>
  <c r="V226" i="3"/>
  <c r="W226" i="3"/>
  <c r="X226" i="3"/>
  <c r="Y226" i="3"/>
  <c r="Z226" i="3"/>
  <c r="V227" i="3"/>
  <c r="W227" i="3"/>
  <c r="X227" i="3"/>
  <c r="Y227" i="3"/>
  <c r="Z227" i="3"/>
  <c r="V228" i="3"/>
  <c r="W228" i="3"/>
  <c r="X228" i="3"/>
  <c r="Y228" i="3"/>
  <c r="Z228" i="3"/>
  <c r="V229" i="3"/>
  <c r="W229" i="3"/>
  <c r="X229" i="3"/>
  <c r="Y229" i="3"/>
  <c r="Z229" i="3"/>
  <c r="AA229" i="3"/>
  <c r="V230" i="3"/>
  <c r="W230" i="3"/>
  <c r="X230" i="3"/>
  <c r="Y230" i="3"/>
  <c r="Z230" i="3"/>
  <c r="V231" i="3"/>
  <c r="W231" i="3"/>
  <c r="AA231" i="3" s="1"/>
  <c r="X231" i="3"/>
  <c r="Y231" i="3"/>
  <c r="Z231" i="3"/>
  <c r="V232" i="3"/>
  <c r="W232" i="3"/>
  <c r="X232" i="3"/>
  <c r="Y232" i="3"/>
  <c r="Z232" i="3"/>
  <c r="V233" i="3"/>
  <c r="W233" i="3"/>
  <c r="X233" i="3"/>
  <c r="Y233" i="3"/>
  <c r="Z233" i="3"/>
  <c r="V234" i="3"/>
  <c r="W234" i="3"/>
  <c r="X234" i="3"/>
  <c r="Y234" i="3"/>
  <c r="Z234" i="3"/>
  <c r="V235" i="3"/>
  <c r="W235" i="3"/>
  <c r="X235" i="3"/>
  <c r="Y235" i="3"/>
  <c r="Z235" i="3"/>
  <c r="V236" i="3"/>
  <c r="W236" i="3"/>
  <c r="X236" i="3"/>
  <c r="Y236" i="3"/>
  <c r="Z236" i="3"/>
  <c r="V237" i="3"/>
  <c r="W237" i="3"/>
  <c r="X237" i="3"/>
  <c r="Y237" i="3"/>
  <c r="Z237" i="3"/>
  <c r="AA237" i="3"/>
  <c r="V238" i="3"/>
  <c r="W238" i="3"/>
  <c r="X238" i="3"/>
  <c r="Y238" i="3"/>
  <c r="Z238" i="3"/>
  <c r="V239" i="3"/>
  <c r="W239" i="3"/>
  <c r="X239" i="3"/>
  <c r="Y239" i="3"/>
  <c r="Z239" i="3"/>
  <c r="V240" i="3"/>
  <c r="W240" i="3"/>
  <c r="X240" i="3"/>
  <c r="Y240" i="3"/>
  <c r="Z240" i="3"/>
  <c r="V241" i="3"/>
  <c r="W241" i="3"/>
  <c r="X241" i="3"/>
  <c r="Y241" i="3"/>
  <c r="Z241" i="3"/>
  <c r="AA241" i="3"/>
  <c r="V242" i="3"/>
  <c r="W242" i="3"/>
  <c r="X242" i="3"/>
  <c r="Y242" i="3"/>
  <c r="Z242" i="3"/>
  <c r="V243" i="3"/>
  <c r="W243" i="3"/>
  <c r="X243" i="3"/>
  <c r="Y243" i="3"/>
  <c r="Z243" i="3"/>
  <c r="V244" i="3"/>
  <c r="W244" i="3"/>
  <c r="X244" i="3"/>
  <c r="Y244" i="3"/>
  <c r="Z244" i="3"/>
  <c r="V245" i="3"/>
  <c r="W245" i="3"/>
  <c r="X245" i="3"/>
  <c r="Y245" i="3"/>
  <c r="Z245" i="3"/>
  <c r="AA245" i="3"/>
  <c r="V246" i="3"/>
  <c r="W246" i="3"/>
  <c r="X246" i="3"/>
  <c r="Y246" i="3"/>
  <c r="Z246" i="3"/>
  <c r="AA246" i="3"/>
  <c r="V247" i="3"/>
  <c r="W247" i="3"/>
  <c r="X247" i="3"/>
  <c r="Y247" i="3"/>
  <c r="Z247" i="3"/>
  <c r="V248" i="3"/>
  <c r="W248" i="3"/>
  <c r="X248" i="3"/>
  <c r="Y248" i="3"/>
  <c r="AA248" i="3" s="1"/>
  <c r="Z248" i="3"/>
  <c r="V249" i="3"/>
  <c r="W249" i="3"/>
  <c r="X249" i="3"/>
  <c r="Y249" i="3"/>
  <c r="Z249" i="3"/>
  <c r="V250" i="3"/>
  <c r="W250" i="3"/>
  <c r="X250" i="3"/>
  <c r="Y250" i="3"/>
  <c r="Z250" i="3"/>
  <c r="V251" i="3"/>
  <c r="W251" i="3"/>
  <c r="X251" i="3"/>
  <c r="Y251" i="3"/>
  <c r="Z251" i="3"/>
  <c r="V252" i="3"/>
  <c r="W252" i="3"/>
  <c r="X252" i="3"/>
  <c r="Y252" i="3"/>
  <c r="Z252" i="3"/>
  <c r="V253" i="3"/>
  <c r="W253" i="3"/>
  <c r="X253" i="3"/>
  <c r="Y253" i="3"/>
  <c r="Z253" i="3"/>
  <c r="V254" i="3"/>
  <c r="W254" i="3"/>
  <c r="X254" i="3"/>
  <c r="Y254" i="3"/>
  <c r="AA254" i="3" s="1"/>
  <c r="Z254" i="3"/>
  <c r="Z5" i="3"/>
  <c r="Y5" i="3"/>
  <c r="X5" i="3"/>
  <c r="W5" i="3"/>
  <c r="V5" i="3"/>
  <c r="V6" i="2"/>
  <c r="W6" i="2"/>
  <c r="X6" i="2"/>
  <c r="Y6" i="2"/>
  <c r="Z6" i="2"/>
  <c r="V7" i="2"/>
  <c r="W7" i="2"/>
  <c r="X7" i="2"/>
  <c r="Y7" i="2"/>
  <c r="Z7" i="2"/>
  <c r="V8" i="2"/>
  <c r="W8" i="2"/>
  <c r="X8" i="2"/>
  <c r="Y8" i="2"/>
  <c r="Z8" i="2"/>
  <c r="V9" i="2"/>
  <c r="W9" i="2"/>
  <c r="X9" i="2"/>
  <c r="Y9" i="2"/>
  <c r="Z9" i="2"/>
  <c r="V10" i="2"/>
  <c r="W10" i="2"/>
  <c r="X10" i="2"/>
  <c r="Y10" i="2"/>
  <c r="Z10" i="2"/>
  <c r="V11" i="2"/>
  <c r="W11" i="2"/>
  <c r="AA11" i="2" s="1"/>
  <c r="X11" i="2"/>
  <c r="Y11" i="2"/>
  <c r="Z11" i="2"/>
  <c r="V12" i="2"/>
  <c r="W12" i="2"/>
  <c r="X12" i="2"/>
  <c r="Y12" i="2"/>
  <c r="Z12" i="2"/>
  <c r="V13" i="2"/>
  <c r="W13" i="2"/>
  <c r="AA13" i="2" s="1"/>
  <c r="X13" i="2"/>
  <c r="Y13" i="2"/>
  <c r="Z13" i="2"/>
  <c r="V14" i="2"/>
  <c r="W14" i="2"/>
  <c r="AA14" i="2" s="1"/>
  <c r="X14" i="2"/>
  <c r="Y14" i="2"/>
  <c r="Z14" i="2"/>
  <c r="V15" i="2"/>
  <c r="W15" i="2"/>
  <c r="X15" i="2"/>
  <c r="Y15" i="2"/>
  <c r="Z15" i="2"/>
  <c r="V16" i="2"/>
  <c r="W16" i="2"/>
  <c r="X16" i="2"/>
  <c r="AA16" i="2" s="1"/>
  <c r="Y16" i="2"/>
  <c r="Z16" i="2"/>
  <c r="V17" i="2"/>
  <c r="W17" i="2"/>
  <c r="X17" i="2"/>
  <c r="Y17" i="2"/>
  <c r="Z17" i="2"/>
  <c r="AA17" i="2"/>
  <c r="V18" i="2"/>
  <c r="W18" i="2"/>
  <c r="X18" i="2"/>
  <c r="Y18" i="2"/>
  <c r="Z18" i="2"/>
  <c r="V19" i="2"/>
  <c r="W19" i="2"/>
  <c r="X19" i="2"/>
  <c r="Y19" i="2"/>
  <c r="Z19" i="2"/>
  <c r="V20" i="2"/>
  <c r="W20" i="2"/>
  <c r="X20" i="2"/>
  <c r="AA20" i="2" s="1"/>
  <c r="Y20" i="2"/>
  <c r="Z20" i="2"/>
  <c r="V21" i="2"/>
  <c r="W21" i="2"/>
  <c r="AA21" i="2" s="1"/>
  <c r="X21" i="2"/>
  <c r="Y21" i="2"/>
  <c r="Z21" i="2"/>
  <c r="V22" i="2"/>
  <c r="W22" i="2"/>
  <c r="X22" i="2"/>
  <c r="Y22" i="2"/>
  <c r="Z22" i="2"/>
  <c r="V23" i="2"/>
  <c r="W23" i="2"/>
  <c r="X23" i="2"/>
  <c r="Y23" i="2"/>
  <c r="Z23" i="2"/>
  <c r="V24" i="2"/>
  <c r="W24" i="2"/>
  <c r="X24" i="2"/>
  <c r="Y24" i="2"/>
  <c r="Z24" i="2"/>
  <c r="V25" i="2"/>
  <c r="W25" i="2"/>
  <c r="X25" i="2"/>
  <c r="AA25" i="2" s="1"/>
  <c r="Y25" i="2"/>
  <c r="Z25" i="2"/>
  <c r="V26" i="2"/>
  <c r="W26" i="2"/>
  <c r="X26" i="2"/>
  <c r="Y26" i="2"/>
  <c r="Z26" i="2"/>
  <c r="V27" i="2"/>
  <c r="W27" i="2"/>
  <c r="X27" i="2"/>
  <c r="Y27" i="2"/>
  <c r="Z27" i="2"/>
  <c r="V28" i="2"/>
  <c r="W28" i="2"/>
  <c r="X28" i="2"/>
  <c r="Y28" i="2"/>
  <c r="Z28" i="2"/>
  <c r="V29" i="2"/>
  <c r="W29" i="2"/>
  <c r="X29" i="2"/>
  <c r="Y29" i="2"/>
  <c r="Z29" i="2"/>
  <c r="AA29" i="2"/>
  <c r="V30" i="2"/>
  <c r="W30" i="2"/>
  <c r="AA30" i="2" s="1"/>
  <c r="X30" i="2"/>
  <c r="Y30" i="2"/>
  <c r="Z30" i="2"/>
  <c r="V31" i="2"/>
  <c r="W31" i="2"/>
  <c r="X31" i="2"/>
  <c r="Y31" i="2"/>
  <c r="Z31" i="2"/>
  <c r="V32" i="2"/>
  <c r="W32" i="2"/>
  <c r="X32" i="2"/>
  <c r="AA32" i="2" s="1"/>
  <c r="Y32" i="2"/>
  <c r="Z32" i="2"/>
  <c r="V33" i="2"/>
  <c r="W33" i="2"/>
  <c r="X33" i="2"/>
  <c r="Y33" i="2"/>
  <c r="Z33" i="2"/>
  <c r="AA33" i="2"/>
  <c r="V34" i="2"/>
  <c r="W34" i="2"/>
  <c r="X34" i="2"/>
  <c r="Y34" i="2"/>
  <c r="Z34" i="2"/>
  <c r="V35" i="2"/>
  <c r="W35" i="2"/>
  <c r="X35" i="2"/>
  <c r="Y35" i="2"/>
  <c r="Z35" i="2"/>
  <c r="V36" i="2"/>
  <c r="W36" i="2"/>
  <c r="X36" i="2"/>
  <c r="Y36" i="2"/>
  <c r="Z36" i="2"/>
  <c r="V37" i="2"/>
  <c r="W37" i="2"/>
  <c r="AA37" i="2" s="1"/>
  <c r="X37" i="2"/>
  <c r="Y37" i="2"/>
  <c r="Z37" i="2"/>
  <c r="V38" i="2"/>
  <c r="W38" i="2"/>
  <c r="X38" i="2"/>
  <c r="Y38" i="2"/>
  <c r="Z38" i="2"/>
  <c r="V39" i="2"/>
  <c r="W39" i="2"/>
  <c r="X39" i="2"/>
  <c r="Y39" i="2"/>
  <c r="Z39" i="2"/>
  <c r="V40" i="2"/>
  <c r="W40" i="2"/>
  <c r="X40" i="2"/>
  <c r="Y40" i="2"/>
  <c r="Z40" i="2"/>
  <c r="V41" i="2"/>
  <c r="W41" i="2"/>
  <c r="X41" i="2"/>
  <c r="Y41" i="2"/>
  <c r="Z41" i="2"/>
  <c r="V42" i="2"/>
  <c r="W42" i="2"/>
  <c r="X42" i="2"/>
  <c r="Y42" i="2"/>
  <c r="Z42" i="2"/>
  <c r="V43" i="2"/>
  <c r="W43" i="2"/>
  <c r="X43" i="2"/>
  <c r="Y43" i="2"/>
  <c r="Z43" i="2"/>
  <c r="V44" i="2"/>
  <c r="W44" i="2"/>
  <c r="X44" i="2"/>
  <c r="Y44" i="2"/>
  <c r="AA44" i="2" s="1"/>
  <c r="Z44" i="2"/>
  <c r="V45" i="2"/>
  <c r="W45" i="2"/>
  <c r="X45" i="2"/>
  <c r="Y45" i="2"/>
  <c r="Z45" i="2"/>
  <c r="AA45" i="2"/>
  <c r="V46" i="2"/>
  <c r="W46" i="2"/>
  <c r="AA46" i="2" s="1"/>
  <c r="X46" i="2"/>
  <c r="Y46" i="2"/>
  <c r="Z46" i="2"/>
  <c r="V47" i="2"/>
  <c r="W47" i="2"/>
  <c r="X47" i="2"/>
  <c r="Y47" i="2"/>
  <c r="Z47" i="2"/>
  <c r="V48" i="2"/>
  <c r="W48" i="2"/>
  <c r="X48" i="2"/>
  <c r="Y48" i="2"/>
  <c r="AA48" i="2" s="1"/>
  <c r="Z48" i="2"/>
  <c r="V49" i="2"/>
  <c r="W49" i="2"/>
  <c r="X49" i="2"/>
  <c r="Y49" i="2"/>
  <c r="AA49" i="2" s="1"/>
  <c r="Z49" i="2"/>
  <c r="V50" i="2"/>
  <c r="W50" i="2"/>
  <c r="X50" i="2"/>
  <c r="Y50" i="2"/>
  <c r="Z50" i="2"/>
  <c r="V51" i="2"/>
  <c r="W51" i="2"/>
  <c r="X51" i="2"/>
  <c r="Y51" i="2"/>
  <c r="Z51" i="2"/>
  <c r="V52" i="2"/>
  <c r="W52" i="2"/>
  <c r="X52" i="2"/>
  <c r="Y52" i="2"/>
  <c r="Z52" i="2"/>
  <c r="V53" i="2"/>
  <c r="W53" i="2"/>
  <c r="AA53" i="2" s="1"/>
  <c r="X53" i="2"/>
  <c r="Y53" i="2"/>
  <c r="Z53" i="2"/>
  <c r="V54" i="2"/>
  <c r="W54" i="2"/>
  <c r="X54" i="2"/>
  <c r="Y54" i="2"/>
  <c r="Z54" i="2"/>
  <c r="V55" i="2"/>
  <c r="W55" i="2"/>
  <c r="X55" i="2"/>
  <c r="Y55" i="2"/>
  <c r="Z55" i="2"/>
  <c r="V56" i="2"/>
  <c r="W56" i="2"/>
  <c r="X56" i="2"/>
  <c r="Y56" i="2"/>
  <c r="Z56" i="2"/>
  <c r="V57" i="2"/>
  <c r="W57" i="2"/>
  <c r="X57" i="2"/>
  <c r="Y57" i="2"/>
  <c r="Z57" i="2"/>
  <c r="V58" i="2"/>
  <c r="W58" i="2"/>
  <c r="X58" i="2"/>
  <c r="Y58" i="2"/>
  <c r="Z58" i="2"/>
  <c r="V59" i="2"/>
  <c r="W59" i="2"/>
  <c r="X59" i="2"/>
  <c r="Y59" i="2"/>
  <c r="Z59" i="2"/>
  <c r="V60" i="2"/>
  <c r="W60" i="2"/>
  <c r="X60" i="2"/>
  <c r="Y60" i="2"/>
  <c r="AA60" i="2" s="1"/>
  <c r="Z60" i="2"/>
  <c r="V61" i="2"/>
  <c r="W61" i="2"/>
  <c r="X61" i="2"/>
  <c r="Y61" i="2"/>
  <c r="Z61" i="2"/>
  <c r="AA61" i="2"/>
  <c r="V62" i="2"/>
  <c r="W62" i="2"/>
  <c r="AA62" i="2" s="1"/>
  <c r="X62" i="2"/>
  <c r="Y62" i="2"/>
  <c r="Z62" i="2"/>
  <c r="V63" i="2"/>
  <c r="W63" i="2"/>
  <c r="X63" i="2"/>
  <c r="Y63" i="2"/>
  <c r="Z63" i="2"/>
  <c r="V64" i="2"/>
  <c r="W64" i="2"/>
  <c r="X64" i="2"/>
  <c r="Y64" i="2"/>
  <c r="AA64" i="2" s="1"/>
  <c r="Z64" i="2"/>
  <c r="V65" i="2"/>
  <c r="W65" i="2"/>
  <c r="X65" i="2"/>
  <c r="Y65" i="2"/>
  <c r="Z65" i="2"/>
  <c r="AA65" i="2"/>
  <c r="V66" i="2"/>
  <c r="W66" i="2"/>
  <c r="X66" i="2"/>
  <c r="Y66" i="2"/>
  <c r="Z66" i="2"/>
  <c r="V67" i="2"/>
  <c r="W67" i="2"/>
  <c r="X67" i="2"/>
  <c r="Y67" i="2"/>
  <c r="Z67" i="2"/>
  <c r="V68" i="2"/>
  <c r="W68" i="2"/>
  <c r="X68" i="2"/>
  <c r="Y68" i="2"/>
  <c r="Z68" i="2"/>
  <c r="V69" i="2"/>
  <c r="W69" i="2"/>
  <c r="AA69" i="2" s="1"/>
  <c r="X69" i="2"/>
  <c r="Y69" i="2"/>
  <c r="Z69" i="2"/>
  <c r="V70" i="2"/>
  <c r="W70" i="2"/>
  <c r="X70" i="2"/>
  <c r="Y70" i="2"/>
  <c r="Z70" i="2"/>
  <c r="V71" i="2"/>
  <c r="W71" i="2"/>
  <c r="X71" i="2"/>
  <c r="Y71" i="2"/>
  <c r="Z71" i="2"/>
  <c r="V72" i="2"/>
  <c r="W72" i="2"/>
  <c r="X72" i="2"/>
  <c r="Y72" i="2"/>
  <c r="AA72" i="2" s="1"/>
  <c r="Z72" i="2"/>
  <c r="V73" i="2"/>
  <c r="W73" i="2"/>
  <c r="X73" i="2"/>
  <c r="Y73" i="2"/>
  <c r="Z73" i="2"/>
  <c r="V74" i="2"/>
  <c r="W74" i="2"/>
  <c r="X74" i="2"/>
  <c r="Y74" i="2"/>
  <c r="Z74" i="2"/>
  <c r="V75" i="2"/>
  <c r="W75" i="2"/>
  <c r="X75" i="2"/>
  <c r="Y75" i="2"/>
  <c r="Z75" i="2"/>
  <c r="V76" i="2"/>
  <c r="W76" i="2"/>
  <c r="X76" i="2"/>
  <c r="Y76" i="2"/>
  <c r="AA76" i="2" s="1"/>
  <c r="Z76" i="2"/>
  <c r="V77" i="2"/>
  <c r="W77" i="2"/>
  <c r="X77" i="2"/>
  <c r="Y77" i="2"/>
  <c r="Z77" i="2"/>
  <c r="AA77" i="2"/>
  <c r="V78" i="2"/>
  <c r="W78" i="2"/>
  <c r="AA78" i="2" s="1"/>
  <c r="X78" i="2"/>
  <c r="Y78" i="2"/>
  <c r="Z78" i="2"/>
  <c r="V79" i="2"/>
  <c r="W79" i="2"/>
  <c r="AA79" i="2" s="1"/>
  <c r="X79" i="2"/>
  <c r="Y79" i="2"/>
  <c r="Z79" i="2"/>
  <c r="V80" i="2"/>
  <c r="W80" i="2"/>
  <c r="X80" i="2"/>
  <c r="Y80" i="2"/>
  <c r="AA80" i="2" s="1"/>
  <c r="Z80" i="2"/>
  <c r="V81" i="2"/>
  <c r="W81" i="2"/>
  <c r="X81" i="2"/>
  <c r="Y81" i="2"/>
  <c r="AA81" i="2" s="1"/>
  <c r="Z81" i="2"/>
  <c r="V82" i="2"/>
  <c r="W82" i="2"/>
  <c r="X82" i="2"/>
  <c r="Y82" i="2"/>
  <c r="Z82" i="2"/>
  <c r="V83" i="2"/>
  <c r="W83" i="2"/>
  <c r="X83" i="2"/>
  <c r="Y83" i="2"/>
  <c r="Z83" i="2"/>
  <c r="V84" i="2"/>
  <c r="W84" i="2"/>
  <c r="X84" i="2"/>
  <c r="Y84" i="2"/>
  <c r="Z84" i="2"/>
  <c r="V85" i="2"/>
  <c r="W85" i="2"/>
  <c r="AA85" i="2" s="1"/>
  <c r="X85" i="2"/>
  <c r="Y85" i="2"/>
  <c r="Z85" i="2"/>
  <c r="V86" i="2"/>
  <c r="W86" i="2"/>
  <c r="AA86" i="2" s="1"/>
  <c r="X86" i="2"/>
  <c r="Y86" i="2"/>
  <c r="Z86" i="2"/>
  <c r="V87" i="2"/>
  <c r="W87" i="2"/>
  <c r="AA87" i="2" s="1"/>
  <c r="X87" i="2"/>
  <c r="Y87" i="2"/>
  <c r="Z87" i="2"/>
  <c r="V88" i="2"/>
  <c r="W88" i="2"/>
  <c r="X88" i="2"/>
  <c r="Y88" i="2"/>
  <c r="AA88" i="2" s="1"/>
  <c r="Z88" i="2"/>
  <c r="V89" i="2"/>
  <c r="W89" i="2"/>
  <c r="X89" i="2"/>
  <c r="Y89" i="2"/>
  <c r="Z89" i="2"/>
  <c r="V90" i="2"/>
  <c r="W90" i="2"/>
  <c r="X90" i="2"/>
  <c r="Y90" i="2"/>
  <c r="Z90" i="2"/>
  <c r="V91" i="2"/>
  <c r="W91" i="2"/>
  <c r="X91" i="2"/>
  <c r="Y91" i="2"/>
  <c r="Z91" i="2"/>
  <c r="V92" i="2"/>
  <c r="W92" i="2"/>
  <c r="X92" i="2"/>
  <c r="Y92" i="2"/>
  <c r="AA92" i="2" s="1"/>
  <c r="Z92" i="2"/>
  <c r="V93" i="2"/>
  <c r="W93" i="2"/>
  <c r="AA93" i="2" s="1"/>
  <c r="X93" i="2"/>
  <c r="Y93" i="2"/>
  <c r="Z93" i="2"/>
  <c r="V94" i="2"/>
  <c r="W94" i="2"/>
  <c r="AA94" i="2" s="1"/>
  <c r="X94" i="2"/>
  <c r="Y94" i="2"/>
  <c r="Z94" i="2"/>
  <c r="V95" i="2"/>
  <c r="W95" i="2"/>
  <c r="X95" i="2"/>
  <c r="Y95" i="2"/>
  <c r="Z95" i="2"/>
  <c r="V96" i="2"/>
  <c r="W96" i="2"/>
  <c r="X96" i="2"/>
  <c r="Y96" i="2"/>
  <c r="AA96" i="2" s="1"/>
  <c r="Z96" i="2"/>
  <c r="V97" i="2"/>
  <c r="W97" i="2"/>
  <c r="X97" i="2"/>
  <c r="Y97" i="2"/>
  <c r="Z97" i="2"/>
  <c r="AA97" i="2"/>
  <c r="V98" i="2"/>
  <c r="W98" i="2"/>
  <c r="X98" i="2"/>
  <c r="Y98" i="2"/>
  <c r="Z98" i="2"/>
  <c r="V99" i="2"/>
  <c r="W99" i="2"/>
  <c r="X99" i="2"/>
  <c r="Y99" i="2"/>
  <c r="Z99" i="2"/>
  <c r="V100" i="2"/>
  <c r="W100" i="2"/>
  <c r="X100" i="2"/>
  <c r="Y100" i="2"/>
  <c r="Z100" i="2"/>
  <c r="V101" i="2"/>
  <c r="W101" i="2"/>
  <c r="AA101" i="2" s="1"/>
  <c r="X101" i="2"/>
  <c r="Y101" i="2"/>
  <c r="Z101" i="2"/>
  <c r="V102" i="2"/>
  <c r="W102" i="2"/>
  <c r="X102" i="2"/>
  <c r="Y102" i="2"/>
  <c r="Z102" i="2"/>
  <c r="V103" i="2"/>
  <c r="W103" i="2"/>
  <c r="X103" i="2"/>
  <c r="Y103" i="2"/>
  <c r="Z103" i="2"/>
  <c r="V104" i="2"/>
  <c r="W104" i="2"/>
  <c r="X104" i="2"/>
  <c r="Y104" i="2"/>
  <c r="Z104" i="2"/>
  <c r="V105" i="2"/>
  <c r="W105" i="2"/>
  <c r="X105" i="2"/>
  <c r="Y105" i="2"/>
  <c r="Z105" i="2"/>
  <c r="V106" i="2"/>
  <c r="W106" i="2"/>
  <c r="X106" i="2"/>
  <c r="Y106" i="2"/>
  <c r="Z106" i="2"/>
  <c r="V107" i="2"/>
  <c r="W107" i="2"/>
  <c r="AA107" i="2" s="1"/>
  <c r="X107" i="2"/>
  <c r="Y107" i="2"/>
  <c r="Z107" i="2"/>
  <c r="V108" i="2"/>
  <c r="W108" i="2"/>
  <c r="X108" i="2"/>
  <c r="Y108" i="2"/>
  <c r="AA108" i="2" s="1"/>
  <c r="Z108" i="2"/>
  <c r="V109" i="2"/>
  <c r="W109" i="2"/>
  <c r="AA109" i="2" s="1"/>
  <c r="X109" i="2"/>
  <c r="Y109" i="2"/>
  <c r="Z109" i="2"/>
  <c r="V110" i="2"/>
  <c r="W110" i="2"/>
  <c r="AA110" i="2" s="1"/>
  <c r="X110" i="2"/>
  <c r="Y110" i="2"/>
  <c r="Z110" i="2"/>
  <c r="V111" i="2"/>
  <c r="W111" i="2"/>
  <c r="X111" i="2"/>
  <c r="Y111" i="2"/>
  <c r="Z111" i="2"/>
  <c r="V112" i="2"/>
  <c r="W112" i="2"/>
  <c r="X112" i="2"/>
  <c r="Y112" i="2"/>
  <c r="Z112" i="2"/>
  <c r="V113" i="2"/>
  <c r="W113" i="2"/>
  <c r="X113" i="2"/>
  <c r="Y113" i="2"/>
  <c r="Z113" i="2"/>
  <c r="AA113" i="2"/>
  <c r="V114" i="2"/>
  <c r="W114" i="2"/>
  <c r="X114" i="2"/>
  <c r="Y114" i="2"/>
  <c r="Z114" i="2"/>
  <c r="V115" i="2"/>
  <c r="W115" i="2"/>
  <c r="X115" i="2"/>
  <c r="Y115" i="2"/>
  <c r="Z115" i="2"/>
  <c r="V116" i="2"/>
  <c r="W116" i="2"/>
  <c r="X116" i="2"/>
  <c r="Y116" i="2"/>
  <c r="Z116" i="2"/>
  <c r="V117" i="2"/>
  <c r="W117" i="2"/>
  <c r="AA117" i="2" s="1"/>
  <c r="X117" i="2"/>
  <c r="Y117" i="2"/>
  <c r="Z117" i="2"/>
  <c r="V118" i="2"/>
  <c r="W118" i="2"/>
  <c r="X118" i="2"/>
  <c r="Y118" i="2"/>
  <c r="Z118" i="2"/>
  <c r="V119" i="2"/>
  <c r="W119" i="2"/>
  <c r="X119" i="2"/>
  <c r="Y119" i="2"/>
  <c r="Z119" i="2"/>
  <c r="V120" i="2"/>
  <c r="W120" i="2"/>
  <c r="X120" i="2"/>
  <c r="Y120" i="2"/>
  <c r="Z120" i="2"/>
  <c r="V121" i="2"/>
  <c r="W121" i="2"/>
  <c r="X121" i="2"/>
  <c r="AA121" i="2" s="1"/>
  <c r="Y121" i="2"/>
  <c r="Z121" i="2"/>
  <c r="V122" i="2"/>
  <c r="W122" i="2"/>
  <c r="X122" i="2"/>
  <c r="Y122" i="2"/>
  <c r="Z122" i="2"/>
  <c r="V123" i="2"/>
  <c r="W123" i="2"/>
  <c r="X123" i="2"/>
  <c r="Y123" i="2"/>
  <c r="Z123" i="2"/>
  <c r="V124" i="2"/>
  <c r="W124" i="2"/>
  <c r="X124" i="2"/>
  <c r="Y124" i="2"/>
  <c r="AA124" i="2" s="1"/>
  <c r="Z124" i="2"/>
  <c r="V125" i="2"/>
  <c r="W125" i="2"/>
  <c r="X125" i="2"/>
  <c r="Y125" i="2"/>
  <c r="Z125" i="2"/>
  <c r="AA125" i="2"/>
  <c r="V126" i="2"/>
  <c r="W126" i="2"/>
  <c r="AA126" i="2" s="1"/>
  <c r="X126" i="2"/>
  <c r="Y126" i="2"/>
  <c r="Z126" i="2"/>
  <c r="V127" i="2"/>
  <c r="W127" i="2"/>
  <c r="X127" i="2"/>
  <c r="Y127" i="2"/>
  <c r="Z127" i="2"/>
  <c r="V128" i="2"/>
  <c r="W128" i="2"/>
  <c r="X128" i="2"/>
  <c r="Y128" i="2"/>
  <c r="Z128" i="2"/>
  <c r="V129" i="2"/>
  <c r="W129" i="2"/>
  <c r="X129" i="2"/>
  <c r="Y129" i="2"/>
  <c r="Z129" i="2"/>
  <c r="AA129" i="2"/>
  <c r="V130" i="2"/>
  <c r="W130" i="2"/>
  <c r="X130" i="2"/>
  <c r="Y130" i="2"/>
  <c r="Z130" i="2"/>
  <c r="V131" i="2"/>
  <c r="W131" i="2"/>
  <c r="X131" i="2"/>
  <c r="Y131" i="2"/>
  <c r="Z131" i="2"/>
  <c r="V132" i="2"/>
  <c r="W132" i="2"/>
  <c r="X132" i="2"/>
  <c r="Y132" i="2"/>
  <c r="Z132" i="2"/>
  <c r="V133" i="2"/>
  <c r="W133" i="2"/>
  <c r="AA133" i="2" s="1"/>
  <c r="X133" i="2"/>
  <c r="Y133" i="2"/>
  <c r="Z133" i="2"/>
  <c r="V134" i="2"/>
  <c r="W134" i="2"/>
  <c r="X134" i="2"/>
  <c r="Y134" i="2"/>
  <c r="Z134" i="2"/>
  <c r="V135" i="2"/>
  <c r="W135" i="2"/>
  <c r="X135" i="2"/>
  <c r="Y135" i="2"/>
  <c r="Z135" i="2"/>
  <c r="V136" i="2"/>
  <c r="W136" i="2"/>
  <c r="X136" i="2"/>
  <c r="Y136" i="2"/>
  <c r="Z136" i="2"/>
  <c r="V137" i="2"/>
  <c r="W137" i="2"/>
  <c r="X137" i="2"/>
  <c r="Y137" i="2"/>
  <c r="Z137" i="2"/>
  <c r="V138" i="2"/>
  <c r="W138" i="2"/>
  <c r="X138" i="2"/>
  <c r="Y138" i="2"/>
  <c r="Z138" i="2"/>
  <c r="V139" i="2"/>
  <c r="W139" i="2"/>
  <c r="X139" i="2"/>
  <c r="Y139" i="2"/>
  <c r="Z139" i="2"/>
  <c r="V140" i="2"/>
  <c r="W140" i="2"/>
  <c r="X140" i="2"/>
  <c r="Y140" i="2"/>
  <c r="AA140" i="2" s="1"/>
  <c r="Z140" i="2"/>
  <c r="V141" i="2"/>
  <c r="W141" i="2"/>
  <c r="X141" i="2"/>
  <c r="Y141" i="2"/>
  <c r="Z141" i="2"/>
  <c r="AA141" i="2"/>
  <c r="V142" i="2"/>
  <c r="W142" i="2"/>
  <c r="AA142" i="2" s="1"/>
  <c r="X142" i="2"/>
  <c r="Y142" i="2"/>
  <c r="Z142" i="2"/>
  <c r="V143" i="2"/>
  <c r="W143" i="2"/>
  <c r="X143" i="2"/>
  <c r="Y143" i="2"/>
  <c r="Z143" i="2"/>
  <c r="V144" i="2"/>
  <c r="W144" i="2"/>
  <c r="X144" i="2"/>
  <c r="Y144" i="2"/>
  <c r="AA144" i="2" s="1"/>
  <c r="Z144" i="2"/>
  <c r="V145" i="2"/>
  <c r="W145" i="2"/>
  <c r="X145" i="2"/>
  <c r="Y145" i="2"/>
  <c r="AA145" i="2" s="1"/>
  <c r="Z145" i="2"/>
  <c r="V146" i="2"/>
  <c r="W146" i="2"/>
  <c r="X146" i="2"/>
  <c r="Y146" i="2"/>
  <c r="Z146" i="2"/>
  <c r="V147" i="2"/>
  <c r="W147" i="2"/>
  <c r="X147" i="2"/>
  <c r="Y147" i="2"/>
  <c r="Z147" i="2"/>
  <c r="V148" i="2"/>
  <c r="W148" i="2"/>
  <c r="X148" i="2"/>
  <c r="Y148" i="2"/>
  <c r="Z148" i="2"/>
  <c r="V149" i="2"/>
  <c r="W149" i="2"/>
  <c r="AA149" i="2" s="1"/>
  <c r="X149" i="2"/>
  <c r="Y149" i="2"/>
  <c r="Z149" i="2"/>
  <c r="V150" i="2"/>
  <c r="W150" i="2"/>
  <c r="X150" i="2"/>
  <c r="Y150" i="2"/>
  <c r="Z150" i="2"/>
  <c r="V151" i="2"/>
  <c r="W151" i="2"/>
  <c r="X151" i="2"/>
  <c r="Y151" i="2"/>
  <c r="Z151" i="2"/>
  <c r="V152" i="2"/>
  <c r="W152" i="2"/>
  <c r="X152" i="2"/>
  <c r="Y152" i="2"/>
  <c r="Z152" i="2"/>
  <c r="V153" i="2"/>
  <c r="W153" i="2"/>
  <c r="X153" i="2"/>
  <c r="Y153" i="2"/>
  <c r="Z153" i="2"/>
  <c r="V154" i="2"/>
  <c r="W154" i="2"/>
  <c r="X154" i="2"/>
  <c r="Y154" i="2"/>
  <c r="Z154" i="2"/>
  <c r="V155" i="2"/>
  <c r="W155" i="2"/>
  <c r="X155" i="2"/>
  <c r="Y155" i="2"/>
  <c r="Z155" i="2"/>
  <c r="V156" i="2"/>
  <c r="W156" i="2"/>
  <c r="X156" i="2"/>
  <c r="Y156" i="2"/>
  <c r="AA156" i="2" s="1"/>
  <c r="Z156" i="2"/>
  <c r="V157" i="2"/>
  <c r="W157" i="2"/>
  <c r="X157" i="2"/>
  <c r="Y157" i="2"/>
  <c r="Z157" i="2"/>
  <c r="AA157" i="2"/>
  <c r="V158" i="2"/>
  <c r="W158" i="2"/>
  <c r="AA158" i="2" s="1"/>
  <c r="X158" i="2"/>
  <c r="Y158" i="2"/>
  <c r="Z158" i="2"/>
  <c r="V159" i="2"/>
  <c r="W159" i="2"/>
  <c r="X159" i="2"/>
  <c r="Y159" i="2"/>
  <c r="Z159" i="2"/>
  <c r="V160" i="2"/>
  <c r="W160" i="2"/>
  <c r="X160" i="2"/>
  <c r="Y160" i="2"/>
  <c r="AA160" i="2" s="1"/>
  <c r="Z160" i="2"/>
  <c r="V161" i="2"/>
  <c r="W161" i="2"/>
  <c r="X161" i="2"/>
  <c r="Y161" i="2"/>
  <c r="Z161" i="2"/>
  <c r="AA161" i="2"/>
  <c r="V162" i="2"/>
  <c r="W162" i="2"/>
  <c r="X162" i="2"/>
  <c r="Y162" i="2"/>
  <c r="Z162" i="2"/>
  <c r="V163" i="2"/>
  <c r="W163" i="2"/>
  <c r="X163" i="2"/>
  <c r="Y163" i="2"/>
  <c r="Z163" i="2"/>
  <c r="V164" i="2"/>
  <c r="W164" i="2"/>
  <c r="X164" i="2"/>
  <c r="Y164" i="2"/>
  <c r="Z164" i="2"/>
  <c r="V165" i="2"/>
  <c r="W165" i="2"/>
  <c r="AA165" i="2" s="1"/>
  <c r="X165" i="2"/>
  <c r="Y165" i="2"/>
  <c r="Z165" i="2"/>
  <c r="V166" i="2"/>
  <c r="W166" i="2"/>
  <c r="X166" i="2"/>
  <c r="Y166" i="2"/>
  <c r="Z166" i="2"/>
  <c r="V167" i="2"/>
  <c r="W167" i="2"/>
  <c r="X167" i="2"/>
  <c r="Y167" i="2"/>
  <c r="Z167" i="2"/>
  <c r="V168" i="2"/>
  <c r="W168" i="2"/>
  <c r="X168" i="2"/>
  <c r="Y168" i="2"/>
  <c r="AA168" i="2" s="1"/>
  <c r="Z168" i="2"/>
  <c r="V169" i="2"/>
  <c r="W169" i="2"/>
  <c r="X169" i="2"/>
  <c r="Y169" i="2"/>
  <c r="Z169" i="2"/>
  <c r="V170" i="2"/>
  <c r="W170" i="2"/>
  <c r="X170" i="2"/>
  <c r="Y170" i="2"/>
  <c r="Z170" i="2"/>
  <c r="V171" i="2"/>
  <c r="W171" i="2"/>
  <c r="X171" i="2"/>
  <c r="Y171" i="2"/>
  <c r="Z171" i="2"/>
  <c r="V172" i="2"/>
  <c r="W172" i="2"/>
  <c r="X172" i="2"/>
  <c r="Y172" i="2"/>
  <c r="AA172" i="2" s="1"/>
  <c r="Z172" i="2"/>
  <c r="V173" i="2"/>
  <c r="W173" i="2"/>
  <c r="X173" i="2"/>
  <c r="Y173" i="2"/>
  <c r="Z173" i="2"/>
  <c r="AA173" i="2"/>
  <c r="V174" i="2"/>
  <c r="W174" i="2"/>
  <c r="X174" i="2"/>
  <c r="Y174" i="2"/>
  <c r="Z174" i="2"/>
  <c r="V175" i="2"/>
  <c r="W175" i="2"/>
  <c r="AA175" i="2" s="1"/>
  <c r="X175" i="2"/>
  <c r="Y175" i="2"/>
  <c r="Z175" i="2"/>
  <c r="V176" i="2"/>
  <c r="W176" i="2"/>
  <c r="X176" i="2"/>
  <c r="Y176" i="2"/>
  <c r="AA176" i="2" s="1"/>
  <c r="Z176" i="2"/>
  <c r="V177" i="2"/>
  <c r="W177" i="2"/>
  <c r="AA177" i="2" s="1"/>
  <c r="X177" i="2"/>
  <c r="Y177" i="2"/>
  <c r="Z177" i="2"/>
  <c r="V178" i="2"/>
  <c r="W178" i="2"/>
  <c r="X178" i="2"/>
  <c r="Y178" i="2"/>
  <c r="Z178" i="2"/>
  <c r="V179" i="2"/>
  <c r="W179" i="2"/>
  <c r="X179" i="2"/>
  <c r="Y179" i="2"/>
  <c r="Z179" i="2"/>
  <c r="V180" i="2"/>
  <c r="W180" i="2"/>
  <c r="X180" i="2"/>
  <c r="Y180" i="2"/>
  <c r="Z180" i="2"/>
  <c r="V181" i="2"/>
  <c r="W181" i="2"/>
  <c r="X181" i="2"/>
  <c r="Y181" i="2"/>
  <c r="Z181" i="2"/>
  <c r="V182" i="2"/>
  <c r="W182" i="2"/>
  <c r="AA182" i="2" s="1"/>
  <c r="X182" i="2"/>
  <c r="Y182" i="2"/>
  <c r="Z182" i="2"/>
  <c r="V183" i="2"/>
  <c r="W183" i="2"/>
  <c r="AA183" i="2" s="1"/>
  <c r="X183" i="2"/>
  <c r="Y183" i="2"/>
  <c r="Z183" i="2"/>
  <c r="V184" i="2"/>
  <c r="W184" i="2"/>
  <c r="X184" i="2"/>
  <c r="Y184" i="2"/>
  <c r="AA184" i="2" s="1"/>
  <c r="Z184" i="2"/>
  <c r="V185" i="2"/>
  <c r="W185" i="2"/>
  <c r="X185" i="2"/>
  <c r="Y185" i="2"/>
  <c r="Z185" i="2"/>
  <c r="V186" i="2"/>
  <c r="W186" i="2"/>
  <c r="X186" i="2"/>
  <c r="Y186" i="2"/>
  <c r="Z186" i="2"/>
  <c r="V187" i="2"/>
  <c r="W187" i="2"/>
  <c r="X187" i="2"/>
  <c r="Y187" i="2"/>
  <c r="Z187" i="2"/>
  <c r="V188" i="2"/>
  <c r="W188" i="2"/>
  <c r="X188" i="2"/>
  <c r="Y188" i="2"/>
  <c r="AA188" i="2" s="1"/>
  <c r="Z188" i="2"/>
  <c r="V189" i="2"/>
  <c r="W189" i="2"/>
  <c r="AA189" i="2" s="1"/>
  <c r="X189" i="2"/>
  <c r="Y189" i="2"/>
  <c r="Z189" i="2"/>
  <c r="V190" i="2"/>
  <c r="W190" i="2"/>
  <c r="X190" i="2"/>
  <c r="Y190" i="2"/>
  <c r="Z190" i="2"/>
  <c r="V191" i="2"/>
  <c r="W191" i="2"/>
  <c r="X191" i="2"/>
  <c r="Y191" i="2"/>
  <c r="Z191" i="2"/>
  <c r="V192" i="2"/>
  <c r="W192" i="2"/>
  <c r="X192" i="2"/>
  <c r="Y192" i="2"/>
  <c r="AA192" i="2" s="1"/>
  <c r="Z192" i="2"/>
  <c r="V193" i="2"/>
  <c r="W193" i="2"/>
  <c r="X193" i="2"/>
  <c r="Y193" i="2"/>
  <c r="Z193" i="2"/>
  <c r="AA193" i="2"/>
  <c r="V194" i="2"/>
  <c r="W194" i="2"/>
  <c r="X194" i="2"/>
  <c r="Y194" i="2"/>
  <c r="Z194" i="2"/>
  <c r="V195" i="2"/>
  <c r="W195" i="2"/>
  <c r="X195" i="2"/>
  <c r="Y195" i="2"/>
  <c r="Z195" i="2"/>
  <c r="V196" i="2"/>
  <c r="W196" i="2"/>
  <c r="X196" i="2"/>
  <c r="Y196" i="2"/>
  <c r="Z196" i="2"/>
  <c r="V197" i="2"/>
  <c r="W197" i="2"/>
  <c r="X197" i="2"/>
  <c r="Y197" i="2"/>
  <c r="Z197" i="2"/>
  <c r="V198" i="2"/>
  <c r="W198" i="2"/>
  <c r="X198" i="2"/>
  <c r="Y198" i="2"/>
  <c r="Z198" i="2"/>
  <c r="V199" i="2"/>
  <c r="W199" i="2"/>
  <c r="X199" i="2"/>
  <c r="Y199" i="2"/>
  <c r="Z199" i="2"/>
  <c r="V200" i="2"/>
  <c r="W200" i="2"/>
  <c r="X200" i="2"/>
  <c r="Y200" i="2"/>
  <c r="Z200" i="2"/>
  <c r="V201" i="2"/>
  <c r="W201" i="2"/>
  <c r="X201" i="2"/>
  <c r="Y201" i="2"/>
  <c r="Z201" i="2"/>
  <c r="V202" i="2"/>
  <c r="W202" i="2"/>
  <c r="X202" i="2"/>
  <c r="Y202" i="2"/>
  <c r="Z202" i="2"/>
  <c r="V203" i="2"/>
  <c r="W203" i="2"/>
  <c r="AA203" i="2" s="1"/>
  <c r="X203" i="2"/>
  <c r="Y203" i="2"/>
  <c r="Z203" i="2"/>
  <c r="V204" i="2"/>
  <c r="W204" i="2"/>
  <c r="X204" i="2"/>
  <c r="Y204" i="2"/>
  <c r="AA204" i="2" s="1"/>
  <c r="Z204" i="2"/>
  <c r="V205" i="2"/>
  <c r="W205" i="2"/>
  <c r="AA205" i="2" s="1"/>
  <c r="X205" i="2"/>
  <c r="Y205" i="2"/>
  <c r="Z205" i="2"/>
  <c r="V206" i="2"/>
  <c r="W206" i="2"/>
  <c r="X206" i="2"/>
  <c r="Y206" i="2"/>
  <c r="Z206" i="2"/>
  <c r="V207" i="2"/>
  <c r="W207" i="2"/>
  <c r="X207" i="2"/>
  <c r="Y207" i="2"/>
  <c r="Z207" i="2"/>
  <c r="V208" i="2"/>
  <c r="W208" i="2"/>
  <c r="X208" i="2"/>
  <c r="Y208" i="2"/>
  <c r="Z208" i="2"/>
  <c r="V209" i="2"/>
  <c r="W209" i="2"/>
  <c r="X209" i="2"/>
  <c r="Y209" i="2"/>
  <c r="Z209" i="2"/>
  <c r="AA209" i="2"/>
  <c r="V210" i="2"/>
  <c r="W210" i="2"/>
  <c r="X210" i="2"/>
  <c r="Y210" i="2"/>
  <c r="Z210" i="2"/>
  <c r="V211" i="2"/>
  <c r="W211" i="2"/>
  <c r="X211" i="2"/>
  <c r="Y211" i="2"/>
  <c r="Z211" i="2"/>
  <c r="V212" i="2"/>
  <c r="W212" i="2"/>
  <c r="X212" i="2"/>
  <c r="Y212" i="2"/>
  <c r="Z212" i="2"/>
  <c r="V213" i="2"/>
  <c r="W213" i="2"/>
  <c r="X213" i="2"/>
  <c r="Y213" i="2"/>
  <c r="Z213" i="2"/>
  <c r="V214" i="2"/>
  <c r="W214" i="2"/>
  <c r="X214" i="2"/>
  <c r="Y214" i="2"/>
  <c r="Z214" i="2"/>
  <c r="V215" i="2"/>
  <c r="W215" i="2"/>
  <c r="X215" i="2"/>
  <c r="Y215" i="2"/>
  <c r="Z215" i="2"/>
  <c r="V216" i="2"/>
  <c r="W216" i="2"/>
  <c r="X216" i="2"/>
  <c r="Y216" i="2"/>
  <c r="Z216" i="2"/>
  <c r="V217" i="2"/>
  <c r="W217" i="2"/>
  <c r="X217" i="2"/>
  <c r="AA217" i="2" s="1"/>
  <c r="Y217" i="2"/>
  <c r="Z217" i="2"/>
  <c r="V218" i="2"/>
  <c r="W218" i="2"/>
  <c r="X218" i="2"/>
  <c r="Y218" i="2"/>
  <c r="Z218" i="2"/>
  <c r="V219" i="2"/>
  <c r="W219" i="2"/>
  <c r="X219" i="2"/>
  <c r="Y219" i="2"/>
  <c r="Z219" i="2"/>
  <c r="V220" i="2"/>
  <c r="W220" i="2"/>
  <c r="X220" i="2"/>
  <c r="Y220" i="2"/>
  <c r="AA220" i="2" s="1"/>
  <c r="Z220" i="2"/>
  <c r="V221" i="2"/>
  <c r="W221" i="2"/>
  <c r="X221" i="2"/>
  <c r="Y221" i="2"/>
  <c r="Z221" i="2"/>
  <c r="AA221" i="2"/>
  <c r="V222" i="2"/>
  <c r="W222" i="2"/>
  <c r="X222" i="2"/>
  <c r="Y222" i="2"/>
  <c r="Z222" i="2"/>
  <c r="V223" i="2"/>
  <c r="W223" i="2"/>
  <c r="X223" i="2"/>
  <c r="Y223" i="2"/>
  <c r="Z223" i="2"/>
  <c r="V224" i="2"/>
  <c r="W224" i="2"/>
  <c r="X224" i="2"/>
  <c r="Y224" i="2"/>
  <c r="Z224" i="2"/>
  <c r="V225" i="2"/>
  <c r="W225" i="2"/>
  <c r="X225" i="2"/>
  <c r="Y225" i="2"/>
  <c r="Z225" i="2"/>
  <c r="AA225" i="2"/>
  <c r="V226" i="2"/>
  <c r="W226" i="2"/>
  <c r="X226" i="2"/>
  <c r="Y226" i="2"/>
  <c r="Z226" i="2"/>
  <c r="V227" i="2"/>
  <c r="W227" i="2"/>
  <c r="X227" i="2"/>
  <c r="Y227" i="2"/>
  <c r="Z227" i="2"/>
  <c r="V228" i="2"/>
  <c r="W228" i="2"/>
  <c r="X228" i="2"/>
  <c r="Y228" i="2"/>
  <c r="Z228" i="2"/>
  <c r="V229" i="2"/>
  <c r="W229" i="2"/>
  <c r="X229" i="2"/>
  <c r="Y229" i="2"/>
  <c r="Z229" i="2"/>
  <c r="V230" i="2"/>
  <c r="W230" i="2"/>
  <c r="X230" i="2"/>
  <c r="Y230" i="2"/>
  <c r="Z230" i="2"/>
  <c r="V231" i="2"/>
  <c r="W231" i="2"/>
  <c r="X231" i="2"/>
  <c r="Y231" i="2"/>
  <c r="Z231" i="2"/>
  <c r="V232" i="2"/>
  <c r="W232" i="2"/>
  <c r="X232" i="2"/>
  <c r="Y232" i="2"/>
  <c r="Z232" i="2"/>
  <c r="Z5" i="2"/>
  <c r="Y5" i="2"/>
  <c r="X5" i="2"/>
  <c r="W5" i="2"/>
  <c r="V5" i="2"/>
  <c r="V3" i="2" s="1"/>
  <c r="B7" i="4" s="1"/>
  <c r="AA17" i="1"/>
  <c r="AA23" i="1"/>
  <c r="AA36" i="1"/>
  <c r="AA37" i="1"/>
  <c r="AA39" i="1"/>
  <c r="AA40" i="1"/>
  <c r="AA51" i="1"/>
  <c r="AA58" i="1"/>
  <c r="AA60" i="1"/>
  <c r="AA72" i="1"/>
  <c r="AA73" i="1"/>
  <c r="AA75" i="1"/>
  <c r="AA76" i="1"/>
  <c r="AA87" i="1"/>
  <c r="AA94" i="1"/>
  <c r="AA96" i="1"/>
  <c r="AA108" i="1"/>
  <c r="AA109" i="1"/>
  <c r="AA111" i="1"/>
  <c r="AA112" i="1"/>
  <c r="AA123" i="1"/>
  <c r="AA125" i="1"/>
  <c r="AA126" i="1"/>
  <c r="AA127" i="1"/>
  <c r="AA128" i="1"/>
  <c r="AA129" i="1"/>
  <c r="AA130" i="1"/>
  <c r="AA131" i="1"/>
  <c r="AA132" i="1"/>
  <c r="AA133" i="1"/>
  <c r="W25" i="1"/>
  <c r="AA25" i="1" s="1"/>
  <c r="X25" i="1"/>
  <c r="Y25" i="1"/>
  <c r="Z25" i="1"/>
  <c r="W26" i="1"/>
  <c r="X26" i="1"/>
  <c r="Y26" i="1"/>
  <c r="Z26" i="1"/>
  <c r="W27" i="1"/>
  <c r="AA27" i="1" s="1"/>
  <c r="X27" i="1"/>
  <c r="Y27" i="1"/>
  <c r="Z27" i="1"/>
  <c r="W28" i="1"/>
  <c r="AA28" i="1" s="1"/>
  <c r="X28" i="1"/>
  <c r="Y28" i="1"/>
  <c r="Z28" i="1"/>
  <c r="W29" i="1"/>
  <c r="X29" i="1"/>
  <c r="AA29" i="1" s="1"/>
  <c r="Y29" i="1"/>
  <c r="Z29" i="1"/>
  <c r="W30" i="1"/>
  <c r="X30" i="1"/>
  <c r="Y30" i="1"/>
  <c r="Z30" i="1"/>
  <c r="W31" i="1"/>
  <c r="X31" i="1"/>
  <c r="Y31" i="1"/>
  <c r="Z31" i="1"/>
  <c r="W32" i="1"/>
  <c r="X32" i="1"/>
  <c r="AA32" i="1" s="1"/>
  <c r="Y32" i="1"/>
  <c r="Z32" i="1"/>
  <c r="W33" i="1"/>
  <c r="X33" i="1"/>
  <c r="Y33" i="1"/>
  <c r="Z33" i="1"/>
  <c r="W34" i="1"/>
  <c r="AA34" i="1" s="1"/>
  <c r="X34" i="1"/>
  <c r="Y34" i="1"/>
  <c r="Z34" i="1"/>
  <c r="W35" i="1"/>
  <c r="X35" i="1"/>
  <c r="AA35" i="1" s="1"/>
  <c r="Y35" i="1"/>
  <c r="Z35" i="1"/>
  <c r="W36" i="1"/>
  <c r="X36" i="1"/>
  <c r="Y36" i="1"/>
  <c r="Z36" i="1"/>
  <c r="W37" i="1"/>
  <c r="X37" i="1"/>
  <c r="Y37" i="1"/>
  <c r="Z37" i="1"/>
  <c r="W38" i="1"/>
  <c r="X38" i="1"/>
  <c r="Y38" i="1"/>
  <c r="Z38" i="1"/>
  <c r="W39" i="1"/>
  <c r="X39" i="1"/>
  <c r="Y39" i="1"/>
  <c r="Z39" i="1"/>
  <c r="W40" i="1"/>
  <c r="X40" i="1"/>
  <c r="Y40" i="1"/>
  <c r="Z40" i="1"/>
  <c r="W41" i="1"/>
  <c r="X41" i="1"/>
  <c r="Y41" i="1"/>
  <c r="Z41" i="1"/>
  <c r="AA41" i="1" s="1"/>
  <c r="W42" i="1"/>
  <c r="X42" i="1"/>
  <c r="Y42" i="1"/>
  <c r="Z42" i="1"/>
  <c r="W43" i="1"/>
  <c r="X43" i="1"/>
  <c r="Y43" i="1"/>
  <c r="Z43" i="1"/>
  <c r="W44" i="1"/>
  <c r="X44" i="1"/>
  <c r="AA44" i="1" s="1"/>
  <c r="Y44" i="1"/>
  <c r="Z44" i="1"/>
  <c r="W45" i="1"/>
  <c r="X45" i="1"/>
  <c r="Y45" i="1"/>
  <c r="Z45" i="1"/>
  <c r="W46" i="1"/>
  <c r="AA46" i="1" s="1"/>
  <c r="X46" i="1"/>
  <c r="Y46" i="1"/>
  <c r="Z46" i="1"/>
  <c r="W47" i="1"/>
  <c r="X47" i="1"/>
  <c r="AA47" i="1" s="1"/>
  <c r="Y47" i="1"/>
  <c r="Z47" i="1"/>
  <c r="W48" i="1"/>
  <c r="X48" i="1"/>
  <c r="AA48" i="1" s="1"/>
  <c r="Y48" i="1"/>
  <c r="Z48" i="1"/>
  <c r="W49" i="1"/>
  <c r="AA49" i="1" s="1"/>
  <c r="X49" i="1"/>
  <c r="Y49" i="1"/>
  <c r="Z49" i="1"/>
  <c r="W50" i="1"/>
  <c r="X50" i="1"/>
  <c r="Y50" i="1"/>
  <c r="Z50" i="1"/>
  <c r="W51" i="1"/>
  <c r="X51" i="1"/>
  <c r="Y51" i="1"/>
  <c r="Z51" i="1"/>
  <c r="W52" i="1"/>
  <c r="X52" i="1"/>
  <c r="Y52" i="1"/>
  <c r="AA52" i="1" s="1"/>
  <c r="Z52" i="1"/>
  <c r="W53" i="1"/>
  <c r="X53" i="1"/>
  <c r="AA53" i="1" s="1"/>
  <c r="Y53" i="1"/>
  <c r="Z53" i="1"/>
  <c r="W54" i="1"/>
  <c r="X54" i="1"/>
  <c r="Y54" i="1"/>
  <c r="Z54" i="1"/>
  <c r="W55" i="1"/>
  <c r="X55" i="1"/>
  <c r="Y55" i="1"/>
  <c r="Z55" i="1"/>
  <c r="W56" i="1"/>
  <c r="X56" i="1"/>
  <c r="AA56" i="1" s="1"/>
  <c r="Y56" i="1"/>
  <c r="Z56" i="1"/>
  <c r="W57" i="1"/>
  <c r="X57" i="1"/>
  <c r="Y57" i="1"/>
  <c r="Z57" i="1"/>
  <c r="W58" i="1"/>
  <c r="X58" i="1"/>
  <c r="Y58" i="1"/>
  <c r="Z58" i="1"/>
  <c r="W59" i="1"/>
  <c r="X59" i="1"/>
  <c r="Y59" i="1"/>
  <c r="Z59" i="1"/>
  <c r="AA59" i="1" s="1"/>
  <c r="W60" i="1"/>
  <c r="X60" i="1"/>
  <c r="Y60" i="1"/>
  <c r="Z60" i="1"/>
  <c r="W61" i="1"/>
  <c r="AA61" i="1" s="1"/>
  <c r="X61" i="1"/>
  <c r="Y61" i="1"/>
  <c r="Z61" i="1"/>
  <c r="W62" i="1"/>
  <c r="X62" i="1"/>
  <c r="Y62" i="1"/>
  <c r="Z62" i="1"/>
  <c r="W63" i="1"/>
  <c r="AA63" i="1" s="1"/>
  <c r="X63" i="1"/>
  <c r="Y63" i="1"/>
  <c r="Z63" i="1"/>
  <c r="W64" i="1"/>
  <c r="AA64" i="1" s="1"/>
  <c r="X64" i="1"/>
  <c r="Y64" i="1"/>
  <c r="Z64" i="1"/>
  <c r="W65" i="1"/>
  <c r="X65" i="1"/>
  <c r="AA65" i="1" s="1"/>
  <c r="Y65" i="1"/>
  <c r="Z65" i="1"/>
  <c r="W66" i="1"/>
  <c r="X66" i="1"/>
  <c r="Y66" i="1"/>
  <c r="Z66" i="1"/>
  <c r="W67" i="1"/>
  <c r="X67" i="1"/>
  <c r="Y67" i="1"/>
  <c r="Z67" i="1"/>
  <c r="W68" i="1"/>
  <c r="X68" i="1"/>
  <c r="AA68" i="1" s="1"/>
  <c r="Y68" i="1"/>
  <c r="Z68" i="1"/>
  <c r="W69" i="1"/>
  <c r="X69" i="1"/>
  <c r="Y69" i="1"/>
  <c r="Z69" i="1"/>
  <c r="W70" i="1"/>
  <c r="AA70" i="1" s="1"/>
  <c r="X70" i="1"/>
  <c r="Y70" i="1"/>
  <c r="Z70" i="1"/>
  <c r="W71" i="1"/>
  <c r="X71" i="1"/>
  <c r="AA71" i="1" s="1"/>
  <c r="Y71" i="1"/>
  <c r="Z71" i="1"/>
  <c r="W72" i="1"/>
  <c r="X72" i="1"/>
  <c r="Y72" i="1"/>
  <c r="Z72" i="1"/>
  <c r="W73" i="1"/>
  <c r="X73" i="1"/>
  <c r="Y73" i="1"/>
  <c r="Z73" i="1"/>
  <c r="W74" i="1"/>
  <c r="X74" i="1"/>
  <c r="Y74" i="1"/>
  <c r="Z74" i="1"/>
  <c r="W75" i="1"/>
  <c r="X75" i="1"/>
  <c r="Y75" i="1"/>
  <c r="Z75" i="1"/>
  <c r="W76" i="1"/>
  <c r="X76" i="1"/>
  <c r="Y76" i="1"/>
  <c r="Z76" i="1"/>
  <c r="W77" i="1"/>
  <c r="X77" i="1"/>
  <c r="Y77" i="1"/>
  <c r="Z77" i="1"/>
  <c r="AA77" i="1" s="1"/>
  <c r="W78" i="1"/>
  <c r="X78" i="1"/>
  <c r="Y78" i="1"/>
  <c r="Z78" i="1"/>
  <c r="W79" i="1"/>
  <c r="X79" i="1"/>
  <c r="Y79" i="1"/>
  <c r="Z79" i="1"/>
  <c r="W80" i="1"/>
  <c r="X80" i="1"/>
  <c r="AA80" i="1" s="1"/>
  <c r="Y80" i="1"/>
  <c r="Z80" i="1"/>
  <c r="W81" i="1"/>
  <c r="X81" i="1"/>
  <c r="Y81" i="1"/>
  <c r="Z81" i="1"/>
  <c r="W82" i="1"/>
  <c r="AA82" i="1" s="1"/>
  <c r="X82" i="1"/>
  <c r="Y82" i="1"/>
  <c r="Z82" i="1"/>
  <c r="W83" i="1"/>
  <c r="X83" i="1"/>
  <c r="AA83" i="1" s="1"/>
  <c r="Y83" i="1"/>
  <c r="Z83" i="1"/>
  <c r="W84" i="1"/>
  <c r="AA84" i="1" s="1"/>
  <c r="X84" i="1"/>
  <c r="Y84" i="1"/>
  <c r="Z84" i="1"/>
  <c r="W85" i="1"/>
  <c r="AA85" i="1" s="1"/>
  <c r="X85" i="1"/>
  <c r="Y85" i="1"/>
  <c r="Z85" i="1"/>
  <c r="W86" i="1"/>
  <c r="X86" i="1"/>
  <c r="Y86" i="1"/>
  <c r="Z86" i="1"/>
  <c r="W87" i="1"/>
  <c r="X87" i="1"/>
  <c r="Y87" i="1"/>
  <c r="Z87" i="1"/>
  <c r="W88" i="1"/>
  <c r="X88" i="1"/>
  <c r="Y88" i="1"/>
  <c r="AA88" i="1" s="1"/>
  <c r="Z88" i="1"/>
  <c r="W89" i="1"/>
  <c r="X89" i="1"/>
  <c r="AA89" i="1" s="1"/>
  <c r="Y89" i="1"/>
  <c r="Z89" i="1"/>
  <c r="W90" i="1"/>
  <c r="X90" i="1"/>
  <c r="Y90" i="1"/>
  <c r="Z90" i="1"/>
  <c r="W91" i="1"/>
  <c r="X91" i="1"/>
  <c r="Y91" i="1"/>
  <c r="Z91" i="1"/>
  <c r="W92" i="1"/>
  <c r="X92" i="1"/>
  <c r="AA92" i="1" s="1"/>
  <c r="Y92" i="1"/>
  <c r="Z92" i="1"/>
  <c r="W93" i="1"/>
  <c r="X93" i="1"/>
  <c r="Y93" i="1"/>
  <c r="Z93" i="1"/>
  <c r="W94" i="1"/>
  <c r="X94" i="1"/>
  <c r="Y94" i="1"/>
  <c r="Z94" i="1"/>
  <c r="W95" i="1"/>
  <c r="X95" i="1"/>
  <c r="Y95" i="1"/>
  <c r="Z95" i="1"/>
  <c r="AA95" i="1" s="1"/>
  <c r="W96" i="1"/>
  <c r="X96" i="1"/>
  <c r="Y96" i="1"/>
  <c r="Z96" i="1"/>
  <c r="W97" i="1"/>
  <c r="AA97" i="1" s="1"/>
  <c r="X97" i="1"/>
  <c r="Y97" i="1"/>
  <c r="Z97" i="1"/>
  <c r="W98" i="1"/>
  <c r="X98" i="1"/>
  <c r="Y98" i="1"/>
  <c r="Z98" i="1"/>
  <c r="W99" i="1"/>
  <c r="AA99" i="1" s="1"/>
  <c r="X99" i="1"/>
  <c r="Y99" i="1"/>
  <c r="Z99" i="1"/>
  <c r="W100" i="1"/>
  <c r="AA100" i="1" s="1"/>
  <c r="X100" i="1"/>
  <c r="Y100" i="1"/>
  <c r="Z100" i="1"/>
  <c r="W101" i="1"/>
  <c r="X101" i="1"/>
  <c r="AA101" i="1" s="1"/>
  <c r="Y101" i="1"/>
  <c r="Z101" i="1"/>
  <c r="W102" i="1"/>
  <c r="X102" i="1"/>
  <c r="Y102" i="1"/>
  <c r="Z102" i="1"/>
  <c r="W103" i="1"/>
  <c r="X103" i="1"/>
  <c r="Y103" i="1"/>
  <c r="Z103" i="1"/>
  <c r="W104" i="1"/>
  <c r="X104" i="1"/>
  <c r="AA104" i="1" s="1"/>
  <c r="Y104" i="1"/>
  <c r="Z104" i="1"/>
  <c r="W105" i="1"/>
  <c r="X105" i="1"/>
  <c r="Y105" i="1"/>
  <c r="Z105" i="1"/>
  <c r="W106" i="1"/>
  <c r="AA106" i="1" s="1"/>
  <c r="X106" i="1"/>
  <c r="Y106" i="1"/>
  <c r="Z106" i="1"/>
  <c r="W107" i="1"/>
  <c r="X107" i="1"/>
  <c r="AA107" i="1" s="1"/>
  <c r="Y107" i="1"/>
  <c r="Z107" i="1"/>
  <c r="W108" i="1"/>
  <c r="X108" i="1"/>
  <c r="Y108" i="1"/>
  <c r="Z108" i="1"/>
  <c r="W109" i="1"/>
  <c r="X109" i="1"/>
  <c r="Y109" i="1"/>
  <c r="Z109" i="1"/>
  <c r="W110" i="1"/>
  <c r="X110" i="1"/>
  <c r="Y110" i="1"/>
  <c r="Z110" i="1"/>
  <c r="W111" i="1"/>
  <c r="X111" i="1"/>
  <c r="Y111" i="1"/>
  <c r="Z111" i="1"/>
  <c r="W112" i="1"/>
  <c r="X112" i="1"/>
  <c r="Y112" i="1"/>
  <c r="Z112" i="1"/>
  <c r="W113" i="1"/>
  <c r="X113" i="1"/>
  <c r="Y113" i="1"/>
  <c r="Z113" i="1"/>
  <c r="AA113" i="1" s="1"/>
  <c r="W114" i="1"/>
  <c r="X114" i="1"/>
  <c r="Y114" i="1"/>
  <c r="Z114" i="1"/>
  <c r="W115" i="1"/>
  <c r="X115" i="1"/>
  <c r="Y115" i="1"/>
  <c r="Z115" i="1"/>
  <c r="W116" i="1"/>
  <c r="X116" i="1"/>
  <c r="AA116" i="1" s="1"/>
  <c r="Y116" i="1"/>
  <c r="Z116" i="1"/>
  <c r="W117" i="1"/>
  <c r="X117" i="1"/>
  <c r="Y117" i="1"/>
  <c r="Z117" i="1"/>
  <c r="W118" i="1"/>
  <c r="AA118" i="1" s="1"/>
  <c r="X118" i="1"/>
  <c r="Y118" i="1"/>
  <c r="Z118" i="1"/>
  <c r="W119" i="1"/>
  <c r="X119" i="1"/>
  <c r="AA119" i="1" s="1"/>
  <c r="Y119" i="1"/>
  <c r="Z119" i="1"/>
  <c r="W120" i="1"/>
  <c r="AA120" i="1" s="1"/>
  <c r="X120" i="1"/>
  <c r="Y120" i="1"/>
  <c r="Z120" i="1"/>
  <c r="W121" i="1"/>
  <c r="AA121" i="1" s="1"/>
  <c r="X121" i="1"/>
  <c r="Y121" i="1"/>
  <c r="Z121" i="1"/>
  <c r="W122" i="1"/>
  <c r="X122" i="1"/>
  <c r="Y122" i="1"/>
  <c r="Z122" i="1"/>
  <c r="W123" i="1"/>
  <c r="X123" i="1"/>
  <c r="Y123" i="1"/>
  <c r="Z123" i="1"/>
  <c r="W124" i="1"/>
  <c r="X124" i="1"/>
  <c r="Y124" i="1"/>
  <c r="AA124" i="1" s="1"/>
  <c r="Z12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Y5" i="1"/>
  <c r="Y6" i="1"/>
  <c r="Y7" i="1"/>
  <c r="Y8" i="1"/>
  <c r="Y9" i="1"/>
  <c r="Y10" i="1"/>
  <c r="Y11" i="1"/>
  <c r="Y12" i="1"/>
  <c r="AA12" i="1" s="1"/>
  <c r="Y13" i="1"/>
  <c r="Y14" i="1"/>
  <c r="Y15" i="1"/>
  <c r="Y16" i="1"/>
  <c r="Y17" i="1"/>
  <c r="Y18" i="1"/>
  <c r="Y19" i="1"/>
  <c r="Y20" i="1"/>
  <c r="Y21" i="1"/>
  <c r="Y22" i="1"/>
  <c r="AA22" i="1" s="1"/>
  <c r="Y23" i="1"/>
  <c r="Y24" i="1"/>
  <c r="AA24" i="1" s="1"/>
  <c r="X5" i="1"/>
  <c r="X6" i="1"/>
  <c r="X7" i="1"/>
  <c r="X8" i="1"/>
  <c r="X9" i="1"/>
  <c r="X10" i="1"/>
  <c r="X11" i="1"/>
  <c r="X12" i="1"/>
  <c r="X13" i="1"/>
  <c r="X14" i="1"/>
  <c r="X15" i="1"/>
  <c r="X16" i="1"/>
  <c r="AA16" i="1" s="1"/>
  <c r="X17" i="1"/>
  <c r="X18" i="1"/>
  <c r="X19" i="1"/>
  <c r="X20" i="1"/>
  <c r="X21" i="1"/>
  <c r="X22" i="1"/>
  <c r="X23" i="1"/>
  <c r="X24" i="1"/>
  <c r="W5" i="1"/>
  <c r="AA5" i="1" s="1"/>
  <c r="W6" i="1"/>
  <c r="AA6" i="1" s="1"/>
  <c r="W7" i="1"/>
  <c r="AA7" i="1" s="1"/>
  <c r="W8" i="1"/>
  <c r="AA8" i="1" s="1"/>
  <c r="W9" i="1"/>
  <c r="W10" i="1"/>
  <c r="AA10" i="1" s="1"/>
  <c r="W11" i="1"/>
  <c r="AA11" i="1" s="1"/>
  <c r="W12" i="1"/>
  <c r="W13" i="1"/>
  <c r="AA13" i="1" s="1"/>
  <c r="W14" i="1"/>
  <c r="W15" i="1"/>
  <c r="AA15" i="1" s="1"/>
  <c r="W16" i="1"/>
  <c r="W17" i="1"/>
  <c r="W18" i="1"/>
  <c r="AA18" i="1" s="1"/>
  <c r="W19" i="1"/>
  <c r="AA19" i="1" s="1"/>
  <c r="W20" i="1"/>
  <c r="AA20" i="1" s="1"/>
  <c r="W21" i="1"/>
  <c r="W22" i="1"/>
  <c r="W23" i="1"/>
  <c r="W2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AA187" i="3" l="1"/>
  <c r="AA129" i="3"/>
  <c r="AA96" i="3"/>
  <c r="AA200" i="2"/>
  <c r="AA41" i="2"/>
  <c r="AA233" i="3"/>
  <c r="AA203" i="3"/>
  <c r="AA74" i="1"/>
  <c r="AA55" i="2"/>
  <c r="AA244" i="3"/>
  <c r="AA198" i="3"/>
  <c r="AA186" i="2"/>
  <c r="AA118" i="2"/>
  <c r="AA57" i="2"/>
  <c r="V3" i="3"/>
  <c r="B8" i="4" s="1"/>
  <c r="AA47" i="3"/>
  <c r="AA24" i="2"/>
  <c r="AA163" i="3"/>
  <c r="AA79" i="1"/>
  <c r="AA43" i="1"/>
  <c r="AA190" i="2"/>
  <c r="AA155" i="2"/>
  <c r="AA135" i="3"/>
  <c r="AA201" i="2"/>
  <c r="AA166" i="2"/>
  <c r="AA159" i="2"/>
  <c r="AA105" i="2"/>
  <c r="AA70" i="2"/>
  <c r="AA63" i="2"/>
  <c r="AA9" i="2"/>
  <c r="AA208" i="3"/>
  <c r="AA162" i="3"/>
  <c r="AA120" i="3"/>
  <c r="AA78" i="3"/>
  <c r="AA71" i="3"/>
  <c r="AA32" i="3"/>
  <c r="AA217" i="3"/>
  <c r="AA94" i="3"/>
  <c r="AA95" i="2"/>
  <c r="AA138" i="3"/>
  <c r="AA13" i="3"/>
  <c r="AA110" i="1"/>
  <c r="AA62" i="1"/>
  <c r="AA219" i="2"/>
  <c r="AA145" i="3"/>
  <c r="AA103" i="3"/>
  <c r="AA70" i="3"/>
  <c r="AA8" i="3"/>
  <c r="AA214" i="2"/>
  <c r="AA207" i="2"/>
  <c r="AA120" i="2"/>
  <c r="AA15" i="2"/>
  <c r="AA216" i="3"/>
  <c r="AA154" i="3"/>
  <c r="AA131" i="3"/>
  <c r="AA167" i="2"/>
  <c r="AA139" i="2"/>
  <c r="AA230" i="3"/>
  <c r="AA103" i="1"/>
  <c r="AA91" i="1"/>
  <c r="AA197" i="2"/>
  <c r="AA239" i="3"/>
  <c r="AA21" i="1"/>
  <c r="AA9" i="1"/>
  <c r="AA117" i="1"/>
  <c r="AA114" i="1"/>
  <c r="AA105" i="1"/>
  <c r="AA102" i="1"/>
  <c r="AA93" i="1"/>
  <c r="AA90" i="1"/>
  <c r="AA81" i="1"/>
  <c r="AA78" i="1"/>
  <c r="AA69" i="1"/>
  <c r="AA66" i="1"/>
  <c r="AA57" i="1"/>
  <c r="AA54" i="1"/>
  <c r="AA45" i="1"/>
  <c r="AA42" i="1"/>
  <c r="AA33" i="1"/>
  <c r="AA30" i="1"/>
  <c r="AA229" i="2"/>
  <c r="AA224" i="2"/>
  <c r="AA222" i="2"/>
  <c r="AA215" i="2"/>
  <c r="AA187" i="2"/>
  <c r="AA128" i="2"/>
  <c r="AA119" i="2"/>
  <c r="AA91" i="2"/>
  <c r="AA23" i="2"/>
  <c r="AA201" i="3"/>
  <c r="AA196" i="3"/>
  <c r="AA180" i="3"/>
  <c r="AA178" i="3"/>
  <c r="AA113" i="3"/>
  <c r="AA85" i="3"/>
  <c r="AA57" i="3"/>
  <c r="AA50" i="3"/>
  <c r="AA135" i="2"/>
  <c r="AA39" i="2"/>
  <c r="AA87" i="3"/>
  <c r="AA104" i="2"/>
  <c r="AA228" i="3"/>
  <c r="AA115" i="3"/>
  <c r="AA61" i="3"/>
  <c r="AA122" i="1"/>
  <c r="AA200" i="3"/>
  <c r="AA128" i="3"/>
  <c r="AA126" i="3"/>
  <c r="AA119" i="3"/>
  <c r="AA79" i="3"/>
  <c r="AA33" i="3"/>
  <c r="AA28" i="3"/>
  <c r="AA26" i="3"/>
  <c r="AA19" i="3"/>
  <c r="AA12" i="3"/>
  <c r="AA10" i="3"/>
  <c r="AA14" i="1"/>
  <c r="Y3" i="1" s="1"/>
  <c r="D6" i="4" s="1"/>
  <c r="AA232" i="2"/>
  <c r="AA230" i="2"/>
  <c r="AA223" i="2"/>
  <c r="AA202" i="2"/>
  <c r="AA169" i="2"/>
  <c r="AA136" i="2"/>
  <c r="AA134" i="2"/>
  <c r="AA127" i="2"/>
  <c r="AA73" i="2"/>
  <c r="AA40" i="2"/>
  <c r="AA38" i="2"/>
  <c r="AA31" i="2"/>
  <c r="AA5" i="3"/>
  <c r="AA223" i="3"/>
  <c r="AA165" i="3"/>
  <c r="AA144" i="3"/>
  <c r="AA142" i="3"/>
  <c r="AA88" i="3"/>
  <c r="AA81" i="3"/>
  <c r="AA67" i="3"/>
  <c r="AA60" i="3"/>
  <c r="AA58" i="3"/>
  <c r="AA191" i="2"/>
  <c r="AA45" i="3"/>
  <c r="AA50" i="1"/>
  <c r="AA151" i="2"/>
  <c r="AA140" i="3"/>
  <c r="AA112" i="3"/>
  <c r="AA43" i="2"/>
  <c r="AA21" i="3"/>
  <c r="AA59" i="3"/>
  <c r="AA198" i="2"/>
  <c r="AA102" i="2"/>
  <c r="AA249" i="3"/>
  <c r="AA86" i="1"/>
  <c r="AA38" i="1"/>
  <c r="AA27" i="2"/>
  <c r="AA242" i="3"/>
  <c r="AA216" i="2"/>
  <c r="AA111" i="2"/>
  <c r="AA251" i="3"/>
  <c r="AA156" i="3"/>
  <c r="AA56" i="3"/>
  <c r="AA181" i="2"/>
  <c r="AA71" i="2"/>
  <c r="AA207" i="3"/>
  <c r="AA115" i="1"/>
  <c r="AA55" i="1"/>
  <c r="AA31" i="1"/>
  <c r="AA59" i="2"/>
  <c r="AA151" i="3"/>
  <c r="AA218" i="2"/>
  <c r="AA185" i="2"/>
  <c r="AA152" i="2"/>
  <c r="AA150" i="2"/>
  <c r="AA143" i="2"/>
  <c r="AA89" i="2"/>
  <c r="AA56" i="2"/>
  <c r="AA54" i="2"/>
  <c r="AA47" i="2"/>
  <c r="AA197" i="3"/>
  <c r="AA181" i="3"/>
  <c r="AA176" i="3"/>
  <c r="AA174" i="3"/>
  <c r="AA95" i="3"/>
  <c r="AA69" i="3"/>
  <c r="AA37" i="3"/>
  <c r="AA30" i="3"/>
  <c r="AA231" i="2"/>
  <c r="AA212" i="3"/>
  <c r="AA137" i="2"/>
  <c r="AA6" i="2"/>
  <c r="AA226" i="3"/>
  <c r="AA98" i="1"/>
  <c r="AA26" i="1"/>
  <c r="AA123" i="2"/>
  <c r="AA110" i="3"/>
  <c r="AA153" i="2"/>
  <c r="AA22" i="2"/>
  <c r="AA214" i="3"/>
  <c r="AA174" i="2"/>
  <c r="AA253" i="3"/>
  <c r="AA232" i="3"/>
  <c r="AA67" i="1"/>
  <c r="AA213" i="2"/>
  <c r="AA208" i="2"/>
  <c r="AA206" i="2"/>
  <c r="AA199" i="2"/>
  <c r="AA171" i="2"/>
  <c r="AA112" i="2"/>
  <c r="AA103" i="2"/>
  <c r="AA75" i="2"/>
  <c r="AA7" i="2"/>
  <c r="AA252" i="3"/>
  <c r="AA250" i="3"/>
  <c r="AA192" i="3"/>
  <c r="AA190" i="3"/>
  <c r="AA167" i="3"/>
  <c r="AA153" i="3"/>
  <c r="AA97" i="3"/>
  <c r="AA83" i="3"/>
  <c r="AA46" i="3"/>
  <c r="AA23" i="3"/>
  <c r="AA10" i="2"/>
  <c r="V3" i="1"/>
  <c r="B6" i="4" s="1"/>
  <c r="B3" i="4" s="1"/>
  <c r="AA227" i="2"/>
  <c r="AA179" i="2"/>
  <c r="AA131" i="2"/>
  <c r="AA51" i="2"/>
  <c r="AA35" i="2"/>
  <c r="AA19" i="2"/>
  <c r="AA12" i="2"/>
  <c r="AA159" i="3"/>
  <c r="AA170" i="2"/>
  <c r="AA154" i="2"/>
  <c r="AA122" i="2"/>
  <c r="AA106" i="2"/>
  <c r="AA211" i="2"/>
  <c r="AA195" i="2"/>
  <c r="AA163" i="2"/>
  <c r="AA147" i="2"/>
  <c r="AA115" i="2"/>
  <c r="AA99" i="2"/>
  <c r="AA83" i="2"/>
  <c r="AA67" i="2"/>
  <c r="AA28" i="2"/>
  <c r="AA152" i="3"/>
  <c r="AA123" i="3"/>
  <c r="AA107" i="3"/>
  <c r="AA91" i="3"/>
  <c r="AA75" i="3"/>
  <c r="AA68" i="3"/>
  <c r="AA40" i="3"/>
  <c r="AA7" i="3"/>
  <c r="AA247" i="3"/>
  <c r="AA240" i="3"/>
  <c r="AA238" i="3"/>
  <c r="AA224" i="3"/>
  <c r="AA222" i="3"/>
  <c r="AA195" i="3"/>
  <c r="AA188" i="3"/>
  <c r="AA186" i="3"/>
  <c r="AA172" i="3"/>
  <c r="AA55" i="3"/>
  <c r="AA31" i="3"/>
  <c r="AA24" i="3"/>
  <c r="AA48" i="3"/>
  <c r="AA15" i="3"/>
  <c r="AA5" i="2"/>
  <c r="AA228" i="2"/>
  <c r="AA226" i="2"/>
  <c r="AA212" i="2"/>
  <c r="AA210" i="2"/>
  <c r="AA196" i="2"/>
  <c r="AA194" i="2"/>
  <c r="AA180" i="2"/>
  <c r="AA178" i="2"/>
  <c r="AA164" i="2"/>
  <c r="AA162" i="2"/>
  <c r="AA148" i="2"/>
  <c r="AA146" i="2"/>
  <c r="AA132" i="2"/>
  <c r="AA130" i="2"/>
  <c r="AA116" i="2"/>
  <c r="AA114" i="2"/>
  <c r="AA100" i="2"/>
  <c r="AA98" i="2"/>
  <c r="AA84" i="2"/>
  <c r="AA82" i="2"/>
  <c r="AA68" i="2"/>
  <c r="AA66" i="2"/>
  <c r="AA52" i="2"/>
  <c r="AA50" i="2"/>
  <c r="AA36" i="2"/>
  <c r="AA34" i="2"/>
  <c r="AA18" i="2"/>
  <c r="AA235" i="3"/>
  <c r="AA219" i="3"/>
  <c r="AA183" i="3"/>
  <c r="AA160" i="3"/>
  <c r="AA147" i="3"/>
  <c r="AA124" i="3"/>
  <c r="AA122" i="3"/>
  <c r="AA108" i="3"/>
  <c r="AA106" i="3"/>
  <c r="AA92" i="3"/>
  <c r="AA90" i="3"/>
  <c r="AA76" i="3"/>
  <c r="AA74" i="3"/>
  <c r="AA63" i="3"/>
  <c r="AA39" i="3"/>
  <c r="AA8" i="2"/>
  <c r="AA236" i="3"/>
  <c r="AA234" i="3"/>
  <c r="AA220" i="3"/>
  <c r="AA218" i="3"/>
  <c r="AA184" i="3"/>
  <c r="AA182" i="3"/>
  <c r="AA155" i="3"/>
  <c r="AA148" i="3"/>
  <c r="AA146" i="3"/>
  <c r="AA64" i="3"/>
  <c r="AA36" i="3"/>
  <c r="AA27" i="3"/>
  <c r="AA138" i="2"/>
  <c r="AA90" i="2"/>
  <c r="AA74" i="2"/>
  <c r="AA58" i="2"/>
  <c r="AA42" i="2"/>
  <c r="AA26" i="2"/>
  <c r="Y3" i="2" s="1"/>
  <c r="D7" i="4" s="1"/>
  <c r="AA243" i="3"/>
  <c r="AA227" i="3"/>
  <c r="AA211" i="3"/>
  <c r="AA202" i="3"/>
  <c r="AA191" i="3"/>
  <c r="AA175" i="3"/>
  <c r="AA166" i="3"/>
  <c r="AA139" i="3"/>
  <c r="AA130" i="3"/>
  <c r="AA114" i="3"/>
  <c r="AA98" i="3"/>
  <c r="AA82" i="3"/>
  <c r="AA51" i="3"/>
  <c r="AA16" i="3"/>
  <c r="P3" i="4"/>
  <c r="O3" i="4"/>
  <c r="B4" i="4"/>
  <c r="X3" i="3"/>
  <c r="W1" i="3"/>
  <c r="W3" i="2"/>
  <c r="W1" i="2"/>
  <c r="X3" i="2"/>
  <c r="C7" i="4" s="1"/>
  <c r="W1" i="1"/>
  <c r="W3" i="1" l="1"/>
  <c r="C6" i="4" s="1"/>
  <c r="X3" i="1"/>
  <c r="W3" i="3"/>
  <c r="C8" i="4" s="1"/>
  <c r="Y3" i="3"/>
  <c r="D8" i="4" s="1"/>
  <c r="D4" i="4" s="1"/>
  <c r="Q3" i="4"/>
  <c r="B5" i="4"/>
  <c r="D5" i="4" l="1"/>
  <c r="D3" i="4"/>
  <c r="C4" i="4"/>
  <c r="C3" i="4"/>
  <c r="C5" i="4" l="1"/>
  <c r="E3" i="4"/>
  <c r="R3" i="4"/>
  <c r="S3" i="4" s="1"/>
  <c r="T3" i="4" s="1"/>
</calcChain>
</file>

<file path=xl/sharedStrings.xml><?xml version="1.0" encoding="utf-8"?>
<sst xmlns="http://schemas.openxmlformats.org/spreadsheetml/2006/main" count="132" uniqueCount="44">
  <si>
    <t>Average</t>
  </si>
  <si>
    <t>E0</t>
  </si>
  <si>
    <t>E1</t>
  </si>
  <si>
    <t>E2</t>
  </si>
  <si>
    <t>E3</t>
  </si>
  <si>
    <t>Analog</t>
  </si>
  <si>
    <t>Index [1]</t>
  </si>
  <si>
    <t>?L/L0 [1]</t>
  </si>
  <si>
    <t>?L [mm]</t>
  </si>
  <si>
    <t>L1 [mm]</t>
  </si>
  <si>
    <t>L0 [mm]</t>
  </si>
  <si>
    <t>Time_1</t>
  </si>
  <si>
    <t>Time_0</t>
  </si>
  <si>
    <t>Dev1/ai0</t>
  </si>
  <si>
    <t>Force_[N]</t>
  </si>
  <si>
    <t>w</t>
  </si>
  <si>
    <t>t</t>
  </si>
  <si>
    <t>Ult Stress, MPa</t>
  </si>
  <si>
    <t>Failure Strains, %</t>
  </si>
  <si>
    <t>Ez, MPa</t>
  </si>
  <si>
    <r>
      <t>σ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, MPa</t>
    </r>
  </si>
  <si>
    <r>
      <rPr>
        <sz val="11"/>
        <color theme="1"/>
        <rFont val="Calibri"/>
        <family val="2"/>
        <charset val="204"/>
      </rPr>
      <t>ε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</si>
  <si>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r>
      <rPr>
        <sz val="11"/>
        <color theme="1"/>
        <rFont val="Calibri"/>
        <family val="2"/>
        <charset val="204"/>
      </rPr>
      <t>ε</t>
    </r>
    <r>
      <rPr>
        <vertAlign val="subscript"/>
        <sz val="11"/>
        <color theme="1"/>
        <rFont val="Calibri"/>
        <family val="2"/>
        <charset val="204"/>
        <scheme val="minor"/>
      </rPr>
      <t>30</t>
    </r>
  </si>
  <si>
    <r>
      <rPr>
        <sz val="11"/>
        <color theme="1"/>
        <rFont val="Calibri"/>
        <family val="2"/>
        <charset val="204"/>
      </rPr>
      <t>ε</t>
    </r>
    <r>
      <rPr>
        <vertAlign val="subscript"/>
        <sz val="11"/>
        <color theme="1"/>
        <rFont val="Calibri"/>
        <family val="2"/>
        <charset val="204"/>
        <scheme val="minor"/>
      </rPr>
      <t>31</t>
    </r>
  </si>
  <si>
    <r>
      <rPr>
        <sz val="11"/>
        <color theme="1"/>
        <rFont val="Calibri"/>
        <family val="2"/>
        <charset val="204"/>
      </rPr>
      <t>ε</t>
    </r>
    <r>
      <rPr>
        <vertAlign val="subscript"/>
        <sz val="11"/>
        <color theme="1"/>
        <rFont val="Calibri"/>
        <family val="2"/>
        <charset val="204"/>
        <scheme val="minor"/>
      </rPr>
      <t>32</t>
    </r>
  </si>
  <si>
    <r>
      <rPr>
        <sz val="11"/>
        <color theme="1"/>
        <rFont val="Calibri"/>
        <family val="2"/>
        <charset val="204"/>
      </rPr>
      <t>ε</t>
    </r>
    <r>
      <rPr>
        <vertAlign val="subscript"/>
        <sz val="11"/>
        <color theme="1"/>
        <rFont val="Calibri"/>
        <family val="2"/>
        <charset val="204"/>
        <scheme val="minor"/>
      </rPr>
      <t>33</t>
    </r>
  </si>
  <si>
    <t>E3, Mpa</t>
  </si>
  <si>
    <t>vf</t>
  </si>
  <si>
    <t>v</t>
  </si>
  <si>
    <t>kz</t>
  </si>
  <si>
    <t>E3_eff</t>
  </si>
  <si>
    <t>k_E</t>
  </si>
  <si>
    <t>average</t>
  </si>
  <si>
    <t>sr. dev.</t>
  </si>
  <si>
    <t>CV</t>
  </si>
  <si>
    <t>m</t>
  </si>
  <si>
    <t>n</t>
  </si>
  <si>
    <t>Psi_i</t>
  </si>
  <si>
    <t>Psi0</t>
  </si>
  <si>
    <t>Psi90</t>
  </si>
  <si>
    <t>Lx, мм</t>
  </si>
  <si>
    <t>Ly, мм</t>
  </si>
  <si>
    <t>t, мм</t>
  </si>
  <si>
    <t>a,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</si>
</sst>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%"/>
    <numFmt numFmtId="166" formatCode="0.000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1" fontId="0" fillId="0" borderId="0" xfId="0" applyNumberFormat="1"/>
    <xf numFmtId="1" fontId="0" fillId="0" borderId="0" xfId="0" applyNumberFormat="1"/>
    <xf numFmtId="0" fontId="18" fillId="0" borderId="0" xfId="0" applyFont="1"/>
    <xf numFmtId="164" fontId="0" fillId="0" borderId="0" xfId="0" applyNumberFormat="1"/>
    <xf numFmtId="10" fontId="0" fillId="0" borderId="0" xfId="1" applyNumberFormat="1" applyFont="1"/>
    <xf numFmtId="165" fontId="0" fillId="0" borderId="0" xfId="1" applyNumberFormat="1" applyFont="1"/>
    <xf numFmtId="166" fontId="0" fillId="0" borderId="0" xfId="0" applyNumberFormat="1"/>
    <xf numFmtId="0" fontId="0" fillId="0" borderId="10" xfId="0" applyBorder="1"/>
    <xf numFmtId="164" fontId="16" fillId="33" borderId="10" xfId="0" applyNumberFormat="1" applyFont="1" applyFill="1" applyBorder="1"/>
    <xf numFmtId="10" fontId="16" fillId="33" borderId="10" xfId="1" applyNumberFormat="1" applyFont="1" applyFill="1" applyBorder="1"/>
    <xf numFmtId="1" fontId="16" fillId="33" borderId="10" xfId="0" applyNumberFormat="1" applyFont="1" applyFill="1" applyBorder="1"/>
    <xf numFmtId="166" fontId="16" fillId="33" borderId="10" xfId="0" applyNumberFormat="1" applyFont="1" applyFill="1" applyBorder="1"/>
    <xf numFmtId="0" fontId="0" fillId="34" borderId="10" xfId="0" applyFill="1" applyBorder="1"/>
    <xf numFmtId="166" fontId="0" fillId="33" borderId="10" xfId="0" applyNumberFormat="1" applyFill="1" applyBorder="1"/>
    <xf numFmtId="1" fontId="0" fillId="33" borderId="10" xfId="0" applyNumberFormat="1" applyFill="1" applyBorder="1"/>
    <xf numFmtId="10" fontId="0" fillId="33" borderId="10" xfId="1" applyNumberFormat="1" applyFont="1" applyFill="1" applyBorder="1"/>
    <xf numFmtId="164" fontId="0" fillId="0" borderId="10" xfId="0" applyNumberFormat="1" applyBorder="1"/>
    <xf numFmtId="10" fontId="0" fillId="0" borderId="10" xfId="1" applyNumberFormat="1" applyFont="1" applyBorder="1"/>
    <xf numFmtId="1" fontId="0" fillId="0" borderId="10" xfId="0" applyNumberFormat="1" applyBorder="1"/>
    <xf numFmtId="0" fontId="0" fillId="33" borderId="10" xfId="0" applyFill="1" applyBorder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Cross-rib lattice 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ension - transverse direction</a:t>
            </a:r>
          </a:p>
        </c:rich>
      </c:tx>
      <c:layout>
        <c:manualLayout>
          <c:xMode val="edge"/>
          <c:yMode val="edge"/>
          <c:x val="0.1413388888888889"/>
          <c:y val="2.446805555555555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458611111111111"/>
          <c:y val="0.14393518518518519"/>
          <c:w val="0.80269583333333339"/>
          <c:h val="0.65922422057696928"/>
        </c:manualLayout>
      </c:layout>
      <c:scatterChart>
        <c:scatterStyle val="lineMarker"/>
        <c:varyColors val="0"/>
        <c:ser>
          <c:idx val="1"/>
          <c:order val="0"/>
          <c:tx>
            <c:v>OLT3-1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</c:marker>
          <c:xVal>
            <c:numRef>
              <c:f>'OLT3-1'!$AA$5:$AA$71</c:f>
              <c:numCache>
                <c:formatCode>General</c:formatCode>
                <c:ptCount val="67"/>
                <c:pt idx="0">
                  <c:v>0</c:v>
                </c:pt>
                <c:pt idx="1">
                  <c:v>-2.8648500000000002E-5</c:v>
                </c:pt>
                <c:pt idx="2">
                  <c:v>-9.430760000000001E-7</c:v>
                </c:pt>
                <c:pt idx="3">
                  <c:v>1.126705E-4</c:v>
                </c:pt>
                <c:pt idx="4">
                  <c:v>9.6504350000000007E-5</c:v>
                </c:pt>
                <c:pt idx="5">
                  <c:v>1.7374550000000001E-4</c:v>
                </c:pt>
                <c:pt idx="6">
                  <c:v>2.4884099999999997E-4</c:v>
                </c:pt>
                <c:pt idx="7">
                  <c:v>2.8501775000000002E-4</c:v>
                </c:pt>
                <c:pt idx="8">
                  <c:v>3.6645625000000001E-4</c:v>
                </c:pt>
                <c:pt idx="9">
                  <c:v>4.1105625000000001E-4</c:v>
                </c:pt>
                <c:pt idx="10">
                  <c:v>4.3927025000000005E-4</c:v>
                </c:pt>
                <c:pt idx="11">
                  <c:v>5.5909600000000003E-4</c:v>
                </c:pt>
                <c:pt idx="12">
                  <c:v>5.7690224999999999E-4</c:v>
                </c:pt>
                <c:pt idx="13">
                  <c:v>6.6569175000000009E-4</c:v>
                </c:pt>
                <c:pt idx="14">
                  <c:v>7.8154875E-4</c:v>
                </c:pt>
                <c:pt idx="15">
                  <c:v>8.5584725000000005E-4</c:v>
                </c:pt>
                <c:pt idx="16">
                  <c:v>8.9244275000000006E-4</c:v>
                </c:pt>
                <c:pt idx="17">
                  <c:v>9.6895599999999998E-4</c:v>
                </c:pt>
                <c:pt idx="18">
                  <c:v>1.0676475000000001E-3</c:v>
                </c:pt>
                <c:pt idx="19">
                  <c:v>1.1322425000000001E-3</c:v>
                </c:pt>
                <c:pt idx="20">
                  <c:v>1.2079250000000001E-3</c:v>
                </c:pt>
                <c:pt idx="21">
                  <c:v>1.3029025000000001E-3</c:v>
                </c:pt>
                <c:pt idx="22">
                  <c:v>1.3646125E-3</c:v>
                </c:pt>
                <c:pt idx="23">
                  <c:v>1.4639399999999999E-3</c:v>
                </c:pt>
                <c:pt idx="24">
                  <c:v>1.5026975000000001E-3</c:v>
                </c:pt>
                <c:pt idx="25">
                  <c:v>1.6491825000000001E-3</c:v>
                </c:pt>
                <c:pt idx="26">
                  <c:v>1.810795E-3</c:v>
                </c:pt>
                <c:pt idx="27">
                  <c:v>1.8815400000000001E-3</c:v>
                </c:pt>
                <c:pt idx="28">
                  <c:v>1.8871950000000001E-3</c:v>
                </c:pt>
                <c:pt idx="29">
                  <c:v>2.0532175000000001E-3</c:v>
                </c:pt>
                <c:pt idx="30">
                  <c:v>2.2122299999999999E-3</c:v>
                </c:pt>
                <c:pt idx="31">
                  <c:v>2.3420124999999998E-3</c:v>
                </c:pt>
                <c:pt idx="32">
                  <c:v>2.3326250000000001E-3</c:v>
                </c:pt>
                <c:pt idx="33">
                  <c:v>2.3418800000000002E-3</c:v>
                </c:pt>
                <c:pt idx="34">
                  <c:v>2.532725E-3</c:v>
                </c:pt>
                <c:pt idx="35">
                  <c:v>2.6034425000000003E-3</c:v>
                </c:pt>
                <c:pt idx="36">
                  <c:v>2.7192549999999998E-3</c:v>
                </c:pt>
                <c:pt idx="37">
                  <c:v>2.8152899999999998E-3</c:v>
                </c:pt>
                <c:pt idx="38">
                  <c:v>3.026735E-3</c:v>
                </c:pt>
                <c:pt idx="39">
                  <c:v>3.1923825000000003E-3</c:v>
                </c:pt>
                <c:pt idx="40">
                  <c:v>3.3017725000000003E-3</c:v>
                </c:pt>
                <c:pt idx="41">
                  <c:v>3.4472525000000002E-3</c:v>
                </c:pt>
                <c:pt idx="42">
                  <c:v>3.6775799999999997E-3</c:v>
                </c:pt>
                <c:pt idx="43">
                  <c:v>3.8265450000000006E-3</c:v>
                </c:pt>
                <c:pt idx="44">
                  <c:v>3.9680475000000003E-3</c:v>
                </c:pt>
                <c:pt idx="45">
                  <c:v>4.1240025000000005E-3</c:v>
                </c:pt>
                <c:pt idx="46">
                  <c:v>4.2530599999999995E-3</c:v>
                </c:pt>
                <c:pt idx="47">
                  <c:v>4.5152174999999999E-3</c:v>
                </c:pt>
                <c:pt idx="48">
                  <c:v>4.6583500000000003E-3</c:v>
                </c:pt>
                <c:pt idx="49">
                  <c:v>4.8680025000000004E-3</c:v>
                </c:pt>
                <c:pt idx="50">
                  <c:v>4.8729625000000004E-3</c:v>
                </c:pt>
                <c:pt idx="51">
                  <c:v>5.0965875000000002E-3</c:v>
                </c:pt>
                <c:pt idx="52">
                  <c:v>5.3728800000000009E-3</c:v>
                </c:pt>
                <c:pt idx="53">
                  <c:v>5.7100524999999999E-3</c:v>
                </c:pt>
                <c:pt idx="54">
                  <c:v>6.0769999999999999E-3</c:v>
                </c:pt>
                <c:pt idx="55">
                  <c:v>6.23458E-3</c:v>
                </c:pt>
                <c:pt idx="56">
                  <c:v>6.5627724999999994E-3</c:v>
                </c:pt>
                <c:pt idx="57">
                  <c:v>6.8723875000000004E-3</c:v>
                </c:pt>
                <c:pt idx="58">
                  <c:v>7.0126700000000004E-3</c:v>
                </c:pt>
                <c:pt idx="59">
                  <c:v>7.540685000000001E-3</c:v>
                </c:pt>
                <c:pt idx="60">
                  <c:v>7.7358925E-3</c:v>
                </c:pt>
                <c:pt idx="61">
                  <c:v>7.8121425000000008E-3</c:v>
                </c:pt>
                <c:pt idx="62">
                  <c:v>7.9402150000000005E-3</c:v>
                </c:pt>
                <c:pt idx="63">
                  <c:v>8.6976225000000001E-3</c:v>
                </c:pt>
                <c:pt idx="64">
                  <c:v>8.8533325000000017E-3</c:v>
                </c:pt>
                <c:pt idx="65">
                  <c:v>8.8850575000000015E-3</c:v>
                </c:pt>
                <c:pt idx="66">
                  <c:v>8.9131374999999995E-3</c:v>
                </c:pt>
              </c:numCache>
            </c:numRef>
          </c:xVal>
          <c:yVal>
            <c:numRef>
              <c:f>'OLT3-1'!$V$5:$V$71</c:f>
              <c:numCache>
                <c:formatCode>General</c:formatCode>
                <c:ptCount val="67"/>
                <c:pt idx="0">
                  <c:v>-4.7419319368849307E-2</c:v>
                </c:pt>
                <c:pt idx="1">
                  <c:v>-5.2747814613227771E-2</c:v>
                </c:pt>
                <c:pt idx="2">
                  <c:v>-4.6353840233107922E-2</c:v>
                </c:pt>
                <c:pt idx="3">
                  <c:v>-3.0902743416350541E-2</c:v>
                </c:pt>
                <c:pt idx="4">
                  <c:v>-1.7049865303205233E-2</c:v>
                </c:pt>
                <c:pt idx="5">
                  <c:v>-2.1309582714827643E-3</c:v>
                </c:pt>
                <c:pt idx="6">
                  <c:v>2.1312331629006542E-2</c:v>
                </c:pt>
                <c:pt idx="7">
                  <c:v>2.9303974929902686E-2</c:v>
                </c:pt>
                <c:pt idx="8">
                  <c:v>5.5411512452581226E-2</c:v>
                </c:pt>
                <c:pt idx="9">
                  <c:v>6.4469184672054536E-2</c:v>
                </c:pt>
                <c:pt idx="10">
                  <c:v>7.4059596459398552E-2</c:v>
                </c:pt>
                <c:pt idx="11">
                  <c:v>9.9101654846335693E-2</c:v>
                </c:pt>
                <c:pt idx="12">
                  <c:v>0.11508549123096377</c:v>
                </c:pt>
                <c:pt idx="13">
                  <c:v>0.14811974270163286</c:v>
                </c:pt>
                <c:pt idx="14">
                  <c:v>0.15504590686678763</c:v>
                </c:pt>
                <c:pt idx="15">
                  <c:v>0.16676782670845017</c:v>
                </c:pt>
                <c:pt idx="16">
                  <c:v>0.17848919676727693</c:v>
                </c:pt>
                <c:pt idx="17">
                  <c:v>0.19820330969267139</c:v>
                </c:pt>
                <c:pt idx="18">
                  <c:v>0.21631865413161802</c:v>
                </c:pt>
                <c:pt idx="19">
                  <c:v>0.2323024905162461</c:v>
                </c:pt>
                <c:pt idx="20">
                  <c:v>0.24828687668370991</c:v>
                </c:pt>
                <c:pt idx="21">
                  <c:v>0.26586893177195009</c:v>
                </c:pt>
                <c:pt idx="22">
                  <c:v>0.27812359118148328</c:v>
                </c:pt>
                <c:pt idx="23">
                  <c:v>0.29517345648468857</c:v>
                </c:pt>
                <c:pt idx="24">
                  <c:v>0.30742811589422181</c:v>
                </c:pt>
                <c:pt idx="25">
                  <c:v>0.33992907801418443</c:v>
                </c:pt>
                <c:pt idx="26">
                  <c:v>0.35218318764088186</c:v>
                </c:pt>
                <c:pt idx="27">
                  <c:v>0.36550332618615639</c:v>
                </c:pt>
                <c:pt idx="28">
                  <c:v>0.38841387651877513</c:v>
                </c:pt>
                <c:pt idx="29">
                  <c:v>0.40652922095772176</c:v>
                </c:pt>
                <c:pt idx="30">
                  <c:v>0.42357908626092694</c:v>
                </c:pt>
                <c:pt idx="31">
                  <c:v>0.44222717026774422</c:v>
                </c:pt>
                <c:pt idx="32">
                  <c:v>0.44915388421573477</c:v>
                </c:pt>
                <c:pt idx="33">
                  <c:v>0.45235032162295896</c:v>
                </c:pt>
                <c:pt idx="34">
                  <c:v>0.46247402276100941</c:v>
                </c:pt>
                <c:pt idx="35">
                  <c:v>0.48058936719995604</c:v>
                </c:pt>
                <c:pt idx="36">
                  <c:v>0.49284347682665347</c:v>
                </c:pt>
                <c:pt idx="37">
                  <c:v>0.51415580845566</c:v>
                </c:pt>
                <c:pt idx="38">
                  <c:v>0.53919786684259718</c:v>
                </c:pt>
                <c:pt idx="39">
                  <c:v>0.54505855187201058</c:v>
                </c:pt>
                <c:pt idx="40">
                  <c:v>0.56690307328605205</c:v>
                </c:pt>
                <c:pt idx="41">
                  <c:v>0.57915773269558535</c:v>
                </c:pt>
                <c:pt idx="42">
                  <c:v>0.59727307713453193</c:v>
                </c:pt>
                <c:pt idx="43">
                  <c:v>0.61112760459618454</c:v>
                </c:pt>
                <c:pt idx="44">
                  <c:v>0.63137060860959926</c:v>
                </c:pt>
                <c:pt idx="45">
                  <c:v>0.63936445104183848</c:v>
                </c:pt>
                <c:pt idx="46">
                  <c:v>0.65641321677937214</c:v>
                </c:pt>
                <c:pt idx="47">
                  <c:v>0.66973445489031835</c:v>
                </c:pt>
                <c:pt idx="48">
                  <c:v>0.67133432294243767</c:v>
                </c:pt>
                <c:pt idx="49">
                  <c:v>0.65801308483149157</c:v>
                </c:pt>
                <c:pt idx="50">
                  <c:v>0.65747979548078506</c:v>
                </c:pt>
                <c:pt idx="51">
                  <c:v>0.66120732310737251</c:v>
                </c:pt>
                <c:pt idx="52">
                  <c:v>0.67772829732255757</c:v>
                </c:pt>
                <c:pt idx="53">
                  <c:v>0.69051624608279727</c:v>
                </c:pt>
                <c:pt idx="54">
                  <c:v>0.7048985650667986</c:v>
                </c:pt>
                <c:pt idx="55">
                  <c:v>0.68678322062785191</c:v>
                </c:pt>
                <c:pt idx="56">
                  <c:v>0.69477706306009124</c:v>
                </c:pt>
                <c:pt idx="57">
                  <c:v>0.71555335642421236</c:v>
                </c:pt>
                <c:pt idx="58">
                  <c:v>0.71875309252845132</c:v>
                </c:pt>
                <c:pt idx="59">
                  <c:v>0.74006267524327907</c:v>
                </c:pt>
                <c:pt idx="60">
                  <c:v>0.75178404530210563</c:v>
                </c:pt>
                <c:pt idx="61">
                  <c:v>0.74965638572763749</c:v>
                </c:pt>
                <c:pt idx="62">
                  <c:v>0.74379570069822409</c:v>
                </c:pt>
                <c:pt idx="63">
                  <c:v>0.77256583649458466</c:v>
                </c:pt>
                <c:pt idx="64">
                  <c:v>0.77895981087470445</c:v>
                </c:pt>
                <c:pt idx="65">
                  <c:v>0.78748694265765018</c:v>
                </c:pt>
                <c:pt idx="66">
                  <c:v>0.79121447028423775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5C9-403B-A268-E171D16225E1}"/>
            </c:ext>
          </c:extLst>
        </c:ser>
        <c:ser>
          <c:idx val="2"/>
          <c:order val="1"/>
          <c:tx>
            <c:v>OLT3-2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3"/>
          </c:marker>
          <c:xVal>
            <c:numRef>
              <c:f>'OLT3-2'!$AA$5:$AA$232</c:f>
              <c:numCache>
                <c:formatCode>General</c:formatCode>
                <c:ptCount val="228"/>
                <c:pt idx="0">
                  <c:v>0</c:v>
                </c:pt>
                <c:pt idx="1">
                  <c:v>8.9316125000000002E-6</c:v>
                </c:pt>
                <c:pt idx="2">
                  <c:v>-1.8292654999999999E-5</c:v>
                </c:pt>
                <c:pt idx="3">
                  <c:v>-2.6885099999999998E-5</c:v>
                </c:pt>
                <c:pt idx="4">
                  <c:v>1.589173275E-5</c:v>
                </c:pt>
                <c:pt idx="5">
                  <c:v>-4.7306174999999996E-5</c:v>
                </c:pt>
                <c:pt idx="6">
                  <c:v>-1.9506507500000001E-5</c:v>
                </c:pt>
                <c:pt idx="7">
                  <c:v>1.0796819999999999E-5</c:v>
                </c:pt>
                <c:pt idx="8">
                  <c:v>2.430095E-5</c:v>
                </c:pt>
                <c:pt idx="9">
                  <c:v>2.9763075000000005E-5</c:v>
                </c:pt>
                <c:pt idx="10">
                  <c:v>3.1356324999999998E-5</c:v>
                </c:pt>
                <c:pt idx="11">
                  <c:v>6.0802649999999996E-5</c:v>
                </c:pt>
                <c:pt idx="12">
                  <c:v>1.2521175E-4</c:v>
                </c:pt>
                <c:pt idx="13">
                  <c:v>1.0394764999999999E-4</c:v>
                </c:pt>
                <c:pt idx="14">
                  <c:v>1.2781374999999999E-4</c:v>
                </c:pt>
                <c:pt idx="15">
                  <c:v>1.56921E-4</c:v>
                </c:pt>
                <c:pt idx="16">
                  <c:v>1.7729549999999998E-4</c:v>
                </c:pt>
                <c:pt idx="17">
                  <c:v>2.4172850000000001E-4</c:v>
                </c:pt>
                <c:pt idx="18">
                  <c:v>2.8458150000000001E-4</c:v>
                </c:pt>
                <c:pt idx="19">
                  <c:v>2.8764575000000004E-4</c:v>
                </c:pt>
                <c:pt idx="20">
                  <c:v>3.0459299999999998E-4</c:v>
                </c:pt>
                <c:pt idx="21">
                  <c:v>3.05834E-4</c:v>
                </c:pt>
                <c:pt idx="22">
                  <c:v>3.3407149999999997E-4</c:v>
                </c:pt>
                <c:pt idx="23">
                  <c:v>3.3338024999999996E-4</c:v>
                </c:pt>
                <c:pt idx="24">
                  <c:v>3.6459474999999997E-4</c:v>
                </c:pt>
                <c:pt idx="25">
                  <c:v>3.9474850000000006E-4</c:v>
                </c:pt>
                <c:pt idx="26">
                  <c:v>4.2193174999999999E-4</c:v>
                </c:pt>
                <c:pt idx="27">
                  <c:v>4.5535774999999997E-4</c:v>
                </c:pt>
                <c:pt idx="28">
                  <c:v>4.9782275000000002E-4</c:v>
                </c:pt>
                <c:pt idx="29">
                  <c:v>5.1217674999999997E-4</c:v>
                </c:pt>
                <c:pt idx="30">
                  <c:v>5.3562050000000006E-4</c:v>
                </c:pt>
                <c:pt idx="31">
                  <c:v>5.8733424999999999E-4</c:v>
                </c:pt>
                <c:pt idx="32">
                  <c:v>5.6280874999999997E-4</c:v>
                </c:pt>
                <c:pt idx="33">
                  <c:v>5.4705775000000003E-4</c:v>
                </c:pt>
                <c:pt idx="34">
                  <c:v>5.4260050000000002E-4</c:v>
                </c:pt>
                <c:pt idx="35">
                  <c:v>5.8883924999999994E-4</c:v>
                </c:pt>
                <c:pt idx="36">
                  <c:v>6.2347425000000003E-4</c:v>
                </c:pt>
                <c:pt idx="37">
                  <c:v>6.4554974999999997E-4</c:v>
                </c:pt>
                <c:pt idx="38">
                  <c:v>6.6329425000000001E-4</c:v>
                </c:pt>
                <c:pt idx="39">
                  <c:v>6.8877024999999998E-4</c:v>
                </c:pt>
                <c:pt idx="40">
                  <c:v>7.2246950000000006E-4</c:v>
                </c:pt>
                <c:pt idx="41">
                  <c:v>7.58462E-4</c:v>
                </c:pt>
                <c:pt idx="42">
                  <c:v>8.0728250000000005E-4</c:v>
                </c:pt>
                <c:pt idx="43">
                  <c:v>7.9902424999999994E-4</c:v>
                </c:pt>
                <c:pt idx="44">
                  <c:v>8.0279975000000002E-4</c:v>
                </c:pt>
                <c:pt idx="45">
                  <c:v>8.3121400000000004E-4</c:v>
                </c:pt>
                <c:pt idx="46">
                  <c:v>8.9274875E-4</c:v>
                </c:pt>
                <c:pt idx="47">
                  <c:v>9.2748575000000007E-4</c:v>
                </c:pt>
                <c:pt idx="48">
                  <c:v>9.5548024999999996E-4</c:v>
                </c:pt>
                <c:pt idx="49">
                  <c:v>9.7132700000000002E-4</c:v>
                </c:pt>
                <c:pt idx="50">
                  <c:v>9.6617125000000002E-4</c:v>
                </c:pt>
                <c:pt idx="51">
                  <c:v>1.0012237499999999E-3</c:v>
                </c:pt>
                <c:pt idx="52">
                  <c:v>1.02075E-3</c:v>
                </c:pt>
                <c:pt idx="53">
                  <c:v>1.01289E-3</c:v>
                </c:pt>
                <c:pt idx="54">
                  <c:v>1.0782025000000001E-3</c:v>
                </c:pt>
                <c:pt idx="55">
                  <c:v>1.1250575E-3</c:v>
                </c:pt>
                <c:pt idx="56">
                  <c:v>1.1479375000000001E-3</c:v>
                </c:pt>
                <c:pt idx="57">
                  <c:v>1.1553325E-3</c:v>
                </c:pt>
                <c:pt idx="58">
                  <c:v>1.16204E-3</c:v>
                </c:pt>
                <c:pt idx="59">
                  <c:v>1.2301075E-3</c:v>
                </c:pt>
                <c:pt idx="60">
                  <c:v>1.3031900000000001E-3</c:v>
                </c:pt>
                <c:pt idx="61">
                  <c:v>1.3295525000000001E-3</c:v>
                </c:pt>
                <c:pt idx="62">
                  <c:v>1.3314775000000001E-3</c:v>
                </c:pt>
                <c:pt idx="63">
                  <c:v>1.3915400000000001E-3</c:v>
                </c:pt>
                <c:pt idx="64">
                  <c:v>1.3896450000000001E-3</c:v>
                </c:pt>
                <c:pt idx="65">
                  <c:v>1.3682149999999999E-3</c:v>
                </c:pt>
                <c:pt idx="66">
                  <c:v>1.3599999999999999E-3</c:v>
                </c:pt>
                <c:pt idx="67">
                  <c:v>1.3763675E-3</c:v>
                </c:pt>
                <c:pt idx="68">
                  <c:v>1.3911925E-3</c:v>
                </c:pt>
                <c:pt idx="69">
                  <c:v>1.4775175E-3</c:v>
                </c:pt>
                <c:pt idx="70">
                  <c:v>1.4971750000000001E-3</c:v>
                </c:pt>
                <c:pt idx="71">
                  <c:v>1.5571574999999997E-3</c:v>
                </c:pt>
                <c:pt idx="72">
                  <c:v>1.5822550000000001E-3</c:v>
                </c:pt>
                <c:pt idx="73">
                  <c:v>1.615685E-3</c:v>
                </c:pt>
                <c:pt idx="74">
                  <c:v>1.616415E-3</c:v>
                </c:pt>
                <c:pt idx="75">
                  <c:v>1.6473200000000001E-3</c:v>
                </c:pt>
                <c:pt idx="76">
                  <c:v>1.675455E-3</c:v>
                </c:pt>
                <c:pt idx="77">
                  <c:v>1.7482875E-3</c:v>
                </c:pt>
                <c:pt idx="78">
                  <c:v>1.7627324999999999E-3</c:v>
                </c:pt>
                <c:pt idx="79">
                  <c:v>1.7576299999999998E-3</c:v>
                </c:pt>
                <c:pt idx="80">
                  <c:v>1.80974E-3</c:v>
                </c:pt>
                <c:pt idx="81">
                  <c:v>1.8632900000000001E-3</c:v>
                </c:pt>
                <c:pt idx="82">
                  <c:v>1.8946200000000001E-3</c:v>
                </c:pt>
                <c:pt idx="83">
                  <c:v>1.9408300000000002E-3</c:v>
                </c:pt>
                <c:pt idx="84">
                  <c:v>1.9862475000000002E-3</c:v>
                </c:pt>
                <c:pt idx="85">
                  <c:v>2.0340074999999997E-3</c:v>
                </c:pt>
                <c:pt idx="86">
                  <c:v>2.0487249999999999E-3</c:v>
                </c:pt>
                <c:pt idx="87">
                  <c:v>2.0950350000000003E-3</c:v>
                </c:pt>
                <c:pt idx="88">
                  <c:v>2.121005E-3</c:v>
                </c:pt>
                <c:pt idx="89">
                  <c:v>2.1469675000000002E-3</c:v>
                </c:pt>
                <c:pt idx="90">
                  <c:v>2.1861350000000001E-3</c:v>
                </c:pt>
                <c:pt idx="91">
                  <c:v>2.2034300000000001E-3</c:v>
                </c:pt>
                <c:pt idx="92">
                  <c:v>2.1996125000000003E-3</c:v>
                </c:pt>
                <c:pt idx="93">
                  <c:v>2.2616625E-3</c:v>
                </c:pt>
                <c:pt idx="94">
                  <c:v>2.3025425E-3</c:v>
                </c:pt>
                <c:pt idx="95">
                  <c:v>2.380325E-3</c:v>
                </c:pt>
                <c:pt idx="96">
                  <c:v>2.3425899999999999E-3</c:v>
                </c:pt>
                <c:pt idx="97">
                  <c:v>2.4287150000000001E-3</c:v>
                </c:pt>
                <c:pt idx="98">
                  <c:v>2.4481175000000003E-3</c:v>
                </c:pt>
                <c:pt idx="99">
                  <c:v>2.4724949999999999E-3</c:v>
                </c:pt>
                <c:pt idx="100">
                  <c:v>2.4829300000000004E-3</c:v>
                </c:pt>
                <c:pt idx="101">
                  <c:v>2.5730874999999997E-3</c:v>
                </c:pt>
                <c:pt idx="102">
                  <c:v>2.5888399999999998E-3</c:v>
                </c:pt>
                <c:pt idx="103">
                  <c:v>2.6699800000000002E-3</c:v>
                </c:pt>
                <c:pt idx="104">
                  <c:v>2.7024599999999998E-3</c:v>
                </c:pt>
                <c:pt idx="105">
                  <c:v>2.7720524999999998E-3</c:v>
                </c:pt>
                <c:pt idx="106">
                  <c:v>2.8297349999999999E-3</c:v>
                </c:pt>
                <c:pt idx="107">
                  <c:v>2.8738099999999996E-3</c:v>
                </c:pt>
                <c:pt idx="108">
                  <c:v>2.8860324999999999E-3</c:v>
                </c:pt>
                <c:pt idx="109">
                  <c:v>2.9110999999999998E-3</c:v>
                </c:pt>
                <c:pt idx="110">
                  <c:v>2.9867499999999998E-3</c:v>
                </c:pt>
                <c:pt idx="111">
                  <c:v>3.0144949999999998E-3</c:v>
                </c:pt>
                <c:pt idx="112">
                  <c:v>3.0502624999999999E-3</c:v>
                </c:pt>
                <c:pt idx="113">
                  <c:v>3.0611299999999996E-3</c:v>
                </c:pt>
                <c:pt idx="114">
                  <c:v>3.1146050000000003E-3</c:v>
                </c:pt>
                <c:pt idx="115">
                  <c:v>3.1889700000000002E-3</c:v>
                </c:pt>
                <c:pt idx="116">
                  <c:v>3.23025E-3</c:v>
                </c:pt>
                <c:pt idx="117">
                  <c:v>3.2626399999999998E-3</c:v>
                </c:pt>
                <c:pt idx="118">
                  <c:v>3.2956299999999999E-3</c:v>
                </c:pt>
                <c:pt idx="119">
                  <c:v>3.2995975000000002E-3</c:v>
                </c:pt>
                <c:pt idx="120">
                  <c:v>3.4042400000000002E-3</c:v>
                </c:pt>
                <c:pt idx="121">
                  <c:v>3.4277675000000001E-3</c:v>
                </c:pt>
                <c:pt idx="122">
                  <c:v>3.4643324999999998E-3</c:v>
                </c:pt>
                <c:pt idx="123">
                  <c:v>3.4861275000000001E-3</c:v>
                </c:pt>
                <c:pt idx="124">
                  <c:v>3.5470174999999997E-3</c:v>
                </c:pt>
                <c:pt idx="125">
                  <c:v>3.5379974999999999E-3</c:v>
                </c:pt>
                <c:pt idx="126">
                  <c:v>3.5755349999999999E-3</c:v>
                </c:pt>
                <c:pt idx="127">
                  <c:v>3.6469425E-3</c:v>
                </c:pt>
                <c:pt idx="128">
                  <c:v>3.6497075E-3</c:v>
                </c:pt>
                <c:pt idx="129">
                  <c:v>3.6869450000000001E-3</c:v>
                </c:pt>
                <c:pt idx="130">
                  <c:v>3.7881775000000004E-3</c:v>
                </c:pt>
                <c:pt idx="131">
                  <c:v>3.8189625000000001E-3</c:v>
                </c:pt>
                <c:pt idx="132">
                  <c:v>3.8942875000000004E-3</c:v>
                </c:pt>
                <c:pt idx="133">
                  <c:v>3.9356974999999999E-3</c:v>
                </c:pt>
                <c:pt idx="134">
                  <c:v>3.9895474999999993E-3</c:v>
                </c:pt>
                <c:pt idx="135">
                  <c:v>4.04062E-3</c:v>
                </c:pt>
                <c:pt idx="136">
                  <c:v>4.0875675E-3</c:v>
                </c:pt>
                <c:pt idx="137">
                  <c:v>4.1259775E-3</c:v>
                </c:pt>
                <c:pt idx="138">
                  <c:v>4.2220599999999997E-3</c:v>
                </c:pt>
                <c:pt idx="139">
                  <c:v>4.2705625000000001E-3</c:v>
                </c:pt>
                <c:pt idx="140">
                  <c:v>4.3406725E-3</c:v>
                </c:pt>
                <c:pt idx="141">
                  <c:v>4.3698925E-3</c:v>
                </c:pt>
                <c:pt idx="142">
                  <c:v>4.4323799999999997E-3</c:v>
                </c:pt>
                <c:pt idx="143">
                  <c:v>4.49687E-3</c:v>
                </c:pt>
                <c:pt idx="144">
                  <c:v>4.5877700000000006E-3</c:v>
                </c:pt>
                <c:pt idx="145">
                  <c:v>4.6142474999999999E-3</c:v>
                </c:pt>
                <c:pt idx="146">
                  <c:v>4.7118525000000005E-3</c:v>
                </c:pt>
                <c:pt idx="147">
                  <c:v>4.7552675000000003E-3</c:v>
                </c:pt>
                <c:pt idx="148">
                  <c:v>4.7776525E-3</c:v>
                </c:pt>
                <c:pt idx="149">
                  <c:v>4.7906400000000005E-3</c:v>
                </c:pt>
                <c:pt idx="150">
                  <c:v>4.8794575E-3</c:v>
                </c:pt>
                <c:pt idx="151">
                  <c:v>4.8999600000000001E-3</c:v>
                </c:pt>
                <c:pt idx="152">
                  <c:v>4.9102675E-3</c:v>
                </c:pt>
                <c:pt idx="153">
                  <c:v>4.9951000000000006E-3</c:v>
                </c:pt>
                <c:pt idx="154">
                  <c:v>5.0646099999999998E-3</c:v>
                </c:pt>
                <c:pt idx="155">
                  <c:v>5.0702274999999998E-3</c:v>
                </c:pt>
                <c:pt idx="156">
                  <c:v>5.1852775E-3</c:v>
                </c:pt>
                <c:pt idx="157">
                  <c:v>5.3159775000000001E-3</c:v>
                </c:pt>
                <c:pt idx="158">
                  <c:v>5.4408774999999999E-3</c:v>
                </c:pt>
                <c:pt idx="159">
                  <c:v>5.4976850000000004E-3</c:v>
                </c:pt>
                <c:pt idx="160">
                  <c:v>5.5152275000000008E-3</c:v>
                </c:pt>
                <c:pt idx="161">
                  <c:v>5.5896549999999998E-3</c:v>
                </c:pt>
                <c:pt idx="162">
                  <c:v>5.7986600000000006E-3</c:v>
                </c:pt>
                <c:pt idx="163">
                  <c:v>5.8562175000000001E-3</c:v>
                </c:pt>
                <c:pt idx="164">
                  <c:v>6.0023000000000003E-3</c:v>
                </c:pt>
                <c:pt idx="165">
                  <c:v>6.1202425000000003E-3</c:v>
                </c:pt>
                <c:pt idx="166">
                  <c:v>6.2750074999999997E-3</c:v>
                </c:pt>
                <c:pt idx="167">
                  <c:v>6.5028174999999999E-3</c:v>
                </c:pt>
                <c:pt idx="168">
                  <c:v>6.5859100000000004E-3</c:v>
                </c:pt>
                <c:pt idx="169">
                  <c:v>6.650385E-3</c:v>
                </c:pt>
                <c:pt idx="170">
                  <c:v>6.9519474999999997E-3</c:v>
                </c:pt>
                <c:pt idx="171">
                  <c:v>7.0589250000000006E-3</c:v>
                </c:pt>
                <c:pt idx="172">
                  <c:v>7.0894799999999996E-3</c:v>
                </c:pt>
                <c:pt idx="173">
                  <c:v>7.0587399999999991E-3</c:v>
                </c:pt>
                <c:pt idx="174">
                  <c:v>7.2583249999999995E-3</c:v>
                </c:pt>
                <c:pt idx="175">
                  <c:v>7.3769774999999996E-3</c:v>
                </c:pt>
                <c:pt idx="176">
                  <c:v>7.4696450000000005E-3</c:v>
                </c:pt>
                <c:pt idx="177">
                  <c:v>7.5803299999999997E-3</c:v>
                </c:pt>
                <c:pt idx="178">
                  <c:v>7.7627300000000007E-3</c:v>
                </c:pt>
                <c:pt idx="179">
                  <c:v>7.9504899999999993E-3</c:v>
                </c:pt>
                <c:pt idx="180">
                  <c:v>8.2242300000000008E-3</c:v>
                </c:pt>
                <c:pt idx="181">
                  <c:v>8.3012750000000003E-3</c:v>
                </c:pt>
                <c:pt idx="182">
                  <c:v>8.7101875000000009E-3</c:v>
                </c:pt>
                <c:pt idx="183">
                  <c:v>8.7461674999999989E-3</c:v>
                </c:pt>
                <c:pt idx="184">
                  <c:v>8.7990924999999994E-3</c:v>
                </c:pt>
                <c:pt idx="185">
                  <c:v>9.4188724999999997E-3</c:v>
                </c:pt>
                <c:pt idx="186">
                  <c:v>9.7771574999999996E-3</c:v>
                </c:pt>
                <c:pt idx="187">
                  <c:v>1.0011809999999999E-2</c:v>
                </c:pt>
                <c:pt idx="188">
                  <c:v>1.0083657499999999E-2</c:v>
                </c:pt>
                <c:pt idx="189">
                  <c:v>1.0228300000000001E-2</c:v>
                </c:pt>
                <c:pt idx="190">
                  <c:v>1.0263524999999999E-2</c:v>
                </c:pt>
                <c:pt idx="191">
                  <c:v>1.03096E-2</c:v>
                </c:pt>
                <c:pt idx="192">
                  <c:v>1.0300974999999999E-2</c:v>
                </c:pt>
                <c:pt idx="193">
                  <c:v>1.0321725E-2</c:v>
                </c:pt>
                <c:pt idx="194">
                  <c:v>1.039725E-2</c:v>
                </c:pt>
                <c:pt idx="195">
                  <c:v>1.0597324999999999E-2</c:v>
                </c:pt>
                <c:pt idx="196">
                  <c:v>1.0841124999999998E-2</c:v>
                </c:pt>
                <c:pt idx="197">
                  <c:v>1.1068325E-2</c:v>
                </c:pt>
                <c:pt idx="198">
                  <c:v>1.117395E-2</c:v>
                </c:pt>
                <c:pt idx="199">
                  <c:v>1.1209E-2</c:v>
                </c:pt>
                <c:pt idx="200">
                  <c:v>1.128315E-2</c:v>
                </c:pt>
                <c:pt idx="201">
                  <c:v>1.1345675000000001E-2</c:v>
                </c:pt>
                <c:pt idx="202">
                  <c:v>1.1394475000000001E-2</c:v>
                </c:pt>
                <c:pt idx="203">
                  <c:v>1.1533075E-2</c:v>
                </c:pt>
                <c:pt idx="204">
                  <c:v>1.1595374999999998E-2</c:v>
                </c:pt>
                <c:pt idx="205">
                  <c:v>1.2377974999999999E-2</c:v>
                </c:pt>
                <c:pt idx="206">
                  <c:v>1.2381050000000001E-2</c:v>
                </c:pt>
                <c:pt idx="207">
                  <c:v>1.2582325E-2</c:v>
                </c:pt>
                <c:pt idx="208">
                  <c:v>1.2574500000000001E-2</c:v>
                </c:pt>
                <c:pt idx="209">
                  <c:v>1.3235500000000001E-2</c:v>
                </c:pt>
                <c:pt idx="210">
                  <c:v>1.3337975E-2</c:v>
                </c:pt>
                <c:pt idx="211">
                  <c:v>1.3435949999999999E-2</c:v>
                </c:pt>
                <c:pt idx="212">
                  <c:v>1.356945E-2</c:v>
                </c:pt>
                <c:pt idx="213">
                  <c:v>1.3717375E-2</c:v>
                </c:pt>
                <c:pt idx="214">
                  <c:v>1.3719599999999998E-2</c:v>
                </c:pt>
                <c:pt idx="215">
                  <c:v>1.400415E-2</c:v>
                </c:pt>
                <c:pt idx="216">
                  <c:v>1.4084824999999999E-2</c:v>
                </c:pt>
                <c:pt idx="217">
                  <c:v>1.4125500000000001E-2</c:v>
                </c:pt>
                <c:pt idx="218">
                  <c:v>1.423465E-2</c:v>
                </c:pt>
                <c:pt idx="219">
                  <c:v>1.4261525000000001E-2</c:v>
                </c:pt>
                <c:pt idx="220">
                  <c:v>1.427875E-2</c:v>
                </c:pt>
                <c:pt idx="221">
                  <c:v>1.4315425E-2</c:v>
                </c:pt>
                <c:pt idx="222">
                  <c:v>1.4328725E-2</c:v>
                </c:pt>
                <c:pt idx="223">
                  <c:v>1.4409575000000001E-2</c:v>
                </c:pt>
                <c:pt idx="224">
                  <c:v>1.4451924999999999E-2</c:v>
                </c:pt>
                <c:pt idx="225">
                  <c:v>1.4499774999999999E-2</c:v>
                </c:pt>
                <c:pt idx="226">
                  <c:v>1.4564400000000002E-2</c:v>
                </c:pt>
                <c:pt idx="227">
                  <c:v>1.463155E-2</c:v>
                </c:pt>
              </c:numCache>
            </c:numRef>
          </c:xVal>
          <c:yVal>
            <c:numRef>
              <c:f>'OLT3-2'!$V$5:$V$194</c:f>
              <c:numCache>
                <c:formatCode>General</c:formatCode>
                <c:ptCount val="190"/>
                <c:pt idx="0">
                  <c:v>-0.10987246566383257</c:v>
                </c:pt>
                <c:pt idx="1">
                  <c:v>-0.10899226073686506</c:v>
                </c:pt>
                <c:pt idx="2">
                  <c:v>-0.11128133856551123</c:v>
                </c:pt>
                <c:pt idx="3">
                  <c:v>-0.10828755177676042</c:v>
                </c:pt>
                <c:pt idx="4">
                  <c:v>-0.10705526487900588</c:v>
                </c:pt>
                <c:pt idx="5">
                  <c:v>-0.1074073468497929</c:v>
                </c:pt>
                <c:pt idx="6">
                  <c:v>-0.10159635927621538</c:v>
                </c:pt>
                <c:pt idx="7">
                  <c:v>-9.3848375844778717E-2</c:v>
                </c:pt>
                <c:pt idx="8">
                  <c:v>-9.1206671026814914E-2</c:v>
                </c:pt>
                <c:pt idx="9">
                  <c:v>-8.2578482668410724E-2</c:v>
                </c:pt>
                <c:pt idx="10">
                  <c:v>-7.8351863963374749E-2</c:v>
                </c:pt>
                <c:pt idx="11">
                  <c:v>-6.9899716590364078E-2</c:v>
                </c:pt>
                <c:pt idx="12">
                  <c:v>-6.51449749291476E-2</c:v>
                </c:pt>
                <c:pt idx="13">
                  <c:v>-5.8981905384783082E-2</c:v>
                </c:pt>
                <c:pt idx="14">
                  <c:v>-4.5951057335949431E-2</c:v>
                </c:pt>
                <c:pt idx="15">
                  <c:v>-3.9964028776978418E-2</c:v>
                </c:pt>
                <c:pt idx="16">
                  <c:v>-3.1511881403967733E-2</c:v>
                </c:pt>
                <c:pt idx="17">
                  <c:v>-1.8657074340527581E-2</c:v>
                </c:pt>
                <c:pt idx="18">
                  <c:v>-6.8590582079790709E-3</c:v>
                </c:pt>
                <c:pt idx="19">
                  <c:v>-2.8090255068672332E-3</c:v>
                </c:pt>
                <c:pt idx="20">
                  <c:v>9.8697405711794198E-3</c:v>
                </c:pt>
                <c:pt idx="21">
                  <c:v>1.3039568345323741E-2</c:v>
                </c:pt>
                <c:pt idx="22">
                  <c:v>1.7617724002616089E-2</c:v>
                </c:pt>
                <c:pt idx="23">
                  <c:v>2.5365707434052757E-2</c:v>
                </c:pt>
                <c:pt idx="24">
                  <c:v>3.4874645737955089E-2</c:v>
                </c:pt>
                <c:pt idx="25">
                  <c:v>4.2798670154785258E-2</c:v>
                </c:pt>
                <c:pt idx="26">
                  <c:v>4.7377370830608237E-2</c:v>
                </c:pt>
                <c:pt idx="27">
                  <c:v>5.6710268149117074E-2</c:v>
                </c:pt>
                <c:pt idx="28">
                  <c:v>5.9351427948550244E-2</c:v>
                </c:pt>
                <c:pt idx="29">
                  <c:v>6.4106169609766728E-2</c:v>
                </c:pt>
                <c:pt idx="30">
                  <c:v>6.9741116197950731E-2</c:v>
                </c:pt>
                <c:pt idx="31">
                  <c:v>7.3439066928275565E-2</c:v>
                </c:pt>
                <c:pt idx="32">
                  <c:v>7.8193263570961416E-2</c:v>
                </c:pt>
                <c:pt idx="33">
                  <c:v>8.6117287987791585E-2</c:v>
                </c:pt>
                <c:pt idx="34">
                  <c:v>8.8406365816437751E-2</c:v>
                </c:pt>
                <c:pt idx="35">
                  <c:v>0.1002049269675169</c:v>
                </c:pt>
                <c:pt idx="36">
                  <c:v>0.10407891868323524</c:v>
                </c:pt>
                <c:pt idx="37">
                  <c:v>0.11499618487028558</c:v>
                </c:pt>
                <c:pt idx="38">
                  <c:v>0.11746184870285591</c:v>
                </c:pt>
                <c:pt idx="39">
                  <c:v>0.12432908218879443</c:v>
                </c:pt>
                <c:pt idx="40">
                  <c:v>0.13154894266405059</c:v>
                </c:pt>
                <c:pt idx="41">
                  <c:v>0.13507085240898192</c:v>
                </c:pt>
                <c:pt idx="42">
                  <c:v>0.14176204490952693</c:v>
                </c:pt>
                <c:pt idx="43">
                  <c:v>0.14176204490952693</c:v>
                </c:pt>
                <c:pt idx="44">
                  <c:v>0.14898190538478309</c:v>
                </c:pt>
                <c:pt idx="45">
                  <c:v>0.15285589710050143</c:v>
                </c:pt>
                <c:pt idx="46">
                  <c:v>0.16201275343361676</c:v>
                </c:pt>
                <c:pt idx="47">
                  <c:v>0.16835186396337476</c:v>
                </c:pt>
                <c:pt idx="48">
                  <c:v>0.17310660562459124</c:v>
                </c:pt>
                <c:pt idx="49">
                  <c:v>0.17891759319816877</c:v>
                </c:pt>
                <c:pt idx="50">
                  <c:v>0.18085458905602791</c:v>
                </c:pt>
                <c:pt idx="51">
                  <c:v>0.18983540440374974</c:v>
                </c:pt>
                <c:pt idx="52">
                  <c:v>0.19476564203182908</c:v>
                </c:pt>
                <c:pt idx="53">
                  <c:v>0.20251362546326576</c:v>
                </c:pt>
                <c:pt idx="54">
                  <c:v>0.20762044909526925</c:v>
                </c:pt>
                <c:pt idx="55">
                  <c:v>0.21677730542838455</c:v>
                </c:pt>
                <c:pt idx="56">
                  <c:v>0.22329245694353611</c:v>
                </c:pt>
                <c:pt idx="57">
                  <c:v>0.2264622847176804</c:v>
                </c:pt>
                <c:pt idx="58">
                  <c:v>0.23491497710922174</c:v>
                </c:pt>
                <c:pt idx="59">
                  <c:v>0.24354316546762589</c:v>
                </c:pt>
                <c:pt idx="60">
                  <c:v>0.25005886200130806</c:v>
                </c:pt>
                <c:pt idx="61">
                  <c:v>0.25181927185524311</c:v>
                </c:pt>
                <c:pt idx="62">
                  <c:v>0.25886309134510577</c:v>
                </c:pt>
                <c:pt idx="63">
                  <c:v>0.2660829518203619</c:v>
                </c:pt>
                <c:pt idx="64">
                  <c:v>0.26731578373664705</c:v>
                </c:pt>
                <c:pt idx="65">
                  <c:v>0.27612001308044476</c:v>
                </c:pt>
                <c:pt idx="66">
                  <c:v>0.2815789186832352</c:v>
                </c:pt>
                <c:pt idx="67">
                  <c:v>0.28844669718770438</c:v>
                </c:pt>
                <c:pt idx="68">
                  <c:v>0.28650970132984527</c:v>
                </c:pt>
                <c:pt idx="69">
                  <c:v>0.2979556354916067</c:v>
                </c:pt>
                <c:pt idx="70">
                  <c:v>0.30411870503597127</c:v>
                </c:pt>
                <c:pt idx="71">
                  <c:v>0.31010573359494226</c:v>
                </c:pt>
                <c:pt idx="72">
                  <c:v>0.31433180728144755</c:v>
                </c:pt>
                <c:pt idx="73">
                  <c:v>0.31891050795727055</c:v>
                </c:pt>
                <c:pt idx="74">
                  <c:v>0.32296054065838237</c:v>
                </c:pt>
                <c:pt idx="75">
                  <c:v>0.3294756921735339</c:v>
                </c:pt>
                <c:pt idx="76">
                  <c:v>0.33264551994767821</c:v>
                </c:pt>
                <c:pt idx="77">
                  <c:v>0.3377523435796817</c:v>
                </c:pt>
                <c:pt idx="78">
                  <c:v>0.34743732286897755</c:v>
                </c:pt>
                <c:pt idx="79">
                  <c:v>0.35254414650098098</c:v>
                </c:pt>
                <c:pt idx="80">
                  <c:v>0.3553613472858077</c:v>
                </c:pt>
                <c:pt idx="81">
                  <c:v>0.36258120776106384</c:v>
                </c:pt>
                <c:pt idx="82">
                  <c:v>0.36874427730542841</c:v>
                </c:pt>
                <c:pt idx="83">
                  <c:v>0.37983812949640294</c:v>
                </c:pt>
                <c:pt idx="84">
                  <c:v>0.38529703509919339</c:v>
                </c:pt>
                <c:pt idx="85">
                  <c:v>0.39022727272727276</c:v>
                </c:pt>
                <c:pt idx="86">
                  <c:v>0.40167320688903418</c:v>
                </c:pt>
                <c:pt idx="87">
                  <c:v>0.40449095269239149</c:v>
                </c:pt>
                <c:pt idx="88">
                  <c:v>0.40730815347721822</c:v>
                </c:pt>
                <c:pt idx="89">
                  <c:v>0.41047798125136259</c:v>
                </c:pt>
                <c:pt idx="90">
                  <c:v>0.4178738827120122</c:v>
                </c:pt>
                <c:pt idx="91">
                  <c:v>0.4242129932417702</c:v>
                </c:pt>
                <c:pt idx="92">
                  <c:v>0.42685469805973403</c:v>
                </c:pt>
                <c:pt idx="93">
                  <c:v>0.43196097667320693</c:v>
                </c:pt>
                <c:pt idx="94">
                  <c:v>0.4393568781338566</c:v>
                </c:pt>
                <c:pt idx="95">
                  <c:v>0.44463974275125356</c:v>
                </c:pt>
                <c:pt idx="96">
                  <c:v>0.45062677131022455</c:v>
                </c:pt>
                <c:pt idx="97">
                  <c:v>0.4573185088293002</c:v>
                </c:pt>
                <c:pt idx="98">
                  <c:v>0.45890342271637236</c:v>
                </c:pt>
                <c:pt idx="99">
                  <c:v>0.46770765206017001</c:v>
                </c:pt>
                <c:pt idx="100">
                  <c:v>0.46964464791802918</c:v>
                </c:pt>
                <c:pt idx="101">
                  <c:v>0.4824994549814694</c:v>
                </c:pt>
                <c:pt idx="102">
                  <c:v>0.4858453237410072</c:v>
                </c:pt>
                <c:pt idx="103">
                  <c:v>0.4909516023544801</c:v>
                </c:pt>
                <c:pt idx="104">
                  <c:v>0.49799542184434276</c:v>
                </c:pt>
                <c:pt idx="105">
                  <c:v>0.50591944626117291</c:v>
                </c:pt>
                <c:pt idx="106">
                  <c:v>0.51120231087856993</c:v>
                </c:pt>
                <c:pt idx="107">
                  <c:v>0.51859821233921954</c:v>
                </c:pt>
                <c:pt idx="108">
                  <c:v>0.52264824504033136</c:v>
                </c:pt>
                <c:pt idx="109">
                  <c:v>0.52845923261390881</c:v>
                </c:pt>
                <c:pt idx="110">
                  <c:v>0.5340941792020929</c:v>
                </c:pt>
                <c:pt idx="111">
                  <c:v>0.5362072160453456</c:v>
                </c:pt>
                <c:pt idx="112">
                  <c:v>0.54342707652060174</c:v>
                </c:pt>
                <c:pt idx="113">
                  <c:v>0.54413124046217576</c:v>
                </c:pt>
                <c:pt idx="114">
                  <c:v>0.55170590800087205</c:v>
                </c:pt>
                <c:pt idx="115">
                  <c:v>0.55804447351209951</c:v>
                </c:pt>
                <c:pt idx="116">
                  <c:v>0.56544037497274913</c:v>
                </c:pt>
                <c:pt idx="117">
                  <c:v>0.57019293655984304</c:v>
                </c:pt>
                <c:pt idx="118">
                  <c:v>0.57318508829300208</c:v>
                </c:pt>
                <c:pt idx="119">
                  <c:v>0.5774144320906911</c:v>
                </c:pt>
                <c:pt idx="120">
                  <c:v>0.58551340745585356</c:v>
                </c:pt>
                <c:pt idx="121">
                  <c:v>0.59290930891650317</c:v>
                </c:pt>
                <c:pt idx="122">
                  <c:v>0.59889361238282113</c:v>
                </c:pt>
                <c:pt idx="123">
                  <c:v>0.6003052103771529</c:v>
                </c:pt>
                <c:pt idx="124">
                  <c:v>0.60418029212993241</c:v>
                </c:pt>
                <c:pt idx="125">
                  <c:v>0.61086766950076299</c:v>
                </c:pt>
                <c:pt idx="126">
                  <c:v>0.61086766950076299</c:v>
                </c:pt>
                <c:pt idx="127">
                  <c:v>0.61245367342489643</c:v>
                </c:pt>
                <c:pt idx="128">
                  <c:v>0.62160998473948115</c:v>
                </c:pt>
                <c:pt idx="129">
                  <c:v>0.62565947242206232</c:v>
                </c:pt>
                <c:pt idx="130">
                  <c:v>0.6305918901242642</c:v>
                </c:pt>
                <c:pt idx="131">
                  <c:v>0.63517004578155667</c:v>
                </c:pt>
                <c:pt idx="132">
                  <c:v>0.64063113145846962</c:v>
                </c:pt>
                <c:pt idx="133">
                  <c:v>0.64626662306518423</c:v>
                </c:pt>
                <c:pt idx="134">
                  <c:v>0.64908436886854148</c:v>
                </c:pt>
                <c:pt idx="135">
                  <c:v>0.65471986047525621</c:v>
                </c:pt>
                <c:pt idx="136">
                  <c:v>0.66387617178984093</c:v>
                </c:pt>
                <c:pt idx="137">
                  <c:v>0.66739699149771092</c:v>
                </c:pt>
                <c:pt idx="138">
                  <c:v>0.67003488118596033</c:v>
                </c:pt>
                <c:pt idx="139">
                  <c:v>0.67761063876171801</c:v>
                </c:pt>
                <c:pt idx="140">
                  <c:v>0.68148027032919123</c:v>
                </c:pt>
                <c:pt idx="141">
                  <c:v>0.68975910180946154</c:v>
                </c:pt>
                <c:pt idx="142">
                  <c:v>0.6960976673206889</c:v>
                </c:pt>
                <c:pt idx="143">
                  <c:v>0.69891541312404615</c:v>
                </c:pt>
                <c:pt idx="144">
                  <c:v>0.70930346631785479</c:v>
                </c:pt>
                <c:pt idx="145">
                  <c:v>0.71177240026160893</c:v>
                </c:pt>
                <c:pt idx="146">
                  <c:v>0.71317854807063441</c:v>
                </c:pt>
                <c:pt idx="147">
                  <c:v>0.71652496184870285</c:v>
                </c:pt>
                <c:pt idx="148">
                  <c:v>0.71459014606496629</c:v>
                </c:pt>
                <c:pt idx="149">
                  <c:v>0.72480379332897316</c:v>
                </c:pt>
                <c:pt idx="150">
                  <c:v>0.72849901896664493</c:v>
                </c:pt>
                <c:pt idx="151">
                  <c:v>0.7295563549160673</c:v>
                </c:pt>
                <c:pt idx="152">
                  <c:v>0.73307717462393718</c:v>
                </c:pt>
                <c:pt idx="153">
                  <c:v>0.74029867015478534</c:v>
                </c:pt>
                <c:pt idx="154">
                  <c:v>0.74381948986265534</c:v>
                </c:pt>
                <c:pt idx="155">
                  <c:v>0.74364508393285367</c:v>
                </c:pt>
                <c:pt idx="156">
                  <c:v>0.75104098539350339</c:v>
                </c:pt>
                <c:pt idx="157">
                  <c:v>0.75737955090473075</c:v>
                </c:pt>
                <c:pt idx="158">
                  <c:v>0.77023108785698713</c:v>
                </c:pt>
                <c:pt idx="159">
                  <c:v>0.7742860257248747</c:v>
                </c:pt>
                <c:pt idx="160">
                  <c:v>0.77375735775016352</c:v>
                </c:pt>
                <c:pt idx="161">
                  <c:v>0.7809734030957054</c:v>
                </c:pt>
                <c:pt idx="162">
                  <c:v>0.78696315674732942</c:v>
                </c:pt>
                <c:pt idx="163">
                  <c:v>0.79101264442991048</c:v>
                </c:pt>
                <c:pt idx="164">
                  <c:v>0.79876280793546972</c:v>
                </c:pt>
                <c:pt idx="165">
                  <c:v>0.79999454981469365</c:v>
                </c:pt>
                <c:pt idx="166">
                  <c:v>0.80386418138216698</c:v>
                </c:pt>
                <c:pt idx="167">
                  <c:v>0.81496075866579465</c:v>
                </c:pt>
                <c:pt idx="168">
                  <c:v>0.8174242424242425</c:v>
                </c:pt>
                <c:pt idx="169">
                  <c:v>0.8221822541966427</c:v>
                </c:pt>
                <c:pt idx="170">
                  <c:v>0.83063004142140839</c:v>
                </c:pt>
                <c:pt idx="171">
                  <c:v>0.83591672116851967</c:v>
                </c:pt>
                <c:pt idx="172">
                  <c:v>0.83521364726400704</c:v>
                </c:pt>
                <c:pt idx="173">
                  <c:v>0.83468497928929575</c:v>
                </c:pt>
                <c:pt idx="174">
                  <c:v>0.84260954872465665</c:v>
                </c:pt>
                <c:pt idx="175">
                  <c:v>0.84331262262916939</c:v>
                </c:pt>
                <c:pt idx="176">
                  <c:v>0.84683344233703961</c:v>
                </c:pt>
                <c:pt idx="177">
                  <c:v>0.84683344233703961</c:v>
                </c:pt>
                <c:pt idx="178">
                  <c:v>0.85845323741007185</c:v>
                </c:pt>
                <c:pt idx="179">
                  <c:v>0.85969042947460206</c:v>
                </c:pt>
                <c:pt idx="180">
                  <c:v>0.86813821669936786</c:v>
                </c:pt>
                <c:pt idx="181">
                  <c:v>0.86849247874427726</c:v>
                </c:pt>
                <c:pt idx="182">
                  <c:v>0.86584913887072168</c:v>
                </c:pt>
                <c:pt idx="183">
                  <c:v>0.86673206889034216</c:v>
                </c:pt>
                <c:pt idx="184">
                  <c:v>0.86813821669936786</c:v>
                </c:pt>
                <c:pt idx="185">
                  <c:v>0.86778940483976463</c:v>
                </c:pt>
                <c:pt idx="186">
                  <c:v>0.86690647482014394</c:v>
                </c:pt>
                <c:pt idx="187">
                  <c:v>0.86356006104207539</c:v>
                </c:pt>
                <c:pt idx="188">
                  <c:v>0.8644429910616962</c:v>
                </c:pt>
                <c:pt idx="189">
                  <c:v>0.82939829954218447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5C9-403B-A268-E171D16225E1}"/>
            </c:ext>
          </c:extLst>
        </c:ser>
        <c:ser>
          <c:idx val="0"/>
          <c:order val="2"/>
          <c:tx>
            <c:v>OLT3-3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'OLT3-3'!$AA$5:$AA$240</c:f>
              <c:numCache>
                <c:formatCode>General</c:formatCode>
                <c:ptCount val="236"/>
                <c:pt idx="0">
                  <c:v>0</c:v>
                </c:pt>
                <c:pt idx="1">
                  <c:v>-1.5693175000000002E-5</c:v>
                </c:pt>
                <c:pt idx="2">
                  <c:v>6.9822499999999999E-6</c:v>
                </c:pt>
                <c:pt idx="3">
                  <c:v>5.4641150000000001E-6</c:v>
                </c:pt>
                <c:pt idx="4">
                  <c:v>1.832605E-5</c:v>
                </c:pt>
                <c:pt idx="5">
                  <c:v>5.1577775000000004E-5</c:v>
                </c:pt>
                <c:pt idx="6">
                  <c:v>7.9047999999999993E-5</c:v>
                </c:pt>
                <c:pt idx="7">
                  <c:v>9.4695650000000005E-5</c:v>
                </c:pt>
                <c:pt idx="8">
                  <c:v>8.5461125000000002E-5</c:v>
                </c:pt>
                <c:pt idx="9">
                  <c:v>1.0803674999999999E-4</c:v>
                </c:pt>
                <c:pt idx="10">
                  <c:v>1.49393E-4</c:v>
                </c:pt>
                <c:pt idx="11">
                  <c:v>1.5836875E-4</c:v>
                </c:pt>
                <c:pt idx="12">
                  <c:v>1.5697074999999999E-4</c:v>
                </c:pt>
                <c:pt idx="13">
                  <c:v>1.60996E-4</c:v>
                </c:pt>
                <c:pt idx="14">
                  <c:v>2.1803775000000001E-4</c:v>
                </c:pt>
                <c:pt idx="15">
                  <c:v>2.30447E-4</c:v>
                </c:pt>
                <c:pt idx="16">
                  <c:v>2.3191850000000002E-4</c:v>
                </c:pt>
                <c:pt idx="17">
                  <c:v>2.3956474999999998E-4</c:v>
                </c:pt>
                <c:pt idx="18">
                  <c:v>2.8892624999999998E-4</c:v>
                </c:pt>
                <c:pt idx="19">
                  <c:v>2.8416049999999994E-4</c:v>
                </c:pt>
                <c:pt idx="20">
                  <c:v>2.9161249999999997E-4</c:v>
                </c:pt>
                <c:pt idx="21">
                  <c:v>3.3490424999999999E-4</c:v>
                </c:pt>
                <c:pt idx="22">
                  <c:v>3.6194924999999995E-4</c:v>
                </c:pt>
                <c:pt idx="23">
                  <c:v>3.9320800000000003E-4</c:v>
                </c:pt>
                <c:pt idx="24">
                  <c:v>4.0992025000000001E-4</c:v>
                </c:pt>
                <c:pt idx="25">
                  <c:v>4.4081250000000002E-4</c:v>
                </c:pt>
                <c:pt idx="26">
                  <c:v>4.7160124999999996E-4</c:v>
                </c:pt>
                <c:pt idx="27">
                  <c:v>4.7509000000000001E-4</c:v>
                </c:pt>
                <c:pt idx="28">
                  <c:v>5.0340824999999998E-4</c:v>
                </c:pt>
                <c:pt idx="29">
                  <c:v>5.1996349999999998E-4</c:v>
                </c:pt>
                <c:pt idx="30">
                  <c:v>5.3166550000000002E-4</c:v>
                </c:pt>
                <c:pt idx="31">
                  <c:v>5.2845699999999997E-4</c:v>
                </c:pt>
                <c:pt idx="32">
                  <c:v>5.7685924999999996E-4</c:v>
                </c:pt>
                <c:pt idx="33">
                  <c:v>6.2592349999999997E-4</c:v>
                </c:pt>
                <c:pt idx="34">
                  <c:v>6.7151700000000006E-4</c:v>
                </c:pt>
                <c:pt idx="35">
                  <c:v>7.0665574999999997E-4</c:v>
                </c:pt>
                <c:pt idx="36">
                  <c:v>7.5002024999999998E-4</c:v>
                </c:pt>
                <c:pt idx="37">
                  <c:v>7.3945299999999994E-4</c:v>
                </c:pt>
                <c:pt idx="38">
                  <c:v>7.74547E-4</c:v>
                </c:pt>
                <c:pt idx="39">
                  <c:v>7.8189450000000005E-4</c:v>
                </c:pt>
                <c:pt idx="40">
                  <c:v>8.4185100000000001E-4</c:v>
                </c:pt>
                <c:pt idx="41">
                  <c:v>8.3202424999999998E-4</c:v>
                </c:pt>
                <c:pt idx="42">
                  <c:v>8.5639875000000001E-4</c:v>
                </c:pt>
                <c:pt idx="43">
                  <c:v>8.8967875000000001E-4</c:v>
                </c:pt>
                <c:pt idx="44">
                  <c:v>9.3322649999999995E-4</c:v>
                </c:pt>
                <c:pt idx="45">
                  <c:v>9.6576650000000002E-4</c:v>
                </c:pt>
                <c:pt idx="46">
                  <c:v>9.7770000000000018E-4</c:v>
                </c:pt>
                <c:pt idx="47">
                  <c:v>9.9851699999999998E-4</c:v>
                </c:pt>
                <c:pt idx="48">
                  <c:v>1.054625E-3</c:v>
                </c:pt>
                <c:pt idx="49">
                  <c:v>1.0720299999999999E-3</c:v>
                </c:pt>
                <c:pt idx="50">
                  <c:v>1.0983025E-3</c:v>
                </c:pt>
                <c:pt idx="51">
                  <c:v>1.15241E-3</c:v>
                </c:pt>
                <c:pt idx="52">
                  <c:v>1.1739625000000001E-3</c:v>
                </c:pt>
                <c:pt idx="53">
                  <c:v>1.2236599999999999E-3</c:v>
                </c:pt>
                <c:pt idx="54">
                  <c:v>1.26344E-3</c:v>
                </c:pt>
                <c:pt idx="55">
                  <c:v>1.2714150000000001E-3</c:v>
                </c:pt>
                <c:pt idx="56">
                  <c:v>1.2972249999999999E-3</c:v>
                </c:pt>
                <c:pt idx="57">
                  <c:v>1.3085925000000001E-3</c:v>
                </c:pt>
                <c:pt idx="58">
                  <c:v>1.3621900000000001E-3</c:v>
                </c:pt>
                <c:pt idx="59">
                  <c:v>1.3824199999999999E-3</c:v>
                </c:pt>
                <c:pt idx="60">
                  <c:v>1.4081900000000001E-3</c:v>
                </c:pt>
                <c:pt idx="61">
                  <c:v>1.4132625000000002E-3</c:v>
                </c:pt>
                <c:pt idx="62">
                  <c:v>1.4576700000000001E-3</c:v>
                </c:pt>
                <c:pt idx="63">
                  <c:v>1.4800425000000002E-3</c:v>
                </c:pt>
                <c:pt idx="64">
                  <c:v>1.5176349999999998E-3</c:v>
                </c:pt>
                <c:pt idx="65">
                  <c:v>1.5482100000000002E-3</c:v>
                </c:pt>
                <c:pt idx="66">
                  <c:v>1.58037E-3</c:v>
                </c:pt>
                <c:pt idx="67">
                  <c:v>1.5862699999999999E-3</c:v>
                </c:pt>
                <c:pt idx="68">
                  <c:v>1.60414E-3</c:v>
                </c:pt>
                <c:pt idx="69">
                  <c:v>1.6499125000000001E-3</c:v>
                </c:pt>
                <c:pt idx="70">
                  <c:v>1.6674575E-3</c:v>
                </c:pt>
                <c:pt idx="71">
                  <c:v>1.7007049999999998E-3</c:v>
                </c:pt>
                <c:pt idx="72">
                  <c:v>1.7308925000000001E-3</c:v>
                </c:pt>
                <c:pt idx="73">
                  <c:v>1.7676874999999999E-3</c:v>
                </c:pt>
                <c:pt idx="74">
                  <c:v>1.7650925E-3</c:v>
                </c:pt>
                <c:pt idx="75">
                  <c:v>1.802915E-3</c:v>
                </c:pt>
                <c:pt idx="76">
                  <c:v>1.8431799999999998E-3</c:v>
                </c:pt>
                <c:pt idx="77">
                  <c:v>1.9223999999999999E-3</c:v>
                </c:pt>
                <c:pt idx="78">
                  <c:v>1.95294E-3</c:v>
                </c:pt>
                <c:pt idx="79">
                  <c:v>2.0070349999999999E-3</c:v>
                </c:pt>
                <c:pt idx="80">
                  <c:v>2.0064950000000001E-3</c:v>
                </c:pt>
                <c:pt idx="81">
                  <c:v>2.0258575E-3</c:v>
                </c:pt>
                <c:pt idx="82">
                  <c:v>2.0607249999999998E-3</c:v>
                </c:pt>
                <c:pt idx="83">
                  <c:v>2.1573224999999999E-3</c:v>
                </c:pt>
                <c:pt idx="84">
                  <c:v>2.1996074999999999E-3</c:v>
                </c:pt>
                <c:pt idx="85">
                  <c:v>2.2256975000000002E-3</c:v>
                </c:pt>
                <c:pt idx="86">
                  <c:v>2.2176424999999999E-3</c:v>
                </c:pt>
                <c:pt idx="87">
                  <c:v>2.2529375000000002E-3</c:v>
                </c:pt>
                <c:pt idx="88">
                  <c:v>2.3126150000000001E-3</c:v>
                </c:pt>
                <c:pt idx="89">
                  <c:v>2.3458375000000001E-3</c:v>
                </c:pt>
                <c:pt idx="90">
                  <c:v>2.4336000000000002E-3</c:v>
                </c:pt>
                <c:pt idx="91">
                  <c:v>2.4506550000000004E-3</c:v>
                </c:pt>
                <c:pt idx="92">
                  <c:v>2.4679724999999999E-3</c:v>
                </c:pt>
                <c:pt idx="93">
                  <c:v>2.4829349999999999E-3</c:v>
                </c:pt>
                <c:pt idx="94">
                  <c:v>2.5283275000000001E-3</c:v>
                </c:pt>
                <c:pt idx="95">
                  <c:v>2.5485799999999999E-3</c:v>
                </c:pt>
                <c:pt idx="96">
                  <c:v>2.5536025E-3</c:v>
                </c:pt>
                <c:pt idx="97">
                  <c:v>2.57712E-3</c:v>
                </c:pt>
                <c:pt idx="98">
                  <c:v>2.6453900000000001E-3</c:v>
                </c:pt>
                <c:pt idx="99">
                  <c:v>2.6861799999999998E-3</c:v>
                </c:pt>
                <c:pt idx="100">
                  <c:v>2.7039324999999998E-3</c:v>
                </c:pt>
                <c:pt idx="101">
                  <c:v>2.7380974999999998E-3</c:v>
                </c:pt>
                <c:pt idx="102">
                  <c:v>2.7585725000000001E-3</c:v>
                </c:pt>
                <c:pt idx="103">
                  <c:v>2.7906049999999998E-3</c:v>
                </c:pt>
                <c:pt idx="104">
                  <c:v>2.8134375E-3</c:v>
                </c:pt>
                <c:pt idx="105">
                  <c:v>2.8763949999999999E-3</c:v>
                </c:pt>
                <c:pt idx="106">
                  <c:v>2.9130924999999997E-3</c:v>
                </c:pt>
                <c:pt idx="107">
                  <c:v>2.9071575000000002E-3</c:v>
                </c:pt>
                <c:pt idx="108">
                  <c:v>2.9537549999999997E-3</c:v>
                </c:pt>
                <c:pt idx="109">
                  <c:v>2.9737225E-3</c:v>
                </c:pt>
                <c:pt idx="110">
                  <c:v>3.0368175E-3</c:v>
                </c:pt>
                <c:pt idx="111">
                  <c:v>3.0492899999999996E-3</c:v>
                </c:pt>
                <c:pt idx="112">
                  <c:v>3.0666699999999996E-3</c:v>
                </c:pt>
                <c:pt idx="113">
                  <c:v>3.0775975000000002E-3</c:v>
                </c:pt>
                <c:pt idx="114">
                  <c:v>3.1122149999999998E-3</c:v>
                </c:pt>
                <c:pt idx="115">
                  <c:v>3.158475E-3</c:v>
                </c:pt>
                <c:pt idx="116">
                  <c:v>3.27078E-3</c:v>
                </c:pt>
                <c:pt idx="117">
                  <c:v>3.2308100000000002E-3</c:v>
                </c:pt>
                <c:pt idx="118">
                  <c:v>3.2502400000000006E-3</c:v>
                </c:pt>
                <c:pt idx="119">
                  <c:v>3.2911925000000002E-3</c:v>
                </c:pt>
                <c:pt idx="120">
                  <c:v>3.3263250000000002E-3</c:v>
                </c:pt>
                <c:pt idx="121">
                  <c:v>3.4010950000000002E-3</c:v>
                </c:pt>
                <c:pt idx="122">
                  <c:v>3.4075375000000001E-3</c:v>
                </c:pt>
                <c:pt idx="123">
                  <c:v>3.4238800000000002E-3</c:v>
                </c:pt>
                <c:pt idx="124">
                  <c:v>3.46204E-3</c:v>
                </c:pt>
                <c:pt idx="125">
                  <c:v>3.5173024999999997E-3</c:v>
                </c:pt>
                <c:pt idx="126">
                  <c:v>3.5547374999999998E-3</c:v>
                </c:pt>
                <c:pt idx="127">
                  <c:v>3.5981025000000003E-3</c:v>
                </c:pt>
                <c:pt idx="128">
                  <c:v>3.6484274999999998E-3</c:v>
                </c:pt>
                <c:pt idx="129">
                  <c:v>3.6996950000000002E-3</c:v>
                </c:pt>
                <c:pt idx="130">
                  <c:v>3.73012E-3</c:v>
                </c:pt>
                <c:pt idx="131">
                  <c:v>3.7861550000000002E-3</c:v>
                </c:pt>
                <c:pt idx="132">
                  <c:v>3.8558324999999997E-3</c:v>
                </c:pt>
                <c:pt idx="133">
                  <c:v>3.8694074999999998E-3</c:v>
                </c:pt>
                <c:pt idx="134">
                  <c:v>3.9185374999999995E-3</c:v>
                </c:pt>
                <c:pt idx="135">
                  <c:v>3.9785949999999997E-3</c:v>
                </c:pt>
                <c:pt idx="136">
                  <c:v>3.9671074999999998E-3</c:v>
                </c:pt>
                <c:pt idx="137">
                  <c:v>4.0344625000000005E-3</c:v>
                </c:pt>
                <c:pt idx="138">
                  <c:v>4.10414E-3</c:v>
                </c:pt>
                <c:pt idx="139">
                  <c:v>4.0760874999999997E-3</c:v>
                </c:pt>
                <c:pt idx="140">
                  <c:v>4.1723350000000001E-3</c:v>
                </c:pt>
                <c:pt idx="141">
                  <c:v>4.2591725E-3</c:v>
                </c:pt>
                <c:pt idx="142">
                  <c:v>4.2681350000000002E-3</c:v>
                </c:pt>
                <c:pt idx="143">
                  <c:v>4.299855E-3</c:v>
                </c:pt>
                <c:pt idx="144">
                  <c:v>4.3397950000000005E-3</c:v>
                </c:pt>
                <c:pt idx="145">
                  <c:v>4.4019649999999999E-3</c:v>
                </c:pt>
                <c:pt idx="146">
                  <c:v>4.4113275000000002E-3</c:v>
                </c:pt>
                <c:pt idx="147">
                  <c:v>4.4493724999999998E-3</c:v>
                </c:pt>
                <c:pt idx="148">
                  <c:v>4.5215174999999998E-3</c:v>
                </c:pt>
                <c:pt idx="149">
                  <c:v>4.5097350000000008E-3</c:v>
                </c:pt>
                <c:pt idx="150">
                  <c:v>4.5184624999999997E-3</c:v>
                </c:pt>
                <c:pt idx="151">
                  <c:v>4.5806075000000002E-3</c:v>
                </c:pt>
                <c:pt idx="152">
                  <c:v>4.5713774999999995E-3</c:v>
                </c:pt>
                <c:pt idx="153">
                  <c:v>4.6732925000000005E-3</c:v>
                </c:pt>
                <c:pt idx="154">
                  <c:v>4.7129549999999996E-3</c:v>
                </c:pt>
                <c:pt idx="155">
                  <c:v>4.8274649999999995E-3</c:v>
                </c:pt>
                <c:pt idx="156">
                  <c:v>4.84228E-3</c:v>
                </c:pt>
                <c:pt idx="157">
                  <c:v>4.9139824999999996E-3</c:v>
                </c:pt>
                <c:pt idx="158">
                  <c:v>4.9378824999999999E-3</c:v>
                </c:pt>
                <c:pt idx="159">
                  <c:v>4.9768E-3</c:v>
                </c:pt>
                <c:pt idx="160">
                  <c:v>5.0196874999999998E-3</c:v>
                </c:pt>
                <c:pt idx="161">
                  <c:v>5.1069324999999995E-3</c:v>
                </c:pt>
                <c:pt idx="162">
                  <c:v>5.1591199999999997E-3</c:v>
                </c:pt>
                <c:pt idx="163">
                  <c:v>5.211785E-3</c:v>
                </c:pt>
                <c:pt idx="164">
                  <c:v>5.2520175000000001E-3</c:v>
                </c:pt>
                <c:pt idx="165">
                  <c:v>5.2791625000000002E-3</c:v>
                </c:pt>
                <c:pt idx="166">
                  <c:v>5.3425599999999997E-3</c:v>
                </c:pt>
                <c:pt idx="167">
                  <c:v>5.3862600000000004E-3</c:v>
                </c:pt>
                <c:pt idx="168">
                  <c:v>5.4204100000000005E-3</c:v>
                </c:pt>
                <c:pt idx="169">
                  <c:v>5.4689200000000004E-3</c:v>
                </c:pt>
                <c:pt idx="170">
                  <c:v>5.5353225000000002E-3</c:v>
                </c:pt>
                <c:pt idx="171">
                  <c:v>5.6445225000000005E-3</c:v>
                </c:pt>
                <c:pt idx="172">
                  <c:v>5.6442650000000007E-3</c:v>
                </c:pt>
                <c:pt idx="173">
                  <c:v>5.7029899999999998E-3</c:v>
                </c:pt>
                <c:pt idx="174">
                  <c:v>5.7799975000000009E-3</c:v>
                </c:pt>
                <c:pt idx="175">
                  <c:v>5.8926299999999994E-3</c:v>
                </c:pt>
                <c:pt idx="176">
                  <c:v>5.9172125000000004E-3</c:v>
                </c:pt>
                <c:pt idx="177">
                  <c:v>5.9733800000000004E-3</c:v>
                </c:pt>
                <c:pt idx="178">
                  <c:v>6.0522974999999996E-3</c:v>
                </c:pt>
                <c:pt idx="179">
                  <c:v>6.1335675000000001E-3</c:v>
                </c:pt>
                <c:pt idx="180">
                  <c:v>6.1643275000000004E-3</c:v>
                </c:pt>
                <c:pt idx="181">
                  <c:v>6.2823325000000005E-3</c:v>
                </c:pt>
                <c:pt idx="182">
                  <c:v>6.3983175000000003E-3</c:v>
                </c:pt>
                <c:pt idx="183">
                  <c:v>6.4692374999999998E-3</c:v>
                </c:pt>
                <c:pt idx="184">
                  <c:v>6.5221999999999997E-3</c:v>
                </c:pt>
                <c:pt idx="185">
                  <c:v>6.6229424999999995E-3</c:v>
                </c:pt>
                <c:pt idx="186">
                  <c:v>6.6575499999999999E-3</c:v>
                </c:pt>
                <c:pt idx="187">
                  <c:v>6.8350075000000003E-3</c:v>
                </c:pt>
                <c:pt idx="188">
                  <c:v>6.9487249999999993E-3</c:v>
                </c:pt>
                <c:pt idx="189">
                  <c:v>7.0341824999999997E-3</c:v>
                </c:pt>
                <c:pt idx="190">
                  <c:v>7.0663274999999996E-3</c:v>
                </c:pt>
                <c:pt idx="191">
                  <c:v>7.2786474999999998E-3</c:v>
                </c:pt>
                <c:pt idx="192">
                  <c:v>7.4397424999999998E-3</c:v>
                </c:pt>
                <c:pt idx="193">
                  <c:v>7.446495E-3</c:v>
                </c:pt>
                <c:pt idx="194">
                  <c:v>7.6728525000000006E-3</c:v>
                </c:pt>
                <c:pt idx="195">
                  <c:v>7.5978400000000007E-3</c:v>
                </c:pt>
                <c:pt idx="196">
                  <c:v>7.7456474999999993E-3</c:v>
                </c:pt>
                <c:pt idx="197">
                  <c:v>7.9441999999999985E-3</c:v>
                </c:pt>
                <c:pt idx="198">
                  <c:v>8.1130474999999997E-3</c:v>
                </c:pt>
                <c:pt idx="199">
                  <c:v>8.1240600000000007E-3</c:v>
                </c:pt>
                <c:pt idx="200">
                  <c:v>8.1378974999999996E-3</c:v>
                </c:pt>
                <c:pt idx="201">
                  <c:v>8.2048099999999999E-3</c:v>
                </c:pt>
                <c:pt idx="202">
                  <c:v>8.3834175000000004E-3</c:v>
                </c:pt>
                <c:pt idx="203">
                  <c:v>8.5029424999999992E-3</c:v>
                </c:pt>
                <c:pt idx="204">
                  <c:v>8.6044925000000015E-3</c:v>
                </c:pt>
                <c:pt idx="205">
                  <c:v>8.6552325000000003E-3</c:v>
                </c:pt>
                <c:pt idx="206">
                  <c:v>8.7520250000000001E-3</c:v>
                </c:pt>
                <c:pt idx="207">
                  <c:v>8.7713599999999989E-3</c:v>
                </c:pt>
                <c:pt idx="208">
                  <c:v>8.8221424999999996E-3</c:v>
                </c:pt>
                <c:pt idx="209">
                  <c:v>8.8700250000000001E-3</c:v>
                </c:pt>
                <c:pt idx="210">
                  <c:v>8.9746775000000001E-3</c:v>
                </c:pt>
                <c:pt idx="211">
                  <c:v>9.0581224999999981E-3</c:v>
                </c:pt>
                <c:pt idx="212">
                  <c:v>9.3234925000000007E-3</c:v>
                </c:pt>
                <c:pt idx="213">
                  <c:v>9.4791775000000016E-3</c:v>
                </c:pt>
                <c:pt idx="214">
                  <c:v>9.6520575000000001E-3</c:v>
                </c:pt>
                <c:pt idx="215">
                  <c:v>9.9526974999999997E-3</c:v>
                </c:pt>
                <c:pt idx="216">
                  <c:v>1.01023025E-2</c:v>
                </c:pt>
                <c:pt idx="217">
                  <c:v>1.01466825E-2</c:v>
                </c:pt>
                <c:pt idx="218">
                  <c:v>1.0258274999999999E-2</c:v>
                </c:pt>
                <c:pt idx="219">
                  <c:v>1.034405E-2</c:v>
                </c:pt>
                <c:pt idx="220">
                  <c:v>1.0430300000000002E-2</c:v>
                </c:pt>
                <c:pt idx="221">
                  <c:v>1.0890624999999999E-2</c:v>
                </c:pt>
                <c:pt idx="222">
                  <c:v>1.1143150000000001E-2</c:v>
                </c:pt>
                <c:pt idx="223">
                  <c:v>1.1499200000000001E-2</c:v>
                </c:pt>
                <c:pt idx="224">
                  <c:v>1.1531950000000001E-2</c:v>
                </c:pt>
                <c:pt idx="225">
                  <c:v>1.1596825E-2</c:v>
                </c:pt>
                <c:pt idx="226">
                  <c:v>1.192115E-2</c:v>
                </c:pt>
                <c:pt idx="227">
                  <c:v>1.1945699999999998E-2</c:v>
                </c:pt>
                <c:pt idx="228">
                  <c:v>1.2620474999999999E-2</c:v>
                </c:pt>
                <c:pt idx="229">
                  <c:v>1.2662699999999999E-2</c:v>
                </c:pt>
                <c:pt idx="230">
                  <c:v>1.27186E-2</c:v>
                </c:pt>
                <c:pt idx="231">
                  <c:v>1.2759425000000001E-2</c:v>
                </c:pt>
                <c:pt idx="232">
                  <c:v>1.2766925E-2</c:v>
                </c:pt>
                <c:pt idx="233">
                  <c:v>1.2800600000000001E-2</c:v>
                </c:pt>
                <c:pt idx="234">
                  <c:v>1.311905E-2</c:v>
                </c:pt>
                <c:pt idx="235">
                  <c:v>1.3872575E-2</c:v>
                </c:pt>
              </c:numCache>
            </c:numRef>
          </c:xVal>
          <c:yVal>
            <c:numRef>
              <c:f>'OLT3-3'!$V$5:$V$232</c:f>
              <c:numCache>
                <c:formatCode>General</c:formatCode>
                <c:ptCount val="228"/>
                <c:pt idx="0">
                  <c:v>-0.15048187857518486</c:v>
                </c:pt>
                <c:pt idx="1">
                  <c:v>-0.15117518271676489</c:v>
                </c:pt>
                <c:pt idx="2">
                  <c:v>-0.14684095860566448</c:v>
                </c:pt>
                <c:pt idx="3">
                  <c:v>-0.14094626356289641</c:v>
                </c:pt>
                <c:pt idx="4">
                  <c:v>-0.13262393079837298</c:v>
                </c:pt>
                <c:pt idx="5">
                  <c:v>-0.12880968479345761</c:v>
                </c:pt>
                <c:pt idx="6">
                  <c:v>-0.12152784485441687</c:v>
                </c:pt>
                <c:pt idx="7">
                  <c:v>-0.11129892570054842</c:v>
                </c:pt>
                <c:pt idx="8">
                  <c:v>-0.10800465780181803</c:v>
                </c:pt>
                <c:pt idx="9">
                  <c:v>-0.10176331068825997</c:v>
                </c:pt>
                <c:pt idx="10">
                  <c:v>-9.2053833027463852E-2</c:v>
                </c:pt>
                <c:pt idx="11">
                  <c:v>-8.4078688946843103E-2</c:v>
                </c:pt>
                <c:pt idx="12">
                  <c:v>-7.7664015797890035E-2</c:v>
                </c:pt>
                <c:pt idx="13">
                  <c:v>-7.5236378076134675E-2</c:v>
                </c:pt>
                <c:pt idx="14">
                  <c:v>-7.0555501894244296E-2</c:v>
                </c:pt>
                <c:pt idx="15">
                  <c:v>-6.5874089099241223E-2</c:v>
                </c:pt>
                <c:pt idx="16">
                  <c:v>-5.8592785773313158E-2</c:v>
                </c:pt>
                <c:pt idx="17">
                  <c:v>-5.3391394872125096E-2</c:v>
                </c:pt>
                <c:pt idx="18">
                  <c:v>-4.6976185110059354E-2</c:v>
                </c:pt>
                <c:pt idx="19">
                  <c:v>-4.5415714178391665E-2</c:v>
                </c:pt>
                <c:pt idx="20">
                  <c:v>-3.6573939920795905E-2</c:v>
                </c:pt>
                <c:pt idx="21">
                  <c:v>-2.8251607156272472E-2</c:v>
                </c:pt>
                <c:pt idx="22">
                  <c:v>-2.3744057009777091E-2</c:v>
                </c:pt>
                <c:pt idx="23">
                  <c:v>-1.5942238964551336E-2</c:v>
                </c:pt>
                <c:pt idx="24">
                  <c:v>-1.4901746139068655E-2</c:v>
                </c:pt>
                <c:pt idx="25">
                  <c:v>-6.4066239522628972E-3</c:v>
                </c:pt>
                <c:pt idx="26">
                  <c:v>-1.8985371926548398E-3</c:v>
                </c:pt>
                <c:pt idx="27">
                  <c:v>6.2499329233609152E-3</c:v>
                </c:pt>
                <c:pt idx="28">
                  <c:v>1.249181665003166E-2</c:v>
                </c:pt>
                <c:pt idx="29">
                  <c:v>1.5265569829464355E-2</c:v>
                </c:pt>
                <c:pt idx="30">
                  <c:v>2.7054959915000485E-2</c:v>
                </c:pt>
                <c:pt idx="31">
                  <c:v>2.9309271601360848E-2</c:v>
                </c:pt>
                <c:pt idx="32">
                  <c:v>3.9538190755229297E-2</c:v>
                </c:pt>
                <c:pt idx="33">
                  <c:v>4.387241486632968E-2</c:v>
                </c:pt>
                <c:pt idx="34">
                  <c:v>5.2021421595458105E-2</c:v>
                </c:pt>
                <c:pt idx="35">
                  <c:v>5.7222275883533492E-2</c:v>
                </c:pt>
                <c:pt idx="36">
                  <c:v>6.2596992820116548E-2</c:v>
                </c:pt>
                <c:pt idx="37">
                  <c:v>6.6584564860426937E-2</c:v>
                </c:pt>
                <c:pt idx="38">
                  <c:v>7.4560245554160354E-2</c:v>
                </c:pt>
                <c:pt idx="39">
                  <c:v>7.9587773806840748E-2</c:v>
                </c:pt>
                <c:pt idx="40">
                  <c:v>8.2362063599386109E-2</c:v>
                </c:pt>
                <c:pt idx="41">
                  <c:v>9.2244330682464556E-2</c:v>
                </c:pt>
                <c:pt idx="42">
                  <c:v>9.1031048434699544E-2</c:v>
                </c:pt>
                <c:pt idx="43">
                  <c:v>9.5018620475009932E-2</c:v>
                </c:pt>
                <c:pt idx="44">
                  <c:v>0.10784850338602874</c:v>
                </c:pt>
                <c:pt idx="45">
                  <c:v>0.11495648067656181</c:v>
                </c:pt>
                <c:pt idx="46">
                  <c:v>0.11634362557283449</c:v>
                </c:pt>
                <c:pt idx="47">
                  <c:v>0.12310548740569024</c:v>
                </c:pt>
                <c:pt idx="48">
                  <c:v>0.12674640737521062</c:v>
                </c:pt>
                <c:pt idx="49">
                  <c:v>0.13420157334964639</c:v>
                </c:pt>
                <c:pt idx="50">
                  <c:v>0.14269669553645212</c:v>
                </c:pt>
                <c:pt idx="51">
                  <c:v>0.14893857926312287</c:v>
                </c:pt>
                <c:pt idx="52">
                  <c:v>0.14893857926312287</c:v>
                </c:pt>
                <c:pt idx="53">
                  <c:v>0.15830086824001632</c:v>
                </c:pt>
                <c:pt idx="54">
                  <c:v>0.16644933835603207</c:v>
                </c:pt>
                <c:pt idx="55">
                  <c:v>0.17026358436094743</c:v>
                </c:pt>
                <c:pt idx="56">
                  <c:v>0.17667825750990052</c:v>
                </c:pt>
                <c:pt idx="57">
                  <c:v>0.18101301823411356</c:v>
                </c:pt>
                <c:pt idx="58">
                  <c:v>0.18760101741846164</c:v>
                </c:pt>
                <c:pt idx="59">
                  <c:v>0.1936690384966247</c:v>
                </c:pt>
                <c:pt idx="60">
                  <c:v>0.20008424825869042</c:v>
                </c:pt>
                <c:pt idx="61">
                  <c:v>0.20285800143812316</c:v>
                </c:pt>
                <c:pt idx="62">
                  <c:v>0.20788606630391621</c:v>
                </c:pt>
                <c:pt idx="63">
                  <c:v>0.21586121038453696</c:v>
                </c:pt>
                <c:pt idx="64">
                  <c:v>0.21794165942238963</c:v>
                </c:pt>
                <c:pt idx="65">
                  <c:v>0.22158257939191003</c:v>
                </c:pt>
                <c:pt idx="66">
                  <c:v>0.22990491215643344</c:v>
                </c:pt>
                <c:pt idx="67">
                  <c:v>0.23666623737617654</c:v>
                </c:pt>
                <c:pt idx="68">
                  <c:v>0.23736007813086921</c:v>
                </c:pt>
                <c:pt idx="69">
                  <c:v>0.24464191806990995</c:v>
                </c:pt>
                <c:pt idx="70">
                  <c:v>0.24862949011022034</c:v>
                </c:pt>
                <c:pt idx="71">
                  <c:v>0.25122991725425803</c:v>
                </c:pt>
                <c:pt idx="72">
                  <c:v>0.25851175719329877</c:v>
                </c:pt>
                <c:pt idx="73">
                  <c:v>0.26562027109694453</c:v>
                </c:pt>
                <c:pt idx="74">
                  <c:v>0.2715149661397126</c:v>
                </c:pt>
                <c:pt idx="75">
                  <c:v>0.27862348004335835</c:v>
                </c:pt>
                <c:pt idx="76">
                  <c:v>0.280703929081211</c:v>
                </c:pt>
                <c:pt idx="77">
                  <c:v>0.29110671088358714</c:v>
                </c:pt>
                <c:pt idx="78">
                  <c:v>0.29925518099960291</c:v>
                </c:pt>
                <c:pt idx="79">
                  <c:v>0.30046899986048059</c:v>
                </c:pt>
                <c:pt idx="80">
                  <c:v>0.30879079601189136</c:v>
                </c:pt>
                <c:pt idx="81">
                  <c:v>0.31468549105465937</c:v>
                </c:pt>
                <c:pt idx="82">
                  <c:v>0.31745978084720478</c:v>
                </c:pt>
                <c:pt idx="83">
                  <c:v>0.3275153739656782</c:v>
                </c:pt>
                <c:pt idx="84">
                  <c:v>0.33826480783884433</c:v>
                </c:pt>
                <c:pt idx="85">
                  <c:v>0.34415950288161234</c:v>
                </c:pt>
                <c:pt idx="86">
                  <c:v>0.34658660399025509</c:v>
                </c:pt>
                <c:pt idx="87">
                  <c:v>0.35265462506841816</c:v>
                </c:pt>
                <c:pt idx="88">
                  <c:v>0.35716271182802622</c:v>
                </c:pt>
                <c:pt idx="89">
                  <c:v>0.36565783401483198</c:v>
                </c:pt>
                <c:pt idx="90">
                  <c:v>0.36843212380737733</c:v>
                </c:pt>
                <c:pt idx="91">
                  <c:v>0.37606061581720807</c:v>
                </c:pt>
                <c:pt idx="92">
                  <c:v>0.38056816596370352</c:v>
                </c:pt>
                <c:pt idx="93">
                  <c:v>0.38698337572576919</c:v>
                </c:pt>
                <c:pt idx="94">
                  <c:v>0.39339804887472235</c:v>
                </c:pt>
                <c:pt idx="95">
                  <c:v>0.39582568659647765</c:v>
                </c:pt>
                <c:pt idx="96">
                  <c:v>0.39963993260139308</c:v>
                </c:pt>
                <c:pt idx="97">
                  <c:v>0.40553462764416104</c:v>
                </c:pt>
                <c:pt idx="98">
                  <c:v>0.41038882986144648</c:v>
                </c:pt>
                <c:pt idx="99">
                  <c:v>0.41715069169430224</c:v>
                </c:pt>
                <c:pt idx="100">
                  <c:v>0.42287206070167532</c:v>
                </c:pt>
                <c:pt idx="101">
                  <c:v>0.4263396546358007</c:v>
                </c:pt>
                <c:pt idx="102">
                  <c:v>0.43171437157238379</c:v>
                </c:pt>
                <c:pt idx="103">
                  <c:v>0.43934286358221453</c:v>
                </c:pt>
                <c:pt idx="104">
                  <c:v>0.44575753673116758</c:v>
                </c:pt>
                <c:pt idx="105">
                  <c:v>0.44887847859450292</c:v>
                </c:pt>
                <c:pt idx="106">
                  <c:v>0.44939845670068795</c:v>
                </c:pt>
                <c:pt idx="107">
                  <c:v>0.45494649967266598</c:v>
                </c:pt>
                <c:pt idx="108">
                  <c:v>0.45459984760187594</c:v>
                </c:pt>
                <c:pt idx="109">
                  <c:v>0.46066786868003912</c:v>
                </c:pt>
                <c:pt idx="110">
                  <c:v>0.46205501357631179</c:v>
                </c:pt>
                <c:pt idx="111">
                  <c:v>0.46985683162153752</c:v>
                </c:pt>
                <c:pt idx="112">
                  <c:v>0.47471157045193552</c:v>
                </c:pt>
                <c:pt idx="113">
                  <c:v>0.4778319757021583</c:v>
                </c:pt>
                <c:pt idx="114">
                  <c:v>0.48615430846668167</c:v>
                </c:pt>
                <c:pt idx="115">
                  <c:v>0.4918756774740547</c:v>
                </c:pt>
                <c:pt idx="116">
                  <c:v>0.49863753930691052</c:v>
                </c:pt>
                <c:pt idx="117">
                  <c:v>0.50314508945340586</c:v>
                </c:pt>
                <c:pt idx="118">
                  <c:v>0.50938643656696392</c:v>
                </c:pt>
                <c:pt idx="119">
                  <c:v>0.51406784936196703</c:v>
                </c:pt>
                <c:pt idx="120">
                  <c:v>0.52100303723021768</c:v>
                </c:pt>
                <c:pt idx="121">
                  <c:v>0.52516393530592309</c:v>
                </c:pt>
                <c:pt idx="122">
                  <c:v>0.52776436244996083</c:v>
                </c:pt>
                <c:pt idx="123">
                  <c:v>0.53192526052566624</c:v>
                </c:pt>
                <c:pt idx="124">
                  <c:v>0.53782049218154693</c:v>
                </c:pt>
                <c:pt idx="125">
                  <c:v>0.54562284683988538</c:v>
                </c:pt>
                <c:pt idx="126">
                  <c:v>0.54839713663243073</c:v>
                </c:pt>
                <c:pt idx="127">
                  <c:v>0.55325348530216689</c:v>
                </c:pt>
                <c:pt idx="128">
                  <c:v>0.56157098854867604</c:v>
                </c:pt>
                <c:pt idx="129">
                  <c:v>0.5693733432070146</c:v>
                </c:pt>
                <c:pt idx="130">
                  <c:v>0.57093488736490761</c:v>
                </c:pt>
                <c:pt idx="131">
                  <c:v>0.5789089582193031</c:v>
                </c:pt>
                <c:pt idx="132">
                  <c:v>0.5915676615473775</c:v>
                </c:pt>
                <c:pt idx="133">
                  <c:v>0.5945136675359799</c:v>
                </c:pt>
                <c:pt idx="134">
                  <c:v>0.60075447803642534</c:v>
                </c:pt>
                <c:pt idx="135">
                  <c:v>0.60595962522940217</c:v>
                </c:pt>
                <c:pt idx="136">
                  <c:v>0.60976957832941603</c:v>
                </c:pt>
                <c:pt idx="137">
                  <c:v>0.61479764319520913</c:v>
                </c:pt>
                <c:pt idx="138">
                  <c:v>0.62138725221889524</c:v>
                </c:pt>
                <c:pt idx="139">
                  <c:v>0.63040235251188592</c:v>
                </c:pt>
                <c:pt idx="140">
                  <c:v>0.63751247625486973</c:v>
                </c:pt>
                <c:pt idx="141">
                  <c:v>0.64288397351277671</c:v>
                </c:pt>
                <c:pt idx="142">
                  <c:v>0.64808912070575364</c:v>
                </c:pt>
                <c:pt idx="143">
                  <c:v>0.65450164740225591</c:v>
                </c:pt>
                <c:pt idx="144">
                  <c:v>0.65519387831761056</c:v>
                </c:pt>
                <c:pt idx="145">
                  <c:v>0.66317331530313273</c:v>
                </c:pt>
                <c:pt idx="146">
                  <c:v>0.66594760509567819</c:v>
                </c:pt>
                <c:pt idx="147">
                  <c:v>0.66993464052287588</c:v>
                </c:pt>
                <c:pt idx="148">
                  <c:v>0.67894974081586656</c:v>
                </c:pt>
                <c:pt idx="149">
                  <c:v>0.67894974081586656</c:v>
                </c:pt>
                <c:pt idx="150">
                  <c:v>0.68275969391588054</c:v>
                </c:pt>
                <c:pt idx="151">
                  <c:v>0.68397780568165967</c:v>
                </c:pt>
                <c:pt idx="152">
                  <c:v>0.6916030780128144</c:v>
                </c:pt>
                <c:pt idx="153">
                  <c:v>0.69628771048649341</c:v>
                </c:pt>
                <c:pt idx="154">
                  <c:v>0.69906200027903875</c:v>
                </c:pt>
                <c:pt idx="155">
                  <c:v>0.7082488167680866</c:v>
                </c:pt>
                <c:pt idx="156">
                  <c:v>0.70894104768344124</c:v>
                </c:pt>
                <c:pt idx="157">
                  <c:v>0.71986649065756569</c:v>
                </c:pt>
                <c:pt idx="158">
                  <c:v>0.72298421284222492</c:v>
                </c:pt>
                <c:pt idx="159">
                  <c:v>0.72870987475449955</c:v>
                </c:pt>
                <c:pt idx="160">
                  <c:v>0.73061485130450643</c:v>
                </c:pt>
                <c:pt idx="161">
                  <c:v>0.73962995159749723</c:v>
                </c:pt>
                <c:pt idx="162">
                  <c:v>0.74292475610934028</c:v>
                </c:pt>
                <c:pt idx="163">
                  <c:v>0.74829625336724737</c:v>
                </c:pt>
                <c:pt idx="164">
                  <c:v>0.75523466091417413</c:v>
                </c:pt>
                <c:pt idx="165">
                  <c:v>0.75696792126812407</c:v>
                </c:pt>
                <c:pt idx="166">
                  <c:v>0.76840851283041955</c:v>
                </c:pt>
                <c:pt idx="167">
                  <c:v>0.77395709241551025</c:v>
                </c:pt>
                <c:pt idx="168">
                  <c:v>0.77534692037734632</c:v>
                </c:pt>
                <c:pt idx="169">
                  <c:v>0.78245167798920323</c:v>
                </c:pt>
                <c:pt idx="170">
                  <c:v>0.78661579574358487</c:v>
                </c:pt>
                <c:pt idx="171">
                  <c:v>0.79406935187868255</c:v>
                </c:pt>
                <c:pt idx="172">
                  <c:v>0.7978846711098232</c:v>
                </c:pt>
                <c:pt idx="173">
                  <c:v>0.80326153449885707</c:v>
                </c:pt>
                <c:pt idx="174">
                  <c:v>0.80620754048745946</c:v>
                </c:pt>
                <c:pt idx="175">
                  <c:v>0.81539435697650708</c:v>
                </c:pt>
                <c:pt idx="176">
                  <c:v>0.82094293656159778</c:v>
                </c:pt>
                <c:pt idx="177">
                  <c:v>0.82440945726949777</c:v>
                </c:pt>
                <c:pt idx="178">
                  <c:v>0.82874529121993623</c:v>
                </c:pt>
                <c:pt idx="179">
                  <c:v>0.83429387080502693</c:v>
                </c:pt>
                <c:pt idx="180">
                  <c:v>0.83810919003616768</c:v>
                </c:pt>
                <c:pt idx="181">
                  <c:v>0.8452139476480246</c:v>
                </c:pt>
                <c:pt idx="182">
                  <c:v>0.85059081103705847</c:v>
                </c:pt>
                <c:pt idx="183">
                  <c:v>0.85718042006074457</c:v>
                </c:pt>
                <c:pt idx="184">
                  <c:v>0.86099037316075855</c:v>
                </c:pt>
                <c:pt idx="185">
                  <c:v>0.86775706451162848</c:v>
                </c:pt>
                <c:pt idx="186">
                  <c:v>0.87018255578093306</c:v>
                </c:pt>
                <c:pt idx="187">
                  <c:v>0.87763611191603075</c:v>
                </c:pt>
                <c:pt idx="188">
                  <c:v>0.88231537825858308</c:v>
                </c:pt>
                <c:pt idx="189">
                  <c:v>0.8889049872822693</c:v>
                </c:pt>
                <c:pt idx="190">
                  <c:v>0.88977430052480755</c:v>
                </c:pt>
                <c:pt idx="191">
                  <c:v>0.89826888609850064</c:v>
                </c:pt>
                <c:pt idx="192">
                  <c:v>0.90312523476823681</c:v>
                </c:pt>
                <c:pt idx="193">
                  <c:v>0.90728398639149144</c:v>
                </c:pt>
                <c:pt idx="194">
                  <c:v>0.91560685576912759</c:v>
                </c:pt>
                <c:pt idx="195">
                  <c:v>0.92132715155027523</c:v>
                </c:pt>
                <c:pt idx="196">
                  <c:v>0.92462195606211828</c:v>
                </c:pt>
                <c:pt idx="197">
                  <c:v>0.93277310924369738</c:v>
                </c:pt>
                <c:pt idx="198">
                  <c:v>0.93710357706300917</c:v>
                </c:pt>
                <c:pt idx="199">
                  <c:v>0.93762409178230677</c:v>
                </c:pt>
                <c:pt idx="200">
                  <c:v>0.94143941101344752</c:v>
                </c:pt>
                <c:pt idx="201">
                  <c:v>0.94386490228275211</c:v>
                </c:pt>
                <c:pt idx="202">
                  <c:v>0.94768022151389297</c:v>
                </c:pt>
                <c:pt idx="203">
                  <c:v>0.95426983053757897</c:v>
                </c:pt>
                <c:pt idx="204">
                  <c:v>0.95600309089152902</c:v>
                </c:pt>
                <c:pt idx="205">
                  <c:v>0.95929789540337207</c:v>
                </c:pt>
                <c:pt idx="206">
                  <c:v>0.96155167047661971</c:v>
                </c:pt>
                <c:pt idx="207">
                  <c:v>0.96484647498846288</c:v>
                </c:pt>
                <c:pt idx="208">
                  <c:v>0.96224390139197458</c:v>
                </c:pt>
                <c:pt idx="209">
                  <c:v>0.96345664702662681</c:v>
                </c:pt>
                <c:pt idx="210">
                  <c:v>0.97004625605031281</c:v>
                </c:pt>
                <c:pt idx="211">
                  <c:v>0.97108728548890821</c:v>
                </c:pt>
                <c:pt idx="212">
                  <c:v>0.97941015486654426</c:v>
                </c:pt>
                <c:pt idx="213">
                  <c:v>0.98322010796655823</c:v>
                </c:pt>
                <c:pt idx="214">
                  <c:v>0.98374062268585605</c:v>
                </c:pt>
                <c:pt idx="215">
                  <c:v>0.99449434946392345</c:v>
                </c:pt>
                <c:pt idx="216">
                  <c:v>0.9957070950985758</c:v>
                </c:pt>
                <c:pt idx="217">
                  <c:v>0.99900189961041896</c:v>
                </c:pt>
                <c:pt idx="218">
                  <c:v>0.99431726713673974</c:v>
                </c:pt>
                <c:pt idx="219">
                  <c:v>0.99796087017182344</c:v>
                </c:pt>
                <c:pt idx="220">
                  <c:v>0.99709155692928519</c:v>
                </c:pt>
                <c:pt idx="221">
                  <c:v>1.0059349410262191</c:v>
                </c:pt>
                <c:pt idx="222">
                  <c:v>1.0090580293420051</c:v>
                </c:pt>
                <c:pt idx="223">
                  <c:v>1.0104424911727143</c:v>
                </c:pt>
                <c:pt idx="224">
                  <c:v>1.0100990587806002</c:v>
                </c:pt>
                <c:pt idx="225">
                  <c:v>1.0106142073687712</c:v>
                </c:pt>
                <c:pt idx="226">
                  <c:v>1.0123528338538481</c:v>
                </c:pt>
                <c:pt idx="227">
                  <c:v>1.010791289695955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C9-403B-A268-E171D1622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baseline="0">
                    <a:effectLst/>
                  </a:rPr>
                  <a:t>ε</a:t>
                </a:r>
                <a:r>
                  <a:rPr lang="en-US" sz="1400" b="0" i="0" u="none" strike="noStrike" baseline="-25000">
                    <a:effectLst/>
                  </a:rPr>
                  <a:t>z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, %</a:t>
                </a:r>
                <a:endParaRPr lang="ru-RU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818277777777778"/>
              <c:y val="0.9025190972222222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baseline="0">
                    <a:effectLst/>
                  </a:rPr>
                  <a:t>σ</a:t>
                </a:r>
                <a:r>
                  <a:rPr lang="en-US" sz="1400" b="0" i="0" u="none" strike="noStrike" baseline="-25000">
                    <a:effectLst/>
                  </a:rPr>
                  <a:t>z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, MPa</a:t>
                </a:r>
                <a:endParaRPr lang="ru-RU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9.4645833333333335E-3"/>
              <c:y val="0.3641593750000000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8705393518518521"/>
          <c:y val="0.5060510416666667"/>
          <c:w val="0.16840298409778667"/>
          <c:h val="0.2644950874396566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Tension - transverse direction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516475785063475"/>
          <c:y val="0.14393518518518519"/>
          <c:w val="0.76844632399857438"/>
          <c:h val="0.65922422057696928"/>
        </c:manualLayout>
      </c:layout>
      <c:scatterChart>
        <c:scatterStyle val="lineMarker"/>
        <c:varyColors val="0"/>
        <c:ser>
          <c:idx val="2"/>
          <c:order val="0"/>
          <c:tx>
            <c:v>OLT3-10</c:v>
          </c:tx>
          <c:spPr>
            <a:ln w="25400">
              <a:noFill/>
            </a:ln>
          </c:spPr>
          <c:marker>
            <c:symbol val="diamond"/>
            <c:size val="2"/>
            <c:spPr>
              <a:ln>
                <a:noFill/>
              </a:ln>
            </c:spPr>
          </c:marker>
          <c:xVal>
            <c:numRef>
              <c:f>'OLT3-1'!$W$5:$W$71</c:f>
              <c:numCache>
                <c:formatCode>General</c:formatCode>
                <c:ptCount val="67"/>
                <c:pt idx="0">
                  <c:v>0</c:v>
                </c:pt>
                <c:pt idx="1">
                  <c:v>-2.7143300000000001E-5</c:v>
                </c:pt>
                <c:pt idx="2">
                  <c:v>-1.6087399999999999E-7</c:v>
                </c:pt>
                <c:pt idx="3">
                  <c:v>1.1427200000000001E-4</c:v>
                </c:pt>
                <c:pt idx="4">
                  <c:v>1.0928400000000001E-4</c:v>
                </c:pt>
                <c:pt idx="5">
                  <c:v>1.7190799999999999E-4</c:v>
                </c:pt>
                <c:pt idx="6">
                  <c:v>2.4837600000000002E-4</c:v>
                </c:pt>
                <c:pt idx="7">
                  <c:v>2.8467999999999999E-4</c:v>
                </c:pt>
                <c:pt idx="8">
                  <c:v>3.6643500000000002E-4</c:v>
                </c:pt>
                <c:pt idx="9">
                  <c:v>3.9239199999999998E-4</c:v>
                </c:pt>
                <c:pt idx="10">
                  <c:v>4.3174799999999997E-4</c:v>
                </c:pt>
                <c:pt idx="11">
                  <c:v>5.4588200000000003E-4</c:v>
                </c:pt>
                <c:pt idx="12">
                  <c:v>5.7183699999999995E-4</c:v>
                </c:pt>
                <c:pt idx="13">
                  <c:v>6.62624E-4</c:v>
                </c:pt>
                <c:pt idx="14">
                  <c:v>7.7113099999999999E-4</c:v>
                </c:pt>
                <c:pt idx="15">
                  <c:v>8.5667899999999995E-4</c:v>
                </c:pt>
                <c:pt idx="16">
                  <c:v>8.8909600000000003E-4</c:v>
                </c:pt>
                <c:pt idx="17">
                  <c:v>9.6624500000000002E-4</c:v>
                </c:pt>
                <c:pt idx="18">
                  <c:v>1.06521E-3</c:v>
                </c:pt>
                <c:pt idx="19">
                  <c:v>1.1253299999999999E-3</c:v>
                </c:pt>
                <c:pt idx="20">
                  <c:v>1.2152199999999999E-3</c:v>
                </c:pt>
                <c:pt idx="21">
                  <c:v>1.29721E-3</c:v>
                </c:pt>
                <c:pt idx="22">
                  <c:v>1.37138E-3</c:v>
                </c:pt>
                <c:pt idx="23">
                  <c:v>1.4658E-3</c:v>
                </c:pt>
                <c:pt idx="24">
                  <c:v>1.5180700000000001E-3</c:v>
                </c:pt>
                <c:pt idx="25">
                  <c:v>1.6542499999999999E-3</c:v>
                </c:pt>
                <c:pt idx="26">
                  <c:v>1.81635E-3</c:v>
                </c:pt>
                <c:pt idx="27">
                  <c:v>1.89708E-3</c:v>
                </c:pt>
                <c:pt idx="28">
                  <c:v>1.91281E-3</c:v>
                </c:pt>
                <c:pt idx="29">
                  <c:v>2.07018E-3</c:v>
                </c:pt>
                <c:pt idx="30">
                  <c:v>2.2400300000000001E-3</c:v>
                </c:pt>
                <c:pt idx="31">
                  <c:v>2.3684800000000001E-3</c:v>
                </c:pt>
                <c:pt idx="32">
                  <c:v>2.3534799999999998E-3</c:v>
                </c:pt>
                <c:pt idx="33">
                  <c:v>2.3714600000000001E-3</c:v>
                </c:pt>
                <c:pt idx="34">
                  <c:v>2.55573E-3</c:v>
                </c:pt>
                <c:pt idx="35">
                  <c:v>2.6380900000000001E-3</c:v>
                </c:pt>
                <c:pt idx="36">
                  <c:v>2.75661E-3</c:v>
                </c:pt>
                <c:pt idx="37">
                  <c:v>2.8487600000000001E-3</c:v>
                </c:pt>
                <c:pt idx="38">
                  <c:v>3.07019E-3</c:v>
                </c:pt>
                <c:pt idx="39">
                  <c:v>3.2457100000000002E-3</c:v>
                </c:pt>
                <c:pt idx="40">
                  <c:v>3.3504400000000001E-3</c:v>
                </c:pt>
                <c:pt idx="41">
                  <c:v>3.52498E-3</c:v>
                </c:pt>
                <c:pt idx="42">
                  <c:v>3.7544499999999999E-3</c:v>
                </c:pt>
                <c:pt idx="43">
                  <c:v>3.9268599999999999E-3</c:v>
                </c:pt>
                <c:pt idx="44">
                  <c:v>4.0693099999999996E-3</c:v>
                </c:pt>
                <c:pt idx="45">
                  <c:v>4.2344499999999998E-3</c:v>
                </c:pt>
                <c:pt idx="46">
                  <c:v>4.3865900000000001E-3</c:v>
                </c:pt>
                <c:pt idx="47">
                  <c:v>4.6491900000000001E-3</c:v>
                </c:pt>
                <c:pt idx="48">
                  <c:v>4.8109299999999997E-3</c:v>
                </c:pt>
                <c:pt idx="49">
                  <c:v>5.0318100000000003E-3</c:v>
                </c:pt>
                <c:pt idx="50">
                  <c:v>5.0401200000000004E-3</c:v>
                </c:pt>
                <c:pt idx="51">
                  <c:v>5.2829599999999997E-3</c:v>
                </c:pt>
                <c:pt idx="52">
                  <c:v>5.5749800000000002E-3</c:v>
                </c:pt>
                <c:pt idx="53">
                  <c:v>5.9404000000000002E-3</c:v>
                </c:pt>
                <c:pt idx="54">
                  <c:v>6.2992300000000003E-3</c:v>
                </c:pt>
                <c:pt idx="55">
                  <c:v>6.4584600000000001E-3</c:v>
                </c:pt>
                <c:pt idx="56">
                  <c:v>6.7869499999999999E-3</c:v>
                </c:pt>
                <c:pt idx="57">
                  <c:v>7.0996999999999996E-3</c:v>
                </c:pt>
                <c:pt idx="58">
                  <c:v>7.2557899999999998E-3</c:v>
                </c:pt>
                <c:pt idx="59">
                  <c:v>7.8072200000000001E-3</c:v>
                </c:pt>
                <c:pt idx="60">
                  <c:v>8.0139600000000005E-3</c:v>
                </c:pt>
                <c:pt idx="61">
                  <c:v>8.0944199999999997E-3</c:v>
                </c:pt>
                <c:pt idx="62">
                  <c:v>8.2345400000000003E-3</c:v>
                </c:pt>
                <c:pt idx="63">
                  <c:v>9.0441900000000006E-3</c:v>
                </c:pt>
                <c:pt idx="64">
                  <c:v>9.2014200000000001E-3</c:v>
                </c:pt>
                <c:pt idx="65">
                  <c:v>9.2522899999999998E-3</c:v>
                </c:pt>
                <c:pt idx="66">
                  <c:v>9.2867499999999999E-3</c:v>
                </c:pt>
              </c:numCache>
            </c:numRef>
          </c:xVal>
          <c:yVal>
            <c:numRef>
              <c:f>'OLT3-1'!$V$5:$V$71</c:f>
              <c:numCache>
                <c:formatCode>General</c:formatCode>
                <c:ptCount val="67"/>
                <c:pt idx="0">
                  <c:v>-4.7419319368849307E-2</c:v>
                </c:pt>
                <c:pt idx="1">
                  <c:v>-5.2747814613227771E-2</c:v>
                </c:pt>
                <c:pt idx="2">
                  <c:v>-4.6353840233107922E-2</c:v>
                </c:pt>
                <c:pt idx="3">
                  <c:v>-3.0902743416350541E-2</c:v>
                </c:pt>
                <c:pt idx="4">
                  <c:v>-1.7049865303205233E-2</c:v>
                </c:pt>
                <c:pt idx="5">
                  <c:v>-2.1309582714827643E-3</c:v>
                </c:pt>
                <c:pt idx="6">
                  <c:v>2.1312331629006542E-2</c:v>
                </c:pt>
                <c:pt idx="7">
                  <c:v>2.9303974929902686E-2</c:v>
                </c:pt>
                <c:pt idx="8">
                  <c:v>5.5411512452581226E-2</c:v>
                </c:pt>
                <c:pt idx="9">
                  <c:v>6.4469184672054536E-2</c:v>
                </c:pt>
                <c:pt idx="10">
                  <c:v>7.4059596459398552E-2</c:v>
                </c:pt>
                <c:pt idx="11">
                  <c:v>9.9101654846335693E-2</c:v>
                </c:pt>
                <c:pt idx="12">
                  <c:v>0.11508549123096377</c:v>
                </c:pt>
                <c:pt idx="13">
                  <c:v>0.14811974270163286</c:v>
                </c:pt>
                <c:pt idx="14">
                  <c:v>0.15504590686678763</c:v>
                </c:pt>
                <c:pt idx="15">
                  <c:v>0.16676782670845017</c:v>
                </c:pt>
                <c:pt idx="16">
                  <c:v>0.17848919676727693</c:v>
                </c:pt>
                <c:pt idx="17">
                  <c:v>0.19820330969267139</c:v>
                </c:pt>
                <c:pt idx="18">
                  <c:v>0.21631865413161802</c:v>
                </c:pt>
                <c:pt idx="19">
                  <c:v>0.2323024905162461</c:v>
                </c:pt>
                <c:pt idx="20">
                  <c:v>0.24828687668370991</c:v>
                </c:pt>
                <c:pt idx="21">
                  <c:v>0.26586893177195009</c:v>
                </c:pt>
                <c:pt idx="22">
                  <c:v>0.27812359118148328</c:v>
                </c:pt>
                <c:pt idx="23">
                  <c:v>0.29517345648468857</c:v>
                </c:pt>
                <c:pt idx="24">
                  <c:v>0.30742811589422181</c:v>
                </c:pt>
                <c:pt idx="25">
                  <c:v>0.33992907801418443</c:v>
                </c:pt>
                <c:pt idx="26">
                  <c:v>0.35218318764088186</c:v>
                </c:pt>
                <c:pt idx="27">
                  <c:v>0.36550332618615639</c:v>
                </c:pt>
                <c:pt idx="28">
                  <c:v>0.38841387651877513</c:v>
                </c:pt>
                <c:pt idx="29">
                  <c:v>0.40652922095772176</c:v>
                </c:pt>
                <c:pt idx="30">
                  <c:v>0.42357908626092694</c:v>
                </c:pt>
                <c:pt idx="31">
                  <c:v>0.44222717026774422</c:v>
                </c:pt>
                <c:pt idx="32">
                  <c:v>0.44915388421573477</c:v>
                </c:pt>
                <c:pt idx="33">
                  <c:v>0.45235032162295896</c:v>
                </c:pt>
                <c:pt idx="34">
                  <c:v>0.46247402276100941</c:v>
                </c:pt>
                <c:pt idx="35">
                  <c:v>0.48058936719995604</c:v>
                </c:pt>
                <c:pt idx="36">
                  <c:v>0.49284347682665347</c:v>
                </c:pt>
                <c:pt idx="37">
                  <c:v>0.51415580845566</c:v>
                </c:pt>
                <c:pt idx="38">
                  <c:v>0.53919786684259718</c:v>
                </c:pt>
                <c:pt idx="39">
                  <c:v>0.54505855187201058</c:v>
                </c:pt>
                <c:pt idx="40">
                  <c:v>0.56690307328605205</c:v>
                </c:pt>
                <c:pt idx="41">
                  <c:v>0.57915773269558535</c:v>
                </c:pt>
                <c:pt idx="42">
                  <c:v>0.59727307713453193</c:v>
                </c:pt>
                <c:pt idx="43">
                  <c:v>0.61112760459618454</c:v>
                </c:pt>
                <c:pt idx="44">
                  <c:v>0.63137060860959926</c:v>
                </c:pt>
                <c:pt idx="45">
                  <c:v>0.63936445104183848</c:v>
                </c:pt>
                <c:pt idx="46">
                  <c:v>0.65641321677937214</c:v>
                </c:pt>
                <c:pt idx="47">
                  <c:v>0.66973445489031835</c:v>
                </c:pt>
                <c:pt idx="48">
                  <c:v>0.67133432294243767</c:v>
                </c:pt>
                <c:pt idx="49">
                  <c:v>0.65801308483149157</c:v>
                </c:pt>
                <c:pt idx="50">
                  <c:v>0.65747979548078506</c:v>
                </c:pt>
                <c:pt idx="51">
                  <c:v>0.66120732310737251</c:v>
                </c:pt>
                <c:pt idx="52">
                  <c:v>0.67772829732255757</c:v>
                </c:pt>
                <c:pt idx="53">
                  <c:v>0.69051624608279727</c:v>
                </c:pt>
                <c:pt idx="54">
                  <c:v>0.7048985650667986</c:v>
                </c:pt>
                <c:pt idx="55">
                  <c:v>0.68678322062785191</c:v>
                </c:pt>
                <c:pt idx="56">
                  <c:v>0.69477706306009124</c:v>
                </c:pt>
                <c:pt idx="57">
                  <c:v>0.71555335642421236</c:v>
                </c:pt>
                <c:pt idx="58">
                  <c:v>0.71875309252845132</c:v>
                </c:pt>
                <c:pt idx="59">
                  <c:v>0.74006267524327907</c:v>
                </c:pt>
                <c:pt idx="60">
                  <c:v>0.75178404530210563</c:v>
                </c:pt>
                <c:pt idx="61">
                  <c:v>0.74965638572763749</c:v>
                </c:pt>
                <c:pt idx="62">
                  <c:v>0.74379570069822409</c:v>
                </c:pt>
                <c:pt idx="63">
                  <c:v>0.77256583649458466</c:v>
                </c:pt>
                <c:pt idx="64">
                  <c:v>0.77895981087470445</c:v>
                </c:pt>
                <c:pt idx="65">
                  <c:v>0.78748694265765018</c:v>
                </c:pt>
                <c:pt idx="66">
                  <c:v>0.79121447028423775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68-477B-A29A-4583EAA030F2}"/>
            </c:ext>
          </c:extLst>
        </c:ser>
        <c:ser>
          <c:idx val="1"/>
          <c:order val="1"/>
          <c:tx>
            <c:v>OLT3-11</c:v>
          </c:tx>
          <c:spPr>
            <a:ln w="25400">
              <a:noFill/>
            </a:ln>
          </c:spPr>
          <c:marker>
            <c:symbol val="square"/>
            <c:size val="2"/>
            <c:spPr>
              <a:ln>
                <a:solidFill>
                  <a:schemeClr val="accent2"/>
                </a:solidFill>
              </a:ln>
            </c:spPr>
          </c:marker>
          <c:xVal>
            <c:numRef>
              <c:f>'OLT3-1'!$X$5:$X$71</c:f>
              <c:numCache>
                <c:formatCode>General</c:formatCode>
                <c:ptCount val="67"/>
                <c:pt idx="0">
                  <c:v>0</c:v>
                </c:pt>
                <c:pt idx="1">
                  <c:v>-3.3518700000000001E-5</c:v>
                </c:pt>
                <c:pt idx="2">
                  <c:v>-2.6989300000000001E-6</c:v>
                </c:pt>
                <c:pt idx="3">
                  <c:v>1.09941E-4</c:v>
                </c:pt>
                <c:pt idx="4">
                  <c:v>9.1708399999999998E-5</c:v>
                </c:pt>
                <c:pt idx="5">
                  <c:v>1.7552799999999999E-4</c:v>
                </c:pt>
                <c:pt idx="6">
                  <c:v>2.5133499999999999E-4</c:v>
                </c:pt>
                <c:pt idx="7">
                  <c:v>2.92341E-4</c:v>
                </c:pt>
                <c:pt idx="8">
                  <c:v>3.69852E-4</c:v>
                </c:pt>
                <c:pt idx="9">
                  <c:v>4.2787800000000003E-4</c:v>
                </c:pt>
                <c:pt idx="10">
                  <c:v>4.4806799999999998E-4</c:v>
                </c:pt>
                <c:pt idx="11">
                  <c:v>5.7217699999999999E-4</c:v>
                </c:pt>
                <c:pt idx="12">
                  <c:v>5.8365200000000004E-4</c:v>
                </c:pt>
                <c:pt idx="13">
                  <c:v>6.6584999999999995E-4</c:v>
                </c:pt>
                <c:pt idx="14">
                  <c:v>7.8674500000000004E-4</c:v>
                </c:pt>
                <c:pt idx="15">
                  <c:v>8.6353700000000005E-4</c:v>
                </c:pt>
                <c:pt idx="16">
                  <c:v>9.0667199999999997E-4</c:v>
                </c:pt>
                <c:pt idx="17">
                  <c:v>9.8279899999999991E-4</c:v>
                </c:pt>
                <c:pt idx="18">
                  <c:v>1.08544E-3</c:v>
                </c:pt>
                <c:pt idx="19">
                  <c:v>1.1618500000000001E-3</c:v>
                </c:pt>
                <c:pt idx="20">
                  <c:v>1.2215800000000001E-3</c:v>
                </c:pt>
                <c:pt idx="21">
                  <c:v>1.33208E-3</c:v>
                </c:pt>
                <c:pt idx="22">
                  <c:v>1.38152E-3</c:v>
                </c:pt>
                <c:pt idx="23">
                  <c:v>1.4896899999999999E-3</c:v>
                </c:pt>
                <c:pt idx="24">
                  <c:v>1.53257E-3</c:v>
                </c:pt>
                <c:pt idx="25">
                  <c:v>1.68483E-3</c:v>
                </c:pt>
                <c:pt idx="26">
                  <c:v>1.8529099999999999E-3</c:v>
                </c:pt>
                <c:pt idx="27">
                  <c:v>1.92179E-3</c:v>
                </c:pt>
                <c:pt idx="28">
                  <c:v>1.9205299999999999E-3</c:v>
                </c:pt>
                <c:pt idx="29">
                  <c:v>2.1019400000000001E-3</c:v>
                </c:pt>
                <c:pt idx="30">
                  <c:v>2.2536000000000001E-3</c:v>
                </c:pt>
                <c:pt idx="31">
                  <c:v>2.39339E-3</c:v>
                </c:pt>
                <c:pt idx="32">
                  <c:v>2.38309E-3</c:v>
                </c:pt>
                <c:pt idx="33">
                  <c:v>2.3891400000000001E-3</c:v>
                </c:pt>
                <c:pt idx="34">
                  <c:v>2.5949900000000001E-3</c:v>
                </c:pt>
                <c:pt idx="35">
                  <c:v>2.6543500000000002E-3</c:v>
                </c:pt>
                <c:pt idx="36">
                  <c:v>2.7830200000000002E-3</c:v>
                </c:pt>
                <c:pt idx="37">
                  <c:v>2.87966E-3</c:v>
                </c:pt>
                <c:pt idx="38">
                  <c:v>3.09574E-3</c:v>
                </c:pt>
                <c:pt idx="39">
                  <c:v>3.27728E-3</c:v>
                </c:pt>
                <c:pt idx="40">
                  <c:v>3.3901999999999999E-3</c:v>
                </c:pt>
                <c:pt idx="41">
                  <c:v>3.5288199999999998E-3</c:v>
                </c:pt>
                <c:pt idx="42">
                  <c:v>3.78408E-3</c:v>
                </c:pt>
                <c:pt idx="43">
                  <c:v>3.91267E-3</c:v>
                </c:pt>
                <c:pt idx="44">
                  <c:v>4.0665400000000004E-3</c:v>
                </c:pt>
                <c:pt idx="45">
                  <c:v>4.2353800000000004E-3</c:v>
                </c:pt>
                <c:pt idx="46">
                  <c:v>4.3706500000000002E-3</c:v>
                </c:pt>
                <c:pt idx="47">
                  <c:v>4.62832E-3</c:v>
                </c:pt>
                <c:pt idx="48">
                  <c:v>4.7808E-3</c:v>
                </c:pt>
                <c:pt idx="49">
                  <c:v>5.0347500000000002E-3</c:v>
                </c:pt>
                <c:pt idx="50">
                  <c:v>5.03712E-3</c:v>
                </c:pt>
                <c:pt idx="51">
                  <c:v>5.2802200000000004E-3</c:v>
                </c:pt>
                <c:pt idx="52">
                  <c:v>5.57107E-3</c:v>
                </c:pt>
                <c:pt idx="53">
                  <c:v>5.9241299999999997E-3</c:v>
                </c:pt>
                <c:pt idx="54">
                  <c:v>6.3250499999999996E-3</c:v>
                </c:pt>
                <c:pt idx="55">
                  <c:v>6.5231000000000004E-3</c:v>
                </c:pt>
                <c:pt idx="56">
                  <c:v>6.9012400000000003E-3</c:v>
                </c:pt>
                <c:pt idx="57">
                  <c:v>7.2597599999999997E-3</c:v>
                </c:pt>
                <c:pt idx="58">
                  <c:v>7.4091599999999997E-3</c:v>
                </c:pt>
                <c:pt idx="59">
                  <c:v>7.9885700000000004E-3</c:v>
                </c:pt>
                <c:pt idx="60">
                  <c:v>8.2092799999999994E-3</c:v>
                </c:pt>
                <c:pt idx="61">
                  <c:v>8.2958300000000006E-3</c:v>
                </c:pt>
                <c:pt idx="62">
                  <c:v>8.4394499999999994E-3</c:v>
                </c:pt>
                <c:pt idx="63">
                  <c:v>9.2989500000000003E-3</c:v>
                </c:pt>
                <c:pt idx="64">
                  <c:v>9.4739300000000002E-3</c:v>
                </c:pt>
                <c:pt idx="65">
                  <c:v>9.5268999999999996E-3</c:v>
                </c:pt>
                <c:pt idx="66">
                  <c:v>9.56101E-3</c:v>
                </c:pt>
              </c:numCache>
            </c:numRef>
          </c:xVal>
          <c:yVal>
            <c:numRef>
              <c:f>'OLT3-1'!$V$5:$V$71</c:f>
              <c:numCache>
                <c:formatCode>General</c:formatCode>
                <c:ptCount val="67"/>
                <c:pt idx="0">
                  <c:v>-4.7419319368849307E-2</c:v>
                </c:pt>
                <c:pt idx="1">
                  <c:v>-5.2747814613227771E-2</c:v>
                </c:pt>
                <c:pt idx="2">
                  <c:v>-4.6353840233107922E-2</c:v>
                </c:pt>
                <c:pt idx="3">
                  <c:v>-3.0902743416350541E-2</c:v>
                </c:pt>
                <c:pt idx="4">
                  <c:v>-1.7049865303205233E-2</c:v>
                </c:pt>
                <c:pt idx="5">
                  <c:v>-2.1309582714827643E-3</c:v>
                </c:pt>
                <c:pt idx="6">
                  <c:v>2.1312331629006542E-2</c:v>
                </c:pt>
                <c:pt idx="7">
                  <c:v>2.9303974929902686E-2</c:v>
                </c:pt>
                <c:pt idx="8">
                  <c:v>5.5411512452581226E-2</c:v>
                </c:pt>
                <c:pt idx="9">
                  <c:v>6.4469184672054536E-2</c:v>
                </c:pt>
                <c:pt idx="10">
                  <c:v>7.4059596459398552E-2</c:v>
                </c:pt>
                <c:pt idx="11">
                  <c:v>9.9101654846335693E-2</c:v>
                </c:pt>
                <c:pt idx="12">
                  <c:v>0.11508549123096377</c:v>
                </c:pt>
                <c:pt idx="13">
                  <c:v>0.14811974270163286</c:v>
                </c:pt>
                <c:pt idx="14">
                  <c:v>0.15504590686678763</c:v>
                </c:pt>
                <c:pt idx="15">
                  <c:v>0.16676782670845017</c:v>
                </c:pt>
                <c:pt idx="16">
                  <c:v>0.17848919676727693</c:v>
                </c:pt>
                <c:pt idx="17">
                  <c:v>0.19820330969267139</c:v>
                </c:pt>
                <c:pt idx="18">
                  <c:v>0.21631865413161802</c:v>
                </c:pt>
                <c:pt idx="19">
                  <c:v>0.2323024905162461</c:v>
                </c:pt>
                <c:pt idx="20">
                  <c:v>0.24828687668370991</c:v>
                </c:pt>
                <c:pt idx="21">
                  <c:v>0.26586893177195009</c:v>
                </c:pt>
                <c:pt idx="22">
                  <c:v>0.27812359118148328</c:v>
                </c:pt>
                <c:pt idx="23">
                  <c:v>0.29517345648468857</c:v>
                </c:pt>
                <c:pt idx="24">
                  <c:v>0.30742811589422181</c:v>
                </c:pt>
                <c:pt idx="25">
                  <c:v>0.33992907801418443</c:v>
                </c:pt>
                <c:pt idx="26">
                  <c:v>0.35218318764088186</c:v>
                </c:pt>
                <c:pt idx="27">
                  <c:v>0.36550332618615639</c:v>
                </c:pt>
                <c:pt idx="28">
                  <c:v>0.38841387651877513</c:v>
                </c:pt>
                <c:pt idx="29">
                  <c:v>0.40652922095772176</c:v>
                </c:pt>
                <c:pt idx="30">
                  <c:v>0.42357908626092694</c:v>
                </c:pt>
                <c:pt idx="31">
                  <c:v>0.44222717026774422</c:v>
                </c:pt>
                <c:pt idx="32">
                  <c:v>0.44915388421573477</c:v>
                </c:pt>
                <c:pt idx="33">
                  <c:v>0.45235032162295896</c:v>
                </c:pt>
                <c:pt idx="34">
                  <c:v>0.46247402276100941</c:v>
                </c:pt>
                <c:pt idx="35">
                  <c:v>0.48058936719995604</c:v>
                </c:pt>
                <c:pt idx="36">
                  <c:v>0.49284347682665347</c:v>
                </c:pt>
                <c:pt idx="37">
                  <c:v>0.51415580845566</c:v>
                </c:pt>
                <c:pt idx="38">
                  <c:v>0.53919786684259718</c:v>
                </c:pt>
                <c:pt idx="39">
                  <c:v>0.54505855187201058</c:v>
                </c:pt>
                <c:pt idx="40">
                  <c:v>0.56690307328605205</c:v>
                </c:pt>
                <c:pt idx="41">
                  <c:v>0.57915773269558535</c:v>
                </c:pt>
                <c:pt idx="42">
                  <c:v>0.59727307713453193</c:v>
                </c:pt>
                <c:pt idx="43">
                  <c:v>0.61112760459618454</c:v>
                </c:pt>
                <c:pt idx="44">
                  <c:v>0.63137060860959926</c:v>
                </c:pt>
                <c:pt idx="45">
                  <c:v>0.63936445104183848</c:v>
                </c:pt>
                <c:pt idx="46">
                  <c:v>0.65641321677937214</c:v>
                </c:pt>
                <c:pt idx="47">
                  <c:v>0.66973445489031835</c:v>
                </c:pt>
                <c:pt idx="48">
                  <c:v>0.67133432294243767</c:v>
                </c:pt>
                <c:pt idx="49">
                  <c:v>0.65801308483149157</c:v>
                </c:pt>
                <c:pt idx="50">
                  <c:v>0.65747979548078506</c:v>
                </c:pt>
                <c:pt idx="51">
                  <c:v>0.66120732310737251</c:v>
                </c:pt>
                <c:pt idx="52">
                  <c:v>0.67772829732255757</c:v>
                </c:pt>
                <c:pt idx="53">
                  <c:v>0.69051624608279727</c:v>
                </c:pt>
                <c:pt idx="54">
                  <c:v>0.7048985650667986</c:v>
                </c:pt>
                <c:pt idx="55">
                  <c:v>0.68678322062785191</c:v>
                </c:pt>
                <c:pt idx="56">
                  <c:v>0.69477706306009124</c:v>
                </c:pt>
                <c:pt idx="57">
                  <c:v>0.71555335642421236</c:v>
                </c:pt>
                <c:pt idx="58">
                  <c:v>0.71875309252845132</c:v>
                </c:pt>
                <c:pt idx="59">
                  <c:v>0.74006267524327907</c:v>
                </c:pt>
                <c:pt idx="60">
                  <c:v>0.75178404530210563</c:v>
                </c:pt>
                <c:pt idx="61">
                  <c:v>0.74965638572763749</c:v>
                </c:pt>
                <c:pt idx="62">
                  <c:v>0.74379570069822409</c:v>
                </c:pt>
                <c:pt idx="63">
                  <c:v>0.77256583649458466</c:v>
                </c:pt>
                <c:pt idx="64">
                  <c:v>0.77895981087470445</c:v>
                </c:pt>
                <c:pt idx="65">
                  <c:v>0.78748694265765018</c:v>
                </c:pt>
                <c:pt idx="66">
                  <c:v>0.79121447028423775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68-477B-A29A-4583EAA030F2}"/>
            </c:ext>
          </c:extLst>
        </c:ser>
        <c:ser>
          <c:idx val="0"/>
          <c:order val="2"/>
          <c:tx>
            <c:v>OLT3-12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'OLT3-1'!$Y$5:$Y$71</c:f>
              <c:numCache>
                <c:formatCode>General</c:formatCode>
                <c:ptCount val="67"/>
                <c:pt idx="0">
                  <c:v>0</c:v>
                </c:pt>
                <c:pt idx="1">
                  <c:v>-2.2430899999999999E-5</c:v>
                </c:pt>
                <c:pt idx="2">
                  <c:v>1.21931E-5</c:v>
                </c:pt>
                <c:pt idx="3">
                  <c:v>1.10882E-4</c:v>
                </c:pt>
                <c:pt idx="4">
                  <c:v>8.7452000000000002E-5</c:v>
                </c:pt>
                <c:pt idx="5">
                  <c:v>1.85861E-4</c:v>
                </c:pt>
                <c:pt idx="6">
                  <c:v>2.6665599999999999E-4</c:v>
                </c:pt>
                <c:pt idx="7">
                  <c:v>3.0536300000000001E-4</c:v>
                </c:pt>
                <c:pt idx="8">
                  <c:v>3.8696500000000002E-4</c:v>
                </c:pt>
                <c:pt idx="9">
                  <c:v>4.5991400000000002E-4</c:v>
                </c:pt>
                <c:pt idx="10">
                  <c:v>4.6847600000000001E-4</c:v>
                </c:pt>
                <c:pt idx="11">
                  <c:v>5.9094200000000001E-4</c:v>
                </c:pt>
                <c:pt idx="12">
                  <c:v>6.1129700000000001E-4</c:v>
                </c:pt>
                <c:pt idx="13">
                  <c:v>6.7632100000000002E-4</c:v>
                </c:pt>
                <c:pt idx="14">
                  <c:v>8.1096399999999996E-4</c:v>
                </c:pt>
                <c:pt idx="15">
                  <c:v>8.7930699999999996E-4</c:v>
                </c:pt>
                <c:pt idx="16">
                  <c:v>9.0334900000000001E-4</c:v>
                </c:pt>
                <c:pt idx="17">
                  <c:v>9.8485700000000001E-4</c:v>
                </c:pt>
                <c:pt idx="18">
                  <c:v>1.0877E-3</c:v>
                </c:pt>
                <c:pt idx="19">
                  <c:v>1.1524199999999999E-3</c:v>
                </c:pt>
                <c:pt idx="20">
                  <c:v>1.21083E-3</c:v>
                </c:pt>
                <c:pt idx="21">
                  <c:v>1.3096399999999999E-3</c:v>
                </c:pt>
                <c:pt idx="22">
                  <c:v>1.33686E-3</c:v>
                </c:pt>
                <c:pt idx="23">
                  <c:v>1.45006E-3</c:v>
                </c:pt>
                <c:pt idx="24">
                  <c:v>1.46075E-3</c:v>
                </c:pt>
                <c:pt idx="25">
                  <c:v>1.6218700000000001E-3</c:v>
                </c:pt>
                <c:pt idx="26">
                  <c:v>1.7901499999999999E-3</c:v>
                </c:pt>
                <c:pt idx="27">
                  <c:v>1.8507199999999999E-3</c:v>
                </c:pt>
                <c:pt idx="28">
                  <c:v>1.8063300000000001E-3</c:v>
                </c:pt>
                <c:pt idx="29">
                  <c:v>1.9992999999999999E-3</c:v>
                </c:pt>
                <c:pt idx="30">
                  <c:v>2.1336200000000001E-3</c:v>
                </c:pt>
                <c:pt idx="31">
                  <c:v>2.2623000000000001E-3</c:v>
                </c:pt>
                <c:pt idx="32">
                  <c:v>2.2526999999999998E-3</c:v>
                </c:pt>
                <c:pt idx="33">
                  <c:v>2.2389100000000002E-3</c:v>
                </c:pt>
                <c:pt idx="34">
                  <c:v>2.4539399999999999E-3</c:v>
                </c:pt>
                <c:pt idx="35">
                  <c:v>2.4775800000000001E-3</c:v>
                </c:pt>
                <c:pt idx="36">
                  <c:v>2.6074399999999999E-3</c:v>
                </c:pt>
                <c:pt idx="37">
                  <c:v>2.6908800000000001E-3</c:v>
                </c:pt>
                <c:pt idx="38">
                  <c:v>2.8655999999999998E-3</c:v>
                </c:pt>
                <c:pt idx="39">
                  <c:v>3.0327000000000002E-3</c:v>
                </c:pt>
                <c:pt idx="40">
                  <c:v>3.12576E-3</c:v>
                </c:pt>
                <c:pt idx="41">
                  <c:v>3.2234299999999998E-3</c:v>
                </c:pt>
                <c:pt idx="42">
                  <c:v>3.4556299999999999E-3</c:v>
                </c:pt>
                <c:pt idx="43">
                  <c:v>3.55156E-3</c:v>
                </c:pt>
                <c:pt idx="44">
                  <c:v>3.6878000000000002E-3</c:v>
                </c:pt>
                <c:pt idx="45">
                  <c:v>3.82066E-3</c:v>
                </c:pt>
                <c:pt idx="46">
                  <c:v>3.9240100000000003E-3</c:v>
                </c:pt>
                <c:pt idx="47">
                  <c:v>4.16505E-3</c:v>
                </c:pt>
                <c:pt idx="48">
                  <c:v>4.2933199999999998E-3</c:v>
                </c:pt>
                <c:pt idx="49">
                  <c:v>4.5279500000000002E-3</c:v>
                </c:pt>
                <c:pt idx="50">
                  <c:v>4.5190500000000002E-3</c:v>
                </c:pt>
                <c:pt idx="51">
                  <c:v>4.7267799999999999E-3</c:v>
                </c:pt>
                <c:pt idx="52">
                  <c:v>4.96774E-3</c:v>
                </c:pt>
                <c:pt idx="53">
                  <c:v>5.2374300000000004E-3</c:v>
                </c:pt>
                <c:pt idx="54">
                  <c:v>5.5729000000000004E-3</c:v>
                </c:pt>
                <c:pt idx="55">
                  <c:v>5.6884400000000003E-3</c:v>
                </c:pt>
                <c:pt idx="56">
                  <c:v>5.9594000000000001E-3</c:v>
                </c:pt>
                <c:pt idx="57">
                  <c:v>6.2358800000000001E-3</c:v>
                </c:pt>
                <c:pt idx="58">
                  <c:v>6.3353699999999999E-3</c:v>
                </c:pt>
                <c:pt idx="59">
                  <c:v>6.7848300000000004E-3</c:v>
                </c:pt>
                <c:pt idx="60">
                  <c:v>6.9520700000000003E-3</c:v>
                </c:pt>
                <c:pt idx="61">
                  <c:v>7.0146100000000001E-3</c:v>
                </c:pt>
                <c:pt idx="62">
                  <c:v>7.1142100000000002E-3</c:v>
                </c:pt>
                <c:pt idx="63">
                  <c:v>7.7192800000000002E-3</c:v>
                </c:pt>
                <c:pt idx="64">
                  <c:v>7.8576600000000007E-3</c:v>
                </c:pt>
                <c:pt idx="65">
                  <c:v>7.8519799999999997E-3</c:v>
                </c:pt>
                <c:pt idx="66">
                  <c:v>7.8689599999999995E-3</c:v>
                </c:pt>
              </c:numCache>
            </c:numRef>
          </c:xVal>
          <c:yVal>
            <c:numRef>
              <c:f>'OLT3-1'!$V$5:$V$71</c:f>
              <c:numCache>
                <c:formatCode>General</c:formatCode>
                <c:ptCount val="67"/>
                <c:pt idx="0">
                  <c:v>-4.7419319368849307E-2</c:v>
                </c:pt>
                <c:pt idx="1">
                  <c:v>-5.2747814613227771E-2</c:v>
                </c:pt>
                <c:pt idx="2">
                  <c:v>-4.6353840233107922E-2</c:v>
                </c:pt>
                <c:pt idx="3">
                  <c:v>-3.0902743416350541E-2</c:v>
                </c:pt>
                <c:pt idx="4">
                  <c:v>-1.7049865303205233E-2</c:v>
                </c:pt>
                <c:pt idx="5">
                  <c:v>-2.1309582714827643E-3</c:v>
                </c:pt>
                <c:pt idx="6">
                  <c:v>2.1312331629006542E-2</c:v>
                </c:pt>
                <c:pt idx="7">
                  <c:v>2.9303974929902686E-2</c:v>
                </c:pt>
                <c:pt idx="8">
                  <c:v>5.5411512452581226E-2</c:v>
                </c:pt>
                <c:pt idx="9">
                  <c:v>6.4469184672054536E-2</c:v>
                </c:pt>
                <c:pt idx="10">
                  <c:v>7.4059596459398552E-2</c:v>
                </c:pt>
                <c:pt idx="11">
                  <c:v>9.9101654846335693E-2</c:v>
                </c:pt>
                <c:pt idx="12">
                  <c:v>0.11508549123096377</c:v>
                </c:pt>
                <c:pt idx="13">
                  <c:v>0.14811974270163286</c:v>
                </c:pt>
                <c:pt idx="14">
                  <c:v>0.15504590686678763</c:v>
                </c:pt>
                <c:pt idx="15">
                  <c:v>0.16676782670845017</c:v>
                </c:pt>
                <c:pt idx="16">
                  <c:v>0.17848919676727693</c:v>
                </c:pt>
                <c:pt idx="17">
                  <c:v>0.19820330969267139</c:v>
                </c:pt>
                <c:pt idx="18">
                  <c:v>0.21631865413161802</c:v>
                </c:pt>
                <c:pt idx="19">
                  <c:v>0.2323024905162461</c:v>
                </c:pt>
                <c:pt idx="20">
                  <c:v>0.24828687668370991</c:v>
                </c:pt>
                <c:pt idx="21">
                  <c:v>0.26586893177195009</c:v>
                </c:pt>
                <c:pt idx="22">
                  <c:v>0.27812359118148328</c:v>
                </c:pt>
                <c:pt idx="23">
                  <c:v>0.29517345648468857</c:v>
                </c:pt>
                <c:pt idx="24">
                  <c:v>0.30742811589422181</c:v>
                </c:pt>
                <c:pt idx="25">
                  <c:v>0.33992907801418443</c:v>
                </c:pt>
                <c:pt idx="26">
                  <c:v>0.35218318764088186</c:v>
                </c:pt>
                <c:pt idx="27">
                  <c:v>0.36550332618615639</c:v>
                </c:pt>
                <c:pt idx="28">
                  <c:v>0.38841387651877513</c:v>
                </c:pt>
                <c:pt idx="29">
                  <c:v>0.40652922095772176</c:v>
                </c:pt>
                <c:pt idx="30">
                  <c:v>0.42357908626092694</c:v>
                </c:pt>
                <c:pt idx="31">
                  <c:v>0.44222717026774422</c:v>
                </c:pt>
                <c:pt idx="32">
                  <c:v>0.44915388421573477</c:v>
                </c:pt>
                <c:pt idx="33">
                  <c:v>0.45235032162295896</c:v>
                </c:pt>
                <c:pt idx="34">
                  <c:v>0.46247402276100941</c:v>
                </c:pt>
                <c:pt idx="35">
                  <c:v>0.48058936719995604</c:v>
                </c:pt>
                <c:pt idx="36">
                  <c:v>0.49284347682665347</c:v>
                </c:pt>
                <c:pt idx="37">
                  <c:v>0.51415580845566</c:v>
                </c:pt>
                <c:pt idx="38">
                  <c:v>0.53919786684259718</c:v>
                </c:pt>
                <c:pt idx="39">
                  <c:v>0.54505855187201058</c:v>
                </c:pt>
                <c:pt idx="40">
                  <c:v>0.56690307328605205</c:v>
                </c:pt>
                <c:pt idx="41">
                  <c:v>0.57915773269558535</c:v>
                </c:pt>
                <c:pt idx="42">
                  <c:v>0.59727307713453193</c:v>
                </c:pt>
                <c:pt idx="43">
                  <c:v>0.61112760459618454</c:v>
                </c:pt>
                <c:pt idx="44">
                  <c:v>0.63137060860959926</c:v>
                </c:pt>
                <c:pt idx="45">
                  <c:v>0.63936445104183848</c:v>
                </c:pt>
                <c:pt idx="46">
                  <c:v>0.65641321677937214</c:v>
                </c:pt>
                <c:pt idx="47">
                  <c:v>0.66973445489031835</c:v>
                </c:pt>
                <c:pt idx="48">
                  <c:v>0.67133432294243767</c:v>
                </c:pt>
                <c:pt idx="49">
                  <c:v>0.65801308483149157</c:v>
                </c:pt>
                <c:pt idx="50">
                  <c:v>0.65747979548078506</c:v>
                </c:pt>
                <c:pt idx="51">
                  <c:v>0.66120732310737251</c:v>
                </c:pt>
                <c:pt idx="52">
                  <c:v>0.67772829732255757</c:v>
                </c:pt>
                <c:pt idx="53">
                  <c:v>0.69051624608279727</c:v>
                </c:pt>
                <c:pt idx="54">
                  <c:v>0.7048985650667986</c:v>
                </c:pt>
                <c:pt idx="55">
                  <c:v>0.68678322062785191</c:v>
                </c:pt>
                <c:pt idx="56">
                  <c:v>0.69477706306009124</c:v>
                </c:pt>
                <c:pt idx="57">
                  <c:v>0.71555335642421236</c:v>
                </c:pt>
                <c:pt idx="58">
                  <c:v>0.71875309252845132</c:v>
                </c:pt>
                <c:pt idx="59">
                  <c:v>0.74006267524327907</c:v>
                </c:pt>
                <c:pt idx="60">
                  <c:v>0.75178404530210563</c:v>
                </c:pt>
                <c:pt idx="61">
                  <c:v>0.74965638572763749</c:v>
                </c:pt>
                <c:pt idx="62">
                  <c:v>0.74379570069822409</c:v>
                </c:pt>
                <c:pt idx="63">
                  <c:v>0.77256583649458466</c:v>
                </c:pt>
                <c:pt idx="64">
                  <c:v>0.77895981087470445</c:v>
                </c:pt>
                <c:pt idx="65">
                  <c:v>0.78748694265765018</c:v>
                </c:pt>
                <c:pt idx="66">
                  <c:v>0.79121447028423775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68-477B-A29A-4583EAA030F2}"/>
            </c:ext>
          </c:extLst>
        </c:ser>
        <c:ser>
          <c:idx val="3"/>
          <c:order val="3"/>
          <c:tx>
            <c:v>OLT3-13</c:v>
          </c:tx>
          <c:spPr>
            <a:ln w="19050">
              <a:noFill/>
            </a:ln>
          </c:spPr>
          <c:marker>
            <c:symbol val="diamond"/>
            <c:size val="2"/>
          </c:marker>
          <c:xVal>
            <c:numRef>
              <c:f>'OLT3-1'!$Z$5:$Z$71</c:f>
              <c:numCache>
                <c:formatCode>General</c:formatCode>
                <c:ptCount val="67"/>
                <c:pt idx="0">
                  <c:v>0</c:v>
                </c:pt>
                <c:pt idx="1">
                  <c:v>-3.1501100000000002E-5</c:v>
                </c:pt>
                <c:pt idx="2">
                  <c:v>-1.31056E-5</c:v>
                </c:pt>
                <c:pt idx="3">
                  <c:v>1.15587E-4</c:v>
                </c:pt>
                <c:pt idx="4">
                  <c:v>9.7572999999999996E-5</c:v>
                </c:pt>
                <c:pt idx="5">
                  <c:v>1.6168500000000001E-4</c:v>
                </c:pt>
                <c:pt idx="6">
                  <c:v>2.2899699999999999E-4</c:v>
                </c:pt>
                <c:pt idx="7">
                  <c:v>2.5768699999999999E-4</c:v>
                </c:pt>
                <c:pt idx="8">
                  <c:v>3.4257299999999999E-4</c:v>
                </c:pt>
                <c:pt idx="9">
                  <c:v>3.6404100000000001E-4</c:v>
                </c:pt>
                <c:pt idx="10">
                  <c:v>4.0878900000000001E-4</c:v>
                </c:pt>
                <c:pt idx="11">
                  <c:v>5.2738299999999998E-4</c:v>
                </c:pt>
                <c:pt idx="12">
                  <c:v>5.4082299999999995E-4</c:v>
                </c:pt>
                <c:pt idx="13">
                  <c:v>6.5797200000000005E-4</c:v>
                </c:pt>
                <c:pt idx="14">
                  <c:v>7.5735500000000003E-4</c:v>
                </c:pt>
                <c:pt idx="15">
                  <c:v>8.2386600000000003E-4</c:v>
                </c:pt>
                <c:pt idx="16">
                  <c:v>8.70654E-4</c:v>
                </c:pt>
                <c:pt idx="17">
                  <c:v>9.41923E-4</c:v>
                </c:pt>
                <c:pt idx="18">
                  <c:v>1.03224E-3</c:v>
                </c:pt>
                <c:pt idx="19">
                  <c:v>1.0893700000000001E-3</c:v>
                </c:pt>
                <c:pt idx="20">
                  <c:v>1.18407E-3</c:v>
                </c:pt>
                <c:pt idx="21">
                  <c:v>1.27268E-3</c:v>
                </c:pt>
                <c:pt idx="22">
                  <c:v>1.3686900000000001E-3</c:v>
                </c:pt>
                <c:pt idx="23">
                  <c:v>1.45021E-3</c:v>
                </c:pt>
                <c:pt idx="24">
                  <c:v>1.4993999999999999E-3</c:v>
                </c:pt>
                <c:pt idx="25">
                  <c:v>1.6357800000000001E-3</c:v>
                </c:pt>
                <c:pt idx="26">
                  <c:v>1.7837700000000001E-3</c:v>
                </c:pt>
                <c:pt idx="27">
                  <c:v>1.8565700000000001E-3</c:v>
                </c:pt>
                <c:pt idx="28">
                  <c:v>1.9091100000000001E-3</c:v>
                </c:pt>
                <c:pt idx="29">
                  <c:v>2.0414500000000002E-3</c:v>
                </c:pt>
                <c:pt idx="30">
                  <c:v>2.2216699999999998E-3</c:v>
                </c:pt>
                <c:pt idx="31">
                  <c:v>2.34388E-3</c:v>
                </c:pt>
                <c:pt idx="32">
                  <c:v>2.3412300000000001E-3</c:v>
                </c:pt>
                <c:pt idx="33">
                  <c:v>2.3680099999999998E-3</c:v>
                </c:pt>
                <c:pt idx="34">
                  <c:v>2.5262399999999999E-3</c:v>
                </c:pt>
                <c:pt idx="35">
                  <c:v>2.6437499999999998E-3</c:v>
                </c:pt>
                <c:pt idx="36">
                  <c:v>2.7299500000000001E-3</c:v>
                </c:pt>
                <c:pt idx="37">
                  <c:v>2.8418599999999999E-3</c:v>
                </c:pt>
                <c:pt idx="38">
                  <c:v>3.0754100000000002E-3</c:v>
                </c:pt>
                <c:pt idx="39">
                  <c:v>3.2138399999999999E-3</c:v>
                </c:pt>
                <c:pt idx="40">
                  <c:v>3.3406899999999999E-3</c:v>
                </c:pt>
                <c:pt idx="41">
                  <c:v>3.5117799999999999E-3</c:v>
                </c:pt>
                <c:pt idx="42">
                  <c:v>3.71616E-3</c:v>
                </c:pt>
                <c:pt idx="43">
                  <c:v>3.9150900000000004E-3</c:v>
                </c:pt>
                <c:pt idx="44">
                  <c:v>4.0485399999999998E-3</c:v>
                </c:pt>
                <c:pt idx="45">
                  <c:v>4.2055199999999999E-3</c:v>
                </c:pt>
                <c:pt idx="46">
                  <c:v>4.3309899999999998E-3</c:v>
                </c:pt>
                <c:pt idx="47">
                  <c:v>4.6183099999999996E-3</c:v>
                </c:pt>
                <c:pt idx="48">
                  <c:v>4.7483500000000001E-3</c:v>
                </c:pt>
                <c:pt idx="49">
                  <c:v>4.8774999999999999E-3</c:v>
                </c:pt>
                <c:pt idx="50">
                  <c:v>4.8955600000000002E-3</c:v>
                </c:pt>
                <c:pt idx="51">
                  <c:v>5.0963900000000001E-3</c:v>
                </c:pt>
                <c:pt idx="52">
                  <c:v>5.3777299999999998E-3</c:v>
                </c:pt>
                <c:pt idx="53">
                  <c:v>5.7382500000000003E-3</c:v>
                </c:pt>
                <c:pt idx="54">
                  <c:v>6.1108200000000003E-3</c:v>
                </c:pt>
                <c:pt idx="55">
                  <c:v>6.26832E-3</c:v>
                </c:pt>
                <c:pt idx="56">
                  <c:v>6.6035E-3</c:v>
                </c:pt>
                <c:pt idx="57">
                  <c:v>6.8942099999999996E-3</c:v>
                </c:pt>
                <c:pt idx="58">
                  <c:v>7.0503600000000003E-3</c:v>
                </c:pt>
                <c:pt idx="59">
                  <c:v>7.5821200000000004E-3</c:v>
                </c:pt>
                <c:pt idx="60">
                  <c:v>7.7682599999999999E-3</c:v>
                </c:pt>
                <c:pt idx="61">
                  <c:v>7.8437100000000003E-3</c:v>
                </c:pt>
                <c:pt idx="62">
                  <c:v>7.9726599999999995E-3</c:v>
                </c:pt>
                <c:pt idx="63">
                  <c:v>8.7280699999999992E-3</c:v>
                </c:pt>
                <c:pt idx="64">
                  <c:v>8.8803200000000006E-3</c:v>
                </c:pt>
                <c:pt idx="65">
                  <c:v>8.9090599999999999E-3</c:v>
                </c:pt>
                <c:pt idx="66">
                  <c:v>8.9358300000000005E-3</c:v>
                </c:pt>
              </c:numCache>
            </c:numRef>
          </c:xVal>
          <c:yVal>
            <c:numRef>
              <c:f>'OLT3-1'!$V$5:$V$71</c:f>
              <c:numCache>
                <c:formatCode>General</c:formatCode>
                <c:ptCount val="67"/>
                <c:pt idx="0">
                  <c:v>-4.7419319368849307E-2</c:v>
                </c:pt>
                <c:pt idx="1">
                  <c:v>-5.2747814613227771E-2</c:v>
                </c:pt>
                <c:pt idx="2">
                  <c:v>-4.6353840233107922E-2</c:v>
                </c:pt>
                <c:pt idx="3">
                  <c:v>-3.0902743416350541E-2</c:v>
                </c:pt>
                <c:pt idx="4">
                  <c:v>-1.7049865303205233E-2</c:v>
                </c:pt>
                <c:pt idx="5">
                  <c:v>-2.1309582714827643E-3</c:v>
                </c:pt>
                <c:pt idx="6">
                  <c:v>2.1312331629006542E-2</c:v>
                </c:pt>
                <c:pt idx="7">
                  <c:v>2.9303974929902686E-2</c:v>
                </c:pt>
                <c:pt idx="8">
                  <c:v>5.5411512452581226E-2</c:v>
                </c:pt>
                <c:pt idx="9">
                  <c:v>6.4469184672054536E-2</c:v>
                </c:pt>
                <c:pt idx="10">
                  <c:v>7.4059596459398552E-2</c:v>
                </c:pt>
                <c:pt idx="11">
                  <c:v>9.9101654846335693E-2</c:v>
                </c:pt>
                <c:pt idx="12">
                  <c:v>0.11508549123096377</c:v>
                </c:pt>
                <c:pt idx="13">
                  <c:v>0.14811974270163286</c:v>
                </c:pt>
                <c:pt idx="14">
                  <c:v>0.15504590686678763</c:v>
                </c:pt>
                <c:pt idx="15">
                  <c:v>0.16676782670845017</c:v>
                </c:pt>
                <c:pt idx="16">
                  <c:v>0.17848919676727693</c:v>
                </c:pt>
                <c:pt idx="17">
                  <c:v>0.19820330969267139</c:v>
                </c:pt>
                <c:pt idx="18">
                  <c:v>0.21631865413161802</c:v>
                </c:pt>
                <c:pt idx="19">
                  <c:v>0.2323024905162461</c:v>
                </c:pt>
                <c:pt idx="20">
                  <c:v>0.24828687668370991</c:v>
                </c:pt>
                <c:pt idx="21">
                  <c:v>0.26586893177195009</c:v>
                </c:pt>
                <c:pt idx="22">
                  <c:v>0.27812359118148328</c:v>
                </c:pt>
                <c:pt idx="23">
                  <c:v>0.29517345648468857</c:v>
                </c:pt>
                <c:pt idx="24">
                  <c:v>0.30742811589422181</c:v>
                </c:pt>
                <c:pt idx="25">
                  <c:v>0.33992907801418443</c:v>
                </c:pt>
                <c:pt idx="26">
                  <c:v>0.35218318764088186</c:v>
                </c:pt>
                <c:pt idx="27">
                  <c:v>0.36550332618615639</c:v>
                </c:pt>
                <c:pt idx="28">
                  <c:v>0.38841387651877513</c:v>
                </c:pt>
                <c:pt idx="29">
                  <c:v>0.40652922095772176</c:v>
                </c:pt>
                <c:pt idx="30">
                  <c:v>0.42357908626092694</c:v>
                </c:pt>
                <c:pt idx="31">
                  <c:v>0.44222717026774422</c:v>
                </c:pt>
                <c:pt idx="32">
                  <c:v>0.44915388421573477</c:v>
                </c:pt>
                <c:pt idx="33">
                  <c:v>0.45235032162295896</c:v>
                </c:pt>
                <c:pt idx="34">
                  <c:v>0.46247402276100941</c:v>
                </c:pt>
                <c:pt idx="35">
                  <c:v>0.48058936719995604</c:v>
                </c:pt>
                <c:pt idx="36">
                  <c:v>0.49284347682665347</c:v>
                </c:pt>
                <c:pt idx="37">
                  <c:v>0.51415580845566</c:v>
                </c:pt>
                <c:pt idx="38">
                  <c:v>0.53919786684259718</c:v>
                </c:pt>
                <c:pt idx="39">
                  <c:v>0.54505855187201058</c:v>
                </c:pt>
                <c:pt idx="40">
                  <c:v>0.56690307328605205</c:v>
                </c:pt>
                <c:pt idx="41">
                  <c:v>0.57915773269558535</c:v>
                </c:pt>
                <c:pt idx="42">
                  <c:v>0.59727307713453193</c:v>
                </c:pt>
                <c:pt idx="43">
                  <c:v>0.61112760459618454</c:v>
                </c:pt>
                <c:pt idx="44">
                  <c:v>0.63137060860959926</c:v>
                </c:pt>
                <c:pt idx="45">
                  <c:v>0.63936445104183848</c:v>
                </c:pt>
                <c:pt idx="46">
                  <c:v>0.65641321677937214</c:v>
                </c:pt>
                <c:pt idx="47">
                  <c:v>0.66973445489031835</c:v>
                </c:pt>
                <c:pt idx="48">
                  <c:v>0.67133432294243767</c:v>
                </c:pt>
                <c:pt idx="49">
                  <c:v>0.65801308483149157</c:v>
                </c:pt>
                <c:pt idx="50">
                  <c:v>0.65747979548078506</c:v>
                </c:pt>
                <c:pt idx="51">
                  <c:v>0.66120732310737251</c:v>
                </c:pt>
                <c:pt idx="52">
                  <c:v>0.67772829732255757</c:v>
                </c:pt>
                <c:pt idx="53">
                  <c:v>0.69051624608279727</c:v>
                </c:pt>
                <c:pt idx="54">
                  <c:v>0.7048985650667986</c:v>
                </c:pt>
                <c:pt idx="55">
                  <c:v>0.68678322062785191</c:v>
                </c:pt>
                <c:pt idx="56">
                  <c:v>0.69477706306009124</c:v>
                </c:pt>
                <c:pt idx="57">
                  <c:v>0.71555335642421236</c:v>
                </c:pt>
                <c:pt idx="58">
                  <c:v>0.71875309252845132</c:v>
                </c:pt>
                <c:pt idx="59">
                  <c:v>0.74006267524327907</c:v>
                </c:pt>
                <c:pt idx="60">
                  <c:v>0.75178404530210563</c:v>
                </c:pt>
                <c:pt idx="61">
                  <c:v>0.74965638572763749</c:v>
                </c:pt>
                <c:pt idx="62">
                  <c:v>0.74379570069822409</c:v>
                </c:pt>
                <c:pt idx="63">
                  <c:v>0.77256583649458466</c:v>
                </c:pt>
                <c:pt idx="64">
                  <c:v>0.77895981087470445</c:v>
                </c:pt>
                <c:pt idx="65">
                  <c:v>0.78748694265765018</c:v>
                </c:pt>
                <c:pt idx="66">
                  <c:v>0.79121447028423775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68-477B-A29A-4583EAA03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Strain, %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5810356675598074"/>
              <c:y val="0.886206968417754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Stress, MPa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7570586530415977"/>
          <c:y val="0.4081785698372522"/>
          <c:w val="0.17660564604912471"/>
          <c:h val="0.32566521018532468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Tension - transverse direction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516475785063475"/>
          <c:y val="0.14393518518518519"/>
          <c:w val="0.76844632399857438"/>
          <c:h val="0.65922422057696928"/>
        </c:manualLayout>
      </c:layout>
      <c:scatterChart>
        <c:scatterStyle val="lineMarker"/>
        <c:varyColors val="0"/>
        <c:ser>
          <c:idx val="2"/>
          <c:order val="0"/>
          <c:tx>
            <c:v>OLT3-10</c:v>
          </c:tx>
          <c:spPr>
            <a:ln w="25400">
              <a:noFill/>
            </a:ln>
          </c:spPr>
          <c:marker>
            <c:symbol val="diamond"/>
            <c:size val="2"/>
            <c:spPr>
              <a:ln>
                <a:noFill/>
              </a:ln>
            </c:spPr>
          </c:marker>
          <c:xVal>
            <c:numRef>
              <c:f>'OLT3-1'!$W$15:$W$45</c:f>
              <c:numCache>
                <c:formatCode>General</c:formatCode>
                <c:ptCount val="31"/>
                <c:pt idx="0">
                  <c:v>4.3174799999999997E-4</c:v>
                </c:pt>
                <c:pt idx="1">
                  <c:v>5.4588200000000003E-4</c:v>
                </c:pt>
                <c:pt idx="2">
                  <c:v>5.7183699999999995E-4</c:v>
                </c:pt>
                <c:pt idx="3">
                  <c:v>6.62624E-4</c:v>
                </c:pt>
                <c:pt idx="4">
                  <c:v>7.7113099999999999E-4</c:v>
                </c:pt>
                <c:pt idx="5">
                  <c:v>8.5667899999999995E-4</c:v>
                </c:pt>
                <c:pt idx="6">
                  <c:v>8.8909600000000003E-4</c:v>
                </c:pt>
                <c:pt idx="7">
                  <c:v>9.6624500000000002E-4</c:v>
                </c:pt>
                <c:pt idx="8">
                  <c:v>1.06521E-3</c:v>
                </c:pt>
                <c:pt idx="9">
                  <c:v>1.1253299999999999E-3</c:v>
                </c:pt>
                <c:pt idx="10">
                  <c:v>1.2152199999999999E-3</c:v>
                </c:pt>
                <c:pt idx="11">
                  <c:v>1.29721E-3</c:v>
                </c:pt>
                <c:pt idx="12">
                  <c:v>1.37138E-3</c:v>
                </c:pt>
                <c:pt idx="13">
                  <c:v>1.4658E-3</c:v>
                </c:pt>
                <c:pt idx="14">
                  <c:v>1.5180700000000001E-3</c:v>
                </c:pt>
                <c:pt idx="15">
                  <c:v>1.6542499999999999E-3</c:v>
                </c:pt>
                <c:pt idx="16">
                  <c:v>1.81635E-3</c:v>
                </c:pt>
                <c:pt idx="17">
                  <c:v>1.89708E-3</c:v>
                </c:pt>
                <c:pt idx="18">
                  <c:v>1.91281E-3</c:v>
                </c:pt>
                <c:pt idx="19">
                  <c:v>2.07018E-3</c:v>
                </c:pt>
                <c:pt idx="20">
                  <c:v>2.2400300000000001E-3</c:v>
                </c:pt>
                <c:pt idx="21">
                  <c:v>2.3684800000000001E-3</c:v>
                </c:pt>
                <c:pt idx="22">
                  <c:v>2.3534799999999998E-3</c:v>
                </c:pt>
                <c:pt idx="23">
                  <c:v>2.3714600000000001E-3</c:v>
                </c:pt>
                <c:pt idx="24">
                  <c:v>2.55573E-3</c:v>
                </c:pt>
                <c:pt idx="25">
                  <c:v>2.6380900000000001E-3</c:v>
                </c:pt>
                <c:pt idx="26">
                  <c:v>2.75661E-3</c:v>
                </c:pt>
                <c:pt idx="27">
                  <c:v>2.8487600000000001E-3</c:v>
                </c:pt>
                <c:pt idx="28">
                  <c:v>3.07019E-3</c:v>
                </c:pt>
                <c:pt idx="29">
                  <c:v>3.2457100000000002E-3</c:v>
                </c:pt>
                <c:pt idx="30">
                  <c:v>3.3504400000000001E-3</c:v>
                </c:pt>
              </c:numCache>
            </c:numRef>
          </c:xVal>
          <c:yVal>
            <c:numRef>
              <c:f>'OLT3-1'!$V$15:$V$45</c:f>
              <c:numCache>
                <c:formatCode>General</c:formatCode>
                <c:ptCount val="31"/>
                <c:pt idx="0">
                  <c:v>7.4059596459398552E-2</c:v>
                </c:pt>
                <c:pt idx="1">
                  <c:v>9.9101654846335693E-2</c:v>
                </c:pt>
                <c:pt idx="2">
                  <c:v>0.11508549123096377</c:v>
                </c:pt>
                <c:pt idx="3">
                  <c:v>0.14811974270163286</c:v>
                </c:pt>
                <c:pt idx="4">
                  <c:v>0.15504590686678763</c:v>
                </c:pt>
                <c:pt idx="5">
                  <c:v>0.16676782670845017</c:v>
                </c:pt>
                <c:pt idx="6">
                  <c:v>0.17848919676727693</c:v>
                </c:pt>
                <c:pt idx="7">
                  <c:v>0.19820330969267139</c:v>
                </c:pt>
                <c:pt idx="8">
                  <c:v>0.21631865413161802</c:v>
                </c:pt>
                <c:pt idx="9">
                  <c:v>0.2323024905162461</c:v>
                </c:pt>
                <c:pt idx="10">
                  <c:v>0.24828687668370991</c:v>
                </c:pt>
                <c:pt idx="11">
                  <c:v>0.26586893177195009</c:v>
                </c:pt>
                <c:pt idx="12">
                  <c:v>0.27812359118148328</c:v>
                </c:pt>
                <c:pt idx="13">
                  <c:v>0.29517345648468857</c:v>
                </c:pt>
                <c:pt idx="14">
                  <c:v>0.30742811589422181</c:v>
                </c:pt>
                <c:pt idx="15">
                  <c:v>0.33992907801418443</c:v>
                </c:pt>
                <c:pt idx="16">
                  <c:v>0.35218318764088186</c:v>
                </c:pt>
                <c:pt idx="17">
                  <c:v>0.36550332618615639</c:v>
                </c:pt>
                <c:pt idx="18">
                  <c:v>0.38841387651877513</c:v>
                </c:pt>
                <c:pt idx="19">
                  <c:v>0.40652922095772176</c:v>
                </c:pt>
                <c:pt idx="20">
                  <c:v>0.42357908626092694</c:v>
                </c:pt>
                <c:pt idx="21">
                  <c:v>0.44222717026774422</c:v>
                </c:pt>
                <c:pt idx="22">
                  <c:v>0.44915388421573477</c:v>
                </c:pt>
                <c:pt idx="23">
                  <c:v>0.45235032162295896</c:v>
                </c:pt>
                <c:pt idx="24">
                  <c:v>0.46247402276100941</c:v>
                </c:pt>
                <c:pt idx="25">
                  <c:v>0.48058936719995604</c:v>
                </c:pt>
                <c:pt idx="26">
                  <c:v>0.49284347682665347</c:v>
                </c:pt>
                <c:pt idx="27">
                  <c:v>0.51415580845566</c:v>
                </c:pt>
                <c:pt idx="28">
                  <c:v>0.53919786684259718</c:v>
                </c:pt>
                <c:pt idx="29">
                  <c:v>0.54505855187201058</c:v>
                </c:pt>
                <c:pt idx="30">
                  <c:v>0.56690307328605205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C0-4A8C-A727-2806E9BC2C4D}"/>
            </c:ext>
          </c:extLst>
        </c:ser>
        <c:ser>
          <c:idx val="1"/>
          <c:order val="1"/>
          <c:tx>
            <c:v>OLT3-11</c:v>
          </c:tx>
          <c:spPr>
            <a:ln w="25400">
              <a:noFill/>
            </a:ln>
          </c:spPr>
          <c:marker>
            <c:symbol val="square"/>
            <c:size val="2"/>
            <c:spPr>
              <a:ln>
                <a:solidFill>
                  <a:schemeClr val="accent2"/>
                </a:solidFill>
              </a:ln>
            </c:spPr>
          </c:marker>
          <c:xVal>
            <c:numRef>
              <c:f>'OLT3-1'!$X$15:$X$45</c:f>
              <c:numCache>
                <c:formatCode>General</c:formatCode>
                <c:ptCount val="31"/>
                <c:pt idx="0">
                  <c:v>4.4806799999999998E-4</c:v>
                </c:pt>
                <c:pt idx="1">
                  <c:v>5.7217699999999999E-4</c:v>
                </c:pt>
                <c:pt idx="2">
                  <c:v>5.8365200000000004E-4</c:v>
                </c:pt>
                <c:pt idx="3">
                  <c:v>6.6584999999999995E-4</c:v>
                </c:pt>
                <c:pt idx="4">
                  <c:v>7.8674500000000004E-4</c:v>
                </c:pt>
                <c:pt idx="5">
                  <c:v>8.6353700000000005E-4</c:v>
                </c:pt>
                <c:pt idx="6">
                  <c:v>9.0667199999999997E-4</c:v>
                </c:pt>
                <c:pt idx="7">
                  <c:v>9.8279899999999991E-4</c:v>
                </c:pt>
                <c:pt idx="8">
                  <c:v>1.08544E-3</c:v>
                </c:pt>
                <c:pt idx="9">
                  <c:v>1.1618500000000001E-3</c:v>
                </c:pt>
                <c:pt idx="10">
                  <c:v>1.2215800000000001E-3</c:v>
                </c:pt>
                <c:pt idx="11">
                  <c:v>1.33208E-3</c:v>
                </c:pt>
                <c:pt idx="12">
                  <c:v>1.38152E-3</c:v>
                </c:pt>
                <c:pt idx="13">
                  <c:v>1.4896899999999999E-3</c:v>
                </c:pt>
                <c:pt idx="14">
                  <c:v>1.53257E-3</c:v>
                </c:pt>
                <c:pt idx="15">
                  <c:v>1.68483E-3</c:v>
                </c:pt>
                <c:pt idx="16">
                  <c:v>1.8529099999999999E-3</c:v>
                </c:pt>
                <c:pt idx="17">
                  <c:v>1.92179E-3</c:v>
                </c:pt>
                <c:pt idx="18">
                  <c:v>1.9205299999999999E-3</c:v>
                </c:pt>
                <c:pt idx="19">
                  <c:v>2.1019400000000001E-3</c:v>
                </c:pt>
                <c:pt idx="20">
                  <c:v>2.2536000000000001E-3</c:v>
                </c:pt>
                <c:pt idx="21">
                  <c:v>2.39339E-3</c:v>
                </c:pt>
                <c:pt idx="22">
                  <c:v>2.38309E-3</c:v>
                </c:pt>
                <c:pt idx="23">
                  <c:v>2.3891400000000001E-3</c:v>
                </c:pt>
                <c:pt idx="24">
                  <c:v>2.5949900000000001E-3</c:v>
                </c:pt>
                <c:pt idx="25">
                  <c:v>2.6543500000000002E-3</c:v>
                </c:pt>
                <c:pt idx="26">
                  <c:v>2.7830200000000002E-3</c:v>
                </c:pt>
                <c:pt idx="27">
                  <c:v>2.87966E-3</c:v>
                </c:pt>
                <c:pt idx="28">
                  <c:v>3.09574E-3</c:v>
                </c:pt>
                <c:pt idx="29">
                  <c:v>3.27728E-3</c:v>
                </c:pt>
                <c:pt idx="30">
                  <c:v>3.3901999999999999E-3</c:v>
                </c:pt>
              </c:numCache>
            </c:numRef>
          </c:xVal>
          <c:yVal>
            <c:numRef>
              <c:f>'OLT3-1'!$V$15:$V$45</c:f>
              <c:numCache>
                <c:formatCode>General</c:formatCode>
                <c:ptCount val="31"/>
                <c:pt idx="0">
                  <c:v>7.4059596459398552E-2</c:v>
                </c:pt>
                <c:pt idx="1">
                  <c:v>9.9101654846335693E-2</c:v>
                </c:pt>
                <c:pt idx="2">
                  <c:v>0.11508549123096377</c:v>
                </c:pt>
                <c:pt idx="3">
                  <c:v>0.14811974270163286</c:v>
                </c:pt>
                <c:pt idx="4">
                  <c:v>0.15504590686678763</c:v>
                </c:pt>
                <c:pt idx="5">
                  <c:v>0.16676782670845017</c:v>
                </c:pt>
                <c:pt idx="6">
                  <c:v>0.17848919676727693</c:v>
                </c:pt>
                <c:pt idx="7">
                  <c:v>0.19820330969267139</c:v>
                </c:pt>
                <c:pt idx="8">
                  <c:v>0.21631865413161802</c:v>
                </c:pt>
                <c:pt idx="9">
                  <c:v>0.2323024905162461</c:v>
                </c:pt>
                <c:pt idx="10">
                  <c:v>0.24828687668370991</c:v>
                </c:pt>
                <c:pt idx="11">
                  <c:v>0.26586893177195009</c:v>
                </c:pt>
                <c:pt idx="12">
                  <c:v>0.27812359118148328</c:v>
                </c:pt>
                <c:pt idx="13">
                  <c:v>0.29517345648468857</c:v>
                </c:pt>
                <c:pt idx="14">
                  <c:v>0.30742811589422181</c:v>
                </c:pt>
                <c:pt idx="15">
                  <c:v>0.33992907801418443</c:v>
                </c:pt>
                <c:pt idx="16">
                  <c:v>0.35218318764088186</c:v>
                </c:pt>
                <c:pt idx="17">
                  <c:v>0.36550332618615639</c:v>
                </c:pt>
                <c:pt idx="18">
                  <c:v>0.38841387651877513</c:v>
                </c:pt>
                <c:pt idx="19">
                  <c:v>0.40652922095772176</c:v>
                </c:pt>
                <c:pt idx="20">
                  <c:v>0.42357908626092694</c:v>
                </c:pt>
                <c:pt idx="21">
                  <c:v>0.44222717026774422</c:v>
                </c:pt>
                <c:pt idx="22">
                  <c:v>0.44915388421573477</c:v>
                </c:pt>
                <c:pt idx="23">
                  <c:v>0.45235032162295896</c:v>
                </c:pt>
                <c:pt idx="24">
                  <c:v>0.46247402276100941</c:v>
                </c:pt>
                <c:pt idx="25">
                  <c:v>0.48058936719995604</c:v>
                </c:pt>
                <c:pt idx="26">
                  <c:v>0.49284347682665347</c:v>
                </c:pt>
                <c:pt idx="27">
                  <c:v>0.51415580845566</c:v>
                </c:pt>
                <c:pt idx="28">
                  <c:v>0.53919786684259718</c:v>
                </c:pt>
                <c:pt idx="29">
                  <c:v>0.54505855187201058</c:v>
                </c:pt>
                <c:pt idx="30">
                  <c:v>0.56690307328605205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C0-4A8C-A727-2806E9BC2C4D}"/>
            </c:ext>
          </c:extLst>
        </c:ser>
        <c:ser>
          <c:idx val="0"/>
          <c:order val="2"/>
          <c:tx>
            <c:v>OLT3-12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'OLT3-1'!$Y$15:$Y$45</c:f>
              <c:numCache>
                <c:formatCode>General</c:formatCode>
                <c:ptCount val="31"/>
                <c:pt idx="0">
                  <c:v>4.6847600000000001E-4</c:v>
                </c:pt>
                <c:pt idx="1">
                  <c:v>5.9094200000000001E-4</c:v>
                </c:pt>
                <c:pt idx="2">
                  <c:v>6.1129700000000001E-4</c:v>
                </c:pt>
                <c:pt idx="3">
                  <c:v>6.7632100000000002E-4</c:v>
                </c:pt>
                <c:pt idx="4">
                  <c:v>8.1096399999999996E-4</c:v>
                </c:pt>
                <c:pt idx="5">
                  <c:v>8.7930699999999996E-4</c:v>
                </c:pt>
                <c:pt idx="6">
                  <c:v>9.0334900000000001E-4</c:v>
                </c:pt>
                <c:pt idx="7">
                  <c:v>9.8485700000000001E-4</c:v>
                </c:pt>
                <c:pt idx="8">
                  <c:v>1.0877E-3</c:v>
                </c:pt>
                <c:pt idx="9">
                  <c:v>1.1524199999999999E-3</c:v>
                </c:pt>
                <c:pt idx="10">
                  <c:v>1.21083E-3</c:v>
                </c:pt>
                <c:pt idx="11">
                  <c:v>1.3096399999999999E-3</c:v>
                </c:pt>
                <c:pt idx="12">
                  <c:v>1.33686E-3</c:v>
                </c:pt>
                <c:pt idx="13">
                  <c:v>1.45006E-3</c:v>
                </c:pt>
                <c:pt idx="14">
                  <c:v>1.46075E-3</c:v>
                </c:pt>
                <c:pt idx="15">
                  <c:v>1.6218700000000001E-3</c:v>
                </c:pt>
                <c:pt idx="16">
                  <c:v>1.7901499999999999E-3</c:v>
                </c:pt>
                <c:pt idx="17">
                  <c:v>1.8507199999999999E-3</c:v>
                </c:pt>
                <c:pt idx="18">
                  <c:v>1.8063300000000001E-3</c:v>
                </c:pt>
                <c:pt idx="19">
                  <c:v>1.9992999999999999E-3</c:v>
                </c:pt>
                <c:pt idx="20">
                  <c:v>2.1336200000000001E-3</c:v>
                </c:pt>
                <c:pt idx="21">
                  <c:v>2.2623000000000001E-3</c:v>
                </c:pt>
                <c:pt idx="22">
                  <c:v>2.2526999999999998E-3</c:v>
                </c:pt>
                <c:pt idx="23">
                  <c:v>2.2389100000000002E-3</c:v>
                </c:pt>
                <c:pt idx="24">
                  <c:v>2.4539399999999999E-3</c:v>
                </c:pt>
                <c:pt idx="25">
                  <c:v>2.4775800000000001E-3</c:v>
                </c:pt>
                <c:pt idx="26">
                  <c:v>2.6074399999999999E-3</c:v>
                </c:pt>
                <c:pt idx="27">
                  <c:v>2.6908800000000001E-3</c:v>
                </c:pt>
                <c:pt idx="28">
                  <c:v>2.8655999999999998E-3</c:v>
                </c:pt>
                <c:pt idx="29">
                  <c:v>3.0327000000000002E-3</c:v>
                </c:pt>
                <c:pt idx="30">
                  <c:v>3.12576E-3</c:v>
                </c:pt>
              </c:numCache>
            </c:numRef>
          </c:xVal>
          <c:yVal>
            <c:numRef>
              <c:f>'OLT3-1'!$V$15:$V$45</c:f>
              <c:numCache>
                <c:formatCode>General</c:formatCode>
                <c:ptCount val="31"/>
                <c:pt idx="0">
                  <c:v>7.4059596459398552E-2</c:v>
                </c:pt>
                <c:pt idx="1">
                  <c:v>9.9101654846335693E-2</c:v>
                </c:pt>
                <c:pt idx="2">
                  <c:v>0.11508549123096377</c:v>
                </c:pt>
                <c:pt idx="3">
                  <c:v>0.14811974270163286</c:v>
                </c:pt>
                <c:pt idx="4">
                  <c:v>0.15504590686678763</c:v>
                </c:pt>
                <c:pt idx="5">
                  <c:v>0.16676782670845017</c:v>
                </c:pt>
                <c:pt idx="6">
                  <c:v>0.17848919676727693</c:v>
                </c:pt>
                <c:pt idx="7">
                  <c:v>0.19820330969267139</c:v>
                </c:pt>
                <c:pt idx="8">
                  <c:v>0.21631865413161802</c:v>
                </c:pt>
                <c:pt idx="9">
                  <c:v>0.2323024905162461</c:v>
                </c:pt>
                <c:pt idx="10">
                  <c:v>0.24828687668370991</c:v>
                </c:pt>
                <c:pt idx="11">
                  <c:v>0.26586893177195009</c:v>
                </c:pt>
                <c:pt idx="12">
                  <c:v>0.27812359118148328</c:v>
                </c:pt>
                <c:pt idx="13">
                  <c:v>0.29517345648468857</c:v>
                </c:pt>
                <c:pt idx="14">
                  <c:v>0.30742811589422181</c:v>
                </c:pt>
                <c:pt idx="15">
                  <c:v>0.33992907801418443</c:v>
                </c:pt>
                <c:pt idx="16">
                  <c:v>0.35218318764088186</c:v>
                </c:pt>
                <c:pt idx="17">
                  <c:v>0.36550332618615639</c:v>
                </c:pt>
                <c:pt idx="18">
                  <c:v>0.38841387651877513</c:v>
                </c:pt>
                <c:pt idx="19">
                  <c:v>0.40652922095772176</c:v>
                </c:pt>
                <c:pt idx="20">
                  <c:v>0.42357908626092694</c:v>
                </c:pt>
                <c:pt idx="21">
                  <c:v>0.44222717026774422</c:v>
                </c:pt>
                <c:pt idx="22">
                  <c:v>0.44915388421573477</c:v>
                </c:pt>
                <c:pt idx="23">
                  <c:v>0.45235032162295896</c:v>
                </c:pt>
                <c:pt idx="24">
                  <c:v>0.46247402276100941</c:v>
                </c:pt>
                <c:pt idx="25">
                  <c:v>0.48058936719995604</c:v>
                </c:pt>
                <c:pt idx="26">
                  <c:v>0.49284347682665347</c:v>
                </c:pt>
                <c:pt idx="27">
                  <c:v>0.51415580845566</c:v>
                </c:pt>
                <c:pt idx="28">
                  <c:v>0.53919786684259718</c:v>
                </c:pt>
                <c:pt idx="29">
                  <c:v>0.54505855187201058</c:v>
                </c:pt>
                <c:pt idx="30">
                  <c:v>0.56690307328605205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C0-4A8C-A727-2806E9BC2C4D}"/>
            </c:ext>
          </c:extLst>
        </c:ser>
        <c:ser>
          <c:idx val="3"/>
          <c:order val="3"/>
          <c:tx>
            <c:v>OLT3-13</c:v>
          </c:tx>
          <c:spPr>
            <a:ln w="19050">
              <a:noFill/>
            </a:ln>
          </c:spPr>
          <c:marker>
            <c:symbol val="diamond"/>
            <c:size val="2"/>
          </c:marker>
          <c:xVal>
            <c:numRef>
              <c:f>'OLT3-1'!$Z$15:$Z$45</c:f>
              <c:numCache>
                <c:formatCode>General</c:formatCode>
                <c:ptCount val="31"/>
                <c:pt idx="0">
                  <c:v>4.0878900000000001E-4</c:v>
                </c:pt>
                <c:pt idx="1">
                  <c:v>5.2738299999999998E-4</c:v>
                </c:pt>
                <c:pt idx="2">
                  <c:v>5.4082299999999995E-4</c:v>
                </c:pt>
                <c:pt idx="3">
                  <c:v>6.5797200000000005E-4</c:v>
                </c:pt>
                <c:pt idx="4">
                  <c:v>7.5735500000000003E-4</c:v>
                </c:pt>
                <c:pt idx="5">
                  <c:v>8.2386600000000003E-4</c:v>
                </c:pt>
                <c:pt idx="6">
                  <c:v>8.70654E-4</c:v>
                </c:pt>
                <c:pt idx="7">
                  <c:v>9.41923E-4</c:v>
                </c:pt>
                <c:pt idx="8">
                  <c:v>1.03224E-3</c:v>
                </c:pt>
                <c:pt idx="9">
                  <c:v>1.0893700000000001E-3</c:v>
                </c:pt>
                <c:pt idx="10">
                  <c:v>1.18407E-3</c:v>
                </c:pt>
                <c:pt idx="11">
                  <c:v>1.27268E-3</c:v>
                </c:pt>
                <c:pt idx="12">
                  <c:v>1.3686900000000001E-3</c:v>
                </c:pt>
                <c:pt idx="13">
                  <c:v>1.45021E-3</c:v>
                </c:pt>
                <c:pt idx="14">
                  <c:v>1.4993999999999999E-3</c:v>
                </c:pt>
                <c:pt idx="15">
                  <c:v>1.6357800000000001E-3</c:v>
                </c:pt>
                <c:pt idx="16">
                  <c:v>1.7837700000000001E-3</c:v>
                </c:pt>
                <c:pt idx="17">
                  <c:v>1.8565700000000001E-3</c:v>
                </c:pt>
                <c:pt idx="18">
                  <c:v>1.9091100000000001E-3</c:v>
                </c:pt>
                <c:pt idx="19">
                  <c:v>2.0414500000000002E-3</c:v>
                </c:pt>
                <c:pt idx="20">
                  <c:v>2.2216699999999998E-3</c:v>
                </c:pt>
                <c:pt idx="21">
                  <c:v>2.34388E-3</c:v>
                </c:pt>
                <c:pt idx="22">
                  <c:v>2.3412300000000001E-3</c:v>
                </c:pt>
                <c:pt idx="23">
                  <c:v>2.3680099999999998E-3</c:v>
                </c:pt>
                <c:pt idx="24">
                  <c:v>2.5262399999999999E-3</c:v>
                </c:pt>
                <c:pt idx="25">
                  <c:v>2.6437499999999998E-3</c:v>
                </c:pt>
                <c:pt idx="26">
                  <c:v>2.7299500000000001E-3</c:v>
                </c:pt>
                <c:pt idx="27">
                  <c:v>2.8418599999999999E-3</c:v>
                </c:pt>
                <c:pt idx="28">
                  <c:v>3.0754100000000002E-3</c:v>
                </c:pt>
                <c:pt idx="29">
                  <c:v>3.2138399999999999E-3</c:v>
                </c:pt>
                <c:pt idx="30">
                  <c:v>3.3406899999999999E-3</c:v>
                </c:pt>
              </c:numCache>
            </c:numRef>
          </c:xVal>
          <c:yVal>
            <c:numRef>
              <c:f>'OLT3-1'!$V$15:$V$45</c:f>
              <c:numCache>
                <c:formatCode>General</c:formatCode>
                <c:ptCount val="31"/>
                <c:pt idx="0">
                  <c:v>7.4059596459398552E-2</c:v>
                </c:pt>
                <c:pt idx="1">
                  <c:v>9.9101654846335693E-2</c:v>
                </c:pt>
                <c:pt idx="2">
                  <c:v>0.11508549123096377</c:v>
                </c:pt>
                <c:pt idx="3">
                  <c:v>0.14811974270163286</c:v>
                </c:pt>
                <c:pt idx="4">
                  <c:v>0.15504590686678763</c:v>
                </c:pt>
                <c:pt idx="5">
                  <c:v>0.16676782670845017</c:v>
                </c:pt>
                <c:pt idx="6">
                  <c:v>0.17848919676727693</c:v>
                </c:pt>
                <c:pt idx="7">
                  <c:v>0.19820330969267139</c:v>
                </c:pt>
                <c:pt idx="8">
                  <c:v>0.21631865413161802</c:v>
                </c:pt>
                <c:pt idx="9">
                  <c:v>0.2323024905162461</c:v>
                </c:pt>
                <c:pt idx="10">
                  <c:v>0.24828687668370991</c:v>
                </c:pt>
                <c:pt idx="11">
                  <c:v>0.26586893177195009</c:v>
                </c:pt>
                <c:pt idx="12">
                  <c:v>0.27812359118148328</c:v>
                </c:pt>
                <c:pt idx="13">
                  <c:v>0.29517345648468857</c:v>
                </c:pt>
                <c:pt idx="14">
                  <c:v>0.30742811589422181</c:v>
                </c:pt>
                <c:pt idx="15">
                  <c:v>0.33992907801418443</c:v>
                </c:pt>
                <c:pt idx="16">
                  <c:v>0.35218318764088186</c:v>
                </c:pt>
                <c:pt idx="17">
                  <c:v>0.36550332618615639</c:v>
                </c:pt>
                <c:pt idx="18">
                  <c:v>0.38841387651877513</c:v>
                </c:pt>
                <c:pt idx="19">
                  <c:v>0.40652922095772176</c:v>
                </c:pt>
                <c:pt idx="20">
                  <c:v>0.42357908626092694</c:v>
                </c:pt>
                <c:pt idx="21">
                  <c:v>0.44222717026774422</c:v>
                </c:pt>
                <c:pt idx="22">
                  <c:v>0.44915388421573477</c:v>
                </c:pt>
                <c:pt idx="23">
                  <c:v>0.45235032162295896</c:v>
                </c:pt>
                <c:pt idx="24">
                  <c:v>0.46247402276100941</c:v>
                </c:pt>
                <c:pt idx="25">
                  <c:v>0.48058936719995604</c:v>
                </c:pt>
                <c:pt idx="26">
                  <c:v>0.49284347682665347</c:v>
                </c:pt>
                <c:pt idx="27">
                  <c:v>0.51415580845566</c:v>
                </c:pt>
                <c:pt idx="28">
                  <c:v>0.53919786684259718</c:v>
                </c:pt>
                <c:pt idx="29">
                  <c:v>0.54505855187201058</c:v>
                </c:pt>
                <c:pt idx="30">
                  <c:v>0.56690307328605205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C0-4A8C-A727-2806E9BC2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  <c:max val="1.2000000000000002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Strain, %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5810356675598074"/>
              <c:y val="0.886206968417754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  <c:majorUnit val="2.0000000000000005E-3"/>
      </c:valAx>
      <c:valAx>
        <c:axId val="2012385360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Stress, MPa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7570586530415977"/>
          <c:y val="0.4081785698372522"/>
          <c:w val="0.17660564604912471"/>
          <c:h val="0.32566521018532468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Tension - transverse direction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516475785063475"/>
          <c:y val="0.14393518518518519"/>
          <c:w val="0.76844632399857438"/>
          <c:h val="0.65922422057696928"/>
        </c:manualLayout>
      </c:layout>
      <c:scatterChart>
        <c:scatterStyle val="lineMarker"/>
        <c:varyColors val="0"/>
        <c:ser>
          <c:idx val="0"/>
          <c:order val="0"/>
          <c:tx>
            <c:v>OLT3-1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'OLT3-1'!$AA$5:$AA$71</c:f>
              <c:numCache>
                <c:formatCode>General</c:formatCode>
                <c:ptCount val="67"/>
                <c:pt idx="0">
                  <c:v>0</c:v>
                </c:pt>
                <c:pt idx="1">
                  <c:v>-2.8648500000000002E-5</c:v>
                </c:pt>
                <c:pt idx="2">
                  <c:v>-9.430760000000001E-7</c:v>
                </c:pt>
                <c:pt idx="3">
                  <c:v>1.126705E-4</c:v>
                </c:pt>
                <c:pt idx="4">
                  <c:v>9.6504350000000007E-5</c:v>
                </c:pt>
                <c:pt idx="5">
                  <c:v>1.7374550000000001E-4</c:v>
                </c:pt>
                <c:pt idx="6">
                  <c:v>2.4884099999999997E-4</c:v>
                </c:pt>
                <c:pt idx="7">
                  <c:v>2.8501775000000002E-4</c:v>
                </c:pt>
                <c:pt idx="8">
                  <c:v>3.6645625000000001E-4</c:v>
                </c:pt>
                <c:pt idx="9">
                  <c:v>4.1105625000000001E-4</c:v>
                </c:pt>
                <c:pt idx="10">
                  <c:v>4.3927025000000005E-4</c:v>
                </c:pt>
                <c:pt idx="11">
                  <c:v>5.5909600000000003E-4</c:v>
                </c:pt>
                <c:pt idx="12">
                  <c:v>5.7690224999999999E-4</c:v>
                </c:pt>
                <c:pt idx="13">
                  <c:v>6.6569175000000009E-4</c:v>
                </c:pt>
                <c:pt idx="14">
                  <c:v>7.8154875E-4</c:v>
                </c:pt>
                <c:pt idx="15">
                  <c:v>8.5584725000000005E-4</c:v>
                </c:pt>
                <c:pt idx="16">
                  <c:v>8.9244275000000006E-4</c:v>
                </c:pt>
                <c:pt idx="17">
                  <c:v>9.6895599999999998E-4</c:v>
                </c:pt>
                <c:pt idx="18">
                  <c:v>1.0676475000000001E-3</c:v>
                </c:pt>
                <c:pt idx="19">
                  <c:v>1.1322425000000001E-3</c:v>
                </c:pt>
                <c:pt idx="20">
                  <c:v>1.2079250000000001E-3</c:v>
                </c:pt>
                <c:pt idx="21">
                  <c:v>1.3029025000000001E-3</c:v>
                </c:pt>
                <c:pt idx="22">
                  <c:v>1.3646125E-3</c:v>
                </c:pt>
                <c:pt idx="23">
                  <c:v>1.4639399999999999E-3</c:v>
                </c:pt>
                <c:pt idx="24">
                  <c:v>1.5026975000000001E-3</c:v>
                </c:pt>
                <c:pt idx="25">
                  <c:v>1.6491825000000001E-3</c:v>
                </c:pt>
                <c:pt idx="26">
                  <c:v>1.810795E-3</c:v>
                </c:pt>
                <c:pt idx="27">
                  <c:v>1.8815400000000001E-3</c:v>
                </c:pt>
                <c:pt idx="28">
                  <c:v>1.8871950000000001E-3</c:v>
                </c:pt>
                <c:pt idx="29">
                  <c:v>2.0532175000000001E-3</c:v>
                </c:pt>
                <c:pt idx="30">
                  <c:v>2.2122299999999999E-3</c:v>
                </c:pt>
                <c:pt idx="31">
                  <c:v>2.3420124999999998E-3</c:v>
                </c:pt>
                <c:pt idx="32">
                  <c:v>2.3326250000000001E-3</c:v>
                </c:pt>
                <c:pt idx="33">
                  <c:v>2.3418800000000002E-3</c:v>
                </c:pt>
                <c:pt idx="34">
                  <c:v>2.532725E-3</c:v>
                </c:pt>
                <c:pt idx="35">
                  <c:v>2.6034425000000003E-3</c:v>
                </c:pt>
                <c:pt idx="36">
                  <c:v>2.7192549999999998E-3</c:v>
                </c:pt>
                <c:pt idx="37">
                  <c:v>2.8152899999999998E-3</c:v>
                </c:pt>
                <c:pt idx="38">
                  <c:v>3.026735E-3</c:v>
                </c:pt>
                <c:pt idx="39">
                  <c:v>3.1923825000000003E-3</c:v>
                </c:pt>
                <c:pt idx="40">
                  <c:v>3.3017725000000003E-3</c:v>
                </c:pt>
                <c:pt idx="41">
                  <c:v>3.4472525000000002E-3</c:v>
                </c:pt>
                <c:pt idx="42">
                  <c:v>3.6775799999999997E-3</c:v>
                </c:pt>
                <c:pt idx="43">
                  <c:v>3.8265450000000006E-3</c:v>
                </c:pt>
                <c:pt idx="44">
                  <c:v>3.9680475000000003E-3</c:v>
                </c:pt>
                <c:pt idx="45">
                  <c:v>4.1240025000000005E-3</c:v>
                </c:pt>
                <c:pt idx="46">
                  <c:v>4.2530599999999995E-3</c:v>
                </c:pt>
                <c:pt idx="47">
                  <c:v>4.5152174999999999E-3</c:v>
                </c:pt>
                <c:pt idx="48">
                  <c:v>4.6583500000000003E-3</c:v>
                </c:pt>
                <c:pt idx="49">
                  <c:v>4.8680025000000004E-3</c:v>
                </c:pt>
                <c:pt idx="50">
                  <c:v>4.8729625000000004E-3</c:v>
                </c:pt>
                <c:pt idx="51">
                  <c:v>5.0965875000000002E-3</c:v>
                </c:pt>
                <c:pt idx="52">
                  <c:v>5.3728800000000009E-3</c:v>
                </c:pt>
                <c:pt idx="53">
                  <c:v>5.7100524999999999E-3</c:v>
                </c:pt>
                <c:pt idx="54">
                  <c:v>6.0769999999999999E-3</c:v>
                </c:pt>
                <c:pt idx="55">
                  <c:v>6.23458E-3</c:v>
                </c:pt>
                <c:pt idx="56">
                  <c:v>6.5627724999999994E-3</c:v>
                </c:pt>
                <c:pt idx="57">
                  <c:v>6.8723875000000004E-3</c:v>
                </c:pt>
                <c:pt idx="58">
                  <c:v>7.0126700000000004E-3</c:v>
                </c:pt>
                <c:pt idx="59">
                  <c:v>7.540685000000001E-3</c:v>
                </c:pt>
                <c:pt idx="60">
                  <c:v>7.7358925E-3</c:v>
                </c:pt>
                <c:pt idx="61">
                  <c:v>7.8121425000000008E-3</c:v>
                </c:pt>
                <c:pt idx="62">
                  <c:v>7.9402150000000005E-3</c:v>
                </c:pt>
                <c:pt idx="63">
                  <c:v>8.6976225000000001E-3</c:v>
                </c:pt>
                <c:pt idx="64">
                  <c:v>8.8533325000000017E-3</c:v>
                </c:pt>
                <c:pt idx="65">
                  <c:v>8.8850575000000015E-3</c:v>
                </c:pt>
                <c:pt idx="66">
                  <c:v>8.9131374999999995E-3</c:v>
                </c:pt>
              </c:numCache>
            </c:numRef>
          </c:xVal>
          <c:yVal>
            <c:numRef>
              <c:f>'OLT3-1'!$V$5:$V$71</c:f>
              <c:numCache>
                <c:formatCode>General</c:formatCode>
                <c:ptCount val="67"/>
                <c:pt idx="0">
                  <c:v>-4.7419319368849307E-2</c:v>
                </c:pt>
                <c:pt idx="1">
                  <c:v>-5.2747814613227771E-2</c:v>
                </c:pt>
                <c:pt idx="2">
                  <c:v>-4.6353840233107922E-2</c:v>
                </c:pt>
                <c:pt idx="3">
                  <c:v>-3.0902743416350541E-2</c:v>
                </c:pt>
                <c:pt idx="4">
                  <c:v>-1.7049865303205233E-2</c:v>
                </c:pt>
                <c:pt idx="5">
                  <c:v>-2.1309582714827643E-3</c:v>
                </c:pt>
                <c:pt idx="6">
                  <c:v>2.1312331629006542E-2</c:v>
                </c:pt>
                <c:pt idx="7">
                  <c:v>2.9303974929902686E-2</c:v>
                </c:pt>
                <c:pt idx="8">
                  <c:v>5.5411512452581226E-2</c:v>
                </c:pt>
                <c:pt idx="9">
                  <c:v>6.4469184672054536E-2</c:v>
                </c:pt>
                <c:pt idx="10">
                  <c:v>7.4059596459398552E-2</c:v>
                </c:pt>
                <c:pt idx="11">
                  <c:v>9.9101654846335693E-2</c:v>
                </c:pt>
                <c:pt idx="12">
                  <c:v>0.11508549123096377</c:v>
                </c:pt>
                <c:pt idx="13">
                  <c:v>0.14811974270163286</c:v>
                </c:pt>
                <c:pt idx="14">
                  <c:v>0.15504590686678763</c:v>
                </c:pt>
                <c:pt idx="15">
                  <c:v>0.16676782670845017</c:v>
                </c:pt>
                <c:pt idx="16">
                  <c:v>0.17848919676727693</c:v>
                </c:pt>
                <c:pt idx="17">
                  <c:v>0.19820330969267139</c:v>
                </c:pt>
                <c:pt idx="18">
                  <c:v>0.21631865413161802</c:v>
                </c:pt>
                <c:pt idx="19">
                  <c:v>0.2323024905162461</c:v>
                </c:pt>
                <c:pt idx="20">
                  <c:v>0.24828687668370991</c:v>
                </c:pt>
                <c:pt idx="21">
                  <c:v>0.26586893177195009</c:v>
                </c:pt>
                <c:pt idx="22">
                  <c:v>0.27812359118148328</c:v>
                </c:pt>
                <c:pt idx="23">
                  <c:v>0.29517345648468857</c:v>
                </c:pt>
                <c:pt idx="24">
                  <c:v>0.30742811589422181</c:v>
                </c:pt>
                <c:pt idx="25">
                  <c:v>0.33992907801418443</c:v>
                </c:pt>
                <c:pt idx="26">
                  <c:v>0.35218318764088186</c:v>
                </c:pt>
                <c:pt idx="27">
                  <c:v>0.36550332618615639</c:v>
                </c:pt>
                <c:pt idx="28">
                  <c:v>0.38841387651877513</c:v>
                </c:pt>
                <c:pt idx="29">
                  <c:v>0.40652922095772176</c:v>
                </c:pt>
                <c:pt idx="30">
                  <c:v>0.42357908626092694</c:v>
                </c:pt>
                <c:pt idx="31">
                  <c:v>0.44222717026774422</c:v>
                </c:pt>
                <c:pt idx="32">
                  <c:v>0.44915388421573477</c:v>
                </c:pt>
                <c:pt idx="33">
                  <c:v>0.45235032162295896</c:v>
                </c:pt>
                <c:pt idx="34">
                  <c:v>0.46247402276100941</c:v>
                </c:pt>
                <c:pt idx="35">
                  <c:v>0.48058936719995604</c:v>
                </c:pt>
                <c:pt idx="36">
                  <c:v>0.49284347682665347</c:v>
                </c:pt>
                <c:pt idx="37">
                  <c:v>0.51415580845566</c:v>
                </c:pt>
                <c:pt idx="38">
                  <c:v>0.53919786684259718</c:v>
                </c:pt>
                <c:pt idx="39">
                  <c:v>0.54505855187201058</c:v>
                </c:pt>
                <c:pt idx="40">
                  <c:v>0.56690307328605205</c:v>
                </c:pt>
                <c:pt idx="41">
                  <c:v>0.57915773269558535</c:v>
                </c:pt>
                <c:pt idx="42">
                  <c:v>0.59727307713453193</c:v>
                </c:pt>
                <c:pt idx="43">
                  <c:v>0.61112760459618454</c:v>
                </c:pt>
                <c:pt idx="44">
                  <c:v>0.63137060860959926</c:v>
                </c:pt>
                <c:pt idx="45">
                  <c:v>0.63936445104183848</c:v>
                </c:pt>
                <c:pt idx="46">
                  <c:v>0.65641321677937214</c:v>
                </c:pt>
                <c:pt idx="47">
                  <c:v>0.66973445489031835</c:v>
                </c:pt>
                <c:pt idx="48">
                  <c:v>0.67133432294243767</c:v>
                </c:pt>
                <c:pt idx="49">
                  <c:v>0.65801308483149157</c:v>
                </c:pt>
                <c:pt idx="50">
                  <c:v>0.65747979548078506</c:v>
                </c:pt>
                <c:pt idx="51">
                  <c:v>0.66120732310737251</c:v>
                </c:pt>
                <c:pt idx="52">
                  <c:v>0.67772829732255757</c:v>
                </c:pt>
                <c:pt idx="53">
                  <c:v>0.69051624608279727</c:v>
                </c:pt>
                <c:pt idx="54">
                  <c:v>0.7048985650667986</c:v>
                </c:pt>
                <c:pt idx="55">
                  <c:v>0.68678322062785191</c:v>
                </c:pt>
                <c:pt idx="56">
                  <c:v>0.69477706306009124</c:v>
                </c:pt>
                <c:pt idx="57">
                  <c:v>0.71555335642421236</c:v>
                </c:pt>
                <c:pt idx="58">
                  <c:v>0.71875309252845132</c:v>
                </c:pt>
                <c:pt idx="59">
                  <c:v>0.74006267524327907</c:v>
                </c:pt>
                <c:pt idx="60">
                  <c:v>0.75178404530210563</c:v>
                </c:pt>
                <c:pt idx="61">
                  <c:v>0.74965638572763749</c:v>
                </c:pt>
                <c:pt idx="62">
                  <c:v>0.74379570069822409</c:v>
                </c:pt>
                <c:pt idx="63">
                  <c:v>0.77256583649458466</c:v>
                </c:pt>
                <c:pt idx="64">
                  <c:v>0.77895981087470445</c:v>
                </c:pt>
                <c:pt idx="65">
                  <c:v>0.78748694265765018</c:v>
                </c:pt>
                <c:pt idx="66">
                  <c:v>0.79121447028423775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B0-4D21-82DA-646FBF4CD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Strain, %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5810356675598074"/>
              <c:y val="0.886206968417754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Stress, MPa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7570586530415977"/>
          <c:y val="0.4081785698372522"/>
          <c:w val="0.17660564604912471"/>
          <c:h val="0.32566521018532468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Tension - transverse direction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516475785063475"/>
          <c:y val="0.14393518518518519"/>
          <c:w val="0.76844632399857438"/>
          <c:h val="0.65922422057696928"/>
        </c:manualLayout>
      </c:layout>
      <c:scatterChart>
        <c:scatterStyle val="lineMarker"/>
        <c:varyColors val="0"/>
        <c:ser>
          <c:idx val="2"/>
          <c:order val="0"/>
          <c:tx>
            <c:v>OLT3-20</c:v>
          </c:tx>
          <c:spPr>
            <a:ln w="25400">
              <a:noFill/>
            </a:ln>
          </c:spPr>
          <c:marker>
            <c:symbol val="diamond"/>
            <c:size val="2"/>
            <c:spPr>
              <a:ln>
                <a:noFill/>
              </a:ln>
            </c:spPr>
          </c:marker>
          <c:xVal>
            <c:numRef>
              <c:f>'OLT3-2'!$W$5:$W$232</c:f>
              <c:numCache>
                <c:formatCode>General</c:formatCode>
                <c:ptCount val="228"/>
                <c:pt idx="0">
                  <c:v>0</c:v>
                </c:pt>
                <c:pt idx="1">
                  <c:v>-9.7777800000000001E-6</c:v>
                </c:pt>
                <c:pt idx="2">
                  <c:v>-3.5837999999999998E-5</c:v>
                </c:pt>
                <c:pt idx="3">
                  <c:v>-3.9972899999999998E-5</c:v>
                </c:pt>
                <c:pt idx="4">
                  <c:v>-8.1706899999999997E-7</c:v>
                </c:pt>
                <c:pt idx="5">
                  <c:v>-5.8629799999999999E-5</c:v>
                </c:pt>
                <c:pt idx="6">
                  <c:v>-3.5213000000000003E-5</c:v>
                </c:pt>
                <c:pt idx="7">
                  <c:v>1.4436799999999999E-6</c:v>
                </c:pt>
                <c:pt idx="8">
                  <c:v>1.04486E-5</c:v>
                </c:pt>
                <c:pt idx="9">
                  <c:v>1.15131E-5</c:v>
                </c:pt>
                <c:pt idx="10">
                  <c:v>1.08574E-5</c:v>
                </c:pt>
                <c:pt idx="11">
                  <c:v>4.1956100000000003E-5</c:v>
                </c:pt>
                <c:pt idx="12">
                  <c:v>1.0655E-4</c:v>
                </c:pt>
                <c:pt idx="13">
                  <c:v>8.9824600000000001E-5</c:v>
                </c:pt>
                <c:pt idx="14">
                  <c:v>1.20399E-4</c:v>
                </c:pt>
                <c:pt idx="15">
                  <c:v>1.40304E-4</c:v>
                </c:pt>
                <c:pt idx="16">
                  <c:v>1.7138099999999999E-4</c:v>
                </c:pt>
                <c:pt idx="17">
                  <c:v>2.3204200000000001E-4</c:v>
                </c:pt>
                <c:pt idx="18">
                  <c:v>2.6904000000000001E-4</c:v>
                </c:pt>
                <c:pt idx="19">
                  <c:v>2.7865499999999999E-4</c:v>
                </c:pt>
                <c:pt idx="20">
                  <c:v>2.94989E-4</c:v>
                </c:pt>
                <c:pt idx="21">
                  <c:v>2.9994700000000001E-4</c:v>
                </c:pt>
                <c:pt idx="22">
                  <c:v>3.2367399999999998E-4</c:v>
                </c:pt>
                <c:pt idx="23">
                  <c:v>3.2749199999999997E-4</c:v>
                </c:pt>
                <c:pt idx="24">
                  <c:v>3.5201999999999998E-4</c:v>
                </c:pt>
                <c:pt idx="25">
                  <c:v>3.87697E-4</c:v>
                </c:pt>
                <c:pt idx="26">
                  <c:v>4.1896300000000001E-4</c:v>
                </c:pt>
                <c:pt idx="27">
                  <c:v>4.5638500000000002E-4</c:v>
                </c:pt>
                <c:pt idx="28">
                  <c:v>4.9589299999999996E-4</c:v>
                </c:pt>
                <c:pt idx="29">
                  <c:v>5.0699899999999995E-4</c:v>
                </c:pt>
                <c:pt idx="30">
                  <c:v>5.2937800000000005E-4</c:v>
                </c:pt>
                <c:pt idx="31">
                  <c:v>5.79263E-4</c:v>
                </c:pt>
                <c:pt idx="32">
                  <c:v>5.5719799999999996E-4</c:v>
                </c:pt>
                <c:pt idx="33">
                  <c:v>5.3392200000000004E-4</c:v>
                </c:pt>
                <c:pt idx="34">
                  <c:v>5.3002300000000002E-4</c:v>
                </c:pt>
                <c:pt idx="35">
                  <c:v>5.8831900000000002E-4</c:v>
                </c:pt>
                <c:pt idx="36">
                  <c:v>6.1847900000000001E-4</c:v>
                </c:pt>
                <c:pt idx="37">
                  <c:v>6.4000600000000004E-4</c:v>
                </c:pt>
                <c:pt idx="38">
                  <c:v>6.6378800000000001E-4</c:v>
                </c:pt>
                <c:pt idx="39">
                  <c:v>6.9208599999999996E-4</c:v>
                </c:pt>
                <c:pt idx="40">
                  <c:v>7.1893300000000005E-4</c:v>
                </c:pt>
                <c:pt idx="41">
                  <c:v>7.5984399999999997E-4</c:v>
                </c:pt>
                <c:pt idx="42">
                  <c:v>7.9763000000000002E-4</c:v>
                </c:pt>
                <c:pt idx="43">
                  <c:v>7.9005399999999999E-4</c:v>
                </c:pt>
                <c:pt idx="44">
                  <c:v>8.0351800000000003E-4</c:v>
                </c:pt>
                <c:pt idx="45">
                  <c:v>8.3438499999999999E-4</c:v>
                </c:pt>
                <c:pt idx="46">
                  <c:v>8.8997800000000004E-4</c:v>
                </c:pt>
                <c:pt idx="47">
                  <c:v>9.3422000000000004E-4</c:v>
                </c:pt>
                <c:pt idx="48">
                  <c:v>9.4941999999999997E-4</c:v>
                </c:pt>
                <c:pt idx="49">
                  <c:v>9.7126000000000005E-4</c:v>
                </c:pt>
                <c:pt idx="50">
                  <c:v>9.69322E-4</c:v>
                </c:pt>
                <c:pt idx="51">
                  <c:v>1.0041099999999999E-3</c:v>
                </c:pt>
                <c:pt idx="52">
                  <c:v>1.0242300000000001E-3</c:v>
                </c:pt>
                <c:pt idx="53">
                  <c:v>1.0154599999999999E-3</c:v>
                </c:pt>
                <c:pt idx="54">
                  <c:v>1.0839300000000001E-3</c:v>
                </c:pt>
                <c:pt idx="55">
                  <c:v>1.12962E-3</c:v>
                </c:pt>
                <c:pt idx="56">
                  <c:v>1.15632E-3</c:v>
                </c:pt>
                <c:pt idx="57">
                  <c:v>1.15697E-3</c:v>
                </c:pt>
                <c:pt idx="58">
                  <c:v>1.16058E-3</c:v>
                </c:pt>
                <c:pt idx="59">
                  <c:v>1.23515E-3</c:v>
                </c:pt>
                <c:pt idx="60">
                  <c:v>1.31478E-3</c:v>
                </c:pt>
                <c:pt idx="61">
                  <c:v>1.33902E-3</c:v>
                </c:pt>
                <c:pt idx="62">
                  <c:v>1.34077E-3</c:v>
                </c:pt>
                <c:pt idx="63">
                  <c:v>1.4061900000000001E-3</c:v>
                </c:pt>
                <c:pt idx="64">
                  <c:v>1.40004E-3</c:v>
                </c:pt>
                <c:pt idx="65">
                  <c:v>1.3767499999999999E-3</c:v>
                </c:pt>
                <c:pt idx="66">
                  <c:v>1.3758799999999999E-3</c:v>
                </c:pt>
                <c:pt idx="67">
                  <c:v>1.38251E-3</c:v>
                </c:pt>
                <c:pt idx="68">
                  <c:v>1.39459E-3</c:v>
                </c:pt>
                <c:pt idx="69">
                  <c:v>1.4999499999999999E-3</c:v>
                </c:pt>
                <c:pt idx="70">
                  <c:v>1.50756E-3</c:v>
                </c:pt>
                <c:pt idx="71">
                  <c:v>1.5661200000000001E-3</c:v>
                </c:pt>
                <c:pt idx="72">
                  <c:v>1.5950000000000001E-3</c:v>
                </c:pt>
                <c:pt idx="73">
                  <c:v>1.6256899999999999E-3</c:v>
                </c:pt>
                <c:pt idx="74">
                  <c:v>1.62554E-3</c:v>
                </c:pt>
                <c:pt idx="75">
                  <c:v>1.6552800000000001E-3</c:v>
                </c:pt>
                <c:pt idx="76">
                  <c:v>1.68081E-3</c:v>
                </c:pt>
                <c:pt idx="77">
                  <c:v>1.74726E-3</c:v>
                </c:pt>
                <c:pt idx="78">
                  <c:v>1.78119E-3</c:v>
                </c:pt>
                <c:pt idx="79">
                  <c:v>1.76772E-3</c:v>
                </c:pt>
                <c:pt idx="80">
                  <c:v>1.8304300000000001E-3</c:v>
                </c:pt>
                <c:pt idx="81">
                  <c:v>1.8836599999999999E-3</c:v>
                </c:pt>
                <c:pt idx="82">
                  <c:v>1.91803E-3</c:v>
                </c:pt>
                <c:pt idx="83">
                  <c:v>1.9594199999999999E-3</c:v>
                </c:pt>
                <c:pt idx="84">
                  <c:v>2.0007800000000002E-3</c:v>
                </c:pt>
                <c:pt idx="85">
                  <c:v>2.05982E-3</c:v>
                </c:pt>
                <c:pt idx="86">
                  <c:v>2.0600499999999999E-3</c:v>
                </c:pt>
                <c:pt idx="87">
                  <c:v>2.1160699999999998E-3</c:v>
                </c:pt>
                <c:pt idx="88">
                  <c:v>2.1423900000000001E-3</c:v>
                </c:pt>
                <c:pt idx="89">
                  <c:v>2.1755099999999999E-3</c:v>
                </c:pt>
                <c:pt idx="90">
                  <c:v>2.2063199999999999E-3</c:v>
                </c:pt>
                <c:pt idx="91">
                  <c:v>2.23048E-3</c:v>
                </c:pt>
                <c:pt idx="92">
                  <c:v>2.2289300000000001E-3</c:v>
                </c:pt>
                <c:pt idx="93">
                  <c:v>2.2826299999999999E-3</c:v>
                </c:pt>
                <c:pt idx="94">
                  <c:v>2.3245800000000001E-3</c:v>
                </c:pt>
                <c:pt idx="95">
                  <c:v>2.3974600000000001E-3</c:v>
                </c:pt>
                <c:pt idx="96">
                  <c:v>2.3677099999999999E-3</c:v>
                </c:pt>
                <c:pt idx="97">
                  <c:v>2.4448400000000002E-3</c:v>
                </c:pt>
                <c:pt idx="98">
                  <c:v>2.4743999999999999E-3</c:v>
                </c:pt>
                <c:pt idx="99">
                  <c:v>2.4973500000000002E-3</c:v>
                </c:pt>
                <c:pt idx="100">
                  <c:v>2.5024000000000001E-3</c:v>
                </c:pt>
                <c:pt idx="101">
                  <c:v>2.5953199999999999E-3</c:v>
                </c:pt>
                <c:pt idx="102">
                  <c:v>2.61933E-3</c:v>
                </c:pt>
                <c:pt idx="103">
                  <c:v>2.69345E-3</c:v>
                </c:pt>
                <c:pt idx="104">
                  <c:v>2.7231E-3</c:v>
                </c:pt>
                <c:pt idx="105">
                  <c:v>2.8034599999999998E-3</c:v>
                </c:pt>
                <c:pt idx="106">
                  <c:v>2.8662200000000001E-3</c:v>
                </c:pt>
                <c:pt idx="107">
                  <c:v>2.9072199999999999E-3</c:v>
                </c:pt>
                <c:pt idx="108">
                  <c:v>2.91589E-3</c:v>
                </c:pt>
                <c:pt idx="109">
                  <c:v>2.9443899999999999E-3</c:v>
                </c:pt>
                <c:pt idx="110">
                  <c:v>3.0169900000000002E-3</c:v>
                </c:pt>
                <c:pt idx="111">
                  <c:v>3.0517700000000001E-3</c:v>
                </c:pt>
                <c:pt idx="112">
                  <c:v>3.0819799999999998E-3</c:v>
                </c:pt>
                <c:pt idx="113">
                  <c:v>3.0913899999999998E-3</c:v>
                </c:pt>
                <c:pt idx="114">
                  <c:v>3.1453900000000001E-3</c:v>
                </c:pt>
                <c:pt idx="115">
                  <c:v>3.22821E-3</c:v>
                </c:pt>
                <c:pt idx="116">
                  <c:v>3.2605799999999999E-3</c:v>
                </c:pt>
                <c:pt idx="117">
                  <c:v>3.29883E-3</c:v>
                </c:pt>
                <c:pt idx="118">
                  <c:v>3.3423699999999999E-3</c:v>
                </c:pt>
                <c:pt idx="119">
                  <c:v>3.3078000000000001E-3</c:v>
                </c:pt>
                <c:pt idx="120">
                  <c:v>3.4414599999999999E-3</c:v>
                </c:pt>
                <c:pt idx="121">
                  <c:v>3.4647300000000001E-3</c:v>
                </c:pt>
                <c:pt idx="122">
                  <c:v>3.4984600000000001E-3</c:v>
                </c:pt>
                <c:pt idx="123">
                  <c:v>3.5158699999999999E-3</c:v>
                </c:pt>
                <c:pt idx="124">
                  <c:v>3.5965200000000002E-3</c:v>
                </c:pt>
                <c:pt idx="125">
                  <c:v>3.5798800000000001E-3</c:v>
                </c:pt>
                <c:pt idx="126">
                  <c:v>3.6271699999999999E-3</c:v>
                </c:pt>
                <c:pt idx="127">
                  <c:v>3.68506E-3</c:v>
                </c:pt>
                <c:pt idx="128">
                  <c:v>3.70119E-3</c:v>
                </c:pt>
                <c:pt idx="129">
                  <c:v>3.7418E-3</c:v>
                </c:pt>
                <c:pt idx="130">
                  <c:v>3.8422899999999999E-3</c:v>
                </c:pt>
                <c:pt idx="131">
                  <c:v>3.8649399999999999E-3</c:v>
                </c:pt>
                <c:pt idx="132">
                  <c:v>3.9434600000000002E-3</c:v>
                </c:pt>
                <c:pt idx="133">
                  <c:v>3.9899100000000002E-3</c:v>
                </c:pt>
                <c:pt idx="134">
                  <c:v>4.0395700000000001E-3</c:v>
                </c:pt>
                <c:pt idx="135">
                  <c:v>4.0943000000000004E-3</c:v>
                </c:pt>
                <c:pt idx="136">
                  <c:v>4.1351599999999997E-3</c:v>
                </c:pt>
                <c:pt idx="137">
                  <c:v>4.1720500000000001E-3</c:v>
                </c:pt>
                <c:pt idx="138">
                  <c:v>4.2858899999999997E-3</c:v>
                </c:pt>
                <c:pt idx="139">
                  <c:v>4.3134000000000002E-3</c:v>
                </c:pt>
                <c:pt idx="140">
                  <c:v>4.4015699999999996E-3</c:v>
                </c:pt>
                <c:pt idx="141">
                  <c:v>4.4347500000000003E-3</c:v>
                </c:pt>
                <c:pt idx="142">
                  <c:v>4.5063600000000001E-3</c:v>
                </c:pt>
                <c:pt idx="143">
                  <c:v>4.5663700000000002E-3</c:v>
                </c:pt>
                <c:pt idx="144">
                  <c:v>4.6517900000000003E-3</c:v>
                </c:pt>
                <c:pt idx="145">
                  <c:v>4.68777E-3</c:v>
                </c:pt>
                <c:pt idx="146">
                  <c:v>4.7871299999999997E-3</c:v>
                </c:pt>
                <c:pt idx="147">
                  <c:v>4.8278399999999999E-3</c:v>
                </c:pt>
                <c:pt idx="148">
                  <c:v>4.8502199999999997E-3</c:v>
                </c:pt>
                <c:pt idx="149">
                  <c:v>4.8656400000000001E-3</c:v>
                </c:pt>
                <c:pt idx="150">
                  <c:v>4.9623200000000001E-3</c:v>
                </c:pt>
                <c:pt idx="151">
                  <c:v>4.9684999999999998E-3</c:v>
                </c:pt>
                <c:pt idx="152">
                  <c:v>4.9771499999999996E-3</c:v>
                </c:pt>
                <c:pt idx="153">
                  <c:v>5.0632699999999999E-3</c:v>
                </c:pt>
                <c:pt idx="154">
                  <c:v>5.1468399999999997E-3</c:v>
                </c:pt>
                <c:pt idx="155">
                  <c:v>5.1361999999999996E-3</c:v>
                </c:pt>
                <c:pt idx="156">
                  <c:v>5.2716999999999998E-3</c:v>
                </c:pt>
                <c:pt idx="157">
                  <c:v>5.4041799999999997E-3</c:v>
                </c:pt>
                <c:pt idx="158">
                  <c:v>5.5372199999999998E-3</c:v>
                </c:pt>
                <c:pt idx="159">
                  <c:v>5.57881E-3</c:v>
                </c:pt>
                <c:pt idx="160">
                  <c:v>5.6205600000000001E-3</c:v>
                </c:pt>
                <c:pt idx="161">
                  <c:v>5.6898599999999997E-3</c:v>
                </c:pt>
                <c:pt idx="162">
                  <c:v>5.8820699999999997E-3</c:v>
                </c:pt>
                <c:pt idx="163">
                  <c:v>5.9500500000000001E-3</c:v>
                </c:pt>
                <c:pt idx="164">
                  <c:v>6.0971300000000001E-3</c:v>
                </c:pt>
                <c:pt idx="165">
                  <c:v>6.2143700000000003E-3</c:v>
                </c:pt>
                <c:pt idx="166">
                  <c:v>6.3894800000000003E-3</c:v>
                </c:pt>
                <c:pt idx="167">
                  <c:v>6.6096499999999999E-3</c:v>
                </c:pt>
                <c:pt idx="168">
                  <c:v>6.7057000000000002E-3</c:v>
                </c:pt>
                <c:pt idx="169">
                  <c:v>6.7445099999999996E-3</c:v>
                </c:pt>
                <c:pt idx="170">
                  <c:v>7.0579700000000002E-3</c:v>
                </c:pt>
                <c:pt idx="171">
                  <c:v>7.1788900000000003E-3</c:v>
                </c:pt>
                <c:pt idx="172">
                  <c:v>7.2127500000000004E-3</c:v>
                </c:pt>
                <c:pt idx="173">
                  <c:v>7.1567999999999996E-3</c:v>
                </c:pt>
                <c:pt idx="174">
                  <c:v>7.3671199999999996E-3</c:v>
                </c:pt>
                <c:pt idx="175">
                  <c:v>7.4850300000000002E-3</c:v>
                </c:pt>
                <c:pt idx="176">
                  <c:v>7.5776300000000001E-3</c:v>
                </c:pt>
                <c:pt idx="177">
                  <c:v>7.7060499999999999E-3</c:v>
                </c:pt>
                <c:pt idx="178">
                  <c:v>7.86567E-3</c:v>
                </c:pt>
                <c:pt idx="179">
                  <c:v>8.0677400000000003E-3</c:v>
                </c:pt>
                <c:pt idx="180">
                  <c:v>8.3454900000000005E-3</c:v>
                </c:pt>
                <c:pt idx="181">
                  <c:v>8.4111299999999993E-3</c:v>
                </c:pt>
                <c:pt idx="182">
                  <c:v>8.8280600000000004E-3</c:v>
                </c:pt>
                <c:pt idx="183">
                  <c:v>8.8613600000000004E-3</c:v>
                </c:pt>
                <c:pt idx="184">
                  <c:v>8.9125300000000001E-3</c:v>
                </c:pt>
                <c:pt idx="185">
                  <c:v>9.5451600000000004E-3</c:v>
                </c:pt>
                <c:pt idx="186">
                  <c:v>9.8915099999999992E-3</c:v>
                </c:pt>
                <c:pt idx="187">
                  <c:v>1.01309E-2</c:v>
                </c:pt>
                <c:pt idx="188">
                  <c:v>1.0186300000000001E-2</c:v>
                </c:pt>
                <c:pt idx="189">
                  <c:v>1.0222500000000001E-2</c:v>
                </c:pt>
                <c:pt idx="190">
                  <c:v>1.0249899999999999E-2</c:v>
                </c:pt>
                <c:pt idx="191">
                  <c:v>1.0297499999999999E-2</c:v>
                </c:pt>
                <c:pt idx="192">
                  <c:v>1.0279999999999999E-2</c:v>
                </c:pt>
                <c:pt idx="193">
                  <c:v>1.0297499999999999E-2</c:v>
                </c:pt>
                <c:pt idx="194">
                  <c:v>1.0362400000000001E-2</c:v>
                </c:pt>
                <c:pt idx="195">
                  <c:v>1.0566300000000001E-2</c:v>
                </c:pt>
                <c:pt idx="196">
                  <c:v>1.0803699999999999E-2</c:v>
                </c:pt>
                <c:pt idx="197">
                  <c:v>1.10291E-2</c:v>
                </c:pt>
                <c:pt idx="198">
                  <c:v>1.11425E-2</c:v>
                </c:pt>
                <c:pt idx="199">
                  <c:v>1.1172E-2</c:v>
                </c:pt>
                <c:pt idx="200">
                  <c:v>1.1264700000000001E-2</c:v>
                </c:pt>
                <c:pt idx="201">
                  <c:v>1.1325200000000001E-2</c:v>
                </c:pt>
                <c:pt idx="202">
                  <c:v>1.1387E-2</c:v>
                </c:pt>
                <c:pt idx="203">
                  <c:v>1.1524299999999999E-2</c:v>
                </c:pt>
                <c:pt idx="204">
                  <c:v>1.1588299999999999E-2</c:v>
                </c:pt>
                <c:pt idx="205">
                  <c:v>1.2388100000000001E-2</c:v>
                </c:pt>
                <c:pt idx="206">
                  <c:v>1.2384600000000001E-2</c:v>
                </c:pt>
                <c:pt idx="207">
                  <c:v>1.25991E-2</c:v>
                </c:pt>
                <c:pt idx="208">
                  <c:v>1.2593699999999999E-2</c:v>
                </c:pt>
                <c:pt idx="209">
                  <c:v>1.32655E-2</c:v>
                </c:pt>
                <c:pt idx="210">
                  <c:v>1.33688E-2</c:v>
                </c:pt>
                <c:pt idx="211">
                  <c:v>1.3462399999999999E-2</c:v>
                </c:pt>
                <c:pt idx="212">
                  <c:v>1.36031E-2</c:v>
                </c:pt>
                <c:pt idx="213">
                  <c:v>1.37506E-2</c:v>
                </c:pt>
                <c:pt idx="214">
                  <c:v>1.3752800000000001E-2</c:v>
                </c:pt>
                <c:pt idx="215">
                  <c:v>1.4061300000000001E-2</c:v>
                </c:pt>
                <c:pt idx="216">
                  <c:v>1.4152700000000001E-2</c:v>
                </c:pt>
                <c:pt idx="217">
                  <c:v>1.4198000000000001E-2</c:v>
                </c:pt>
                <c:pt idx="218">
                  <c:v>1.43354E-2</c:v>
                </c:pt>
                <c:pt idx="219">
                  <c:v>1.43713E-2</c:v>
                </c:pt>
                <c:pt idx="220">
                  <c:v>1.4397500000000001E-2</c:v>
                </c:pt>
                <c:pt idx="221">
                  <c:v>1.44333E-2</c:v>
                </c:pt>
                <c:pt idx="222">
                  <c:v>1.4453000000000001E-2</c:v>
                </c:pt>
                <c:pt idx="223">
                  <c:v>1.45354E-2</c:v>
                </c:pt>
                <c:pt idx="224">
                  <c:v>1.4585900000000001E-2</c:v>
                </c:pt>
                <c:pt idx="225">
                  <c:v>1.4645999999999999E-2</c:v>
                </c:pt>
                <c:pt idx="226">
                  <c:v>1.4715900000000001E-2</c:v>
                </c:pt>
                <c:pt idx="227">
                  <c:v>1.47905E-2</c:v>
                </c:pt>
              </c:numCache>
            </c:numRef>
          </c:xVal>
          <c:yVal>
            <c:numRef>
              <c:f>'OLT3-2'!$V$5:$V$232</c:f>
              <c:numCache>
                <c:formatCode>General</c:formatCode>
                <c:ptCount val="228"/>
                <c:pt idx="0">
                  <c:v>-0.10987246566383257</c:v>
                </c:pt>
                <c:pt idx="1">
                  <c:v>-0.10899226073686506</c:v>
                </c:pt>
                <c:pt idx="2">
                  <c:v>-0.11128133856551123</c:v>
                </c:pt>
                <c:pt idx="3">
                  <c:v>-0.10828755177676042</c:v>
                </c:pt>
                <c:pt idx="4">
                  <c:v>-0.10705526487900588</c:v>
                </c:pt>
                <c:pt idx="5">
                  <c:v>-0.1074073468497929</c:v>
                </c:pt>
                <c:pt idx="6">
                  <c:v>-0.10159635927621538</c:v>
                </c:pt>
                <c:pt idx="7">
                  <c:v>-9.3848375844778717E-2</c:v>
                </c:pt>
                <c:pt idx="8">
                  <c:v>-9.1206671026814914E-2</c:v>
                </c:pt>
                <c:pt idx="9">
                  <c:v>-8.2578482668410724E-2</c:v>
                </c:pt>
                <c:pt idx="10">
                  <c:v>-7.8351863963374749E-2</c:v>
                </c:pt>
                <c:pt idx="11">
                  <c:v>-6.9899716590364078E-2</c:v>
                </c:pt>
                <c:pt idx="12">
                  <c:v>-6.51449749291476E-2</c:v>
                </c:pt>
                <c:pt idx="13">
                  <c:v>-5.8981905384783082E-2</c:v>
                </c:pt>
                <c:pt idx="14">
                  <c:v>-4.5951057335949431E-2</c:v>
                </c:pt>
                <c:pt idx="15">
                  <c:v>-3.9964028776978418E-2</c:v>
                </c:pt>
                <c:pt idx="16">
                  <c:v>-3.1511881403967733E-2</c:v>
                </c:pt>
                <c:pt idx="17">
                  <c:v>-1.8657074340527581E-2</c:v>
                </c:pt>
                <c:pt idx="18">
                  <c:v>-6.8590582079790709E-3</c:v>
                </c:pt>
                <c:pt idx="19">
                  <c:v>-2.8090255068672332E-3</c:v>
                </c:pt>
                <c:pt idx="20">
                  <c:v>9.8697405711794198E-3</c:v>
                </c:pt>
                <c:pt idx="21">
                  <c:v>1.3039568345323741E-2</c:v>
                </c:pt>
                <c:pt idx="22">
                  <c:v>1.7617724002616089E-2</c:v>
                </c:pt>
                <c:pt idx="23">
                  <c:v>2.5365707434052757E-2</c:v>
                </c:pt>
                <c:pt idx="24">
                  <c:v>3.4874645737955089E-2</c:v>
                </c:pt>
                <c:pt idx="25">
                  <c:v>4.2798670154785258E-2</c:v>
                </c:pt>
                <c:pt idx="26">
                  <c:v>4.7377370830608237E-2</c:v>
                </c:pt>
                <c:pt idx="27">
                  <c:v>5.6710268149117074E-2</c:v>
                </c:pt>
                <c:pt idx="28">
                  <c:v>5.9351427948550244E-2</c:v>
                </c:pt>
                <c:pt idx="29">
                  <c:v>6.4106169609766728E-2</c:v>
                </c:pt>
                <c:pt idx="30">
                  <c:v>6.9741116197950731E-2</c:v>
                </c:pt>
                <c:pt idx="31">
                  <c:v>7.3439066928275565E-2</c:v>
                </c:pt>
                <c:pt idx="32">
                  <c:v>7.8193263570961416E-2</c:v>
                </c:pt>
                <c:pt idx="33">
                  <c:v>8.6117287987791585E-2</c:v>
                </c:pt>
                <c:pt idx="34">
                  <c:v>8.8406365816437751E-2</c:v>
                </c:pt>
                <c:pt idx="35">
                  <c:v>0.1002049269675169</c:v>
                </c:pt>
                <c:pt idx="36">
                  <c:v>0.10407891868323524</c:v>
                </c:pt>
                <c:pt idx="37">
                  <c:v>0.11499618487028558</c:v>
                </c:pt>
                <c:pt idx="38">
                  <c:v>0.11746184870285591</c:v>
                </c:pt>
                <c:pt idx="39">
                  <c:v>0.12432908218879443</c:v>
                </c:pt>
                <c:pt idx="40">
                  <c:v>0.13154894266405059</c:v>
                </c:pt>
                <c:pt idx="41">
                  <c:v>0.13507085240898192</c:v>
                </c:pt>
                <c:pt idx="42">
                  <c:v>0.14176204490952693</c:v>
                </c:pt>
                <c:pt idx="43">
                  <c:v>0.14176204490952693</c:v>
                </c:pt>
                <c:pt idx="44">
                  <c:v>0.14898190538478309</c:v>
                </c:pt>
                <c:pt idx="45">
                  <c:v>0.15285589710050143</c:v>
                </c:pt>
                <c:pt idx="46">
                  <c:v>0.16201275343361676</c:v>
                </c:pt>
                <c:pt idx="47">
                  <c:v>0.16835186396337476</c:v>
                </c:pt>
                <c:pt idx="48">
                  <c:v>0.17310660562459124</c:v>
                </c:pt>
                <c:pt idx="49">
                  <c:v>0.17891759319816877</c:v>
                </c:pt>
                <c:pt idx="50">
                  <c:v>0.18085458905602791</c:v>
                </c:pt>
                <c:pt idx="51">
                  <c:v>0.18983540440374974</c:v>
                </c:pt>
                <c:pt idx="52">
                  <c:v>0.19476564203182908</c:v>
                </c:pt>
                <c:pt idx="53">
                  <c:v>0.20251362546326576</c:v>
                </c:pt>
                <c:pt idx="54">
                  <c:v>0.20762044909526925</c:v>
                </c:pt>
                <c:pt idx="55">
                  <c:v>0.21677730542838455</c:v>
                </c:pt>
                <c:pt idx="56">
                  <c:v>0.22329245694353611</c:v>
                </c:pt>
                <c:pt idx="57">
                  <c:v>0.2264622847176804</c:v>
                </c:pt>
                <c:pt idx="58">
                  <c:v>0.23491497710922174</c:v>
                </c:pt>
                <c:pt idx="59">
                  <c:v>0.24354316546762589</c:v>
                </c:pt>
                <c:pt idx="60">
                  <c:v>0.25005886200130806</c:v>
                </c:pt>
                <c:pt idx="61">
                  <c:v>0.25181927185524311</c:v>
                </c:pt>
                <c:pt idx="62">
                  <c:v>0.25886309134510577</c:v>
                </c:pt>
                <c:pt idx="63">
                  <c:v>0.2660829518203619</c:v>
                </c:pt>
                <c:pt idx="64">
                  <c:v>0.26731578373664705</c:v>
                </c:pt>
                <c:pt idx="65">
                  <c:v>0.27612001308044476</c:v>
                </c:pt>
                <c:pt idx="66">
                  <c:v>0.2815789186832352</c:v>
                </c:pt>
                <c:pt idx="67">
                  <c:v>0.28844669718770438</c:v>
                </c:pt>
                <c:pt idx="68">
                  <c:v>0.28650970132984527</c:v>
                </c:pt>
                <c:pt idx="69">
                  <c:v>0.2979556354916067</c:v>
                </c:pt>
                <c:pt idx="70">
                  <c:v>0.30411870503597127</c:v>
                </c:pt>
                <c:pt idx="71">
                  <c:v>0.31010573359494226</c:v>
                </c:pt>
                <c:pt idx="72">
                  <c:v>0.31433180728144755</c:v>
                </c:pt>
                <c:pt idx="73">
                  <c:v>0.31891050795727055</c:v>
                </c:pt>
                <c:pt idx="74">
                  <c:v>0.32296054065838237</c:v>
                </c:pt>
                <c:pt idx="75">
                  <c:v>0.3294756921735339</c:v>
                </c:pt>
                <c:pt idx="76">
                  <c:v>0.33264551994767821</c:v>
                </c:pt>
                <c:pt idx="77">
                  <c:v>0.3377523435796817</c:v>
                </c:pt>
                <c:pt idx="78">
                  <c:v>0.34743732286897755</c:v>
                </c:pt>
                <c:pt idx="79">
                  <c:v>0.35254414650098098</c:v>
                </c:pt>
                <c:pt idx="80">
                  <c:v>0.3553613472858077</c:v>
                </c:pt>
                <c:pt idx="81">
                  <c:v>0.36258120776106384</c:v>
                </c:pt>
                <c:pt idx="82">
                  <c:v>0.36874427730542841</c:v>
                </c:pt>
                <c:pt idx="83">
                  <c:v>0.37983812949640294</c:v>
                </c:pt>
                <c:pt idx="84">
                  <c:v>0.38529703509919339</c:v>
                </c:pt>
                <c:pt idx="85">
                  <c:v>0.39022727272727276</c:v>
                </c:pt>
                <c:pt idx="86">
                  <c:v>0.40167320688903418</c:v>
                </c:pt>
                <c:pt idx="87">
                  <c:v>0.40449095269239149</c:v>
                </c:pt>
                <c:pt idx="88">
                  <c:v>0.40730815347721822</c:v>
                </c:pt>
                <c:pt idx="89">
                  <c:v>0.41047798125136259</c:v>
                </c:pt>
                <c:pt idx="90">
                  <c:v>0.4178738827120122</c:v>
                </c:pt>
                <c:pt idx="91">
                  <c:v>0.4242129932417702</c:v>
                </c:pt>
                <c:pt idx="92">
                  <c:v>0.42685469805973403</c:v>
                </c:pt>
                <c:pt idx="93">
                  <c:v>0.43196097667320693</c:v>
                </c:pt>
                <c:pt idx="94">
                  <c:v>0.4393568781338566</c:v>
                </c:pt>
                <c:pt idx="95">
                  <c:v>0.44463974275125356</c:v>
                </c:pt>
                <c:pt idx="96">
                  <c:v>0.45062677131022455</c:v>
                </c:pt>
                <c:pt idx="97">
                  <c:v>0.4573185088293002</c:v>
                </c:pt>
                <c:pt idx="98">
                  <c:v>0.45890342271637236</c:v>
                </c:pt>
                <c:pt idx="99">
                  <c:v>0.46770765206017001</c:v>
                </c:pt>
                <c:pt idx="100">
                  <c:v>0.46964464791802918</c:v>
                </c:pt>
                <c:pt idx="101">
                  <c:v>0.4824994549814694</c:v>
                </c:pt>
                <c:pt idx="102">
                  <c:v>0.4858453237410072</c:v>
                </c:pt>
                <c:pt idx="103">
                  <c:v>0.4909516023544801</c:v>
                </c:pt>
                <c:pt idx="104">
                  <c:v>0.49799542184434276</c:v>
                </c:pt>
                <c:pt idx="105">
                  <c:v>0.50591944626117291</c:v>
                </c:pt>
                <c:pt idx="106">
                  <c:v>0.51120231087856993</c:v>
                </c:pt>
                <c:pt idx="107">
                  <c:v>0.51859821233921954</c:v>
                </c:pt>
                <c:pt idx="108">
                  <c:v>0.52264824504033136</c:v>
                </c:pt>
                <c:pt idx="109">
                  <c:v>0.52845923261390881</c:v>
                </c:pt>
                <c:pt idx="110">
                  <c:v>0.5340941792020929</c:v>
                </c:pt>
                <c:pt idx="111">
                  <c:v>0.5362072160453456</c:v>
                </c:pt>
                <c:pt idx="112">
                  <c:v>0.54342707652060174</c:v>
                </c:pt>
                <c:pt idx="113">
                  <c:v>0.54413124046217576</c:v>
                </c:pt>
                <c:pt idx="114">
                  <c:v>0.55170590800087205</c:v>
                </c:pt>
                <c:pt idx="115">
                  <c:v>0.55804447351209951</c:v>
                </c:pt>
                <c:pt idx="116">
                  <c:v>0.56544037497274913</c:v>
                </c:pt>
                <c:pt idx="117">
                  <c:v>0.57019293655984304</c:v>
                </c:pt>
                <c:pt idx="118">
                  <c:v>0.57318508829300208</c:v>
                </c:pt>
                <c:pt idx="119">
                  <c:v>0.5774144320906911</c:v>
                </c:pt>
                <c:pt idx="120">
                  <c:v>0.58551340745585356</c:v>
                </c:pt>
                <c:pt idx="121">
                  <c:v>0.59290930891650317</c:v>
                </c:pt>
                <c:pt idx="122">
                  <c:v>0.59889361238282113</c:v>
                </c:pt>
                <c:pt idx="123">
                  <c:v>0.6003052103771529</c:v>
                </c:pt>
                <c:pt idx="124">
                  <c:v>0.60418029212993241</c:v>
                </c:pt>
                <c:pt idx="125">
                  <c:v>0.61086766950076299</c:v>
                </c:pt>
                <c:pt idx="126">
                  <c:v>0.61086766950076299</c:v>
                </c:pt>
                <c:pt idx="127">
                  <c:v>0.61245367342489643</c:v>
                </c:pt>
                <c:pt idx="128">
                  <c:v>0.62160998473948115</c:v>
                </c:pt>
                <c:pt idx="129">
                  <c:v>0.62565947242206232</c:v>
                </c:pt>
                <c:pt idx="130">
                  <c:v>0.6305918901242642</c:v>
                </c:pt>
                <c:pt idx="131">
                  <c:v>0.63517004578155667</c:v>
                </c:pt>
                <c:pt idx="132">
                  <c:v>0.64063113145846962</c:v>
                </c:pt>
                <c:pt idx="133">
                  <c:v>0.64626662306518423</c:v>
                </c:pt>
                <c:pt idx="134">
                  <c:v>0.64908436886854148</c:v>
                </c:pt>
                <c:pt idx="135">
                  <c:v>0.65471986047525621</c:v>
                </c:pt>
                <c:pt idx="136">
                  <c:v>0.66387617178984093</c:v>
                </c:pt>
                <c:pt idx="137">
                  <c:v>0.66739699149771092</c:v>
                </c:pt>
                <c:pt idx="138">
                  <c:v>0.67003488118596033</c:v>
                </c:pt>
                <c:pt idx="139">
                  <c:v>0.67761063876171801</c:v>
                </c:pt>
                <c:pt idx="140">
                  <c:v>0.68148027032919123</c:v>
                </c:pt>
                <c:pt idx="141">
                  <c:v>0.68975910180946154</c:v>
                </c:pt>
                <c:pt idx="142">
                  <c:v>0.6960976673206889</c:v>
                </c:pt>
                <c:pt idx="143">
                  <c:v>0.69891541312404615</c:v>
                </c:pt>
                <c:pt idx="144">
                  <c:v>0.70930346631785479</c:v>
                </c:pt>
                <c:pt idx="145">
                  <c:v>0.71177240026160893</c:v>
                </c:pt>
                <c:pt idx="146">
                  <c:v>0.71317854807063441</c:v>
                </c:pt>
                <c:pt idx="147">
                  <c:v>0.71652496184870285</c:v>
                </c:pt>
                <c:pt idx="148">
                  <c:v>0.71459014606496629</c:v>
                </c:pt>
                <c:pt idx="149">
                  <c:v>0.72480379332897316</c:v>
                </c:pt>
                <c:pt idx="150">
                  <c:v>0.72849901896664493</c:v>
                </c:pt>
                <c:pt idx="151">
                  <c:v>0.7295563549160673</c:v>
                </c:pt>
                <c:pt idx="152">
                  <c:v>0.73307717462393718</c:v>
                </c:pt>
                <c:pt idx="153">
                  <c:v>0.74029867015478534</c:v>
                </c:pt>
                <c:pt idx="154">
                  <c:v>0.74381948986265534</c:v>
                </c:pt>
                <c:pt idx="155">
                  <c:v>0.74364508393285367</c:v>
                </c:pt>
                <c:pt idx="156">
                  <c:v>0.75104098539350339</c:v>
                </c:pt>
                <c:pt idx="157">
                  <c:v>0.75737955090473075</c:v>
                </c:pt>
                <c:pt idx="158">
                  <c:v>0.77023108785698713</c:v>
                </c:pt>
                <c:pt idx="159">
                  <c:v>0.7742860257248747</c:v>
                </c:pt>
                <c:pt idx="160">
                  <c:v>0.77375735775016352</c:v>
                </c:pt>
                <c:pt idx="161">
                  <c:v>0.7809734030957054</c:v>
                </c:pt>
                <c:pt idx="162">
                  <c:v>0.78696315674732942</c:v>
                </c:pt>
                <c:pt idx="163">
                  <c:v>0.79101264442991048</c:v>
                </c:pt>
                <c:pt idx="164">
                  <c:v>0.79876280793546972</c:v>
                </c:pt>
                <c:pt idx="165">
                  <c:v>0.79999454981469365</c:v>
                </c:pt>
                <c:pt idx="166">
                  <c:v>0.80386418138216698</c:v>
                </c:pt>
                <c:pt idx="167">
                  <c:v>0.81496075866579465</c:v>
                </c:pt>
                <c:pt idx="168">
                  <c:v>0.8174242424242425</c:v>
                </c:pt>
                <c:pt idx="169">
                  <c:v>0.8221822541966427</c:v>
                </c:pt>
                <c:pt idx="170">
                  <c:v>0.83063004142140839</c:v>
                </c:pt>
                <c:pt idx="171">
                  <c:v>0.83591672116851967</c:v>
                </c:pt>
                <c:pt idx="172">
                  <c:v>0.83521364726400704</c:v>
                </c:pt>
                <c:pt idx="173">
                  <c:v>0.83468497928929575</c:v>
                </c:pt>
                <c:pt idx="174">
                  <c:v>0.84260954872465665</c:v>
                </c:pt>
                <c:pt idx="175">
                  <c:v>0.84331262262916939</c:v>
                </c:pt>
                <c:pt idx="176">
                  <c:v>0.84683344233703961</c:v>
                </c:pt>
                <c:pt idx="177">
                  <c:v>0.84683344233703961</c:v>
                </c:pt>
                <c:pt idx="178">
                  <c:v>0.85845323741007185</c:v>
                </c:pt>
                <c:pt idx="179">
                  <c:v>0.85969042947460206</c:v>
                </c:pt>
                <c:pt idx="180">
                  <c:v>0.86813821669936786</c:v>
                </c:pt>
                <c:pt idx="181">
                  <c:v>0.86849247874427726</c:v>
                </c:pt>
                <c:pt idx="182">
                  <c:v>0.86584913887072168</c:v>
                </c:pt>
                <c:pt idx="183">
                  <c:v>0.86673206889034216</c:v>
                </c:pt>
                <c:pt idx="184">
                  <c:v>0.86813821669936786</c:v>
                </c:pt>
                <c:pt idx="185">
                  <c:v>0.86778940483976463</c:v>
                </c:pt>
                <c:pt idx="186">
                  <c:v>0.86690647482014394</c:v>
                </c:pt>
                <c:pt idx="187">
                  <c:v>0.86356006104207539</c:v>
                </c:pt>
                <c:pt idx="188">
                  <c:v>0.8644429910616962</c:v>
                </c:pt>
                <c:pt idx="189">
                  <c:v>0.82939829954218447</c:v>
                </c:pt>
                <c:pt idx="190">
                  <c:v>0.79928602572487462</c:v>
                </c:pt>
                <c:pt idx="191">
                  <c:v>0.78696315674732942</c:v>
                </c:pt>
                <c:pt idx="192">
                  <c:v>0.78044473512099422</c:v>
                </c:pt>
                <c:pt idx="193">
                  <c:v>0.77657510355352088</c:v>
                </c:pt>
                <c:pt idx="194">
                  <c:v>0.77058534990189664</c:v>
                </c:pt>
                <c:pt idx="195">
                  <c:v>0.78062459123610206</c:v>
                </c:pt>
                <c:pt idx="196">
                  <c:v>0.78062459123610206</c:v>
                </c:pt>
                <c:pt idx="197">
                  <c:v>0.78643448877261823</c:v>
                </c:pt>
                <c:pt idx="198">
                  <c:v>0.78379114889906265</c:v>
                </c:pt>
                <c:pt idx="199">
                  <c:v>0.77745258338783518</c:v>
                </c:pt>
                <c:pt idx="200">
                  <c:v>0.7716426858513189</c:v>
                </c:pt>
                <c:pt idx="201">
                  <c:v>0.76653586221931558</c:v>
                </c:pt>
                <c:pt idx="202">
                  <c:v>0.76266078046653585</c:v>
                </c:pt>
                <c:pt idx="203">
                  <c:v>0.75790821887944204</c:v>
                </c:pt>
                <c:pt idx="204">
                  <c:v>0.75931436668846741</c:v>
                </c:pt>
                <c:pt idx="205">
                  <c:v>0.76583278831480261</c:v>
                </c:pt>
                <c:pt idx="206">
                  <c:v>0.76318944844124703</c:v>
                </c:pt>
                <c:pt idx="207">
                  <c:v>0.76354371048615655</c:v>
                </c:pt>
                <c:pt idx="208">
                  <c:v>0.76494985829518214</c:v>
                </c:pt>
                <c:pt idx="209">
                  <c:v>0.76759319816873772</c:v>
                </c:pt>
                <c:pt idx="210">
                  <c:v>0.76583278831480261</c:v>
                </c:pt>
                <c:pt idx="211">
                  <c:v>0.76988227599738401</c:v>
                </c:pt>
                <c:pt idx="212">
                  <c:v>0.76935360802267283</c:v>
                </c:pt>
                <c:pt idx="213">
                  <c:v>0.76794201002834095</c:v>
                </c:pt>
                <c:pt idx="214">
                  <c:v>0.76935360802267283</c:v>
                </c:pt>
                <c:pt idx="215">
                  <c:v>0.75579354698059731</c:v>
                </c:pt>
                <c:pt idx="216">
                  <c:v>0.75456180510137338</c:v>
                </c:pt>
                <c:pt idx="217">
                  <c:v>0.75015805537388269</c:v>
                </c:pt>
                <c:pt idx="218">
                  <c:v>0.72585567909308912</c:v>
                </c:pt>
                <c:pt idx="219">
                  <c:v>0.71582188794419022</c:v>
                </c:pt>
                <c:pt idx="220">
                  <c:v>0.70560824068018313</c:v>
                </c:pt>
                <c:pt idx="221">
                  <c:v>0.70103008502289077</c:v>
                </c:pt>
                <c:pt idx="222">
                  <c:v>0.69961848702855911</c:v>
                </c:pt>
                <c:pt idx="223">
                  <c:v>0.69486592544146508</c:v>
                </c:pt>
                <c:pt idx="224">
                  <c:v>0.6916939175931982</c:v>
                </c:pt>
                <c:pt idx="225">
                  <c:v>0.68447787224765633</c:v>
                </c:pt>
                <c:pt idx="226">
                  <c:v>0.67743078264660994</c:v>
                </c:pt>
                <c:pt idx="227">
                  <c:v>0.67514170481796376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D0-4869-B132-E4ED7AE7CD20}"/>
            </c:ext>
          </c:extLst>
        </c:ser>
        <c:ser>
          <c:idx val="1"/>
          <c:order val="1"/>
          <c:tx>
            <c:v>OLT3-21</c:v>
          </c:tx>
          <c:spPr>
            <a:ln w="25400">
              <a:noFill/>
            </a:ln>
          </c:spPr>
          <c:marker>
            <c:symbol val="square"/>
            <c:size val="2"/>
            <c:spPr>
              <a:ln>
                <a:solidFill>
                  <a:schemeClr val="accent2"/>
                </a:solidFill>
              </a:ln>
            </c:spPr>
          </c:marker>
          <c:xVal>
            <c:numRef>
              <c:f>'OLT3-2'!$X$5:$X$232</c:f>
              <c:numCache>
                <c:formatCode>General</c:formatCode>
                <c:ptCount val="228"/>
                <c:pt idx="0">
                  <c:v>0</c:v>
                </c:pt>
                <c:pt idx="1">
                  <c:v>4.0520299999999999E-6</c:v>
                </c:pt>
                <c:pt idx="2">
                  <c:v>-2.2286400000000001E-5</c:v>
                </c:pt>
                <c:pt idx="3">
                  <c:v>-2.87343E-5</c:v>
                </c:pt>
                <c:pt idx="4">
                  <c:v>1.52588E-5</c:v>
                </c:pt>
                <c:pt idx="5">
                  <c:v>-5.4456000000000002E-5</c:v>
                </c:pt>
                <c:pt idx="6">
                  <c:v>-1.83242E-5</c:v>
                </c:pt>
                <c:pt idx="7">
                  <c:v>1.07791E-5</c:v>
                </c:pt>
                <c:pt idx="8">
                  <c:v>2.2166699999999999E-5</c:v>
                </c:pt>
                <c:pt idx="9">
                  <c:v>3.2533500000000003E-5</c:v>
                </c:pt>
                <c:pt idx="10">
                  <c:v>2.85474E-5</c:v>
                </c:pt>
                <c:pt idx="11">
                  <c:v>5.66183E-5</c:v>
                </c:pt>
                <c:pt idx="12">
                  <c:v>1.2427099999999999E-4</c:v>
                </c:pt>
                <c:pt idx="13">
                  <c:v>1.04318E-4</c:v>
                </c:pt>
                <c:pt idx="14">
                  <c:v>1.2688599999999999E-4</c:v>
                </c:pt>
                <c:pt idx="15">
                  <c:v>1.5448600000000001E-4</c:v>
                </c:pt>
                <c:pt idx="16">
                  <c:v>1.7512300000000001E-4</c:v>
                </c:pt>
                <c:pt idx="17">
                  <c:v>2.44677E-4</c:v>
                </c:pt>
                <c:pt idx="18">
                  <c:v>2.8203100000000002E-4</c:v>
                </c:pt>
                <c:pt idx="19">
                  <c:v>2.8513200000000001E-4</c:v>
                </c:pt>
                <c:pt idx="20">
                  <c:v>3.0669999999999997E-4</c:v>
                </c:pt>
                <c:pt idx="21">
                  <c:v>3.0566099999999999E-4</c:v>
                </c:pt>
                <c:pt idx="22">
                  <c:v>3.3570099999999999E-4</c:v>
                </c:pt>
                <c:pt idx="23">
                  <c:v>3.3544500000000002E-4</c:v>
                </c:pt>
                <c:pt idx="24">
                  <c:v>3.6512799999999999E-4</c:v>
                </c:pt>
                <c:pt idx="25">
                  <c:v>3.9883600000000001E-4</c:v>
                </c:pt>
                <c:pt idx="26">
                  <c:v>4.1988699999999997E-4</c:v>
                </c:pt>
                <c:pt idx="27">
                  <c:v>4.5932900000000002E-4</c:v>
                </c:pt>
                <c:pt idx="28">
                  <c:v>5.0475400000000005E-4</c:v>
                </c:pt>
                <c:pt idx="29">
                  <c:v>5.1903799999999999E-4</c:v>
                </c:pt>
                <c:pt idx="30">
                  <c:v>5.3770700000000001E-4</c:v>
                </c:pt>
                <c:pt idx="31">
                  <c:v>5.8840699999999999E-4</c:v>
                </c:pt>
                <c:pt idx="32">
                  <c:v>5.6695400000000005E-4</c:v>
                </c:pt>
                <c:pt idx="33">
                  <c:v>5.4713699999999995E-4</c:v>
                </c:pt>
                <c:pt idx="34">
                  <c:v>5.3941000000000004E-4</c:v>
                </c:pt>
                <c:pt idx="35">
                  <c:v>5.8990900000000001E-4</c:v>
                </c:pt>
                <c:pt idx="36">
                  <c:v>6.2610200000000002E-4</c:v>
                </c:pt>
                <c:pt idx="37">
                  <c:v>6.4650299999999999E-4</c:v>
                </c:pt>
                <c:pt idx="38">
                  <c:v>6.6527299999999997E-4</c:v>
                </c:pt>
                <c:pt idx="39">
                  <c:v>6.9286800000000002E-4</c:v>
                </c:pt>
                <c:pt idx="40">
                  <c:v>7.2626899999999998E-4</c:v>
                </c:pt>
                <c:pt idx="41">
                  <c:v>7.6617299999999998E-4</c:v>
                </c:pt>
                <c:pt idx="42">
                  <c:v>8.1259699999999997E-4</c:v>
                </c:pt>
                <c:pt idx="43">
                  <c:v>7.9865999999999997E-4</c:v>
                </c:pt>
                <c:pt idx="44">
                  <c:v>8.1028000000000003E-4</c:v>
                </c:pt>
                <c:pt idx="45">
                  <c:v>8.3801299999999997E-4</c:v>
                </c:pt>
                <c:pt idx="46">
                  <c:v>8.9463900000000002E-4</c:v>
                </c:pt>
                <c:pt idx="47">
                  <c:v>9.3418600000000004E-4</c:v>
                </c:pt>
                <c:pt idx="48">
                  <c:v>9.6100999999999999E-4</c:v>
                </c:pt>
                <c:pt idx="49">
                  <c:v>9.7406900000000004E-4</c:v>
                </c:pt>
                <c:pt idx="50">
                  <c:v>9.6745000000000002E-4</c:v>
                </c:pt>
                <c:pt idx="51">
                  <c:v>1.0091E-3</c:v>
                </c:pt>
                <c:pt idx="52">
                  <c:v>1.0227700000000001E-3</c:v>
                </c:pt>
                <c:pt idx="53">
                  <c:v>1.0200299999999999E-3</c:v>
                </c:pt>
                <c:pt idx="54">
                  <c:v>1.0824700000000001E-3</c:v>
                </c:pt>
                <c:pt idx="55">
                  <c:v>1.1324099999999999E-3</c:v>
                </c:pt>
                <c:pt idx="56">
                  <c:v>1.15197E-3</c:v>
                </c:pt>
                <c:pt idx="57">
                  <c:v>1.1594400000000001E-3</c:v>
                </c:pt>
                <c:pt idx="58">
                  <c:v>1.15967E-3</c:v>
                </c:pt>
                <c:pt idx="59">
                  <c:v>1.2316499999999999E-3</c:v>
                </c:pt>
                <c:pt idx="60">
                  <c:v>1.31069E-3</c:v>
                </c:pt>
                <c:pt idx="61">
                  <c:v>1.33399E-3</c:v>
                </c:pt>
                <c:pt idx="62">
                  <c:v>1.33892E-3</c:v>
                </c:pt>
                <c:pt idx="63">
                  <c:v>1.39711E-3</c:v>
                </c:pt>
                <c:pt idx="64">
                  <c:v>1.3962099999999999E-3</c:v>
                </c:pt>
                <c:pt idx="65">
                  <c:v>1.36991E-3</c:v>
                </c:pt>
                <c:pt idx="66">
                  <c:v>1.36341E-3</c:v>
                </c:pt>
                <c:pt idx="67">
                  <c:v>1.37908E-3</c:v>
                </c:pt>
                <c:pt idx="68">
                  <c:v>1.3915100000000001E-3</c:v>
                </c:pt>
                <c:pt idx="69">
                  <c:v>1.4857500000000001E-3</c:v>
                </c:pt>
                <c:pt idx="70">
                  <c:v>1.5001400000000001E-3</c:v>
                </c:pt>
                <c:pt idx="71">
                  <c:v>1.5599500000000001E-3</c:v>
                </c:pt>
                <c:pt idx="72">
                  <c:v>1.5854599999999999E-3</c:v>
                </c:pt>
                <c:pt idx="73">
                  <c:v>1.6179600000000001E-3</c:v>
                </c:pt>
                <c:pt idx="74">
                  <c:v>1.6168599999999999E-3</c:v>
                </c:pt>
                <c:pt idx="75">
                  <c:v>1.65146E-3</c:v>
                </c:pt>
                <c:pt idx="76">
                  <c:v>1.6757499999999999E-3</c:v>
                </c:pt>
                <c:pt idx="77">
                  <c:v>1.7474299999999999E-3</c:v>
                </c:pt>
                <c:pt idx="78">
                  <c:v>1.7681699999999999E-3</c:v>
                </c:pt>
                <c:pt idx="79">
                  <c:v>1.7569300000000001E-3</c:v>
                </c:pt>
                <c:pt idx="80">
                  <c:v>1.81212E-3</c:v>
                </c:pt>
                <c:pt idx="81">
                  <c:v>1.8675199999999999E-3</c:v>
                </c:pt>
                <c:pt idx="82">
                  <c:v>1.89942E-3</c:v>
                </c:pt>
                <c:pt idx="83">
                  <c:v>1.93951E-3</c:v>
                </c:pt>
                <c:pt idx="84">
                  <c:v>1.9880000000000002E-3</c:v>
                </c:pt>
                <c:pt idx="85">
                  <c:v>2.03783E-3</c:v>
                </c:pt>
                <c:pt idx="86">
                  <c:v>2.04704E-3</c:v>
                </c:pt>
                <c:pt idx="87">
                  <c:v>2.0954200000000002E-3</c:v>
                </c:pt>
                <c:pt idx="88">
                  <c:v>2.1201800000000002E-3</c:v>
                </c:pt>
                <c:pt idx="89">
                  <c:v>2.1495300000000002E-3</c:v>
                </c:pt>
                <c:pt idx="90">
                  <c:v>2.1879400000000002E-3</c:v>
                </c:pt>
                <c:pt idx="91">
                  <c:v>2.2034300000000001E-3</c:v>
                </c:pt>
                <c:pt idx="92">
                  <c:v>2.2032900000000001E-3</c:v>
                </c:pt>
                <c:pt idx="93">
                  <c:v>2.2631399999999999E-3</c:v>
                </c:pt>
                <c:pt idx="94">
                  <c:v>2.3006699999999999E-3</c:v>
                </c:pt>
                <c:pt idx="95">
                  <c:v>2.3804799999999999E-3</c:v>
                </c:pt>
                <c:pt idx="96">
                  <c:v>2.34497E-3</c:v>
                </c:pt>
                <c:pt idx="97">
                  <c:v>2.4275E-3</c:v>
                </c:pt>
                <c:pt idx="98">
                  <c:v>2.4485100000000001E-3</c:v>
                </c:pt>
                <c:pt idx="99">
                  <c:v>2.47124E-3</c:v>
                </c:pt>
                <c:pt idx="100">
                  <c:v>2.4826700000000002E-3</c:v>
                </c:pt>
                <c:pt idx="101">
                  <c:v>2.5706499999999998E-3</c:v>
                </c:pt>
                <c:pt idx="102">
                  <c:v>2.59034E-3</c:v>
                </c:pt>
                <c:pt idx="103">
                  <c:v>2.6639200000000002E-3</c:v>
                </c:pt>
                <c:pt idx="104">
                  <c:v>2.7043599999999998E-3</c:v>
                </c:pt>
                <c:pt idx="105">
                  <c:v>2.76961E-3</c:v>
                </c:pt>
                <c:pt idx="106">
                  <c:v>2.82921E-3</c:v>
                </c:pt>
                <c:pt idx="107">
                  <c:v>2.8729599999999999E-3</c:v>
                </c:pt>
                <c:pt idx="108">
                  <c:v>2.88529E-3</c:v>
                </c:pt>
                <c:pt idx="109">
                  <c:v>2.90873E-3</c:v>
                </c:pt>
                <c:pt idx="110">
                  <c:v>2.9861599999999999E-3</c:v>
                </c:pt>
                <c:pt idx="111">
                  <c:v>3.0116499999999998E-3</c:v>
                </c:pt>
                <c:pt idx="112">
                  <c:v>3.04806E-3</c:v>
                </c:pt>
                <c:pt idx="113">
                  <c:v>3.0546900000000001E-3</c:v>
                </c:pt>
                <c:pt idx="114">
                  <c:v>3.1127699999999999E-3</c:v>
                </c:pt>
                <c:pt idx="115">
                  <c:v>3.18506E-3</c:v>
                </c:pt>
                <c:pt idx="116">
                  <c:v>3.2266899999999999E-3</c:v>
                </c:pt>
                <c:pt idx="117">
                  <c:v>3.2564999999999998E-3</c:v>
                </c:pt>
                <c:pt idx="118">
                  <c:v>3.2995199999999998E-3</c:v>
                </c:pt>
                <c:pt idx="119">
                  <c:v>3.28597E-3</c:v>
                </c:pt>
                <c:pt idx="120">
                  <c:v>3.3971499999999998E-3</c:v>
                </c:pt>
                <c:pt idx="121">
                  <c:v>3.4223499999999998E-3</c:v>
                </c:pt>
                <c:pt idx="122">
                  <c:v>3.4630400000000001E-3</c:v>
                </c:pt>
                <c:pt idx="123">
                  <c:v>3.47671E-3</c:v>
                </c:pt>
                <c:pt idx="124">
                  <c:v>3.5492100000000001E-3</c:v>
                </c:pt>
                <c:pt idx="125">
                  <c:v>3.53229E-3</c:v>
                </c:pt>
                <c:pt idx="126">
                  <c:v>3.57208E-3</c:v>
                </c:pt>
                <c:pt idx="127">
                  <c:v>3.6397600000000001E-3</c:v>
                </c:pt>
                <c:pt idx="128">
                  <c:v>3.64518E-3</c:v>
                </c:pt>
                <c:pt idx="129">
                  <c:v>3.6781499999999998E-3</c:v>
                </c:pt>
                <c:pt idx="130">
                  <c:v>3.7890300000000001E-3</c:v>
                </c:pt>
                <c:pt idx="131">
                  <c:v>3.8133500000000001E-3</c:v>
                </c:pt>
                <c:pt idx="132">
                  <c:v>3.8963800000000001E-3</c:v>
                </c:pt>
                <c:pt idx="133">
                  <c:v>3.9316899999999998E-3</c:v>
                </c:pt>
                <c:pt idx="134">
                  <c:v>3.9899699999999998E-3</c:v>
                </c:pt>
                <c:pt idx="135">
                  <c:v>4.0369899999999998E-3</c:v>
                </c:pt>
                <c:pt idx="136">
                  <c:v>4.0903099999999998E-3</c:v>
                </c:pt>
                <c:pt idx="137">
                  <c:v>4.1250200000000001E-3</c:v>
                </c:pt>
                <c:pt idx="138">
                  <c:v>4.2182599999999997E-3</c:v>
                </c:pt>
                <c:pt idx="139">
                  <c:v>4.25881E-3</c:v>
                </c:pt>
                <c:pt idx="140">
                  <c:v>4.3359799999999997E-3</c:v>
                </c:pt>
                <c:pt idx="141">
                  <c:v>4.3702100000000002E-3</c:v>
                </c:pt>
                <c:pt idx="142">
                  <c:v>4.4334300000000004E-3</c:v>
                </c:pt>
                <c:pt idx="143">
                  <c:v>4.4975199999999996E-3</c:v>
                </c:pt>
                <c:pt idx="144">
                  <c:v>4.59107E-3</c:v>
                </c:pt>
                <c:pt idx="145">
                  <c:v>4.6118900000000004E-3</c:v>
                </c:pt>
                <c:pt idx="146">
                  <c:v>4.7174199999999999E-3</c:v>
                </c:pt>
                <c:pt idx="147">
                  <c:v>4.7614700000000003E-3</c:v>
                </c:pt>
                <c:pt idx="148">
                  <c:v>4.7803699999999999E-3</c:v>
                </c:pt>
                <c:pt idx="149">
                  <c:v>4.7914000000000003E-3</c:v>
                </c:pt>
                <c:pt idx="150">
                  <c:v>4.8797700000000003E-3</c:v>
                </c:pt>
                <c:pt idx="151">
                  <c:v>4.9024300000000002E-3</c:v>
                </c:pt>
                <c:pt idx="152">
                  <c:v>4.90743E-3</c:v>
                </c:pt>
                <c:pt idx="153">
                  <c:v>4.9922200000000003E-3</c:v>
                </c:pt>
                <c:pt idx="154">
                  <c:v>5.0635599999999999E-3</c:v>
                </c:pt>
                <c:pt idx="155">
                  <c:v>5.0794600000000001E-3</c:v>
                </c:pt>
                <c:pt idx="156">
                  <c:v>5.1880399999999997E-3</c:v>
                </c:pt>
                <c:pt idx="157">
                  <c:v>5.31885E-3</c:v>
                </c:pt>
                <c:pt idx="158">
                  <c:v>5.4428899999999997E-3</c:v>
                </c:pt>
                <c:pt idx="159">
                  <c:v>5.5000600000000002E-3</c:v>
                </c:pt>
                <c:pt idx="160">
                  <c:v>5.5147399999999997E-3</c:v>
                </c:pt>
                <c:pt idx="161">
                  <c:v>5.5990600000000003E-3</c:v>
                </c:pt>
                <c:pt idx="162">
                  <c:v>5.7951599999999997E-3</c:v>
                </c:pt>
                <c:pt idx="163">
                  <c:v>5.8574600000000001E-3</c:v>
                </c:pt>
                <c:pt idx="164">
                  <c:v>6.0048499999999999E-3</c:v>
                </c:pt>
                <c:pt idx="165">
                  <c:v>6.1111999999999998E-3</c:v>
                </c:pt>
                <c:pt idx="166">
                  <c:v>6.2747300000000001E-3</c:v>
                </c:pt>
                <c:pt idx="167">
                  <c:v>6.4979199999999999E-3</c:v>
                </c:pt>
                <c:pt idx="168">
                  <c:v>6.5801100000000001E-3</c:v>
                </c:pt>
                <c:pt idx="169">
                  <c:v>6.6325300000000002E-3</c:v>
                </c:pt>
                <c:pt idx="170">
                  <c:v>6.9363999999999997E-3</c:v>
                </c:pt>
                <c:pt idx="171">
                  <c:v>7.0416200000000002E-3</c:v>
                </c:pt>
                <c:pt idx="172">
                  <c:v>7.0781899999999998E-3</c:v>
                </c:pt>
                <c:pt idx="173">
                  <c:v>7.0446600000000003E-3</c:v>
                </c:pt>
                <c:pt idx="174">
                  <c:v>7.2355199999999996E-3</c:v>
                </c:pt>
                <c:pt idx="175">
                  <c:v>7.3588899999999999E-3</c:v>
                </c:pt>
                <c:pt idx="176">
                  <c:v>7.4516499999999998E-3</c:v>
                </c:pt>
                <c:pt idx="177">
                  <c:v>7.56786E-3</c:v>
                </c:pt>
                <c:pt idx="178">
                  <c:v>7.73554E-3</c:v>
                </c:pt>
                <c:pt idx="179">
                  <c:v>7.9184700000000004E-3</c:v>
                </c:pt>
                <c:pt idx="180">
                  <c:v>8.1896E-3</c:v>
                </c:pt>
                <c:pt idx="181">
                  <c:v>8.2689600000000005E-3</c:v>
                </c:pt>
                <c:pt idx="182">
                  <c:v>8.6662600000000003E-3</c:v>
                </c:pt>
                <c:pt idx="183">
                  <c:v>8.7060499999999999E-3</c:v>
                </c:pt>
                <c:pt idx="184">
                  <c:v>8.7548599999999997E-3</c:v>
                </c:pt>
                <c:pt idx="185">
                  <c:v>9.3767399999999997E-3</c:v>
                </c:pt>
                <c:pt idx="186">
                  <c:v>9.7552100000000003E-3</c:v>
                </c:pt>
                <c:pt idx="187">
                  <c:v>1.00099E-2</c:v>
                </c:pt>
                <c:pt idx="188">
                  <c:v>1.0074700000000001E-2</c:v>
                </c:pt>
                <c:pt idx="189">
                  <c:v>1.01736E-2</c:v>
                </c:pt>
                <c:pt idx="190">
                  <c:v>1.02057E-2</c:v>
                </c:pt>
                <c:pt idx="191">
                  <c:v>1.0252799999999999E-2</c:v>
                </c:pt>
                <c:pt idx="192">
                  <c:v>1.02396E-2</c:v>
                </c:pt>
                <c:pt idx="193">
                  <c:v>1.02606E-2</c:v>
                </c:pt>
                <c:pt idx="194">
                  <c:v>1.03301E-2</c:v>
                </c:pt>
                <c:pt idx="195">
                  <c:v>1.0538E-2</c:v>
                </c:pt>
                <c:pt idx="196">
                  <c:v>1.0781300000000001E-2</c:v>
                </c:pt>
                <c:pt idx="197">
                  <c:v>1.10165E-2</c:v>
                </c:pt>
                <c:pt idx="198">
                  <c:v>1.11202E-2</c:v>
                </c:pt>
                <c:pt idx="199">
                  <c:v>1.11605E-2</c:v>
                </c:pt>
                <c:pt idx="200">
                  <c:v>1.12373E-2</c:v>
                </c:pt>
                <c:pt idx="201">
                  <c:v>1.13014E-2</c:v>
                </c:pt>
                <c:pt idx="202">
                  <c:v>1.13551E-2</c:v>
                </c:pt>
                <c:pt idx="203">
                  <c:v>1.1500399999999999E-2</c:v>
                </c:pt>
                <c:pt idx="204">
                  <c:v>1.1560300000000001E-2</c:v>
                </c:pt>
                <c:pt idx="205">
                  <c:v>1.23546E-2</c:v>
                </c:pt>
                <c:pt idx="206">
                  <c:v>1.2352399999999999E-2</c:v>
                </c:pt>
                <c:pt idx="207">
                  <c:v>1.25594E-2</c:v>
                </c:pt>
                <c:pt idx="208">
                  <c:v>1.25542E-2</c:v>
                </c:pt>
                <c:pt idx="209">
                  <c:v>1.32193E-2</c:v>
                </c:pt>
                <c:pt idx="210">
                  <c:v>1.33226E-2</c:v>
                </c:pt>
                <c:pt idx="211">
                  <c:v>1.34202E-2</c:v>
                </c:pt>
                <c:pt idx="212">
                  <c:v>1.35488E-2</c:v>
                </c:pt>
                <c:pt idx="213">
                  <c:v>1.37045E-2</c:v>
                </c:pt>
                <c:pt idx="214">
                  <c:v>1.3704600000000001E-2</c:v>
                </c:pt>
                <c:pt idx="215">
                  <c:v>1.4001899999999999E-2</c:v>
                </c:pt>
                <c:pt idx="216">
                  <c:v>1.4086700000000001E-2</c:v>
                </c:pt>
                <c:pt idx="217">
                  <c:v>1.41286E-2</c:v>
                </c:pt>
                <c:pt idx="218">
                  <c:v>1.42571E-2</c:v>
                </c:pt>
                <c:pt idx="219">
                  <c:v>1.42807E-2</c:v>
                </c:pt>
                <c:pt idx="220">
                  <c:v>1.43E-2</c:v>
                </c:pt>
                <c:pt idx="221">
                  <c:v>1.4338099999999999E-2</c:v>
                </c:pt>
                <c:pt idx="222">
                  <c:v>1.4357200000000001E-2</c:v>
                </c:pt>
                <c:pt idx="223">
                  <c:v>1.44449E-2</c:v>
                </c:pt>
                <c:pt idx="224">
                  <c:v>1.44858E-2</c:v>
                </c:pt>
                <c:pt idx="225">
                  <c:v>1.45378E-2</c:v>
                </c:pt>
                <c:pt idx="226">
                  <c:v>1.4608700000000001E-2</c:v>
                </c:pt>
                <c:pt idx="227">
                  <c:v>1.46745E-2</c:v>
                </c:pt>
              </c:numCache>
            </c:numRef>
          </c:xVal>
          <c:yVal>
            <c:numRef>
              <c:f>'OLT3-2'!$V$5:$V$232</c:f>
              <c:numCache>
                <c:formatCode>General</c:formatCode>
                <c:ptCount val="228"/>
                <c:pt idx="0">
                  <c:v>-0.10987246566383257</c:v>
                </c:pt>
                <c:pt idx="1">
                  <c:v>-0.10899226073686506</c:v>
                </c:pt>
                <c:pt idx="2">
                  <c:v>-0.11128133856551123</c:v>
                </c:pt>
                <c:pt idx="3">
                  <c:v>-0.10828755177676042</c:v>
                </c:pt>
                <c:pt idx="4">
                  <c:v>-0.10705526487900588</c:v>
                </c:pt>
                <c:pt idx="5">
                  <c:v>-0.1074073468497929</c:v>
                </c:pt>
                <c:pt idx="6">
                  <c:v>-0.10159635927621538</c:v>
                </c:pt>
                <c:pt idx="7">
                  <c:v>-9.3848375844778717E-2</c:v>
                </c:pt>
                <c:pt idx="8">
                  <c:v>-9.1206671026814914E-2</c:v>
                </c:pt>
                <c:pt idx="9">
                  <c:v>-8.2578482668410724E-2</c:v>
                </c:pt>
                <c:pt idx="10">
                  <c:v>-7.8351863963374749E-2</c:v>
                </c:pt>
                <c:pt idx="11">
                  <c:v>-6.9899716590364078E-2</c:v>
                </c:pt>
                <c:pt idx="12">
                  <c:v>-6.51449749291476E-2</c:v>
                </c:pt>
                <c:pt idx="13">
                  <c:v>-5.8981905384783082E-2</c:v>
                </c:pt>
                <c:pt idx="14">
                  <c:v>-4.5951057335949431E-2</c:v>
                </c:pt>
                <c:pt idx="15">
                  <c:v>-3.9964028776978418E-2</c:v>
                </c:pt>
                <c:pt idx="16">
                  <c:v>-3.1511881403967733E-2</c:v>
                </c:pt>
                <c:pt idx="17">
                  <c:v>-1.8657074340527581E-2</c:v>
                </c:pt>
                <c:pt idx="18">
                  <c:v>-6.8590582079790709E-3</c:v>
                </c:pt>
                <c:pt idx="19">
                  <c:v>-2.8090255068672332E-3</c:v>
                </c:pt>
                <c:pt idx="20">
                  <c:v>9.8697405711794198E-3</c:v>
                </c:pt>
                <c:pt idx="21">
                  <c:v>1.3039568345323741E-2</c:v>
                </c:pt>
                <c:pt idx="22">
                  <c:v>1.7617724002616089E-2</c:v>
                </c:pt>
                <c:pt idx="23">
                  <c:v>2.5365707434052757E-2</c:v>
                </c:pt>
                <c:pt idx="24">
                  <c:v>3.4874645737955089E-2</c:v>
                </c:pt>
                <c:pt idx="25">
                  <c:v>4.2798670154785258E-2</c:v>
                </c:pt>
                <c:pt idx="26">
                  <c:v>4.7377370830608237E-2</c:v>
                </c:pt>
                <c:pt idx="27">
                  <c:v>5.6710268149117074E-2</c:v>
                </c:pt>
                <c:pt idx="28">
                  <c:v>5.9351427948550244E-2</c:v>
                </c:pt>
                <c:pt idx="29">
                  <c:v>6.4106169609766728E-2</c:v>
                </c:pt>
                <c:pt idx="30">
                  <c:v>6.9741116197950731E-2</c:v>
                </c:pt>
                <c:pt idx="31">
                  <c:v>7.3439066928275565E-2</c:v>
                </c:pt>
                <c:pt idx="32">
                  <c:v>7.8193263570961416E-2</c:v>
                </c:pt>
                <c:pt idx="33">
                  <c:v>8.6117287987791585E-2</c:v>
                </c:pt>
                <c:pt idx="34">
                  <c:v>8.8406365816437751E-2</c:v>
                </c:pt>
                <c:pt idx="35">
                  <c:v>0.1002049269675169</c:v>
                </c:pt>
                <c:pt idx="36">
                  <c:v>0.10407891868323524</c:v>
                </c:pt>
                <c:pt idx="37">
                  <c:v>0.11499618487028558</c:v>
                </c:pt>
                <c:pt idx="38">
                  <c:v>0.11746184870285591</c:v>
                </c:pt>
                <c:pt idx="39">
                  <c:v>0.12432908218879443</c:v>
                </c:pt>
                <c:pt idx="40">
                  <c:v>0.13154894266405059</c:v>
                </c:pt>
                <c:pt idx="41">
                  <c:v>0.13507085240898192</c:v>
                </c:pt>
                <c:pt idx="42">
                  <c:v>0.14176204490952693</c:v>
                </c:pt>
                <c:pt idx="43">
                  <c:v>0.14176204490952693</c:v>
                </c:pt>
                <c:pt idx="44">
                  <c:v>0.14898190538478309</c:v>
                </c:pt>
                <c:pt idx="45">
                  <c:v>0.15285589710050143</c:v>
                </c:pt>
                <c:pt idx="46">
                  <c:v>0.16201275343361676</c:v>
                </c:pt>
                <c:pt idx="47">
                  <c:v>0.16835186396337476</c:v>
                </c:pt>
                <c:pt idx="48">
                  <c:v>0.17310660562459124</c:v>
                </c:pt>
                <c:pt idx="49">
                  <c:v>0.17891759319816877</c:v>
                </c:pt>
                <c:pt idx="50">
                  <c:v>0.18085458905602791</c:v>
                </c:pt>
                <c:pt idx="51">
                  <c:v>0.18983540440374974</c:v>
                </c:pt>
                <c:pt idx="52">
                  <c:v>0.19476564203182908</c:v>
                </c:pt>
                <c:pt idx="53">
                  <c:v>0.20251362546326576</c:v>
                </c:pt>
                <c:pt idx="54">
                  <c:v>0.20762044909526925</c:v>
                </c:pt>
                <c:pt idx="55">
                  <c:v>0.21677730542838455</c:v>
                </c:pt>
                <c:pt idx="56">
                  <c:v>0.22329245694353611</c:v>
                </c:pt>
                <c:pt idx="57">
                  <c:v>0.2264622847176804</c:v>
                </c:pt>
                <c:pt idx="58">
                  <c:v>0.23491497710922174</c:v>
                </c:pt>
                <c:pt idx="59">
                  <c:v>0.24354316546762589</c:v>
                </c:pt>
                <c:pt idx="60">
                  <c:v>0.25005886200130806</c:v>
                </c:pt>
                <c:pt idx="61">
                  <c:v>0.25181927185524311</c:v>
                </c:pt>
                <c:pt idx="62">
                  <c:v>0.25886309134510577</c:v>
                </c:pt>
                <c:pt idx="63">
                  <c:v>0.2660829518203619</c:v>
                </c:pt>
                <c:pt idx="64">
                  <c:v>0.26731578373664705</c:v>
                </c:pt>
                <c:pt idx="65">
                  <c:v>0.27612001308044476</c:v>
                </c:pt>
                <c:pt idx="66">
                  <c:v>0.2815789186832352</c:v>
                </c:pt>
                <c:pt idx="67">
                  <c:v>0.28844669718770438</c:v>
                </c:pt>
                <c:pt idx="68">
                  <c:v>0.28650970132984527</c:v>
                </c:pt>
                <c:pt idx="69">
                  <c:v>0.2979556354916067</c:v>
                </c:pt>
                <c:pt idx="70">
                  <c:v>0.30411870503597127</c:v>
                </c:pt>
                <c:pt idx="71">
                  <c:v>0.31010573359494226</c:v>
                </c:pt>
                <c:pt idx="72">
                  <c:v>0.31433180728144755</c:v>
                </c:pt>
                <c:pt idx="73">
                  <c:v>0.31891050795727055</c:v>
                </c:pt>
                <c:pt idx="74">
                  <c:v>0.32296054065838237</c:v>
                </c:pt>
                <c:pt idx="75">
                  <c:v>0.3294756921735339</c:v>
                </c:pt>
                <c:pt idx="76">
                  <c:v>0.33264551994767821</c:v>
                </c:pt>
                <c:pt idx="77">
                  <c:v>0.3377523435796817</c:v>
                </c:pt>
                <c:pt idx="78">
                  <c:v>0.34743732286897755</c:v>
                </c:pt>
                <c:pt idx="79">
                  <c:v>0.35254414650098098</c:v>
                </c:pt>
                <c:pt idx="80">
                  <c:v>0.3553613472858077</c:v>
                </c:pt>
                <c:pt idx="81">
                  <c:v>0.36258120776106384</c:v>
                </c:pt>
                <c:pt idx="82">
                  <c:v>0.36874427730542841</c:v>
                </c:pt>
                <c:pt idx="83">
                  <c:v>0.37983812949640294</c:v>
                </c:pt>
                <c:pt idx="84">
                  <c:v>0.38529703509919339</c:v>
                </c:pt>
                <c:pt idx="85">
                  <c:v>0.39022727272727276</c:v>
                </c:pt>
                <c:pt idx="86">
                  <c:v>0.40167320688903418</c:v>
                </c:pt>
                <c:pt idx="87">
                  <c:v>0.40449095269239149</c:v>
                </c:pt>
                <c:pt idx="88">
                  <c:v>0.40730815347721822</c:v>
                </c:pt>
                <c:pt idx="89">
                  <c:v>0.41047798125136259</c:v>
                </c:pt>
                <c:pt idx="90">
                  <c:v>0.4178738827120122</c:v>
                </c:pt>
                <c:pt idx="91">
                  <c:v>0.4242129932417702</c:v>
                </c:pt>
                <c:pt idx="92">
                  <c:v>0.42685469805973403</c:v>
                </c:pt>
                <c:pt idx="93">
                  <c:v>0.43196097667320693</c:v>
                </c:pt>
                <c:pt idx="94">
                  <c:v>0.4393568781338566</c:v>
                </c:pt>
                <c:pt idx="95">
                  <c:v>0.44463974275125356</c:v>
                </c:pt>
                <c:pt idx="96">
                  <c:v>0.45062677131022455</c:v>
                </c:pt>
                <c:pt idx="97">
                  <c:v>0.4573185088293002</c:v>
                </c:pt>
                <c:pt idx="98">
                  <c:v>0.45890342271637236</c:v>
                </c:pt>
                <c:pt idx="99">
                  <c:v>0.46770765206017001</c:v>
                </c:pt>
                <c:pt idx="100">
                  <c:v>0.46964464791802918</c:v>
                </c:pt>
                <c:pt idx="101">
                  <c:v>0.4824994549814694</c:v>
                </c:pt>
                <c:pt idx="102">
                  <c:v>0.4858453237410072</c:v>
                </c:pt>
                <c:pt idx="103">
                  <c:v>0.4909516023544801</c:v>
                </c:pt>
                <c:pt idx="104">
                  <c:v>0.49799542184434276</c:v>
                </c:pt>
                <c:pt idx="105">
                  <c:v>0.50591944626117291</c:v>
                </c:pt>
                <c:pt idx="106">
                  <c:v>0.51120231087856993</c:v>
                </c:pt>
                <c:pt idx="107">
                  <c:v>0.51859821233921954</c:v>
                </c:pt>
                <c:pt idx="108">
                  <c:v>0.52264824504033136</c:v>
                </c:pt>
                <c:pt idx="109">
                  <c:v>0.52845923261390881</c:v>
                </c:pt>
                <c:pt idx="110">
                  <c:v>0.5340941792020929</c:v>
                </c:pt>
                <c:pt idx="111">
                  <c:v>0.5362072160453456</c:v>
                </c:pt>
                <c:pt idx="112">
                  <c:v>0.54342707652060174</c:v>
                </c:pt>
                <c:pt idx="113">
                  <c:v>0.54413124046217576</c:v>
                </c:pt>
                <c:pt idx="114">
                  <c:v>0.55170590800087205</c:v>
                </c:pt>
                <c:pt idx="115">
                  <c:v>0.55804447351209951</c:v>
                </c:pt>
                <c:pt idx="116">
                  <c:v>0.56544037497274913</c:v>
                </c:pt>
                <c:pt idx="117">
                  <c:v>0.57019293655984304</c:v>
                </c:pt>
                <c:pt idx="118">
                  <c:v>0.57318508829300208</c:v>
                </c:pt>
                <c:pt idx="119">
                  <c:v>0.5774144320906911</c:v>
                </c:pt>
                <c:pt idx="120">
                  <c:v>0.58551340745585356</c:v>
                </c:pt>
                <c:pt idx="121">
                  <c:v>0.59290930891650317</c:v>
                </c:pt>
                <c:pt idx="122">
                  <c:v>0.59889361238282113</c:v>
                </c:pt>
                <c:pt idx="123">
                  <c:v>0.6003052103771529</c:v>
                </c:pt>
                <c:pt idx="124">
                  <c:v>0.60418029212993241</c:v>
                </c:pt>
                <c:pt idx="125">
                  <c:v>0.61086766950076299</c:v>
                </c:pt>
                <c:pt idx="126">
                  <c:v>0.61086766950076299</c:v>
                </c:pt>
                <c:pt idx="127">
                  <c:v>0.61245367342489643</c:v>
                </c:pt>
                <c:pt idx="128">
                  <c:v>0.62160998473948115</c:v>
                </c:pt>
                <c:pt idx="129">
                  <c:v>0.62565947242206232</c:v>
                </c:pt>
                <c:pt idx="130">
                  <c:v>0.6305918901242642</c:v>
                </c:pt>
                <c:pt idx="131">
                  <c:v>0.63517004578155667</c:v>
                </c:pt>
                <c:pt idx="132">
                  <c:v>0.64063113145846962</c:v>
                </c:pt>
                <c:pt idx="133">
                  <c:v>0.64626662306518423</c:v>
                </c:pt>
                <c:pt idx="134">
                  <c:v>0.64908436886854148</c:v>
                </c:pt>
                <c:pt idx="135">
                  <c:v>0.65471986047525621</c:v>
                </c:pt>
                <c:pt idx="136">
                  <c:v>0.66387617178984093</c:v>
                </c:pt>
                <c:pt idx="137">
                  <c:v>0.66739699149771092</c:v>
                </c:pt>
                <c:pt idx="138">
                  <c:v>0.67003488118596033</c:v>
                </c:pt>
                <c:pt idx="139">
                  <c:v>0.67761063876171801</c:v>
                </c:pt>
                <c:pt idx="140">
                  <c:v>0.68148027032919123</c:v>
                </c:pt>
                <c:pt idx="141">
                  <c:v>0.68975910180946154</c:v>
                </c:pt>
                <c:pt idx="142">
                  <c:v>0.6960976673206889</c:v>
                </c:pt>
                <c:pt idx="143">
                  <c:v>0.69891541312404615</c:v>
                </c:pt>
                <c:pt idx="144">
                  <c:v>0.70930346631785479</c:v>
                </c:pt>
                <c:pt idx="145">
                  <c:v>0.71177240026160893</c:v>
                </c:pt>
                <c:pt idx="146">
                  <c:v>0.71317854807063441</c:v>
                </c:pt>
                <c:pt idx="147">
                  <c:v>0.71652496184870285</c:v>
                </c:pt>
                <c:pt idx="148">
                  <c:v>0.71459014606496629</c:v>
                </c:pt>
                <c:pt idx="149">
                  <c:v>0.72480379332897316</c:v>
                </c:pt>
                <c:pt idx="150">
                  <c:v>0.72849901896664493</c:v>
                </c:pt>
                <c:pt idx="151">
                  <c:v>0.7295563549160673</c:v>
                </c:pt>
                <c:pt idx="152">
                  <c:v>0.73307717462393718</c:v>
                </c:pt>
                <c:pt idx="153">
                  <c:v>0.74029867015478534</c:v>
                </c:pt>
                <c:pt idx="154">
                  <c:v>0.74381948986265534</c:v>
                </c:pt>
                <c:pt idx="155">
                  <c:v>0.74364508393285367</c:v>
                </c:pt>
                <c:pt idx="156">
                  <c:v>0.75104098539350339</c:v>
                </c:pt>
                <c:pt idx="157">
                  <c:v>0.75737955090473075</c:v>
                </c:pt>
                <c:pt idx="158">
                  <c:v>0.77023108785698713</c:v>
                </c:pt>
                <c:pt idx="159">
                  <c:v>0.7742860257248747</c:v>
                </c:pt>
                <c:pt idx="160">
                  <c:v>0.77375735775016352</c:v>
                </c:pt>
                <c:pt idx="161">
                  <c:v>0.7809734030957054</c:v>
                </c:pt>
                <c:pt idx="162">
                  <c:v>0.78696315674732942</c:v>
                </c:pt>
                <c:pt idx="163">
                  <c:v>0.79101264442991048</c:v>
                </c:pt>
                <c:pt idx="164">
                  <c:v>0.79876280793546972</c:v>
                </c:pt>
                <c:pt idx="165">
                  <c:v>0.79999454981469365</c:v>
                </c:pt>
                <c:pt idx="166">
                  <c:v>0.80386418138216698</c:v>
                </c:pt>
                <c:pt idx="167">
                  <c:v>0.81496075866579465</c:v>
                </c:pt>
                <c:pt idx="168">
                  <c:v>0.8174242424242425</c:v>
                </c:pt>
                <c:pt idx="169">
                  <c:v>0.8221822541966427</c:v>
                </c:pt>
                <c:pt idx="170">
                  <c:v>0.83063004142140839</c:v>
                </c:pt>
                <c:pt idx="171">
                  <c:v>0.83591672116851967</c:v>
                </c:pt>
                <c:pt idx="172">
                  <c:v>0.83521364726400704</c:v>
                </c:pt>
                <c:pt idx="173">
                  <c:v>0.83468497928929575</c:v>
                </c:pt>
                <c:pt idx="174">
                  <c:v>0.84260954872465665</c:v>
                </c:pt>
                <c:pt idx="175">
                  <c:v>0.84331262262916939</c:v>
                </c:pt>
                <c:pt idx="176">
                  <c:v>0.84683344233703961</c:v>
                </c:pt>
                <c:pt idx="177">
                  <c:v>0.84683344233703961</c:v>
                </c:pt>
                <c:pt idx="178">
                  <c:v>0.85845323741007185</c:v>
                </c:pt>
                <c:pt idx="179">
                  <c:v>0.85969042947460206</c:v>
                </c:pt>
                <c:pt idx="180">
                  <c:v>0.86813821669936786</c:v>
                </c:pt>
                <c:pt idx="181">
                  <c:v>0.86849247874427726</c:v>
                </c:pt>
                <c:pt idx="182">
                  <c:v>0.86584913887072168</c:v>
                </c:pt>
                <c:pt idx="183">
                  <c:v>0.86673206889034216</c:v>
                </c:pt>
                <c:pt idx="184">
                  <c:v>0.86813821669936786</c:v>
                </c:pt>
                <c:pt idx="185">
                  <c:v>0.86778940483976463</c:v>
                </c:pt>
                <c:pt idx="186">
                  <c:v>0.86690647482014394</c:v>
                </c:pt>
                <c:pt idx="187">
                  <c:v>0.86356006104207539</c:v>
                </c:pt>
                <c:pt idx="188">
                  <c:v>0.8644429910616962</c:v>
                </c:pt>
                <c:pt idx="189">
                  <c:v>0.82939829954218447</c:v>
                </c:pt>
                <c:pt idx="190">
                  <c:v>0.79928602572487462</c:v>
                </c:pt>
                <c:pt idx="191">
                  <c:v>0.78696315674732942</c:v>
                </c:pt>
                <c:pt idx="192">
                  <c:v>0.78044473512099422</c:v>
                </c:pt>
                <c:pt idx="193">
                  <c:v>0.77657510355352088</c:v>
                </c:pt>
                <c:pt idx="194">
                  <c:v>0.77058534990189664</c:v>
                </c:pt>
                <c:pt idx="195">
                  <c:v>0.78062459123610206</c:v>
                </c:pt>
                <c:pt idx="196">
                  <c:v>0.78062459123610206</c:v>
                </c:pt>
                <c:pt idx="197">
                  <c:v>0.78643448877261823</c:v>
                </c:pt>
                <c:pt idx="198">
                  <c:v>0.78379114889906265</c:v>
                </c:pt>
                <c:pt idx="199">
                  <c:v>0.77745258338783518</c:v>
                </c:pt>
                <c:pt idx="200">
                  <c:v>0.7716426858513189</c:v>
                </c:pt>
                <c:pt idx="201">
                  <c:v>0.76653586221931558</c:v>
                </c:pt>
                <c:pt idx="202">
                  <c:v>0.76266078046653585</c:v>
                </c:pt>
                <c:pt idx="203">
                  <c:v>0.75790821887944204</c:v>
                </c:pt>
                <c:pt idx="204">
                  <c:v>0.75931436668846741</c:v>
                </c:pt>
                <c:pt idx="205">
                  <c:v>0.76583278831480261</c:v>
                </c:pt>
                <c:pt idx="206">
                  <c:v>0.76318944844124703</c:v>
                </c:pt>
                <c:pt idx="207">
                  <c:v>0.76354371048615655</c:v>
                </c:pt>
                <c:pt idx="208">
                  <c:v>0.76494985829518214</c:v>
                </c:pt>
                <c:pt idx="209">
                  <c:v>0.76759319816873772</c:v>
                </c:pt>
                <c:pt idx="210">
                  <c:v>0.76583278831480261</c:v>
                </c:pt>
                <c:pt idx="211">
                  <c:v>0.76988227599738401</c:v>
                </c:pt>
                <c:pt idx="212">
                  <c:v>0.76935360802267283</c:v>
                </c:pt>
                <c:pt idx="213">
                  <c:v>0.76794201002834095</c:v>
                </c:pt>
                <c:pt idx="214">
                  <c:v>0.76935360802267283</c:v>
                </c:pt>
                <c:pt idx="215">
                  <c:v>0.75579354698059731</c:v>
                </c:pt>
                <c:pt idx="216">
                  <c:v>0.75456180510137338</c:v>
                </c:pt>
                <c:pt idx="217">
                  <c:v>0.75015805537388269</c:v>
                </c:pt>
                <c:pt idx="218">
                  <c:v>0.72585567909308912</c:v>
                </c:pt>
                <c:pt idx="219">
                  <c:v>0.71582188794419022</c:v>
                </c:pt>
                <c:pt idx="220">
                  <c:v>0.70560824068018313</c:v>
                </c:pt>
                <c:pt idx="221">
                  <c:v>0.70103008502289077</c:v>
                </c:pt>
                <c:pt idx="222">
                  <c:v>0.69961848702855911</c:v>
                </c:pt>
                <c:pt idx="223">
                  <c:v>0.69486592544146508</c:v>
                </c:pt>
                <c:pt idx="224">
                  <c:v>0.6916939175931982</c:v>
                </c:pt>
                <c:pt idx="225">
                  <c:v>0.68447787224765633</c:v>
                </c:pt>
                <c:pt idx="226">
                  <c:v>0.67743078264660994</c:v>
                </c:pt>
                <c:pt idx="227">
                  <c:v>0.67514170481796376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D0-4869-B132-E4ED7AE7CD20}"/>
            </c:ext>
          </c:extLst>
        </c:ser>
        <c:ser>
          <c:idx val="0"/>
          <c:order val="2"/>
          <c:tx>
            <c:v>OLT3-22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'OLT3-2'!$Y$5:$Y$232</c:f>
              <c:numCache>
                <c:formatCode>General</c:formatCode>
                <c:ptCount val="228"/>
                <c:pt idx="0">
                  <c:v>0</c:v>
                </c:pt>
                <c:pt idx="1">
                  <c:v>1.55369E-5</c:v>
                </c:pt>
                <c:pt idx="2">
                  <c:v>-9.7796899999999999E-6</c:v>
                </c:pt>
                <c:pt idx="3">
                  <c:v>-2.2451800000000001E-5</c:v>
                </c:pt>
                <c:pt idx="4">
                  <c:v>2.24454E-5</c:v>
                </c:pt>
                <c:pt idx="5">
                  <c:v>-4.2423199999999997E-5</c:v>
                </c:pt>
                <c:pt idx="6">
                  <c:v>-1.5316799999999999E-5</c:v>
                </c:pt>
                <c:pt idx="7">
                  <c:v>1.37729E-5</c:v>
                </c:pt>
                <c:pt idx="8">
                  <c:v>2.7054199999999999E-5</c:v>
                </c:pt>
                <c:pt idx="9">
                  <c:v>3.5305100000000002E-5</c:v>
                </c:pt>
                <c:pt idx="10">
                  <c:v>3.6502299999999998E-5</c:v>
                </c:pt>
                <c:pt idx="11">
                  <c:v>6.5941700000000006E-5</c:v>
                </c:pt>
                <c:pt idx="12">
                  <c:v>1.33263E-4</c:v>
                </c:pt>
                <c:pt idx="13">
                  <c:v>1.0922899999999999E-4</c:v>
                </c:pt>
                <c:pt idx="14">
                  <c:v>1.3270099999999999E-4</c:v>
                </c:pt>
                <c:pt idx="15">
                  <c:v>1.67193E-4</c:v>
                </c:pt>
                <c:pt idx="16">
                  <c:v>1.8230699999999999E-4</c:v>
                </c:pt>
                <c:pt idx="17">
                  <c:v>2.4693000000000002E-4</c:v>
                </c:pt>
                <c:pt idx="18">
                  <c:v>2.92317E-4</c:v>
                </c:pt>
                <c:pt idx="19">
                  <c:v>2.9671199999999997E-4</c:v>
                </c:pt>
                <c:pt idx="20">
                  <c:v>3.0872799999999998E-4</c:v>
                </c:pt>
                <c:pt idx="21">
                  <c:v>3.0750299999999999E-4</c:v>
                </c:pt>
                <c:pt idx="22">
                  <c:v>3.3795100000000002E-4</c:v>
                </c:pt>
                <c:pt idx="23">
                  <c:v>3.4021399999999998E-4</c:v>
                </c:pt>
                <c:pt idx="24">
                  <c:v>3.6929500000000001E-4</c:v>
                </c:pt>
                <c:pt idx="25">
                  <c:v>3.9869599999999998E-4</c:v>
                </c:pt>
                <c:pt idx="26">
                  <c:v>4.2793600000000002E-4</c:v>
                </c:pt>
                <c:pt idx="27">
                  <c:v>4.55496E-4</c:v>
                </c:pt>
                <c:pt idx="28">
                  <c:v>5.0159399999999995E-4</c:v>
                </c:pt>
                <c:pt idx="29">
                  <c:v>5.18963E-4</c:v>
                </c:pt>
                <c:pt idx="30">
                  <c:v>5.4567099999999996E-4</c:v>
                </c:pt>
                <c:pt idx="31">
                  <c:v>6.0018099999999998E-4</c:v>
                </c:pt>
                <c:pt idx="32">
                  <c:v>5.6999600000000002E-4</c:v>
                </c:pt>
                <c:pt idx="33">
                  <c:v>5.5490100000000001E-4</c:v>
                </c:pt>
                <c:pt idx="34">
                  <c:v>5.5495900000000005E-4</c:v>
                </c:pt>
                <c:pt idx="35">
                  <c:v>5.9588000000000002E-4</c:v>
                </c:pt>
                <c:pt idx="36">
                  <c:v>6.3211099999999998E-4</c:v>
                </c:pt>
                <c:pt idx="37">
                  <c:v>6.5165100000000005E-4</c:v>
                </c:pt>
                <c:pt idx="38">
                  <c:v>6.7128000000000001E-4</c:v>
                </c:pt>
                <c:pt idx="39">
                  <c:v>6.9163799999999995E-4</c:v>
                </c:pt>
                <c:pt idx="40">
                  <c:v>7.3239599999999996E-4</c:v>
                </c:pt>
                <c:pt idx="41">
                  <c:v>7.6673699999999997E-4</c:v>
                </c:pt>
                <c:pt idx="42">
                  <c:v>8.1597600000000005E-4</c:v>
                </c:pt>
                <c:pt idx="43">
                  <c:v>8.1625000000000003E-4</c:v>
                </c:pt>
                <c:pt idx="44">
                  <c:v>8.0909199999999997E-4</c:v>
                </c:pt>
                <c:pt idx="45">
                  <c:v>8.3464599999999998E-4</c:v>
                </c:pt>
                <c:pt idx="46">
                  <c:v>9.0272799999999999E-4</c:v>
                </c:pt>
                <c:pt idx="47">
                  <c:v>9.3198499999999997E-4</c:v>
                </c:pt>
                <c:pt idx="48">
                  <c:v>9.6471700000000003E-4</c:v>
                </c:pt>
                <c:pt idx="49">
                  <c:v>9.7900099999999996E-4</c:v>
                </c:pt>
                <c:pt idx="50">
                  <c:v>9.73674E-4</c:v>
                </c:pt>
                <c:pt idx="51">
                  <c:v>1.00698E-3</c:v>
                </c:pt>
                <c:pt idx="52">
                  <c:v>1.0295E-3</c:v>
                </c:pt>
                <c:pt idx="53">
                  <c:v>1.01796E-3</c:v>
                </c:pt>
                <c:pt idx="54">
                  <c:v>1.0875699999999999E-3</c:v>
                </c:pt>
                <c:pt idx="55">
                  <c:v>1.1304900000000001E-3</c:v>
                </c:pt>
                <c:pt idx="56">
                  <c:v>1.16164E-3</c:v>
                </c:pt>
                <c:pt idx="57">
                  <c:v>1.16654E-3</c:v>
                </c:pt>
                <c:pt idx="58">
                  <c:v>1.1765199999999999E-3</c:v>
                </c:pt>
                <c:pt idx="59">
                  <c:v>1.24186E-3</c:v>
                </c:pt>
                <c:pt idx="60">
                  <c:v>1.3063300000000001E-3</c:v>
                </c:pt>
                <c:pt idx="61">
                  <c:v>1.3406500000000001E-3</c:v>
                </c:pt>
                <c:pt idx="62">
                  <c:v>1.33942E-3</c:v>
                </c:pt>
                <c:pt idx="63">
                  <c:v>1.39795E-3</c:v>
                </c:pt>
                <c:pt idx="64">
                  <c:v>1.39712E-3</c:v>
                </c:pt>
                <c:pt idx="65">
                  <c:v>1.3754399999999999E-3</c:v>
                </c:pt>
                <c:pt idx="66">
                  <c:v>1.36593E-3</c:v>
                </c:pt>
                <c:pt idx="67">
                  <c:v>1.38736E-3</c:v>
                </c:pt>
                <c:pt idx="68">
                  <c:v>1.40503E-3</c:v>
                </c:pt>
                <c:pt idx="69">
                  <c:v>1.48112E-3</c:v>
                </c:pt>
                <c:pt idx="70">
                  <c:v>1.5041900000000001E-3</c:v>
                </c:pt>
                <c:pt idx="71">
                  <c:v>1.57099E-3</c:v>
                </c:pt>
                <c:pt idx="72">
                  <c:v>1.59096E-3</c:v>
                </c:pt>
                <c:pt idx="73">
                  <c:v>1.6253299999999999E-3</c:v>
                </c:pt>
                <c:pt idx="74">
                  <c:v>1.6239399999999999E-3</c:v>
                </c:pt>
                <c:pt idx="75">
                  <c:v>1.6586400000000001E-3</c:v>
                </c:pt>
                <c:pt idx="76">
                  <c:v>1.6882799999999999E-3</c:v>
                </c:pt>
                <c:pt idx="77">
                  <c:v>1.76542E-3</c:v>
                </c:pt>
                <c:pt idx="78">
                  <c:v>1.7706E-3</c:v>
                </c:pt>
                <c:pt idx="79">
                  <c:v>1.7704699999999999E-3</c:v>
                </c:pt>
                <c:pt idx="80">
                  <c:v>1.8173600000000001E-3</c:v>
                </c:pt>
                <c:pt idx="81">
                  <c:v>1.8746399999999999E-3</c:v>
                </c:pt>
                <c:pt idx="82">
                  <c:v>1.9012499999999999E-3</c:v>
                </c:pt>
                <c:pt idx="83">
                  <c:v>1.94976E-3</c:v>
                </c:pt>
                <c:pt idx="84">
                  <c:v>1.9975599999999998E-3</c:v>
                </c:pt>
                <c:pt idx="85">
                  <c:v>2.0354399999999999E-3</c:v>
                </c:pt>
                <c:pt idx="86">
                  <c:v>2.0632799999999998E-3</c:v>
                </c:pt>
                <c:pt idx="87">
                  <c:v>2.1055800000000001E-3</c:v>
                </c:pt>
                <c:pt idx="88">
                  <c:v>2.1316899999999999E-3</c:v>
                </c:pt>
                <c:pt idx="89">
                  <c:v>2.1544400000000001E-3</c:v>
                </c:pt>
                <c:pt idx="90">
                  <c:v>2.1896799999999998E-3</c:v>
                </c:pt>
                <c:pt idx="91">
                  <c:v>2.2097499999999999E-3</c:v>
                </c:pt>
                <c:pt idx="92">
                  <c:v>2.20498E-3</c:v>
                </c:pt>
                <c:pt idx="93">
                  <c:v>2.26844E-3</c:v>
                </c:pt>
                <c:pt idx="94">
                  <c:v>2.31226E-3</c:v>
                </c:pt>
                <c:pt idx="95">
                  <c:v>2.3964099999999999E-3</c:v>
                </c:pt>
                <c:pt idx="96">
                  <c:v>2.34885E-3</c:v>
                </c:pt>
                <c:pt idx="97">
                  <c:v>2.44123E-3</c:v>
                </c:pt>
                <c:pt idx="98">
                  <c:v>2.45546E-3</c:v>
                </c:pt>
                <c:pt idx="99">
                  <c:v>2.4814300000000002E-3</c:v>
                </c:pt>
                <c:pt idx="100">
                  <c:v>2.4962500000000002E-3</c:v>
                </c:pt>
                <c:pt idx="101">
                  <c:v>2.58442E-3</c:v>
                </c:pt>
                <c:pt idx="102">
                  <c:v>2.5978199999999998E-3</c:v>
                </c:pt>
                <c:pt idx="103">
                  <c:v>2.6798500000000001E-3</c:v>
                </c:pt>
                <c:pt idx="104">
                  <c:v>2.7140799999999998E-3</c:v>
                </c:pt>
                <c:pt idx="105">
                  <c:v>2.78261E-3</c:v>
                </c:pt>
                <c:pt idx="106">
                  <c:v>2.8376299999999998E-3</c:v>
                </c:pt>
                <c:pt idx="107">
                  <c:v>2.8880400000000001E-3</c:v>
                </c:pt>
                <c:pt idx="108">
                  <c:v>2.8955999999999999E-3</c:v>
                </c:pt>
                <c:pt idx="109">
                  <c:v>2.9200599999999999E-3</c:v>
                </c:pt>
                <c:pt idx="110">
                  <c:v>2.9979199999999998E-3</c:v>
                </c:pt>
                <c:pt idx="111">
                  <c:v>3.0238700000000001E-3</c:v>
                </c:pt>
                <c:pt idx="112">
                  <c:v>3.06237E-3</c:v>
                </c:pt>
                <c:pt idx="113">
                  <c:v>3.0733000000000002E-3</c:v>
                </c:pt>
                <c:pt idx="114">
                  <c:v>3.1262600000000001E-3</c:v>
                </c:pt>
                <c:pt idx="115">
                  <c:v>3.1967100000000002E-3</c:v>
                </c:pt>
                <c:pt idx="116">
                  <c:v>3.24582E-3</c:v>
                </c:pt>
                <c:pt idx="117">
                  <c:v>3.2739499999999999E-3</c:v>
                </c:pt>
                <c:pt idx="118">
                  <c:v>3.30533E-3</c:v>
                </c:pt>
                <c:pt idx="119">
                  <c:v>3.3195199999999998E-3</c:v>
                </c:pt>
                <c:pt idx="120">
                  <c:v>3.41925E-3</c:v>
                </c:pt>
                <c:pt idx="121">
                  <c:v>3.43802E-3</c:v>
                </c:pt>
                <c:pt idx="122">
                  <c:v>3.4811199999999999E-3</c:v>
                </c:pt>
                <c:pt idx="123">
                  <c:v>3.5059599999999998E-3</c:v>
                </c:pt>
                <c:pt idx="124">
                  <c:v>3.5536999999999999E-3</c:v>
                </c:pt>
                <c:pt idx="125">
                  <c:v>3.5503399999999999E-3</c:v>
                </c:pt>
                <c:pt idx="126">
                  <c:v>3.5856899999999999E-3</c:v>
                </c:pt>
                <c:pt idx="127">
                  <c:v>3.6664900000000001E-3</c:v>
                </c:pt>
                <c:pt idx="128">
                  <c:v>3.6642799999999998E-3</c:v>
                </c:pt>
                <c:pt idx="129">
                  <c:v>3.69711E-3</c:v>
                </c:pt>
                <c:pt idx="130">
                  <c:v>3.79745E-3</c:v>
                </c:pt>
                <c:pt idx="131">
                  <c:v>3.8364900000000001E-3</c:v>
                </c:pt>
                <c:pt idx="132">
                  <c:v>3.9068799999999997E-3</c:v>
                </c:pt>
                <c:pt idx="133">
                  <c:v>3.94773E-3</c:v>
                </c:pt>
                <c:pt idx="134">
                  <c:v>4.0030899999999999E-3</c:v>
                </c:pt>
                <c:pt idx="135">
                  <c:v>4.0549200000000001E-3</c:v>
                </c:pt>
                <c:pt idx="136">
                  <c:v>4.0995800000000002E-3</c:v>
                </c:pt>
                <c:pt idx="137">
                  <c:v>4.13978E-3</c:v>
                </c:pt>
                <c:pt idx="138">
                  <c:v>4.2347900000000004E-3</c:v>
                </c:pt>
                <c:pt idx="139">
                  <c:v>4.29284E-3</c:v>
                </c:pt>
                <c:pt idx="140">
                  <c:v>4.3531400000000001E-3</c:v>
                </c:pt>
                <c:pt idx="141">
                  <c:v>4.3879799999999997E-3</c:v>
                </c:pt>
                <c:pt idx="142">
                  <c:v>4.4468600000000004E-3</c:v>
                </c:pt>
                <c:pt idx="143">
                  <c:v>4.51046E-3</c:v>
                </c:pt>
                <c:pt idx="144">
                  <c:v>4.6068100000000002E-3</c:v>
                </c:pt>
                <c:pt idx="145">
                  <c:v>4.6331699999999998E-3</c:v>
                </c:pt>
                <c:pt idx="146">
                  <c:v>4.7230400000000004E-3</c:v>
                </c:pt>
                <c:pt idx="147">
                  <c:v>4.76985E-3</c:v>
                </c:pt>
                <c:pt idx="148">
                  <c:v>4.7936599999999999E-3</c:v>
                </c:pt>
                <c:pt idx="149">
                  <c:v>4.80621E-3</c:v>
                </c:pt>
                <c:pt idx="150">
                  <c:v>4.8935100000000002E-3</c:v>
                </c:pt>
                <c:pt idx="151">
                  <c:v>4.9202899999999999E-3</c:v>
                </c:pt>
                <c:pt idx="152">
                  <c:v>4.9314099999999998E-3</c:v>
                </c:pt>
                <c:pt idx="153">
                  <c:v>5.0196499999999996E-3</c:v>
                </c:pt>
                <c:pt idx="154">
                  <c:v>5.0779500000000003E-3</c:v>
                </c:pt>
                <c:pt idx="155">
                  <c:v>5.0931199999999996E-3</c:v>
                </c:pt>
                <c:pt idx="156">
                  <c:v>5.2000700000000002E-3</c:v>
                </c:pt>
                <c:pt idx="157">
                  <c:v>5.3355700000000004E-3</c:v>
                </c:pt>
                <c:pt idx="158">
                  <c:v>5.4553199999999996E-3</c:v>
                </c:pt>
                <c:pt idx="159">
                  <c:v>5.5171600000000001E-3</c:v>
                </c:pt>
                <c:pt idx="160">
                  <c:v>5.5264399999999997E-3</c:v>
                </c:pt>
                <c:pt idx="161">
                  <c:v>5.6130299999999998E-3</c:v>
                </c:pt>
                <c:pt idx="162">
                  <c:v>5.8275100000000002E-3</c:v>
                </c:pt>
                <c:pt idx="163">
                  <c:v>5.8822500000000003E-3</c:v>
                </c:pt>
                <c:pt idx="164">
                  <c:v>6.0331999999999998E-3</c:v>
                </c:pt>
                <c:pt idx="165">
                  <c:v>6.1605000000000002E-3</c:v>
                </c:pt>
                <c:pt idx="166">
                  <c:v>6.30746E-3</c:v>
                </c:pt>
                <c:pt idx="167">
                  <c:v>6.5481999999999997E-3</c:v>
                </c:pt>
                <c:pt idx="168">
                  <c:v>6.6253800000000002E-3</c:v>
                </c:pt>
                <c:pt idx="169">
                  <c:v>6.6997999999999997E-3</c:v>
                </c:pt>
                <c:pt idx="170">
                  <c:v>7.0062500000000003E-3</c:v>
                </c:pt>
                <c:pt idx="171">
                  <c:v>7.1078499999999998E-3</c:v>
                </c:pt>
                <c:pt idx="172">
                  <c:v>7.1326899999999997E-3</c:v>
                </c:pt>
                <c:pt idx="173">
                  <c:v>7.1165100000000004E-3</c:v>
                </c:pt>
                <c:pt idx="174">
                  <c:v>7.3130199999999999E-3</c:v>
                </c:pt>
                <c:pt idx="175">
                  <c:v>7.4361499999999999E-3</c:v>
                </c:pt>
                <c:pt idx="176">
                  <c:v>7.5262300000000001E-3</c:v>
                </c:pt>
                <c:pt idx="177">
                  <c:v>7.6342900000000002E-3</c:v>
                </c:pt>
                <c:pt idx="178">
                  <c:v>7.8276200000000004E-3</c:v>
                </c:pt>
                <c:pt idx="179">
                  <c:v>8.0124099999999993E-3</c:v>
                </c:pt>
                <c:pt idx="180">
                  <c:v>8.2917400000000006E-3</c:v>
                </c:pt>
                <c:pt idx="181">
                  <c:v>8.3672799999999995E-3</c:v>
                </c:pt>
                <c:pt idx="182">
                  <c:v>8.7874600000000004E-3</c:v>
                </c:pt>
                <c:pt idx="183">
                  <c:v>8.8225899999999999E-3</c:v>
                </c:pt>
                <c:pt idx="184">
                  <c:v>8.8735399999999992E-3</c:v>
                </c:pt>
                <c:pt idx="185">
                  <c:v>9.4936599999999993E-3</c:v>
                </c:pt>
                <c:pt idx="186">
                  <c:v>9.8550900000000004E-3</c:v>
                </c:pt>
                <c:pt idx="187">
                  <c:v>1.00819E-2</c:v>
                </c:pt>
                <c:pt idx="188">
                  <c:v>1.0158199999999999E-2</c:v>
                </c:pt>
                <c:pt idx="189">
                  <c:v>1.0338999999999999E-2</c:v>
                </c:pt>
                <c:pt idx="190">
                  <c:v>1.03704E-2</c:v>
                </c:pt>
                <c:pt idx="191">
                  <c:v>1.0411500000000001E-2</c:v>
                </c:pt>
                <c:pt idx="192">
                  <c:v>1.04043E-2</c:v>
                </c:pt>
                <c:pt idx="193">
                  <c:v>1.0429600000000001E-2</c:v>
                </c:pt>
                <c:pt idx="194">
                  <c:v>1.05066E-2</c:v>
                </c:pt>
                <c:pt idx="195">
                  <c:v>1.07019E-2</c:v>
                </c:pt>
                <c:pt idx="196">
                  <c:v>1.0948599999999999E-2</c:v>
                </c:pt>
                <c:pt idx="197">
                  <c:v>1.11742E-2</c:v>
                </c:pt>
                <c:pt idx="198">
                  <c:v>1.12745E-2</c:v>
                </c:pt>
                <c:pt idx="199">
                  <c:v>1.1313800000000001E-2</c:v>
                </c:pt>
                <c:pt idx="200">
                  <c:v>1.13884E-2</c:v>
                </c:pt>
                <c:pt idx="201">
                  <c:v>1.1445800000000001E-2</c:v>
                </c:pt>
                <c:pt idx="202">
                  <c:v>1.14877E-2</c:v>
                </c:pt>
                <c:pt idx="203">
                  <c:v>1.1627200000000001E-2</c:v>
                </c:pt>
                <c:pt idx="204">
                  <c:v>1.1695199999999999E-2</c:v>
                </c:pt>
                <c:pt idx="205">
                  <c:v>1.2467300000000001E-2</c:v>
                </c:pt>
                <c:pt idx="206">
                  <c:v>1.2474300000000001E-2</c:v>
                </c:pt>
                <c:pt idx="207">
                  <c:v>1.2673200000000001E-2</c:v>
                </c:pt>
                <c:pt idx="208">
                  <c:v>1.26645E-2</c:v>
                </c:pt>
                <c:pt idx="209">
                  <c:v>1.33238E-2</c:v>
                </c:pt>
                <c:pt idx="210">
                  <c:v>1.3426199999999999E-2</c:v>
                </c:pt>
                <c:pt idx="211">
                  <c:v>1.35306E-2</c:v>
                </c:pt>
                <c:pt idx="212">
                  <c:v>1.36615E-2</c:v>
                </c:pt>
                <c:pt idx="213">
                  <c:v>1.38044E-2</c:v>
                </c:pt>
                <c:pt idx="214">
                  <c:v>1.38091E-2</c:v>
                </c:pt>
                <c:pt idx="215">
                  <c:v>1.4088099999999999E-2</c:v>
                </c:pt>
                <c:pt idx="216">
                  <c:v>1.4164899999999999E-2</c:v>
                </c:pt>
                <c:pt idx="217">
                  <c:v>1.41992E-2</c:v>
                </c:pt>
                <c:pt idx="218">
                  <c:v>1.42971E-2</c:v>
                </c:pt>
                <c:pt idx="219">
                  <c:v>1.43243E-2</c:v>
                </c:pt>
                <c:pt idx="220">
                  <c:v>1.43368E-2</c:v>
                </c:pt>
                <c:pt idx="221">
                  <c:v>1.43765E-2</c:v>
                </c:pt>
                <c:pt idx="222">
                  <c:v>1.4382000000000001E-2</c:v>
                </c:pt>
                <c:pt idx="223">
                  <c:v>1.44636E-2</c:v>
                </c:pt>
                <c:pt idx="224">
                  <c:v>1.45024E-2</c:v>
                </c:pt>
                <c:pt idx="225">
                  <c:v>1.45463E-2</c:v>
                </c:pt>
                <c:pt idx="226">
                  <c:v>1.46109E-2</c:v>
                </c:pt>
                <c:pt idx="227">
                  <c:v>1.4674100000000001E-2</c:v>
                </c:pt>
              </c:numCache>
            </c:numRef>
          </c:xVal>
          <c:yVal>
            <c:numRef>
              <c:f>'OLT3-2'!$V$5:$V$232</c:f>
              <c:numCache>
                <c:formatCode>General</c:formatCode>
                <c:ptCount val="228"/>
                <c:pt idx="0">
                  <c:v>-0.10987246566383257</c:v>
                </c:pt>
                <c:pt idx="1">
                  <c:v>-0.10899226073686506</c:v>
                </c:pt>
                <c:pt idx="2">
                  <c:v>-0.11128133856551123</c:v>
                </c:pt>
                <c:pt idx="3">
                  <c:v>-0.10828755177676042</c:v>
                </c:pt>
                <c:pt idx="4">
                  <c:v>-0.10705526487900588</c:v>
                </c:pt>
                <c:pt idx="5">
                  <c:v>-0.1074073468497929</c:v>
                </c:pt>
                <c:pt idx="6">
                  <c:v>-0.10159635927621538</c:v>
                </c:pt>
                <c:pt idx="7">
                  <c:v>-9.3848375844778717E-2</c:v>
                </c:pt>
                <c:pt idx="8">
                  <c:v>-9.1206671026814914E-2</c:v>
                </c:pt>
                <c:pt idx="9">
                  <c:v>-8.2578482668410724E-2</c:v>
                </c:pt>
                <c:pt idx="10">
                  <c:v>-7.8351863963374749E-2</c:v>
                </c:pt>
                <c:pt idx="11">
                  <c:v>-6.9899716590364078E-2</c:v>
                </c:pt>
                <c:pt idx="12">
                  <c:v>-6.51449749291476E-2</c:v>
                </c:pt>
                <c:pt idx="13">
                  <c:v>-5.8981905384783082E-2</c:v>
                </c:pt>
                <c:pt idx="14">
                  <c:v>-4.5951057335949431E-2</c:v>
                </c:pt>
                <c:pt idx="15">
                  <c:v>-3.9964028776978418E-2</c:v>
                </c:pt>
                <c:pt idx="16">
                  <c:v>-3.1511881403967733E-2</c:v>
                </c:pt>
                <c:pt idx="17">
                  <c:v>-1.8657074340527581E-2</c:v>
                </c:pt>
                <c:pt idx="18">
                  <c:v>-6.8590582079790709E-3</c:v>
                </c:pt>
                <c:pt idx="19">
                  <c:v>-2.8090255068672332E-3</c:v>
                </c:pt>
                <c:pt idx="20">
                  <c:v>9.8697405711794198E-3</c:v>
                </c:pt>
                <c:pt idx="21">
                  <c:v>1.3039568345323741E-2</c:v>
                </c:pt>
                <c:pt idx="22">
                  <c:v>1.7617724002616089E-2</c:v>
                </c:pt>
                <c:pt idx="23">
                  <c:v>2.5365707434052757E-2</c:v>
                </c:pt>
                <c:pt idx="24">
                  <c:v>3.4874645737955089E-2</c:v>
                </c:pt>
                <c:pt idx="25">
                  <c:v>4.2798670154785258E-2</c:v>
                </c:pt>
                <c:pt idx="26">
                  <c:v>4.7377370830608237E-2</c:v>
                </c:pt>
                <c:pt idx="27">
                  <c:v>5.6710268149117074E-2</c:v>
                </c:pt>
                <c:pt idx="28">
                  <c:v>5.9351427948550244E-2</c:v>
                </c:pt>
                <c:pt idx="29">
                  <c:v>6.4106169609766728E-2</c:v>
                </c:pt>
                <c:pt idx="30">
                  <c:v>6.9741116197950731E-2</c:v>
                </c:pt>
                <c:pt idx="31">
                  <c:v>7.3439066928275565E-2</c:v>
                </c:pt>
                <c:pt idx="32">
                  <c:v>7.8193263570961416E-2</c:v>
                </c:pt>
                <c:pt idx="33">
                  <c:v>8.6117287987791585E-2</c:v>
                </c:pt>
                <c:pt idx="34">
                  <c:v>8.8406365816437751E-2</c:v>
                </c:pt>
                <c:pt idx="35">
                  <c:v>0.1002049269675169</c:v>
                </c:pt>
                <c:pt idx="36">
                  <c:v>0.10407891868323524</c:v>
                </c:pt>
                <c:pt idx="37">
                  <c:v>0.11499618487028558</c:v>
                </c:pt>
                <c:pt idx="38">
                  <c:v>0.11746184870285591</c:v>
                </c:pt>
                <c:pt idx="39">
                  <c:v>0.12432908218879443</c:v>
                </c:pt>
                <c:pt idx="40">
                  <c:v>0.13154894266405059</c:v>
                </c:pt>
                <c:pt idx="41">
                  <c:v>0.13507085240898192</c:v>
                </c:pt>
                <c:pt idx="42">
                  <c:v>0.14176204490952693</c:v>
                </c:pt>
                <c:pt idx="43">
                  <c:v>0.14176204490952693</c:v>
                </c:pt>
                <c:pt idx="44">
                  <c:v>0.14898190538478309</c:v>
                </c:pt>
                <c:pt idx="45">
                  <c:v>0.15285589710050143</c:v>
                </c:pt>
                <c:pt idx="46">
                  <c:v>0.16201275343361676</c:v>
                </c:pt>
                <c:pt idx="47">
                  <c:v>0.16835186396337476</c:v>
                </c:pt>
                <c:pt idx="48">
                  <c:v>0.17310660562459124</c:v>
                </c:pt>
                <c:pt idx="49">
                  <c:v>0.17891759319816877</c:v>
                </c:pt>
                <c:pt idx="50">
                  <c:v>0.18085458905602791</c:v>
                </c:pt>
                <c:pt idx="51">
                  <c:v>0.18983540440374974</c:v>
                </c:pt>
                <c:pt idx="52">
                  <c:v>0.19476564203182908</c:v>
                </c:pt>
                <c:pt idx="53">
                  <c:v>0.20251362546326576</c:v>
                </c:pt>
                <c:pt idx="54">
                  <c:v>0.20762044909526925</c:v>
                </c:pt>
                <c:pt idx="55">
                  <c:v>0.21677730542838455</c:v>
                </c:pt>
                <c:pt idx="56">
                  <c:v>0.22329245694353611</c:v>
                </c:pt>
                <c:pt idx="57">
                  <c:v>0.2264622847176804</c:v>
                </c:pt>
                <c:pt idx="58">
                  <c:v>0.23491497710922174</c:v>
                </c:pt>
                <c:pt idx="59">
                  <c:v>0.24354316546762589</c:v>
                </c:pt>
                <c:pt idx="60">
                  <c:v>0.25005886200130806</c:v>
                </c:pt>
                <c:pt idx="61">
                  <c:v>0.25181927185524311</c:v>
                </c:pt>
                <c:pt idx="62">
                  <c:v>0.25886309134510577</c:v>
                </c:pt>
                <c:pt idx="63">
                  <c:v>0.2660829518203619</c:v>
                </c:pt>
                <c:pt idx="64">
                  <c:v>0.26731578373664705</c:v>
                </c:pt>
                <c:pt idx="65">
                  <c:v>0.27612001308044476</c:v>
                </c:pt>
                <c:pt idx="66">
                  <c:v>0.2815789186832352</c:v>
                </c:pt>
                <c:pt idx="67">
                  <c:v>0.28844669718770438</c:v>
                </c:pt>
                <c:pt idx="68">
                  <c:v>0.28650970132984527</c:v>
                </c:pt>
                <c:pt idx="69">
                  <c:v>0.2979556354916067</c:v>
                </c:pt>
                <c:pt idx="70">
                  <c:v>0.30411870503597127</c:v>
                </c:pt>
                <c:pt idx="71">
                  <c:v>0.31010573359494226</c:v>
                </c:pt>
                <c:pt idx="72">
                  <c:v>0.31433180728144755</c:v>
                </c:pt>
                <c:pt idx="73">
                  <c:v>0.31891050795727055</c:v>
                </c:pt>
                <c:pt idx="74">
                  <c:v>0.32296054065838237</c:v>
                </c:pt>
                <c:pt idx="75">
                  <c:v>0.3294756921735339</c:v>
                </c:pt>
                <c:pt idx="76">
                  <c:v>0.33264551994767821</c:v>
                </c:pt>
                <c:pt idx="77">
                  <c:v>0.3377523435796817</c:v>
                </c:pt>
                <c:pt idx="78">
                  <c:v>0.34743732286897755</c:v>
                </c:pt>
                <c:pt idx="79">
                  <c:v>0.35254414650098098</c:v>
                </c:pt>
                <c:pt idx="80">
                  <c:v>0.3553613472858077</c:v>
                </c:pt>
                <c:pt idx="81">
                  <c:v>0.36258120776106384</c:v>
                </c:pt>
                <c:pt idx="82">
                  <c:v>0.36874427730542841</c:v>
                </c:pt>
                <c:pt idx="83">
                  <c:v>0.37983812949640294</c:v>
                </c:pt>
                <c:pt idx="84">
                  <c:v>0.38529703509919339</c:v>
                </c:pt>
                <c:pt idx="85">
                  <c:v>0.39022727272727276</c:v>
                </c:pt>
                <c:pt idx="86">
                  <c:v>0.40167320688903418</c:v>
                </c:pt>
                <c:pt idx="87">
                  <c:v>0.40449095269239149</c:v>
                </c:pt>
                <c:pt idx="88">
                  <c:v>0.40730815347721822</c:v>
                </c:pt>
                <c:pt idx="89">
                  <c:v>0.41047798125136259</c:v>
                </c:pt>
                <c:pt idx="90">
                  <c:v>0.4178738827120122</c:v>
                </c:pt>
                <c:pt idx="91">
                  <c:v>0.4242129932417702</c:v>
                </c:pt>
                <c:pt idx="92">
                  <c:v>0.42685469805973403</c:v>
                </c:pt>
                <c:pt idx="93">
                  <c:v>0.43196097667320693</c:v>
                </c:pt>
                <c:pt idx="94">
                  <c:v>0.4393568781338566</c:v>
                </c:pt>
                <c:pt idx="95">
                  <c:v>0.44463974275125356</c:v>
                </c:pt>
                <c:pt idx="96">
                  <c:v>0.45062677131022455</c:v>
                </c:pt>
                <c:pt idx="97">
                  <c:v>0.4573185088293002</c:v>
                </c:pt>
                <c:pt idx="98">
                  <c:v>0.45890342271637236</c:v>
                </c:pt>
                <c:pt idx="99">
                  <c:v>0.46770765206017001</c:v>
                </c:pt>
                <c:pt idx="100">
                  <c:v>0.46964464791802918</c:v>
                </c:pt>
                <c:pt idx="101">
                  <c:v>0.4824994549814694</c:v>
                </c:pt>
                <c:pt idx="102">
                  <c:v>0.4858453237410072</c:v>
                </c:pt>
                <c:pt idx="103">
                  <c:v>0.4909516023544801</c:v>
                </c:pt>
                <c:pt idx="104">
                  <c:v>0.49799542184434276</c:v>
                </c:pt>
                <c:pt idx="105">
                  <c:v>0.50591944626117291</c:v>
                </c:pt>
                <c:pt idx="106">
                  <c:v>0.51120231087856993</c:v>
                </c:pt>
                <c:pt idx="107">
                  <c:v>0.51859821233921954</c:v>
                </c:pt>
                <c:pt idx="108">
                  <c:v>0.52264824504033136</c:v>
                </c:pt>
                <c:pt idx="109">
                  <c:v>0.52845923261390881</c:v>
                </c:pt>
                <c:pt idx="110">
                  <c:v>0.5340941792020929</c:v>
                </c:pt>
                <c:pt idx="111">
                  <c:v>0.5362072160453456</c:v>
                </c:pt>
                <c:pt idx="112">
                  <c:v>0.54342707652060174</c:v>
                </c:pt>
                <c:pt idx="113">
                  <c:v>0.54413124046217576</c:v>
                </c:pt>
                <c:pt idx="114">
                  <c:v>0.55170590800087205</c:v>
                </c:pt>
                <c:pt idx="115">
                  <c:v>0.55804447351209951</c:v>
                </c:pt>
                <c:pt idx="116">
                  <c:v>0.56544037497274913</c:v>
                </c:pt>
                <c:pt idx="117">
                  <c:v>0.57019293655984304</c:v>
                </c:pt>
                <c:pt idx="118">
                  <c:v>0.57318508829300208</c:v>
                </c:pt>
                <c:pt idx="119">
                  <c:v>0.5774144320906911</c:v>
                </c:pt>
                <c:pt idx="120">
                  <c:v>0.58551340745585356</c:v>
                </c:pt>
                <c:pt idx="121">
                  <c:v>0.59290930891650317</c:v>
                </c:pt>
                <c:pt idx="122">
                  <c:v>0.59889361238282113</c:v>
                </c:pt>
                <c:pt idx="123">
                  <c:v>0.6003052103771529</c:v>
                </c:pt>
                <c:pt idx="124">
                  <c:v>0.60418029212993241</c:v>
                </c:pt>
                <c:pt idx="125">
                  <c:v>0.61086766950076299</c:v>
                </c:pt>
                <c:pt idx="126">
                  <c:v>0.61086766950076299</c:v>
                </c:pt>
                <c:pt idx="127">
                  <c:v>0.61245367342489643</c:v>
                </c:pt>
                <c:pt idx="128">
                  <c:v>0.62160998473948115</c:v>
                </c:pt>
                <c:pt idx="129">
                  <c:v>0.62565947242206232</c:v>
                </c:pt>
                <c:pt idx="130">
                  <c:v>0.6305918901242642</c:v>
                </c:pt>
                <c:pt idx="131">
                  <c:v>0.63517004578155667</c:v>
                </c:pt>
                <c:pt idx="132">
                  <c:v>0.64063113145846962</c:v>
                </c:pt>
                <c:pt idx="133">
                  <c:v>0.64626662306518423</c:v>
                </c:pt>
                <c:pt idx="134">
                  <c:v>0.64908436886854148</c:v>
                </c:pt>
                <c:pt idx="135">
                  <c:v>0.65471986047525621</c:v>
                </c:pt>
                <c:pt idx="136">
                  <c:v>0.66387617178984093</c:v>
                </c:pt>
                <c:pt idx="137">
                  <c:v>0.66739699149771092</c:v>
                </c:pt>
                <c:pt idx="138">
                  <c:v>0.67003488118596033</c:v>
                </c:pt>
                <c:pt idx="139">
                  <c:v>0.67761063876171801</c:v>
                </c:pt>
                <c:pt idx="140">
                  <c:v>0.68148027032919123</c:v>
                </c:pt>
                <c:pt idx="141">
                  <c:v>0.68975910180946154</c:v>
                </c:pt>
                <c:pt idx="142">
                  <c:v>0.6960976673206889</c:v>
                </c:pt>
                <c:pt idx="143">
                  <c:v>0.69891541312404615</c:v>
                </c:pt>
                <c:pt idx="144">
                  <c:v>0.70930346631785479</c:v>
                </c:pt>
                <c:pt idx="145">
                  <c:v>0.71177240026160893</c:v>
                </c:pt>
                <c:pt idx="146">
                  <c:v>0.71317854807063441</c:v>
                </c:pt>
                <c:pt idx="147">
                  <c:v>0.71652496184870285</c:v>
                </c:pt>
                <c:pt idx="148">
                  <c:v>0.71459014606496629</c:v>
                </c:pt>
                <c:pt idx="149">
                  <c:v>0.72480379332897316</c:v>
                </c:pt>
                <c:pt idx="150">
                  <c:v>0.72849901896664493</c:v>
                </c:pt>
                <c:pt idx="151">
                  <c:v>0.7295563549160673</c:v>
                </c:pt>
                <c:pt idx="152">
                  <c:v>0.73307717462393718</c:v>
                </c:pt>
                <c:pt idx="153">
                  <c:v>0.74029867015478534</c:v>
                </c:pt>
                <c:pt idx="154">
                  <c:v>0.74381948986265534</c:v>
                </c:pt>
                <c:pt idx="155">
                  <c:v>0.74364508393285367</c:v>
                </c:pt>
                <c:pt idx="156">
                  <c:v>0.75104098539350339</c:v>
                </c:pt>
                <c:pt idx="157">
                  <c:v>0.75737955090473075</c:v>
                </c:pt>
                <c:pt idx="158">
                  <c:v>0.77023108785698713</c:v>
                </c:pt>
                <c:pt idx="159">
                  <c:v>0.7742860257248747</c:v>
                </c:pt>
                <c:pt idx="160">
                  <c:v>0.77375735775016352</c:v>
                </c:pt>
                <c:pt idx="161">
                  <c:v>0.7809734030957054</c:v>
                </c:pt>
                <c:pt idx="162">
                  <c:v>0.78696315674732942</c:v>
                </c:pt>
                <c:pt idx="163">
                  <c:v>0.79101264442991048</c:v>
                </c:pt>
                <c:pt idx="164">
                  <c:v>0.79876280793546972</c:v>
                </c:pt>
                <c:pt idx="165">
                  <c:v>0.79999454981469365</c:v>
                </c:pt>
                <c:pt idx="166">
                  <c:v>0.80386418138216698</c:v>
                </c:pt>
                <c:pt idx="167">
                  <c:v>0.81496075866579465</c:v>
                </c:pt>
                <c:pt idx="168">
                  <c:v>0.8174242424242425</c:v>
                </c:pt>
                <c:pt idx="169">
                  <c:v>0.8221822541966427</c:v>
                </c:pt>
                <c:pt idx="170">
                  <c:v>0.83063004142140839</c:v>
                </c:pt>
                <c:pt idx="171">
                  <c:v>0.83591672116851967</c:v>
                </c:pt>
                <c:pt idx="172">
                  <c:v>0.83521364726400704</c:v>
                </c:pt>
                <c:pt idx="173">
                  <c:v>0.83468497928929575</c:v>
                </c:pt>
                <c:pt idx="174">
                  <c:v>0.84260954872465665</c:v>
                </c:pt>
                <c:pt idx="175">
                  <c:v>0.84331262262916939</c:v>
                </c:pt>
                <c:pt idx="176">
                  <c:v>0.84683344233703961</c:v>
                </c:pt>
                <c:pt idx="177">
                  <c:v>0.84683344233703961</c:v>
                </c:pt>
                <c:pt idx="178">
                  <c:v>0.85845323741007185</c:v>
                </c:pt>
                <c:pt idx="179">
                  <c:v>0.85969042947460206</c:v>
                </c:pt>
                <c:pt idx="180">
                  <c:v>0.86813821669936786</c:v>
                </c:pt>
                <c:pt idx="181">
                  <c:v>0.86849247874427726</c:v>
                </c:pt>
                <c:pt idx="182">
                  <c:v>0.86584913887072168</c:v>
                </c:pt>
                <c:pt idx="183">
                  <c:v>0.86673206889034216</c:v>
                </c:pt>
                <c:pt idx="184">
                  <c:v>0.86813821669936786</c:v>
                </c:pt>
                <c:pt idx="185">
                  <c:v>0.86778940483976463</c:v>
                </c:pt>
                <c:pt idx="186">
                  <c:v>0.86690647482014394</c:v>
                </c:pt>
                <c:pt idx="187">
                  <c:v>0.86356006104207539</c:v>
                </c:pt>
                <c:pt idx="188">
                  <c:v>0.8644429910616962</c:v>
                </c:pt>
                <c:pt idx="189">
                  <c:v>0.82939829954218447</c:v>
                </c:pt>
                <c:pt idx="190">
                  <c:v>0.79928602572487462</c:v>
                </c:pt>
                <c:pt idx="191">
                  <c:v>0.78696315674732942</c:v>
                </c:pt>
                <c:pt idx="192">
                  <c:v>0.78044473512099422</c:v>
                </c:pt>
                <c:pt idx="193">
                  <c:v>0.77657510355352088</c:v>
                </c:pt>
                <c:pt idx="194">
                  <c:v>0.77058534990189664</c:v>
                </c:pt>
                <c:pt idx="195">
                  <c:v>0.78062459123610206</c:v>
                </c:pt>
                <c:pt idx="196">
                  <c:v>0.78062459123610206</c:v>
                </c:pt>
                <c:pt idx="197">
                  <c:v>0.78643448877261823</c:v>
                </c:pt>
                <c:pt idx="198">
                  <c:v>0.78379114889906265</c:v>
                </c:pt>
                <c:pt idx="199">
                  <c:v>0.77745258338783518</c:v>
                </c:pt>
                <c:pt idx="200">
                  <c:v>0.7716426858513189</c:v>
                </c:pt>
                <c:pt idx="201">
                  <c:v>0.76653586221931558</c:v>
                </c:pt>
                <c:pt idx="202">
                  <c:v>0.76266078046653585</c:v>
                </c:pt>
                <c:pt idx="203">
                  <c:v>0.75790821887944204</c:v>
                </c:pt>
                <c:pt idx="204">
                  <c:v>0.75931436668846741</c:v>
                </c:pt>
                <c:pt idx="205">
                  <c:v>0.76583278831480261</c:v>
                </c:pt>
                <c:pt idx="206">
                  <c:v>0.76318944844124703</c:v>
                </c:pt>
                <c:pt idx="207">
                  <c:v>0.76354371048615655</c:v>
                </c:pt>
                <c:pt idx="208">
                  <c:v>0.76494985829518214</c:v>
                </c:pt>
                <c:pt idx="209">
                  <c:v>0.76759319816873772</c:v>
                </c:pt>
                <c:pt idx="210">
                  <c:v>0.76583278831480261</c:v>
                </c:pt>
                <c:pt idx="211">
                  <c:v>0.76988227599738401</c:v>
                </c:pt>
                <c:pt idx="212">
                  <c:v>0.76935360802267283</c:v>
                </c:pt>
                <c:pt idx="213">
                  <c:v>0.76794201002834095</c:v>
                </c:pt>
                <c:pt idx="214">
                  <c:v>0.76935360802267283</c:v>
                </c:pt>
                <c:pt idx="215">
                  <c:v>0.75579354698059731</c:v>
                </c:pt>
                <c:pt idx="216">
                  <c:v>0.75456180510137338</c:v>
                </c:pt>
                <c:pt idx="217">
                  <c:v>0.75015805537388269</c:v>
                </c:pt>
                <c:pt idx="218">
                  <c:v>0.72585567909308912</c:v>
                </c:pt>
                <c:pt idx="219">
                  <c:v>0.71582188794419022</c:v>
                </c:pt>
                <c:pt idx="220">
                  <c:v>0.70560824068018313</c:v>
                </c:pt>
                <c:pt idx="221">
                  <c:v>0.70103008502289077</c:v>
                </c:pt>
                <c:pt idx="222">
                  <c:v>0.69961848702855911</c:v>
                </c:pt>
                <c:pt idx="223">
                  <c:v>0.69486592544146508</c:v>
                </c:pt>
                <c:pt idx="224">
                  <c:v>0.6916939175931982</c:v>
                </c:pt>
                <c:pt idx="225">
                  <c:v>0.68447787224765633</c:v>
                </c:pt>
                <c:pt idx="226">
                  <c:v>0.67743078264660994</c:v>
                </c:pt>
                <c:pt idx="227">
                  <c:v>0.67514170481796376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D0-4869-B132-E4ED7AE7CD20}"/>
            </c:ext>
          </c:extLst>
        </c:ser>
        <c:ser>
          <c:idx val="3"/>
          <c:order val="3"/>
          <c:tx>
            <c:v>OLT3-23</c:v>
          </c:tx>
          <c:spPr>
            <a:ln w="19050">
              <a:noFill/>
            </a:ln>
          </c:spPr>
          <c:marker>
            <c:symbol val="diamond"/>
            <c:size val="2"/>
          </c:marker>
          <c:xVal>
            <c:numRef>
              <c:f>'OLT3-2'!$Z$5:$Z$232</c:f>
              <c:numCache>
                <c:formatCode>General</c:formatCode>
                <c:ptCount val="228"/>
                <c:pt idx="0">
                  <c:v>0</c:v>
                </c:pt>
                <c:pt idx="1">
                  <c:v>2.5915299999999999E-5</c:v>
                </c:pt>
                <c:pt idx="2">
                  <c:v>-5.2665299999999999E-6</c:v>
                </c:pt>
                <c:pt idx="3">
                  <c:v>-1.6381399999999999E-5</c:v>
                </c:pt>
                <c:pt idx="4">
                  <c:v>2.6679800000000002E-5</c:v>
                </c:pt>
                <c:pt idx="5">
                  <c:v>-3.37157E-5</c:v>
                </c:pt>
                <c:pt idx="6">
                  <c:v>-9.17203E-6</c:v>
                </c:pt>
                <c:pt idx="7">
                  <c:v>1.71916E-5</c:v>
                </c:pt>
                <c:pt idx="8">
                  <c:v>3.7534299999999997E-5</c:v>
                </c:pt>
                <c:pt idx="9">
                  <c:v>3.9700599999999997E-5</c:v>
                </c:pt>
                <c:pt idx="10">
                  <c:v>4.9518200000000003E-5</c:v>
                </c:pt>
                <c:pt idx="11">
                  <c:v>7.8694499999999997E-5</c:v>
                </c:pt>
                <c:pt idx="12">
                  <c:v>1.3676300000000001E-4</c:v>
                </c:pt>
                <c:pt idx="13">
                  <c:v>1.12419E-4</c:v>
                </c:pt>
                <c:pt idx="14">
                  <c:v>1.3126899999999999E-4</c:v>
                </c:pt>
                <c:pt idx="15">
                  <c:v>1.65701E-4</c:v>
                </c:pt>
                <c:pt idx="16">
                  <c:v>1.80371E-4</c:v>
                </c:pt>
                <c:pt idx="17">
                  <c:v>2.43265E-4</c:v>
                </c:pt>
                <c:pt idx="18">
                  <c:v>2.9493800000000001E-4</c:v>
                </c:pt>
                <c:pt idx="19">
                  <c:v>2.9008400000000002E-4</c:v>
                </c:pt>
                <c:pt idx="20">
                  <c:v>3.07955E-4</c:v>
                </c:pt>
                <c:pt idx="21">
                  <c:v>3.1022500000000002E-4</c:v>
                </c:pt>
                <c:pt idx="22">
                  <c:v>3.3896000000000002E-4</c:v>
                </c:pt>
                <c:pt idx="23">
                  <c:v>3.3037000000000002E-4</c:v>
                </c:pt>
                <c:pt idx="24">
                  <c:v>3.7193600000000001E-4</c:v>
                </c:pt>
                <c:pt idx="25">
                  <c:v>3.9376500000000002E-4</c:v>
                </c:pt>
                <c:pt idx="26">
                  <c:v>4.2094099999999998E-4</c:v>
                </c:pt>
                <c:pt idx="27">
                  <c:v>4.50221E-4</c:v>
                </c:pt>
                <c:pt idx="28">
                  <c:v>4.8904999999999999E-4</c:v>
                </c:pt>
                <c:pt idx="29">
                  <c:v>5.0370700000000005E-4</c:v>
                </c:pt>
                <c:pt idx="30">
                  <c:v>5.29726E-4</c:v>
                </c:pt>
                <c:pt idx="31">
                  <c:v>5.8148599999999998E-4</c:v>
                </c:pt>
                <c:pt idx="32">
                  <c:v>5.5708699999999995E-4</c:v>
                </c:pt>
                <c:pt idx="33">
                  <c:v>5.5227100000000001E-4</c:v>
                </c:pt>
                <c:pt idx="34">
                  <c:v>5.4600999999999998E-4</c:v>
                </c:pt>
                <c:pt idx="35">
                  <c:v>5.8124900000000005E-4</c:v>
                </c:pt>
                <c:pt idx="36">
                  <c:v>6.1720500000000001E-4</c:v>
                </c:pt>
                <c:pt idx="37">
                  <c:v>6.44039E-4</c:v>
                </c:pt>
                <c:pt idx="38">
                  <c:v>6.5283599999999995E-4</c:v>
                </c:pt>
                <c:pt idx="39">
                  <c:v>6.78489E-4</c:v>
                </c:pt>
                <c:pt idx="40">
                  <c:v>7.1228000000000003E-4</c:v>
                </c:pt>
                <c:pt idx="41">
                  <c:v>7.4109399999999998E-4</c:v>
                </c:pt>
                <c:pt idx="42">
                  <c:v>8.0292700000000005E-4</c:v>
                </c:pt>
                <c:pt idx="43">
                  <c:v>7.9113299999999996E-4</c:v>
                </c:pt>
                <c:pt idx="44">
                  <c:v>7.8830899999999995E-4</c:v>
                </c:pt>
                <c:pt idx="45">
                  <c:v>8.1781200000000001E-4</c:v>
                </c:pt>
                <c:pt idx="46">
                  <c:v>8.8365000000000004E-4</c:v>
                </c:pt>
                <c:pt idx="47">
                  <c:v>9.09552E-4</c:v>
                </c:pt>
                <c:pt idx="48">
                  <c:v>9.4677400000000005E-4</c:v>
                </c:pt>
                <c:pt idx="49">
                  <c:v>9.6097800000000003E-4</c:v>
                </c:pt>
                <c:pt idx="50">
                  <c:v>9.5423899999999996E-4</c:v>
                </c:pt>
                <c:pt idx="51">
                  <c:v>9.84705E-4</c:v>
                </c:pt>
                <c:pt idx="52">
                  <c:v>1.0065E-3</c:v>
                </c:pt>
                <c:pt idx="53">
                  <c:v>9.9810999999999997E-4</c:v>
                </c:pt>
                <c:pt idx="54">
                  <c:v>1.0588399999999999E-3</c:v>
                </c:pt>
                <c:pt idx="55">
                  <c:v>1.10771E-3</c:v>
                </c:pt>
                <c:pt idx="56">
                  <c:v>1.1218199999999999E-3</c:v>
                </c:pt>
                <c:pt idx="57">
                  <c:v>1.13838E-3</c:v>
                </c:pt>
                <c:pt idx="58">
                  <c:v>1.15139E-3</c:v>
                </c:pt>
                <c:pt idx="59">
                  <c:v>1.21177E-3</c:v>
                </c:pt>
                <c:pt idx="60">
                  <c:v>1.28096E-3</c:v>
                </c:pt>
                <c:pt idx="61">
                  <c:v>1.30455E-3</c:v>
                </c:pt>
                <c:pt idx="62">
                  <c:v>1.3068000000000001E-3</c:v>
                </c:pt>
                <c:pt idx="63">
                  <c:v>1.36491E-3</c:v>
                </c:pt>
                <c:pt idx="64">
                  <c:v>1.3652099999999999E-3</c:v>
                </c:pt>
                <c:pt idx="65">
                  <c:v>1.3507599999999999E-3</c:v>
                </c:pt>
                <c:pt idx="66">
                  <c:v>1.33478E-3</c:v>
                </c:pt>
                <c:pt idx="67">
                  <c:v>1.3565199999999999E-3</c:v>
                </c:pt>
                <c:pt idx="68">
                  <c:v>1.37364E-3</c:v>
                </c:pt>
                <c:pt idx="69">
                  <c:v>1.4432500000000001E-3</c:v>
                </c:pt>
                <c:pt idx="70">
                  <c:v>1.4768100000000001E-3</c:v>
                </c:pt>
                <c:pt idx="71">
                  <c:v>1.5315699999999999E-3</c:v>
                </c:pt>
                <c:pt idx="72">
                  <c:v>1.5575999999999999E-3</c:v>
                </c:pt>
                <c:pt idx="73">
                  <c:v>1.5937600000000001E-3</c:v>
                </c:pt>
                <c:pt idx="74">
                  <c:v>1.59932E-3</c:v>
                </c:pt>
                <c:pt idx="75">
                  <c:v>1.6239E-3</c:v>
                </c:pt>
                <c:pt idx="76">
                  <c:v>1.65698E-3</c:v>
                </c:pt>
                <c:pt idx="77">
                  <c:v>1.7330399999999999E-3</c:v>
                </c:pt>
                <c:pt idx="78">
                  <c:v>1.7309700000000001E-3</c:v>
                </c:pt>
                <c:pt idx="79">
                  <c:v>1.7354E-3</c:v>
                </c:pt>
                <c:pt idx="80">
                  <c:v>1.7790499999999999E-3</c:v>
                </c:pt>
                <c:pt idx="81">
                  <c:v>1.82734E-3</c:v>
                </c:pt>
                <c:pt idx="82">
                  <c:v>1.8597799999999999E-3</c:v>
                </c:pt>
                <c:pt idx="83">
                  <c:v>1.9146300000000001E-3</c:v>
                </c:pt>
                <c:pt idx="84">
                  <c:v>1.9586500000000001E-3</c:v>
                </c:pt>
                <c:pt idx="85">
                  <c:v>2.0029399999999999E-3</c:v>
                </c:pt>
                <c:pt idx="86">
                  <c:v>2.0245300000000001E-3</c:v>
                </c:pt>
                <c:pt idx="87">
                  <c:v>2.0630700000000002E-3</c:v>
                </c:pt>
                <c:pt idx="88">
                  <c:v>2.08976E-3</c:v>
                </c:pt>
                <c:pt idx="89">
                  <c:v>2.1083899999999999E-3</c:v>
                </c:pt>
                <c:pt idx="90">
                  <c:v>2.1605999999999999E-3</c:v>
                </c:pt>
                <c:pt idx="91">
                  <c:v>2.1700600000000001E-3</c:v>
                </c:pt>
                <c:pt idx="92">
                  <c:v>2.16125E-3</c:v>
                </c:pt>
                <c:pt idx="93">
                  <c:v>2.23244E-3</c:v>
                </c:pt>
                <c:pt idx="94">
                  <c:v>2.2726600000000001E-3</c:v>
                </c:pt>
                <c:pt idx="95">
                  <c:v>2.34695E-3</c:v>
                </c:pt>
                <c:pt idx="96">
                  <c:v>2.30883E-3</c:v>
                </c:pt>
                <c:pt idx="97">
                  <c:v>2.4012899999999999E-3</c:v>
                </c:pt>
                <c:pt idx="98">
                  <c:v>2.4141000000000002E-3</c:v>
                </c:pt>
                <c:pt idx="99">
                  <c:v>2.4399600000000001E-3</c:v>
                </c:pt>
                <c:pt idx="100">
                  <c:v>2.4504000000000001E-3</c:v>
                </c:pt>
                <c:pt idx="101">
                  <c:v>2.5419599999999998E-3</c:v>
                </c:pt>
                <c:pt idx="102">
                  <c:v>2.5478699999999998E-3</c:v>
                </c:pt>
                <c:pt idx="103">
                  <c:v>2.6427E-3</c:v>
                </c:pt>
                <c:pt idx="104">
                  <c:v>2.6683000000000002E-3</c:v>
                </c:pt>
                <c:pt idx="105">
                  <c:v>2.7325299999999999E-3</c:v>
                </c:pt>
                <c:pt idx="106">
                  <c:v>2.7858800000000001E-3</c:v>
                </c:pt>
                <c:pt idx="107">
                  <c:v>2.82702E-3</c:v>
                </c:pt>
                <c:pt idx="108">
                  <c:v>2.8473499999999998E-3</c:v>
                </c:pt>
                <c:pt idx="109">
                  <c:v>2.8712199999999998E-3</c:v>
                </c:pt>
                <c:pt idx="110">
                  <c:v>2.9459299999999998E-3</c:v>
                </c:pt>
                <c:pt idx="111">
                  <c:v>2.9706899999999998E-3</c:v>
                </c:pt>
                <c:pt idx="112">
                  <c:v>3.0086399999999999E-3</c:v>
                </c:pt>
                <c:pt idx="113">
                  <c:v>3.0251399999999999E-3</c:v>
                </c:pt>
                <c:pt idx="114">
                  <c:v>3.0739999999999999E-3</c:v>
                </c:pt>
                <c:pt idx="115">
                  <c:v>3.1459000000000001E-3</c:v>
                </c:pt>
                <c:pt idx="116">
                  <c:v>3.18791E-3</c:v>
                </c:pt>
                <c:pt idx="117">
                  <c:v>3.22128E-3</c:v>
                </c:pt>
                <c:pt idx="118">
                  <c:v>3.2353E-3</c:v>
                </c:pt>
                <c:pt idx="119">
                  <c:v>3.2851E-3</c:v>
                </c:pt>
                <c:pt idx="120">
                  <c:v>3.3590999999999998E-3</c:v>
                </c:pt>
                <c:pt idx="121">
                  <c:v>3.3859699999999999E-3</c:v>
                </c:pt>
                <c:pt idx="122">
                  <c:v>3.4147100000000001E-3</c:v>
                </c:pt>
                <c:pt idx="123">
                  <c:v>3.44597E-3</c:v>
                </c:pt>
                <c:pt idx="124">
                  <c:v>3.4886399999999999E-3</c:v>
                </c:pt>
                <c:pt idx="125">
                  <c:v>3.4894800000000001E-3</c:v>
                </c:pt>
                <c:pt idx="126">
                  <c:v>3.5171999999999998E-3</c:v>
                </c:pt>
                <c:pt idx="127">
                  <c:v>3.5964600000000001E-3</c:v>
                </c:pt>
                <c:pt idx="128">
                  <c:v>3.5881799999999998E-3</c:v>
                </c:pt>
                <c:pt idx="129">
                  <c:v>3.63072E-3</c:v>
                </c:pt>
                <c:pt idx="130">
                  <c:v>3.7239399999999998E-3</c:v>
                </c:pt>
                <c:pt idx="131">
                  <c:v>3.76107E-3</c:v>
                </c:pt>
                <c:pt idx="132">
                  <c:v>3.8304300000000001E-3</c:v>
                </c:pt>
                <c:pt idx="133">
                  <c:v>3.87346E-3</c:v>
                </c:pt>
                <c:pt idx="134">
                  <c:v>3.9255599999999998E-3</c:v>
                </c:pt>
                <c:pt idx="135">
                  <c:v>3.9762699999999996E-3</c:v>
                </c:pt>
                <c:pt idx="136">
                  <c:v>4.0252200000000004E-3</c:v>
                </c:pt>
                <c:pt idx="137">
                  <c:v>4.0670599999999999E-3</c:v>
                </c:pt>
                <c:pt idx="138">
                  <c:v>4.1492999999999999E-3</c:v>
                </c:pt>
                <c:pt idx="139">
                  <c:v>4.2171999999999999E-3</c:v>
                </c:pt>
                <c:pt idx="140">
                  <c:v>4.2719999999999998E-3</c:v>
                </c:pt>
                <c:pt idx="141">
                  <c:v>4.2866299999999996E-3</c:v>
                </c:pt>
                <c:pt idx="142">
                  <c:v>4.3428700000000004E-3</c:v>
                </c:pt>
                <c:pt idx="143">
                  <c:v>4.4131300000000004E-3</c:v>
                </c:pt>
                <c:pt idx="144">
                  <c:v>4.50141E-3</c:v>
                </c:pt>
                <c:pt idx="145">
                  <c:v>4.5241600000000002E-3</c:v>
                </c:pt>
                <c:pt idx="146">
                  <c:v>4.6198200000000002E-3</c:v>
                </c:pt>
                <c:pt idx="147">
                  <c:v>4.66191E-3</c:v>
                </c:pt>
                <c:pt idx="148">
                  <c:v>4.6863599999999997E-3</c:v>
                </c:pt>
                <c:pt idx="149">
                  <c:v>4.6993099999999999E-3</c:v>
                </c:pt>
                <c:pt idx="150">
                  <c:v>4.7822300000000002E-3</c:v>
                </c:pt>
                <c:pt idx="151">
                  <c:v>4.8086200000000004E-3</c:v>
                </c:pt>
                <c:pt idx="152">
                  <c:v>4.8250799999999998E-3</c:v>
                </c:pt>
                <c:pt idx="153">
                  <c:v>4.9052599999999998E-3</c:v>
                </c:pt>
                <c:pt idx="154">
                  <c:v>4.9700899999999999E-3</c:v>
                </c:pt>
                <c:pt idx="155">
                  <c:v>4.97213E-3</c:v>
                </c:pt>
                <c:pt idx="156">
                  <c:v>5.0813000000000004E-3</c:v>
                </c:pt>
                <c:pt idx="157">
                  <c:v>5.2053100000000003E-3</c:v>
                </c:pt>
                <c:pt idx="158">
                  <c:v>5.3280799999999998E-3</c:v>
                </c:pt>
                <c:pt idx="159">
                  <c:v>5.3947099999999996E-3</c:v>
                </c:pt>
                <c:pt idx="160">
                  <c:v>5.39917E-3</c:v>
                </c:pt>
                <c:pt idx="161">
                  <c:v>5.4566700000000003E-3</c:v>
                </c:pt>
                <c:pt idx="162">
                  <c:v>5.6899000000000003E-3</c:v>
                </c:pt>
                <c:pt idx="163">
                  <c:v>5.7351099999999999E-3</c:v>
                </c:pt>
                <c:pt idx="164">
                  <c:v>5.8740199999999998E-3</c:v>
                </c:pt>
                <c:pt idx="165">
                  <c:v>5.9949000000000001E-3</c:v>
                </c:pt>
                <c:pt idx="166">
                  <c:v>6.1283600000000002E-3</c:v>
                </c:pt>
                <c:pt idx="167">
                  <c:v>6.3555E-3</c:v>
                </c:pt>
                <c:pt idx="168">
                  <c:v>6.4324500000000001E-3</c:v>
                </c:pt>
                <c:pt idx="169">
                  <c:v>6.5246999999999996E-3</c:v>
                </c:pt>
                <c:pt idx="170">
                  <c:v>6.8071700000000004E-3</c:v>
                </c:pt>
                <c:pt idx="171">
                  <c:v>6.9073399999999997E-3</c:v>
                </c:pt>
                <c:pt idx="172">
                  <c:v>6.9342900000000001E-3</c:v>
                </c:pt>
                <c:pt idx="173">
                  <c:v>6.9169899999999996E-3</c:v>
                </c:pt>
                <c:pt idx="174">
                  <c:v>7.1176399999999997E-3</c:v>
                </c:pt>
                <c:pt idx="175">
                  <c:v>7.2278400000000001E-3</c:v>
                </c:pt>
                <c:pt idx="176">
                  <c:v>7.3230700000000001E-3</c:v>
                </c:pt>
                <c:pt idx="177">
                  <c:v>7.4131199999999996E-3</c:v>
                </c:pt>
                <c:pt idx="178">
                  <c:v>7.6220899999999998E-3</c:v>
                </c:pt>
                <c:pt idx="179">
                  <c:v>7.8033399999999998E-3</c:v>
                </c:pt>
                <c:pt idx="180">
                  <c:v>8.0700900000000002E-3</c:v>
                </c:pt>
                <c:pt idx="181">
                  <c:v>8.1577300000000002E-3</c:v>
                </c:pt>
                <c:pt idx="182">
                  <c:v>8.5589700000000008E-3</c:v>
                </c:pt>
                <c:pt idx="183">
                  <c:v>8.5946700000000004E-3</c:v>
                </c:pt>
                <c:pt idx="184">
                  <c:v>8.6554400000000004E-3</c:v>
                </c:pt>
                <c:pt idx="185">
                  <c:v>9.2599299999999996E-3</c:v>
                </c:pt>
                <c:pt idx="186">
                  <c:v>9.6068200000000003E-3</c:v>
                </c:pt>
                <c:pt idx="187">
                  <c:v>9.8245399999999997E-3</c:v>
                </c:pt>
                <c:pt idx="188">
                  <c:v>9.9154299999999994E-3</c:v>
                </c:pt>
                <c:pt idx="189">
                  <c:v>1.0178100000000001E-2</c:v>
                </c:pt>
                <c:pt idx="190">
                  <c:v>1.02281E-2</c:v>
                </c:pt>
                <c:pt idx="191">
                  <c:v>1.02766E-2</c:v>
                </c:pt>
                <c:pt idx="192">
                  <c:v>1.0279999999999999E-2</c:v>
                </c:pt>
                <c:pt idx="193">
                  <c:v>1.02992E-2</c:v>
                </c:pt>
                <c:pt idx="194">
                  <c:v>1.0389900000000001E-2</c:v>
                </c:pt>
                <c:pt idx="195">
                  <c:v>1.05831E-2</c:v>
                </c:pt>
                <c:pt idx="196">
                  <c:v>1.0830899999999999E-2</c:v>
                </c:pt>
                <c:pt idx="197">
                  <c:v>1.1053500000000001E-2</c:v>
                </c:pt>
                <c:pt idx="198">
                  <c:v>1.1158599999999999E-2</c:v>
                </c:pt>
                <c:pt idx="199">
                  <c:v>1.11897E-2</c:v>
                </c:pt>
                <c:pt idx="200">
                  <c:v>1.1242200000000001E-2</c:v>
                </c:pt>
                <c:pt idx="201">
                  <c:v>1.1310300000000001E-2</c:v>
                </c:pt>
                <c:pt idx="202">
                  <c:v>1.13481E-2</c:v>
                </c:pt>
                <c:pt idx="203">
                  <c:v>1.14804E-2</c:v>
                </c:pt>
                <c:pt idx="204">
                  <c:v>1.15377E-2</c:v>
                </c:pt>
                <c:pt idx="205">
                  <c:v>1.2301899999999999E-2</c:v>
                </c:pt>
                <c:pt idx="206">
                  <c:v>1.23129E-2</c:v>
                </c:pt>
                <c:pt idx="207">
                  <c:v>1.2497599999999999E-2</c:v>
                </c:pt>
                <c:pt idx="208">
                  <c:v>1.2485599999999999E-2</c:v>
                </c:pt>
                <c:pt idx="209">
                  <c:v>1.31334E-2</c:v>
                </c:pt>
                <c:pt idx="210">
                  <c:v>1.3234299999999999E-2</c:v>
                </c:pt>
                <c:pt idx="211">
                  <c:v>1.33306E-2</c:v>
                </c:pt>
                <c:pt idx="212">
                  <c:v>1.34644E-2</c:v>
                </c:pt>
                <c:pt idx="213">
                  <c:v>1.3610000000000001E-2</c:v>
                </c:pt>
                <c:pt idx="214">
                  <c:v>1.36119E-2</c:v>
                </c:pt>
                <c:pt idx="215">
                  <c:v>1.3865300000000001E-2</c:v>
                </c:pt>
                <c:pt idx="216">
                  <c:v>1.3934999999999999E-2</c:v>
                </c:pt>
                <c:pt idx="217">
                  <c:v>1.3976199999999999E-2</c:v>
                </c:pt>
                <c:pt idx="218">
                  <c:v>1.4049000000000001E-2</c:v>
                </c:pt>
                <c:pt idx="219">
                  <c:v>1.40698E-2</c:v>
                </c:pt>
                <c:pt idx="220">
                  <c:v>1.40807E-2</c:v>
                </c:pt>
                <c:pt idx="221">
                  <c:v>1.4113799999999999E-2</c:v>
                </c:pt>
                <c:pt idx="222">
                  <c:v>1.41227E-2</c:v>
                </c:pt>
                <c:pt idx="223">
                  <c:v>1.4194399999999999E-2</c:v>
                </c:pt>
                <c:pt idx="224">
                  <c:v>1.4233600000000001E-2</c:v>
                </c:pt>
                <c:pt idx="225">
                  <c:v>1.4269E-2</c:v>
                </c:pt>
                <c:pt idx="226">
                  <c:v>1.4322100000000001E-2</c:v>
                </c:pt>
                <c:pt idx="227">
                  <c:v>1.43871E-2</c:v>
                </c:pt>
              </c:numCache>
            </c:numRef>
          </c:xVal>
          <c:yVal>
            <c:numRef>
              <c:f>'OLT3-2'!$V$5:$V$232</c:f>
              <c:numCache>
                <c:formatCode>General</c:formatCode>
                <c:ptCount val="228"/>
                <c:pt idx="0">
                  <c:v>-0.10987246566383257</c:v>
                </c:pt>
                <c:pt idx="1">
                  <c:v>-0.10899226073686506</c:v>
                </c:pt>
                <c:pt idx="2">
                  <c:v>-0.11128133856551123</c:v>
                </c:pt>
                <c:pt idx="3">
                  <c:v>-0.10828755177676042</c:v>
                </c:pt>
                <c:pt idx="4">
                  <c:v>-0.10705526487900588</c:v>
                </c:pt>
                <c:pt idx="5">
                  <c:v>-0.1074073468497929</c:v>
                </c:pt>
                <c:pt idx="6">
                  <c:v>-0.10159635927621538</c:v>
                </c:pt>
                <c:pt idx="7">
                  <c:v>-9.3848375844778717E-2</c:v>
                </c:pt>
                <c:pt idx="8">
                  <c:v>-9.1206671026814914E-2</c:v>
                </c:pt>
                <c:pt idx="9">
                  <c:v>-8.2578482668410724E-2</c:v>
                </c:pt>
                <c:pt idx="10">
                  <c:v>-7.8351863963374749E-2</c:v>
                </c:pt>
                <c:pt idx="11">
                  <c:v>-6.9899716590364078E-2</c:v>
                </c:pt>
                <c:pt idx="12">
                  <c:v>-6.51449749291476E-2</c:v>
                </c:pt>
                <c:pt idx="13">
                  <c:v>-5.8981905384783082E-2</c:v>
                </c:pt>
                <c:pt idx="14">
                  <c:v>-4.5951057335949431E-2</c:v>
                </c:pt>
                <c:pt idx="15">
                  <c:v>-3.9964028776978418E-2</c:v>
                </c:pt>
                <c:pt idx="16">
                  <c:v>-3.1511881403967733E-2</c:v>
                </c:pt>
                <c:pt idx="17">
                  <c:v>-1.8657074340527581E-2</c:v>
                </c:pt>
                <c:pt idx="18">
                  <c:v>-6.8590582079790709E-3</c:v>
                </c:pt>
                <c:pt idx="19">
                  <c:v>-2.8090255068672332E-3</c:v>
                </c:pt>
                <c:pt idx="20">
                  <c:v>9.8697405711794198E-3</c:v>
                </c:pt>
                <c:pt idx="21">
                  <c:v>1.3039568345323741E-2</c:v>
                </c:pt>
                <c:pt idx="22">
                  <c:v>1.7617724002616089E-2</c:v>
                </c:pt>
                <c:pt idx="23">
                  <c:v>2.5365707434052757E-2</c:v>
                </c:pt>
                <c:pt idx="24">
                  <c:v>3.4874645737955089E-2</c:v>
                </c:pt>
                <c:pt idx="25">
                  <c:v>4.2798670154785258E-2</c:v>
                </c:pt>
                <c:pt idx="26">
                  <c:v>4.7377370830608237E-2</c:v>
                </c:pt>
                <c:pt idx="27">
                  <c:v>5.6710268149117074E-2</c:v>
                </c:pt>
                <c:pt idx="28">
                  <c:v>5.9351427948550244E-2</c:v>
                </c:pt>
                <c:pt idx="29">
                  <c:v>6.4106169609766728E-2</c:v>
                </c:pt>
                <c:pt idx="30">
                  <c:v>6.9741116197950731E-2</c:v>
                </c:pt>
                <c:pt idx="31">
                  <c:v>7.3439066928275565E-2</c:v>
                </c:pt>
                <c:pt idx="32">
                  <c:v>7.8193263570961416E-2</c:v>
                </c:pt>
                <c:pt idx="33">
                  <c:v>8.6117287987791585E-2</c:v>
                </c:pt>
                <c:pt idx="34">
                  <c:v>8.8406365816437751E-2</c:v>
                </c:pt>
                <c:pt idx="35">
                  <c:v>0.1002049269675169</c:v>
                </c:pt>
                <c:pt idx="36">
                  <c:v>0.10407891868323524</c:v>
                </c:pt>
                <c:pt idx="37">
                  <c:v>0.11499618487028558</c:v>
                </c:pt>
                <c:pt idx="38">
                  <c:v>0.11746184870285591</c:v>
                </c:pt>
                <c:pt idx="39">
                  <c:v>0.12432908218879443</c:v>
                </c:pt>
                <c:pt idx="40">
                  <c:v>0.13154894266405059</c:v>
                </c:pt>
                <c:pt idx="41">
                  <c:v>0.13507085240898192</c:v>
                </c:pt>
                <c:pt idx="42">
                  <c:v>0.14176204490952693</c:v>
                </c:pt>
                <c:pt idx="43">
                  <c:v>0.14176204490952693</c:v>
                </c:pt>
                <c:pt idx="44">
                  <c:v>0.14898190538478309</c:v>
                </c:pt>
                <c:pt idx="45">
                  <c:v>0.15285589710050143</c:v>
                </c:pt>
                <c:pt idx="46">
                  <c:v>0.16201275343361676</c:v>
                </c:pt>
                <c:pt idx="47">
                  <c:v>0.16835186396337476</c:v>
                </c:pt>
                <c:pt idx="48">
                  <c:v>0.17310660562459124</c:v>
                </c:pt>
                <c:pt idx="49">
                  <c:v>0.17891759319816877</c:v>
                </c:pt>
                <c:pt idx="50">
                  <c:v>0.18085458905602791</c:v>
                </c:pt>
                <c:pt idx="51">
                  <c:v>0.18983540440374974</c:v>
                </c:pt>
                <c:pt idx="52">
                  <c:v>0.19476564203182908</c:v>
                </c:pt>
                <c:pt idx="53">
                  <c:v>0.20251362546326576</c:v>
                </c:pt>
                <c:pt idx="54">
                  <c:v>0.20762044909526925</c:v>
                </c:pt>
                <c:pt idx="55">
                  <c:v>0.21677730542838455</c:v>
                </c:pt>
                <c:pt idx="56">
                  <c:v>0.22329245694353611</c:v>
                </c:pt>
                <c:pt idx="57">
                  <c:v>0.2264622847176804</c:v>
                </c:pt>
                <c:pt idx="58">
                  <c:v>0.23491497710922174</c:v>
                </c:pt>
                <c:pt idx="59">
                  <c:v>0.24354316546762589</c:v>
                </c:pt>
                <c:pt idx="60">
                  <c:v>0.25005886200130806</c:v>
                </c:pt>
                <c:pt idx="61">
                  <c:v>0.25181927185524311</c:v>
                </c:pt>
                <c:pt idx="62">
                  <c:v>0.25886309134510577</c:v>
                </c:pt>
                <c:pt idx="63">
                  <c:v>0.2660829518203619</c:v>
                </c:pt>
                <c:pt idx="64">
                  <c:v>0.26731578373664705</c:v>
                </c:pt>
                <c:pt idx="65">
                  <c:v>0.27612001308044476</c:v>
                </c:pt>
                <c:pt idx="66">
                  <c:v>0.2815789186832352</c:v>
                </c:pt>
                <c:pt idx="67">
                  <c:v>0.28844669718770438</c:v>
                </c:pt>
                <c:pt idx="68">
                  <c:v>0.28650970132984527</c:v>
                </c:pt>
                <c:pt idx="69">
                  <c:v>0.2979556354916067</c:v>
                </c:pt>
                <c:pt idx="70">
                  <c:v>0.30411870503597127</c:v>
                </c:pt>
                <c:pt idx="71">
                  <c:v>0.31010573359494226</c:v>
                </c:pt>
                <c:pt idx="72">
                  <c:v>0.31433180728144755</c:v>
                </c:pt>
                <c:pt idx="73">
                  <c:v>0.31891050795727055</c:v>
                </c:pt>
                <c:pt idx="74">
                  <c:v>0.32296054065838237</c:v>
                </c:pt>
                <c:pt idx="75">
                  <c:v>0.3294756921735339</c:v>
                </c:pt>
                <c:pt idx="76">
                  <c:v>0.33264551994767821</c:v>
                </c:pt>
                <c:pt idx="77">
                  <c:v>0.3377523435796817</c:v>
                </c:pt>
                <c:pt idx="78">
                  <c:v>0.34743732286897755</c:v>
                </c:pt>
                <c:pt idx="79">
                  <c:v>0.35254414650098098</c:v>
                </c:pt>
                <c:pt idx="80">
                  <c:v>0.3553613472858077</c:v>
                </c:pt>
                <c:pt idx="81">
                  <c:v>0.36258120776106384</c:v>
                </c:pt>
                <c:pt idx="82">
                  <c:v>0.36874427730542841</c:v>
                </c:pt>
                <c:pt idx="83">
                  <c:v>0.37983812949640294</c:v>
                </c:pt>
                <c:pt idx="84">
                  <c:v>0.38529703509919339</c:v>
                </c:pt>
                <c:pt idx="85">
                  <c:v>0.39022727272727276</c:v>
                </c:pt>
                <c:pt idx="86">
                  <c:v>0.40167320688903418</c:v>
                </c:pt>
                <c:pt idx="87">
                  <c:v>0.40449095269239149</c:v>
                </c:pt>
                <c:pt idx="88">
                  <c:v>0.40730815347721822</c:v>
                </c:pt>
                <c:pt idx="89">
                  <c:v>0.41047798125136259</c:v>
                </c:pt>
                <c:pt idx="90">
                  <c:v>0.4178738827120122</c:v>
                </c:pt>
                <c:pt idx="91">
                  <c:v>0.4242129932417702</c:v>
                </c:pt>
                <c:pt idx="92">
                  <c:v>0.42685469805973403</c:v>
                </c:pt>
                <c:pt idx="93">
                  <c:v>0.43196097667320693</c:v>
                </c:pt>
                <c:pt idx="94">
                  <c:v>0.4393568781338566</c:v>
                </c:pt>
                <c:pt idx="95">
                  <c:v>0.44463974275125356</c:v>
                </c:pt>
                <c:pt idx="96">
                  <c:v>0.45062677131022455</c:v>
                </c:pt>
                <c:pt idx="97">
                  <c:v>0.4573185088293002</c:v>
                </c:pt>
                <c:pt idx="98">
                  <c:v>0.45890342271637236</c:v>
                </c:pt>
                <c:pt idx="99">
                  <c:v>0.46770765206017001</c:v>
                </c:pt>
                <c:pt idx="100">
                  <c:v>0.46964464791802918</c:v>
                </c:pt>
                <c:pt idx="101">
                  <c:v>0.4824994549814694</c:v>
                </c:pt>
                <c:pt idx="102">
                  <c:v>0.4858453237410072</c:v>
                </c:pt>
                <c:pt idx="103">
                  <c:v>0.4909516023544801</c:v>
                </c:pt>
                <c:pt idx="104">
                  <c:v>0.49799542184434276</c:v>
                </c:pt>
                <c:pt idx="105">
                  <c:v>0.50591944626117291</c:v>
                </c:pt>
                <c:pt idx="106">
                  <c:v>0.51120231087856993</c:v>
                </c:pt>
                <c:pt idx="107">
                  <c:v>0.51859821233921954</c:v>
                </c:pt>
                <c:pt idx="108">
                  <c:v>0.52264824504033136</c:v>
                </c:pt>
                <c:pt idx="109">
                  <c:v>0.52845923261390881</c:v>
                </c:pt>
                <c:pt idx="110">
                  <c:v>0.5340941792020929</c:v>
                </c:pt>
                <c:pt idx="111">
                  <c:v>0.5362072160453456</c:v>
                </c:pt>
                <c:pt idx="112">
                  <c:v>0.54342707652060174</c:v>
                </c:pt>
                <c:pt idx="113">
                  <c:v>0.54413124046217576</c:v>
                </c:pt>
                <c:pt idx="114">
                  <c:v>0.55170590800087205</c:v>
                </c:pt>
                <c:pt idx="115">
                  <c:v>0.55804447351209951</c:v>
                </c:pt>
                <c:pt idx="116">
                  <c:v>0.56544037497274913</c:v>
                </c:pt>
                <c:pt idx="117">
                  <c:v>0.57019293655984304</c:v>
                </c:pt>
                <c:pt idx="118">
                  <c:v>0.57318508829300208</c:v>
                </c:pt>
                <c:pt idx="119">
                  <c:v>0.5774144320906911</c:v>
                </c:pt>
                <c:pt idx="120">
                  <c:v>0.58551340745585356</c:v>
                </c:pt>
                <c:pt idx="121">
                  <c:v>0.59290930891650317</c:v>
                </c:pt>
                <c:pt idx="122">
                  <c:v>0.59889361238282113</c:v>
                </c:pt>
                <c:pt idx="123">
                  <c:v>0.6003052103771529</c:v>
                </c:pt>
                <c:pt idx="124">
                  <c:v>0.60418029212993241</c:v>
                </c:pt>
                <c:pt idx="125">
                  <c:v>0.61086766950076299</c:v>
                </c:pt>
                <c:pt idx="126">
                  <c:v>0.61086766950076299</c:v>
                </c:pt>
                <c:pt idx="127">
                  <c:v>0.61245367342489643</c:v>
                </c:pt>
                <c:pt idx="128">
                  <c:v>0.62160998473948115</c:v>
                </c:pt>
                <c:pt idx="129">
                  <c:v>0.62565947242206232</c:v>
                </c:pt>
                <c:pt idx="130">
                  <c:v>0.6305918901242642</c:v>
                </c:pt>
                <c:pt idx="131">
                  <c:v>0.63517004578155667</c:v>
                </c:pt>
                <c:pt idx="132">
                  <c:v>0.64063113145846962</c:v>
                </c:pt>
                <c:pt idx="133">
                  <c:v>0.64626662306518423</c:v>
                </c:pt>
                <c:pt idx="134">
                  <c:v>0.64908436886854148</c:v>
                </c:pt>
                <c:pt idx="135">
                  <c:v>0.65471986047525621</c:v>
                </c:pt>
                <c:pt idx="136">
                  <c:v>0.66387617178984093</c:v>
                </c:pt>
                <c:pt idx="137">
                  <c:v>0.66739699149771092</c:v>
                </c:pt>
                <c:pt idx="138">
                  <c:v>0.67003488118596033</c:v>
                </c:pt>
                <c:pt idx="139">
                  <c:v>0.67761063876171801</c:v>
                </c:pt>
                <c:pt idx="140">
                  <c:v>0.68148027032919123</c:v>
                </c:pt>
                <c:pt idx="141">
                  <c:v>0.68975910180946154</c:v>
                </c:pt>
                <c:pt idx="142">
                  <c:v>0.6960976673206889</c:v>
                </c:pt>
                <c:pt idx="143">
                  <c:v>0.69891541312404615</c:v>
                </c:pt>
                <c:pt idx="144">
                  <c:v>0.70930346631785479</c:v>
                </c:pt>
                <c:pt idx="145">
                  <c:v>0.71177240026160893</c:v>
                </c:pt>
                <c:pt idx="146">
                  <c:v>0.71317854807063441</c:v>
                </c:pt>
                <c:pt idx="147">
                  <c:v>0.71652496184870285</c:v>
                </c:pt>
                <c:pt idx="148">
                  <c:v>0.71459014606496629</c:v>
                </c:pt>
                <c:pt idx="149">
                  <c:v>0.72480379332897316</c:v>
                </c:pt>
                <c:pt idx="150">
                  <c:v>0.72849901896664493</c:v>
                </c:pt>
                <c:pt idx="151">
                  <c:v>0.7295563549160673</c:v>
                </c:pt>
                <c:pt idx="152">
                  <c:v>0.73307717462393718</c:v>
                </c:pt>
                <c:pt idx="153">
                  <c:v>0.74029867015478534</c:v>
                </c:pt>
                <c:pt idx="154">
                  <c:v>0.74381948986265534</c:v>
                </c:pt>
                <c:pt idx="155">
                  <c:v>0.74364508393285367</c:v>
                </c:pt>
                <c:pt idx="156">
                  <c:v>0.75104098539350339</c:v>
                </c:pt>
                <c:pt idx="157">
                  <c:v>0.75737955090473075</c:v>
                </c:pt>
                <c:pt idx="158">
                  <c:v>0.77023108785698713</c:v>
                </c:pt>
                <c:pt idx="159">
                  <c:v>0.7742860257248747</c:v>
                </c:pt>
                <c:pt idx="160">
                  <c:v>0.77375735775016352</c:v>
                </c:pt>
                <c:pt idx="161">
                  <c:v>0.7809734030957054</c:v>
                </c:pt>
                <c:pt idx="162">
                  <c:v>0.78696315674732942</c:v>
                </c:pt>
                <c:pt idx="163">
                  <c:v>0.79101264442991048</c:v>
                </c:pt>
                <c:pt idx="164">
                  <c:v>0.79876280793546972</c:v>
                </c:pt>
                <c:pt idx="165">
                  <c:v>0.79999454981469365</c:v>
                </c:pt>
                <c:pt idx="166">
                  <c:v>0.80386418138216698</c:v>
                </c:pt>
                <c:pt idx="167">
                  <c:v>0.81496075866579465</c:v>
                </c:pt>
                <c:pt idx="168">
                  <c:v>0.8174242424242425</c:v>
                </c:pt>
                <c:pt idx="169">
                  <c:v>0.8221822541966427</c:v>
                </c:pt>
                <c:pt idx="170">
                  <c:v>0.83063004142140839</c:v>
                </c:pt>
                <c:pt idx="171">
                  <c:v>0.83591672116851967</c:v>
                </c:pt>
                <c:pt idx="172">
                  <c:v>0.83521364726400704</c:v>
                </c:pt>
                <c:pt idx="173">
                  <c:v>0.83468497928929575</c:v>
                </c:pt>
                <c:pt idx="174">
                  <c:v>0.84260954872465665</c:v>
                </c:pt>
                <c:pt idx="175">
                  <c:v>0.84331262262916939</c:v>
                </c:pt>
                <c:pt idx="176">
                  <c:v>0.84683344233703961</c:v>
                </c:pt>
                <c:pt idx="177">
                  <c:v>0.84683344233703961</c:v>
                </c:pt>
                <c:pt idx="178">
                  <c:v>0.85845323741007185</c:v>
                </c:pt>
                <c:pt idx="179">
                  <c:v>0.85969042947460206</c:v>
                </c:pt>
                <c:pt idx="180">
                  <c:v>0.86813821669936786</c:v>
                </c:pt>
                <c:pt idx="181">
                  <c:v>0.86849247874427726</c:v>
                </c:pt>
                <c:pt idx="182">
                  <c:v>0.86584913887072168</c:v>
                </c:pt>
                <c:pt idx="183">
                  <c:v>0.86673206889034216</c:v>
                </c:pt>
                <c:pt idx="184">
                  <c:v>0.86813821669936786</c:v>
                </c:pt>
                <c:pt idx="185">
                  <c:v>0.86778940483976463</c:v>
                </c:pt>
                <c:pt idx="186">
                  <c:v>0.86690647482014394</c:v>
                </c:pt>
                <c:pt idx="187">
                  <c:v>0.86356006104207539</c:v>
                </c:pt>
                <c:pt idx="188">
                  <c:v>0.8644429910616962</c:v>
                </c:pt>
                <c:pt idx="189">
                  <c:v>0.82939829954218447</c:v>
                </c:pt>
                <c:pt idx="190">
                  <c:v>0.79928602572487462</c:v>
                </c:pt>
                <c:pt idx="191">
                  <c:v>0.78696315674732942</c:v>
                </c:pt>
                <c:pt idx="192">
                  <c:v>0.78044473512099422</c:v>
                </c:pt>
                <c:pt idx="193">
                  <c:v>0.77657510355352088</c:v>
                </c:pt>
                <c:pt idx="194">
                  <c:v>0.77058534990189664</c:v>
                </c:pt>
                <c:pt idx="195">
                  <c:v>0.78062459123610206</c:v>
                </c:pt>
                <c:pt idx="196">
                  <c:v>0.78062459123610206</c:v>
                </c:pt>
                <c:pt idx="197">
                  <c:v>0.78643448877261823</c:v>
                </c:pt>
                <c:pt idx="198">
                  <c:v>0.78379114889906265</c:v>
                </c:pt>
                <c:pt idx="199">
                  <c:v>0.77745258338783518</c:v>
                </c:pt>
                <c:pt idx="200">
                  <c:v>0.7716426858513189</c:v>
                </c:pt>
                <c:pt idx="201">
                  <c:v>0.76653586221931558</c:v>
                </c:pt>
                <c:pt idx="202">
                  <c:v>0.76266078046653585</c:v>
                </c:pt>
                <c:pt idx="203">
                  <c:v>0.75790821887944204</c:v>
                </c:pt>
                <c:pt idx="204">
                  <c:v>0.75931436668846741</c:v>
                </c:pt>
                <c:pt idx="205">
                  <c:v>0.76583278831480261</c:v>
                </c:pt>
                <c:pt idx="206">
                  <c:v>0.76318944844124703</c:v>
                </c:pt>
                <c:pt idx="207">
                  <c:v>0.76354371048615655</c:v>
                </c:pt>
                <c:pt idx="208">
                  <c:v>0.76494985829518214</c:v>
                </c:pt>
                <c:pt idx="209">
                  <c:v>0.76759319816873772</c:v>
                </c:pt>
                <c:pt idx="210">
                  <c:v>0.76583278831480261</c:v>
                </c:pt>
                <c:pt idx="211">
                  <c:v>0.76988227599738401</c:v>
                </c:pt>
                <c:pt idx="212">
                  <c:v>0.76935360802267283</c:v>
                </c:pt>
                <c:pt idx="213">
                  <c:v>0.76794201002834095</c:v>
                </c:pt>
                <c:pt idx="214">
                  <c:v>0.76935360802267283</c:v>
                </c:pt>
                <c:pt idx="215">
                  <c:v>0.75579354698059731</c:v>
                </c:pt>
                <c:pt idx="216">
                  <c:v>0.75456180510137338</c:v>
                </c:pt>
                <c:pt idx="217">
                  <c:v>0.75015805537388269</c:v>
                </c:pt>
                <c:pt idx="218">
                  <c:v>0.72585567909308912</c:v>
                </c:pt>
                <c:pt idx="219">
                  <c:v>0.71582188794419022</c:v>
                </c:pt>
                <c:pt idx="220">
                  <c:v>0.70560824068018313</c:v>
                </c:pt>
                <c:pt idx="221">
                  <c:v>0.70103008502289077</c:v>
                </c:pt>
                <c:pt idx="222">
                  <c:v>0.69961848702855911</c:v>
                </c:pt>
                <c:pt idx="223">
                  <c:v>0.69486592544146508</c:v>
                </c:pt>
                <c:pt idx="224">
                  <c:v>0.6916939175931982</c:v>
                </c:pt>
                <c:pt idx="225">
                  <c:v>0.68447787224765633</c:v>
                </c:pt>
                <c:pt idx="226">
                  <c:v>0.67743078264660994</c:v>
                </c:pt>
                <c:pt idx="227">
                  <c:v>0.67514170481796376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D0-4869-B132-E4ED7AE7C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Strain, %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5810356675598074"/>
              <c:y val="0.886206968417754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Stress, MPa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7570586530415977"/>
          <c:y val="0.4081785698372522"/>
          <c:w val="0.17660564604912471"/>
          <c:h val="0.32566521018532468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Tension - transverse direction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516475785063475"/>
          <c:y val="0.14393518518518519"/>
          <c:w val="0.76844632399857438"/>
          <c:h val="0.65922422057696928"/>
        </c:manualLayout>
      </c:layout>
      <c:scatterChart>
        <c:scatterStyle val="lineMarker"/>
        <c:varyColors val="0"/>
        <c:ser>
          <c:idx val="0"/>
          <c:order val="0"/>
          <c:tx>
            <c:v>OLT3-2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'OLT3-2'!$AA$5:$AA$232</c:f>
              <c:numCache>
                <c:formatCode>General</c:formatCode>
                <c:ptCount val="228"/>
                <c:pt idx="0">
                  <c:v>0</c:v>
                </c:pt>
                <c:pt idx="1">
                  <c:v>8.9316125000000002E-6</c:v>
                </c:pt>
                <c:pt idx="2">
                  <c:v>-1.8292654999999999E-5</c:v>
                </c:pt>
                <c:pt idx="3">
                  <c:v>-2.6885099999999998E-5</c:v>
                </c:pt>
                <c:pt idx="4">
                  <c:v>1.589173275E-5</c:v>
                </c:pt>
                <c:pt idx="5">
                  <c:v>-4.7306174999999996E-5</c:v>
                </c:pt>
                <c:pt idx="6">
                  <c:v>-1.9506507500000001E-5</c:v>
                </c:pt>
                <c:pt idx="7">
                  <c:v>1.0796819999999999E-5</c:v>
                </c:pt>
                <c:pt idx="8">
                  <c:v>2.430095E-5</c:v>
                </c:pt>
                <c:pt idx="9">
                  <c:v>2.9763075000000005E-5</c:v>
                </c:pt>
                <c:pt idx="10">
                  <c:v>3.1356324999999998E-5</c:v>
                </c:pt>
                <c:pt idx="11">
                  <c:v>6.0802649999999996E-5</c:v>
                </c:pt>
                <c:pt idx="12">
                  <c:v>1.2521175E-4</c:v>
                </c:pt>
                <c:pt idx="13">
                  <c:v>1.0394764999999999E-4</c:v>
                </c:pt>
                <c:pt idx="14">
                  <c:v>1.2781374999999999E-4</c:v>
                </c:pt>
                <c:pt idx="15">
                  <c:v>1.56921E-4</c:v>
                </c:pt>
                <c:pt idx="16">
                  <c:v>1.7729549999999998E-4</c:v>
                </c:pt>
                <c:pt idx="17">
                  <c:v>2.4172850000000001E-4</c:v>
                </c:pt>
                <c:pt idx="18">
                  <c:v>2.8458150000000001E-4</c:v>
                </c:pt>
                <c:pt idx="19">
                  <c:v>2.8764575000000004E-4</c:v>
                </c:pt>
                <c:pt idx="20">
                  <c:v>3.0459299999999998E-4</c:v>
                </c:pt>
                <c:pt idx="21">
                  <c:v>3.05834E-4</c:v>
                </c:pt>
                <c:pt idx="22">
                  <c:v>3.3407149999999997E-4</c:v>
                </c:pt>
                <c:pt idx="23">
                  <c:v>3.3338024999999996E-4</c:v>
                </c:pt>
                <c:pt idx="24">
                  <c:v>3.6459474999999997E-4</c:v>
                </c:pt>
                <c:pt idx="25">
                  <c:v>3.9474850000000006E-4</c:v>
                </c:pt>
                <c:pt idx="26">
                  <c:v>4.2193174999999999E-4</c:v>
                </c:pt>
                <c:pt idx="27">
                  <c:v>4.5535774999999997E-4</c:v>
                </c:pt>
                <c:pt idx="28">
                  <c:v>4.9782275000000002E-4</c:v>
                </c:pt>
                <c:pt idx="29">
                  <c:v>5.1217674999999997E-4</c:v>
                </c:pt>
                <c:pt idx="30">
                  <c:v>5.3562050000000006E-4</c:v>
                </c:pt>
                <c:pt idx="31">
                  <c:v>5.8733424999999999E-4</c:v>
                </c:pt>
                <c:pt idx="32">
                  <c:v>5.6280874999999997E-4</c:v>
                </c:pt>
                <c:pt idx="33">
                  <c:v>5.4705775000000003E-4</c:v>
                </c:pt>
                <c:pt idx="34">
                  <c:v>5.4260050000000002E-4</c:v>
                </c:pt>
                <c:pt idx="35">
                  <c:v>5.8883924999999994E-4</c:v>
                </c:pt>
                <c:pt idx="36">
                  <c:v>6.2347425000000003E-4</c:v>
                </c:pt>
                <c:pt idx="37">
                  <c:v>6.4554974999999997E-4</c:v>
                </c:pt>
                <c:pt idx="38">
                  <c:v>6.6329425000000001E-4</c:v>
                </c:pt>
                <c:pt idx="39">
                  <c:v>6.8877024999999998E-4</c:v>
                </c:pt>
                <c:pt idx="40">
                  <c:v>7.2246950000000006E-4</c:v>
                </c:pt>
                <c:pt idx="41">
                  <c:v>7.58462E-4</c:v>
                </c:pt>
                <c:pt idx="42">
                  <c:v>8.0728250000000005E-4</c:v>
                </c:pt>
                <c:pt idx="43">
                  <c:v>7.9902424999999994E-4</c:v>
                </c:pt>
                <c:pt idx="44">
                  <c:v>8.0279975000000002E-4</c:v>
                </c:pt>
                <c:pt idx="45">
                  <c:v>8.3121400000000004E-4</c:v>
                </c:pt>
                <c:pt idx="46">
                  <c:v>8.9274875E-4</c:v>
                </c:pt>
                <c:pt idx="47">
                  <c:v>9.2748575000000007E-4</c:v>
                </c:pt>
                <c:pt idx="48">
                  <c:v>9.5548024999999996E-4</c:v>
                </c:pt>
                <c:pt idx="49">
                  <c:v>9.7132700000000002E-4</c:v>
                </c:pt>
                <c:pt idx="50">
                  <c:v>9.6617125000000002E-4</c:v>
                </c:pt>
                <c:pt idx="51">
                  <c:v>1.0012237499999999E-3</c:v>
                </c:pt>
                <c:pt idx="52">
                  <c:v>1.02075E-3</c:v>
                </c:pt>
                <c:pt idx="53">
                  <c:v>1.01289E-3</c:v>
                </c:pt>
                <c:pt idx="54">
                  <c:v>1.0782025000000001E-3</c:v>
                </c:pt>
                <c:pt idx="55">
                  <c:v>1.1250575E-3</c:v>
                </c:pt>
                <c:pt idx="56">
                  <c:v>1.1479375000000001E-3</c:v>
                </c:pt>
                <c:pt idx="57">
                  <c:v>1.1553325E-3</c:v>
                </c:pt>
                <c:pt idx="58">
                  <c:v>1.16204E-3</c:v>
                </c:pt>
                <c:pt idx="59">
                  <c:v>1.2301075E-3</c:v>
                </c:pt>
                <c:pt idx="60">
                  <c:v>1.3031900000000001E-3</c:v>
                </c:pt>
                <c:pt idx="61">
                  <c:v>1.3295525000000001E-3</c:v>
                </c:pt>
                <c:pt idx="62">
                  <c:v>1.3314775000000001E-3</c:v>
                </c:pt>
                <c:pt idx="63">
                  <c:v>1.3915400000000001E-3</c:v>
                </c:pt>
                <c:pt idx="64">
                  <c:v>1.3896450000000001E-3</c:v>
                </c:pt>
                <c:pt idx="65">
                  <c:v>1.3682149999999999E-3</c:v>
                </c:pt>
                <c:pt idx="66">
                  <c:v>1.3599999999999999E-3</c:v>
                </c:pt>
                <c:pt idx="67">
                  <c:v>1.3763675E-3</c:v>
                </c:pt>
                <c:pt idx="68">
                  <c:v>1.3911925E-3</c:v>
                </c:pt>
                <c:pt idx="69">
                  <c:v>1.4775175E-3</c:v>
                </c:pt>
                <c:pt idx="70">
                  <c:v>1.4971750000000001E-3</c:v>
                </c:pt>
                <c:pt idx="71">
                  <c:v>1.5571574999999997E-3</c:v>
                </c:pt>
                <c:pt idx="72">
                  <c:v>1.5822550000000001E-3</c:v>
                </c:pt>
                <c:pt idx="73">
                  <c:v>1.615685E-3</c:v>
                </c:pt>
                <c:pt idx="74">
                  <c:v>1.616415E-3</c:v>
                </c:pt>
                <c:pt idx="75">
                  <c:v>1.6473200000000001E-3</c:v>
                </c:pt>
                <c:pt idx="76">
                  <c:v>1.675455E-3</c:v>
                </c:pt>
                <c:pt idx="77">
                  <c:v>1.7482875E-3</c:v>
                </c:pt>
                <c:pt idx="78">
                  <c:v>1.7627324999999999E-3</c:v>
                </c:pt>
                <c:pt idx="79">
                  <c:v>1.7576299999999998E-3</c:v>
                </c:pt>
                <c:pt idx="80">
                  <c:v>1.80974E-3</c:v>
                </c:pt>
                <c:pt idx="81">
                  <c:v>1.8632900000000001E-3</c:v>
                </c:pt>
                <c:pt idx="82">
                  <c:v>1.8946200000000001E-3</c:v>
                </c:pt>
                <c:pt idx="83">
                  <c:v>1.9408300000000002E-3</c:v>
                </c:pt>
                <c:pt idx="84">
                  <c:v>1.9862475000000002E-3</c:v>
                </c:pt>
                <c:pt idx="85">
                  <c:v>2.0340074999999997E-3</c:v>
                </c:pt>
                <c:pt idx="86">
                  <c:v>2.0487249999999999E-3</c:v>
                </c:pt>
                <c:pt idx="87">
                  <c:v>2.0950350000000003E-3</c:v>
                </c:pt>
                <c:pt idx="88">
                  <c:v>2.121005E-3</c:v>
                </c:pt>
                <c:pt idx="89">
                  <c:v>2.1469675000000002E-3</c:v>
                </c:pt>
                <c:pt idx="90">
                  <c:v>2.1861350000000001E-3</c:v>
                </c:pt>
                <c:pt idx="91">
                  <c:v>2.2034300000000001E-3</c:v>
                </c:pt>
                <c:pt idx="92">
                  <c:v>2.1996125000000003E-3</c:v>
                </c:pt>
                <c:pt idx="93">
                  <c:v>2.2616625E-3</c:v>
                </c:pt>
                <c:pt idx="94">
                  <c:v>2.3025425E-3</c:v>
                </c:pt>
                <c:pt idx="95">
                  <c:v>2.380325E-3</c:v>
                </c:pt>
                <c:pt idx="96">
                  <c:v>2.3425899999999999E-3</c:v>
                </c:pt>
                <c:pt idx="97">
                  <c:v>2.4287150000000001E-3</c:v>
                </c:pt>
                <c:pt idx="98">
                  <c:v>2.4481175000000003E-3</c:v>
                </c:pt>
                <c:pt idx="99">
                  <c:v>2.4724949999999999E-3</c:v>
                </c:pt>
                <c:pt idx="100">
                  <c:v>2.4829300000000004E-3</c:v>
                </c:pt>
                <c:pt idx="101">
                  <c:v>2.5730874999999997E-3</c:v>
                </c:pt>
                <c:pt idx="102">
                  <c:v>2.5888399999999998E-3</c:v>
                </c:pt>
                <c:pt idx="103">
                  <c:v>2.6699800000000002E-3</c:v>
                </c:pt>
                <c:pt idx="104">
                  <c:v>2.7024599999999998E-3</c:v>
                </c:pt>
                <c:pt idx="105">
                  <c:v>2.7720524999999998E-3</c:v>
                </c:pt>
                <c:pt idx="106">
                  <c:v>2.8297349999999999E-3</c:v>
                </c:pt>
                <c:pt idx="107">
                  <c:v>2.8738099999999996E-3</c:v>
                </c:pt>
                <c:pt idx="108">
                  <c:v>2.8860324999999999E-3</c:v>
                </c:pt>
                <c:pt idx="109">
                  <c:v>2.9110999999999998E-3</c:v>
                </c:pt>
                <c:pt idx="110">
                  <c:v>2.9867499999999998E-3</c:v>
                </c:pt>
                <c:pt idx="111">
                  <c:v>3.0144949999999998E-3</c:v>
                </c:pt>
                <c:pt idx="112">
                  <c:v>3.0502624999999999E-3</c:v>
                </c:pt>
                <c:pt idx="113">
                  <c:v>3.0611299999999996E-3</c:v>
                </c:pt>
                <c:pt idx="114">
                  <c:v>3.1146050000000003E-3</c:v>
                </c:pt>
                <c:pt idx="115">
                  <c:v>3.1889700000000002E-3</c:v>
                </c:pt>
                <c:pt idx="116">
                  <c:v>3.23025E-3</c:v>
                </c:pt>
                <c:pt idx="117">
                  <c:v>3.2626399999999998E-3</c:v>
                </c:pt>
                <c:pt idx="118">
                  <c:v>3.2956299999999999E-3</c:v>
                </c:pt>
                <c:pt idx="119">
                  <c:v>3.2995975000000002E-3</c:v>
                </c:pt>
                <c:pt idx="120">
                  <c:v>3.4042400000000002E-3</c:v>
                </c:pt>
                <c:pt idx="121">
                  <c:v>3.4277675000000001E-3</c:v>
                </c:pt>
                <c:pt idx="122">
                  <c:v>3.4643324999999998E-3</c:v>
                </c:pt>
                <c:pt idx="123">
                  <c:v>3.4861275000000001E-3</c:v>
                </c:pt>
                <c:pt idx="124">
                  <c:v>3.5470174999999997E-3</c:v>
                </c:pt>
                <c:pt idx="125">
                  <c:v>3.5379974999999999E-3</c:v>
                </c:pt>
                <c:pt idx="126">
                  <c:v>3.5755349999999999E-3</c:v>
                </c:pt>
                <c:pt idx="127">
                  <c:v>3.6469425E-3</c:v>
                </c:pt>
                <c:pt idx="128">
                  <c:v>3.6497075E-3</c:v>
                </c:pt>
                <c:pt idx="129">
                  <c:v>3.6869450000000001E-3</c:v>
                </c:pt>
                <c:pt idx="130">
                  <c:v>3.7881775000000004E-3</c:v>
                </c:pt>
                <c:pt idx="131">
                  <c:v>3.8189625000000001E-3</c:v>
                </c:pt>
                <c:pt idx="132">
                  <c:v>3.8942875000000004E-3</c:v>
                </c:pt>
                <c:pt idx="133">
                  <c:v>3.9356974999999999E-3</c:v>
                </c:pt>
                <c:pt idx="134">
                  <c:v>3.9895474999999993E-3</c:v>
                </c:pt>
                <c:pt idx="135">
                  <c:v>4.04062E-3</c:v>
                </c:pt>
                <c:pt idx="136">
                  <c:v>4.0875675E-3</c:v>
                </c:pt>
                <c:pt idx="137">
                  <c:v>4.1259775E-3</c:v>
                </c:pt>
                <c:pt idx="138">
                  <c:v>4.2220599999999997E-3</c:v>
                </c:pt>
                <c:pt idx="139">
                  <c:v>4.2705625000000001E-3</c:v>
                </c:pt>
                <c:pt idx="140">
                  <c:v>4.3406725E-3</c:v>
                </c:pt>
                <c:pt idx="141">
                  <c:v>4.3698925E-3</c:v>
                </c:pt>
                <c:pt idx="142">
                  <c:v>4.4323799999999997E-3</c:v>
                </c:pt>
                <c:pt idx="143">
                  <c:v>4.49687E-3</c:v>
                </c:pt>
                <c:pt idx="144">
                  <c:v>4.5877700000000006E-3</c:v>
                </c:pt>
                <c:pt idx="145">
                  <c:v>4.6142474999999999E-3</c:v>
                </c:pt>
                <c:pt idx="146">
                  <c:v>4.7118525000000005E-3</c:v>
                </c:pt>
                <c:pt idx="147">
                  <c:v>4.7552675000000003E-3</c:v>
                </c:pt>
                <c:pt idx="148">
                  <c:v>4.7776525E-3</c:v>
                </c:pt>
                <c:pt idx="149">
                  <c:v>4.7906400000000005E-3</c:v>
                </c:pt>
                <c:pt idx="150">
                  <c:v>4.8794575E-3</c:v>
                </c:pt>
                <c:pt idx="151">
                  <c:v>4.8999600000000001E-3</c:v>
                </c:pt>
                <c:pt idx="152">
                  <c:v>4.9102675E-3</c:v>
                </c:pt>
                <c:pt idx="153">
                  <c:v>4.9951000000000006E-3</c:v>
                </c:pt>
                <c:pt idx="154">
                  <c:v>5.0646099999999998E-3</c:v>
                </c:pt>
                <c:pt idx="155">
                  <c:v>5.0702274999999998E-3</c:v>
                </c:pt>
                <c:pt idx="156">
                  <c:v>5.1852775E-3</c:v>
                </c:pt>
                <c:pt idx="157">
                  <c:v>5.3159775000000001E-3</c:v>
                </c:pt>
                <c:pt idx="158">
                  <c:v>5.4408774999999999E-3</c:v>
                </c:pt>
                <c:pt idx="159">
                  <c:v>5.4976850000000004E-3</c:v>
                </c:pt>
                <c:pt idx="160">
                  <c:v>5.5152275000000008E-3</c:v>
                </c:pt>
                <c:pt idx="161">
                  <c:v>5.5896549999999998E-3</c:v>
                </c:pt>
                <c:pt idx="162">
                  <c:v>5.7986600000000006E-3</c:v>
                </c:pt>
                <c:pt idx="163">
                  <c:v>5.8562175000000001E-3</c:v>
                </c:pt>
                <c:pt idx="164">
                  <c:v>6.0023000000000003E-3</c:v>
                </c:pt>
                <c:pt idx="165">
                  <c:v>6.1202425000000003E-3</c:v>
                </c:pt>
                <c:pt idx="166">
                  <c:v>6.2750074999999997E-3</c:v>
                </c:pt>
                <c:pt idx="167">
                  <c:v>6.5028174999999999E-3</c:v>
                </c:pt>
                <c:pt idx="168">
                  <c:v>6.5859100000000004E-3</c:v>
                </c:pt>
                <c:pt idx="169">
                  <c:v>6.650385E-3</c:v>
                </c:pt>
                <c:pt idx="170">
                  <c:v>6.9519474999999997E-3</c:v>
                </c:pt>
                <c:pt idx="171">
                  <c:v>7.0589250000000006E-3</c:v>
                </c:pt>
                <c:pt idx="172">
                  <c:v>7.0894799999999996E-3</c:v>
                </c:pt>
                <c:pt idx="173">
                  <c:v>7.0587399999999991E-3</c:v>
                </c:pt>
                <c:pt idx="174">
                  <c:v>7.2583249999999995E-3</c:v>
                </c:pt>
                <c:pt idx="175">
                  <c:v>7.3769774999999996E-3</c:v>
                </c:pt>
                <c:pt idx="176">
                  <c:v>7.4696450000000005E-3</c:v>
                </c:pt>
                <c:pt idx="177">
                  <c:v>7.5803299999999997E-3</c:v>
                </c:pt>
                <c:pt idx="178">
                  <c:v>7.7627300000000007E-3</c:v>
                </c:pt>
                <c:pt idx="179">
                  <c:v>7.9504899999999993E-3</c:v>
                </c:pt>
                <c:pt idx="180">
                  <c:v>8.2242300000000008E-3</c:v>
                </c:pt>
                <c:pt idx="181">
                  <c:v>8.3012750000000003E-3</c:v>
                </c:pt>
                <c:pt idx="182">
                  <c:v>8.7101875000000009E-3</c:v>
                </c:pt>
                <c:pt idx="183">
                  <c:v>8.7461674999999989E-3</c:v>
                </c:pt>
                <c:pt idx="184">
                  <c:v>8.7990924999999994E-3</c:v>
                </c:pt>
                <c:pt idx="185">
                  <c:v>9.4188724999999997E-3</c:v>
                </c:pt>
                <c:pt idx="186">
                  <c:v>9.7771574999999996E-3</c:v>
                </c:pt>
                <c:pt idx="187">
                  <c:v>1.0011809999999999E-2</c:v>
                </c:pt>
                <c:pt idx="188">
                  <c:v>1.0083657499999999E-2</c:v>
                </c:pt>
                <c:pt idx="189">
                  <c:v>1.0228300000000001E-2</c:v>
                </c:pt>
                <c:pt idx="190">
                  <c:v>1.0263524999999999E-2</c:v>
                </c:pt>
                <c:pt idx="191">
                  <c:v>1.03096E-2</c:v>
                </c:pt>
                <c:pt idx="192">
                  <c:v>1.0300974999999999E-2</c:v>
                </c:pt>
                <c:pt idx="193">
                  <c:v>1.0321725E-2</c:v>
                </c:pt>
                <c:pt idx="194">
                  <c:v>1.039725E-2</c:v>
                </c:pt>
                <c:pt idx="195">
                  <c:v>1.0597324999999999E-2</c:v>
                </c:pt>
                <c:pt idx="196">
                  <c:v>1.0841124999999998E-2</c:v>
                </c:pt>
                <c:pt idx="197">
                  <c:v>1.1068325E-2</c:v>
                </c:pt>
                <c:pt idx="198">
                  <c:v>1.117395E-2</c:v>
                </c:pt>
                <c:pt idx="199">
                  <c:v>1.1209E-2</c:v>
                </c:pt>
                <c:pt idx="200">
                  <c:v>1.128315E-2</c:v>
                </c:pt>
                <c:pt idx="201">
                  <c:v>1.1345675000000001E-2</c:v>
                </c:pt>
                <c:pt idx="202">
                  <c:v>1.1394475000000001E-2</c:v>
                </c:pt>
                <c:pt idx="203">
                  <c:v>1.1533075E-2</c:v>
                </c:pt>
                <c:pt idx="204">
                  <c:v>1.1595374999999998E-2</c:v>
                </c:pt>
                <c:pt idx="205">
                  <c:v>1.2377974999999999E-2</c:v>
                </c:pt>
                <c:pt idx="206">
                  <c:v>1.2381050000000001E-2</c:v>
                </c:pt>
                <c:pt idx="207">
                  <c:v>1.2582325E-2</c:v>
                </c:pt>
                <c:pt idx="208">
                  <c:v>1.2574500000000001E-2</c:v>
                </c:pt>
                <c:pt idx="209">
                  <c:v>1.3235500000000001E-2</c:v>
                </c:pt>
                <c:pt idx="210">
                  <c:v>1.3337975E-2</c:v>
                </c:pt>
                <c:pt idx="211">
                  <c:v>1.3435949999999999E-2</c:v>
                </c:pt>
                <c:pt idx="212">
                  <c:v>1.356945E-2</c:v>
                </c:pt>
                <c:pt idx="213">
                  <c:v>1.3717375E-2</c:v>
                </c:pt>
                <c:pt idx="214">
                  <c:v>1.3719599999999998E-2</c:v>
                </c:pt>
                <c:pt idx="215">
                  <c:v>1.400415E-2</c:v>
                </c:pt>
                <c:pt idx="216">
                  <c:v>1.4084824999999999E-2</c:v>
                </c:pt>
                <c:pt idx="217">
                  <c:v>1.4125500000000001E-2</c:v>
                </c:pt>
                <c:pt idx="218">
                  <c:v>1.423465E-2</c:v>
                </c:pt>
                <c:pt idx="219">
                  <c:v>1.4261525000000001E-2</c:v>
                </c:pt>
                <c:pt idx="220">
                  <c:v>1.427875E-2</c:v>
                </c:pt>
                <c:pt idx="221">
                  <c:v>1.4315425E-2</c:v>
                </c:pt>
                <c:pt idx="222">
                  <c:v>1.4328725E-2</c:v>
                </c:pt>
                <c:pt idx="223">
                  <c:v>1.4409575000000001E-2</c:v>
                </c:pt>
                <c:pt idx="224">
                  <c:v>1.4451924999999999E-2</c:v>
                </c:pt>
                <c:pt idx="225">
                  <c:v>1.4499774999999999E-2</c:v>
                </c:pt>
                <c:pt idx="226">
                  <c:v>1.4564400000000002E-2</c:v>
                </c:pt>
                <c:pt idx="227">
                  <c:v>1.463155E-2</c:v>
                </c:pt>
              </c:numCache>
            </c:numRef>
          </c:xVal>
          <c:yVal>
            <c:numRef>
              <c:f>'OLT3-2'!$V$5:$V$232</c:f>
              <c:numCache>
                <c:formatCode>General</c:formatCode>
                <c:ptCount val="228"/>
                <c:pt idx="0">
                  <c:v>-0.10987246566383257</c:v>
                </c:pt>
                <c:pt idx="1">
                  <c:v>-0.10899226073686506</c:v>
                </c:pt>
                <c:pt idx="2">
                  <c:v>-0.11128133856551123</c:v>
                </c:pt>
                <c:pt idx="3">
                  <c:v>-0.10828755177676042</c:v>
                </c:pt>
                <c:pt idx="4">
                  <c:v>-0.10705526487900588</c:v>
                </c:pt>
                <c:pt idx="5">
                  <c:v>-0.1074073468497929</c:v>
                </c:pt>
                <c:pt idx="6">
                  <c:v>-0.10159635927621538</c:v>
                </c:pt>
                <c:pt idx="7">
                  <c:v>-9.3848375844778717E-2</c:v>
                </c:pt>
                <c:pt idx="8">
                  <c:v>-9.1206671026814914E-2</c:v>
                </c:pt>
                <c:pt idx="9">
                  <c:v>-8.2578482668410724E-2</c:v>
                </c:pt>
                <c:pt idx="10">
                  <c:v>-7.8351863963374749E-2</c:v>
                </c:pt>
                <c:pt idx="11">
                  <c:v>-6.9899716590364078E-2</c:v>
                </c:pt>
                <c:pt idx="12">
                  <c:v>-6.51449749291476E-2</c:v>
                </c:pt>
                <c:pt idx="13">
                  <c:v>-5.8981905384783082E-2</c:v>
                </c:pt>
                <c:pt idx="14">
                  <c:v>-4.5951057335949431E-2</c:v>
                </c:pt>
                <c:pt idx="15">
                  <c:v>-3.9964028776978418E-2</c:v>
                </c:pt>
                <c:pt idx="16">
                  <c:v>-3.1511881403967733E-2</c:v>
                </c:pt>
                <c:pt idx="17">
                  <c:v>-1.8657074340527581E-2</c:v>
                </c:pt>
                <c:pt idx="18">
                  <c:v>-6.8590582079790709E-3</c:v>
                </c:pt>
                <c:pt idx="19">
                  <c:v>-2.8090255068672332E-3</c:v>
                </c:pt>
                <c:pt idx="20">
                  <c:v>9.8697405711794198E-3</c:v>
                </c:pt>
                <c:pt idx="21">
                  <c:v>1.3039568345323741E-2</c:v>
                </c:pt>
                <c:pt idx="22">
                  <c:v>1.7617724002616089E-2</c:v>
                </c:pt>
                <c:pt idx="23">
                  <c:v>2.5365707434052757E-2</c:v>
                </c:pt>
                <c:pt idx="24">
                  <c:v>3.4874645737955089E-2</c:v>
                </c:pt>
                <c:pt idx="25">
                  <c:v>4.2798670154785258E-2</c:v>
                </c:pt>
                <c:pt idx="26">
                  <c:v>4.7377370830608237E-2</c:v>
                </c:pt>
                <c:pt idx="27">
                  <c:v>5.6710268149117074E-2</c:v>
                </c:pt>
                <c:pt idx="28">
                  <c:v>5.9351427948550244E-2</c:v>
                </c:pt>
                <c:pt idx="29">
                  <c:v>6.4106169609766728E-2</c:v>
                </c:pt>
                <c:pt idx="30">
                  <c:v>6.9741116197950731E-2</c:v>
                </c:pt>
                <c:pt idx="31">
                  <c:v>7.3439066928275565E-2</c:v>
                </c:pt>
                <c:pt idx="32">
                  <c:v>7.8193263570961416E-2</c:v>
                </c:pt>
                <c:pt idx="33">
                  <c:v>8.6117287987791585E-2</c:v>
                </c:pt>
                <c:pt idx="34">
                  <c:v>8.8406365816437751E-2</c:v>
                </c:pt>
                <c:pt idx="35">
                  <c:v>0.1002049269675169</c:v>
                </c:pt>
                <c:pt idx="36">
                  <c:v>0.10407891868323524</c:v>
                </c:pt>
                <c:pt idx="37">
                  <c:v>0.11499618487028558</c:v>
                </c:pt>
                <c:pt idx="38">
                  <c:v>0.11746184870285591</c:v>
                </c:pt>
                <c:pt idx="39">
                  <c:v>0.12432908218879443</c:v>
                </c:pt>
                <c:pt idx="40">
                  <c:v>0.13154894266405059</c:v>
                </c:pt>
                <c:pt idx="41">
                  <c:v>0.13507085240898192</c:v>
                </c:pt>
                <c:pt idx="42">
                  <c:v>0.14176204490952693</c:v>
                </c:pt>
                <c:pt idx="43">
                  <c:v>0.14176204490952693</c:v>
                </c:pt>
                <c:pt idx="44">
                  <c:v>0.14898190538478309</c:v>
                </c:pt>
                <c:pt idx="45">
                  <c:v>0.15285589710050143</c:v>
                </c:pt>
                <c:pt idx="46">
                  <c:v>0.16201275343361676</c:v>
                </c:pt>
                <c:pt idx="47">
                  <c:v>0.16835186396337476</c:v>
                </c:pt>
                <c:pt idx="48">
                  <c:v>0.17310660562459124</c:v>
                </c:pt>
                <c:pt idx="49">
                  <c:v>0.17891759319816877</c:v>
                </c:pt>
                <c:pt idx="50">
                  <c:v>0.18085458905602791</c:v>
                </c:pt>
                <c:pt idx="51">
                  <c:v>0.18983540440374974</c:v>
                </c:pt>
                <c:pt idx="52">
                  <c:v>0.19476564203182908</c:v>
                </c:pt>
                <c:pt idx="53">
                  <c:v>0.20251362546326576</c:v>
                </c:pt>
                <c:pt idx="54">
                  <c:v>0.20762044909526925</c:v>
                </c:pt>
                <c:pt idx="55">
                  <c:v>0.21677730542838455</c:v>
                </c:pt>
                <c:pt idx="56">
                  <c:v>0.22329245694353611</c:v>
                </c:pt>
                <c:pt idx="57">
                  <c:v>0.2264622847176804</c:v>
                </c:pt>
                <c:pt idx="58">
                  <c:v>0.23491497710922174</c:v>
                </c:pt>
                <c:pt idx="59">
                  <c:v>0.24354316546762589</c:v>
                </c:pt>
                <c:pt idx="60">
                  <c:v>0.25005886200130806</c:v>
                </c:pt>
                <c:pt idx="61">
                  <c:v>0.25181927185524311</c:v>
                </c:pt>
                <c:pt idx="62">
                  <c:v>0.25886309134510577</c:v>
                </c:pt>
                <c:pt idx="63">
                  <c:v>0.2660829518203619</c:v>
                </c:pt>
                <c:pt idx="64">
                  <c:v>0.26731578373664705</c:v>
                </c:pt>
                <c:pt idx="65">
                  <c:v>0.27612001308044476</c:v>
                </c:pt>
                <c:pt idx="66">
                  <c:v>0.2815789186832352</c:v>
                </c:pt>
                <c:pt idx="67">
                  <c:v>0.28844669718770438</c:v>
                </c:pt>
                <c:pt idx="68">
                  <c:v>0.28650970132984527</c:v>
                </c:pt>
                <c:pt idx="69">
                  <c:v>0.2979556354916067</c:v>
                </c:pt>
                <c:pt idx="70">
                  <c:v>0.30411870503597127</c:v>
                </c:pt>
                <c:pt idx="71">
                  <c:v>0.31010573359494226</c:v>
                </c:pt>
                <c:pt idx="72">
                  <c:v>0.31433180728144755</c:v>
                </c:pt>
                <c:pt idx="73">
                  <c:v>0.31891050795727055</c:v>
                </c:pt>
                <c:pt idx="74">
                  <c:v>0.32296054065838237</c:v>
                </c:pt>
                <c:pt idx="75">
                  <c:v>0.3294756921735339</c:v>
                </c:pt>
                <c:pt idx="76">
                  <c:v>0.33264551994767821</c:v>
                </c:pt>
                <c:pt idx="77">
                  <c:v>0.3377523435796817</c:v>
                </c:pt>
                <c:pt idx="78">
                  <c:v>0.34743732286897755</c:v>
                </c:pt>
                <c:pt idx="79">
                  <c:v>0.35254414650098098</c:v>
                </c:pt>
                <c:pt idx="80">
                  <c:v>0.3553613472858077</c:v>
                </c:pt>
                <c:pt idx="81">
                  <c:v>0.36258120776106384</c:v>
                </c:pt>
                <c:pt idx="82">
                  <c:v>0.36874427730542841</c:v>
                </c:pt>
                <c:pt idx="83">
                  <c:v>0.37983812949640294</c:v>
                </c:pt>
                <c:pt idx="84">
                  <c:v>0.38529703509919339</c:v>
                </c:pt>
                <c:pt idx="85">
                  <c:v>0.39022727272727276</c:v>
                </c:pt>
                <c:pt idx="86">
                  <c:v>0.40167320688903418</c:v>
                </c:pt>
                <c:pt idx="87">
                  <c:v>0.40449095269239149</c:v>
                </c:pt>
                <c:pt idx="88">
                  <c:v>0.40730815347721822</c:v>
                </c:pt>
                <c:pt idx="89">
                  <c:v>0.41047798125136259</c:v>
                </c:pt>
                <c:pt idx="90">
                  <c:v>0.4178738827120122</c:v>
                </c:pt>
                <c:pt idx="91">
                  <c:v>0.4242129932417702</c:v>
                </c:pt>
                <c:pt idx="92">
                  <c:v>0.42685469805973403</c:v>
                </c:pt>
                <c:pt idx="93">
                  <c:v>0.43196097667320693</c:v>
                </c:pt>
                <c:pt idx="94">
                  <c:v>0.4393568781338566</c:v>
                </c:pt>
                <c:pt idx="95">
                  <c:v>0.44463974275125356</c:v>
                </c:pt>
                <c:pt idx="96">
                  <c:v>0.45062677131022455</c:v>
                </c:pt>
                <c:pt idx="97">
                  <c:v>0.4573185088293002</c:v>
                </c:pt>
                <c:pt idx="98">
                  <c:v>0.45890342271637236</c:v>
                </c:pt>
                <c:pt idx="99">
                  <c:v>0.46770765206017001</c:v>
                </c:pt>
                <c:pt idx="100">
                  <c:v>0.46964464791802918</c:v>
                </c:pt>
                <c:pt idx="101">
                  <c:v>0.4824994549814694</c:v>
                </c:pt>
                <c:pt idx="102">
                  <c:v>0.4858453237410072</c:v>
                </c:pt>
                <c:pt idx="103">
                  <c:v>0.4909516023544801</c:v>
                </c:pt>
                <c:pt idx="104">
                  <c:v>0.49799542184434276</c:v>
                </c:pt>
                <c:pt idx="105">
                  <c:v>0.50591944626117291</c:v>
                </c:pt>
                <c:pt idx="106">
                  <c:v>0.51120231087856993</c:v>
                </c:pt>
                <c:pt idx="107">
                  <c:v>0.51859821233921954</c:v>
                </c:pt>
                <c:pt idx="108">
                  <c:v>0.52264824504033136</c:v>
                </c:pt>
                <c:pt idx="109">
                  <c:v>0.52845923261390881</c:v>
                </c:pt>
                <c:pt idx="110">
                  <c:v>0.5340941792020929</c:v>
                </c:pt>
                <c:pt idx="111">
                  <c:v>0.5362072160453456</c:v>
                </c:pt>
                <c:pt idx="112">
                  <c:v>0.54342707652060174</c:v>
                </c:pt>
                <c:pt idx="113">
                  <c:v>0.54413124046217576</c:v>
                </c:pt>
                <c:pt idx="114">
                  <c:v>0.55170590800087205</c:v>
                </c:pt>
                <c:pt idx="115">
                  <c:v>0.55804447351209951</c:v>
                </c:pt>
                <c:pt idx="116">
                  <c:v>0.56544037497274913</c:v>
                </c:pt>
                <c:pt idx="117">
                  <c:v>0.57019293655984304</c:v>
                </c:pt>
                <c:pt idx="118">
                  <c:v>0.57318508829300208</c:v>
                </c:pt>
                <c:pt idx="119">
                  <c:v>0.5774144320906911</c:v>
                </c:pt>
                <c:pt idx="120">
                  <c:v>0.58551340745585356</c:v>
                </c:pt>
                <c:pt idx="121">
                  <c:v>0.59290930891650317</c:v>
                </c:pt>
                <c:pt idx="122">
                  <c:v>0.59889361238282113</c:v>
                </c:pt>
                <c:pt idx="123">
                  <c:v>0.6003052103771529</c:v>
                </c:pt>
                <c:pt idx="124">
                  <c:v>0.60418029212993241</c:v>
                </c:pt>
                <c:pt idx="125">
                  <c:v>0.61086766950076299</c:v>
                </c:pt>
                <c:pt idx="126">
                  <c:v>0.61086766950076299</c:v>
                </c:pt>
                <c:pt idx="127">
                  <c:v>0.61245367342489643</c:v>
                </c:pt>
                <c:pt idx="128">
                  <c:v>0.62160998473948115</c:v>
                </c:pt>
                <c:pt idx="129">
                  <c:v>0.62565947242206232</c:v>
                </c:pt>
                <c:pt idx="130">
                  <c:v>0.6305918901242642</c:v>
                </c:pt>
                <c:pt idx="131">
                  <c:v>0.63517004578155667</c:v>
                </c:pt>
                <c:pt idx="132">
                  <c:v>0.64063113145846962</c:v>
                </c:pt>
                <c:pt idx="133">
                  <c:v>0.64626662306518423</c:v>
                </c:pt>
                <c:pt idx="134">
                  <c:v>0.64908436886854148</c:v>
                </c:pt>
                <c:pt idx="135">
                  <c:v>0.65471986047525621</c:v>
                </c:pt>
                <c:pt idx="136">
                  <c:v>0.66387617178984093</c:v>
                </c:pt>
                <c:pt idx="137">
                  <c:v>0.66739699149771092</c:v>
                </c:pt>
                <c:pt idx="138">
                  <c:v>0.67003488118596033</c:v>
                </c:pt>
                <c:pt idx="139">
                  <c:v>0.67761063876171801</c:v>
                </c:pt>
                <c:pt idx="140">
                  <c:v>0.68148027032919123</c:v>
                </c:pt>
                <c:pt idx="141">
                  <c:v>0.68975910180946154</c:v>
                </c:pt>
                <c:pt idx="142">
                  <c:v>0.6960976673206889</c:v>
                </c:pt>
                <c:pt idx="143">
                  <c:v>0.69891541312404615</c:v>
                </c:pt>
                <c:pt idx="144">
                  <c:v>0.70930346631785479</c:v>
                </c:pt>
                <c:pt idx="145">
                  <c:v>0.71177240026160893</c:v>
                </c:pt>
                <c:pt idx="146">
                  <c:v>0.71317854807063441</c:v>
                </c:pt>
                <c:pt idx="147">
                  <c:v>0.71652496184870285</c:v>
                </c:pt>
                <c:pt idx="148">
                  <c:v>0.71459014606496629</c:v>
                </c:pt>
                <c:pt idx="149">
                  <c:v>0.72480379332897316</c:v>
                </c:pt>
                <c:pt idx="150">
                  <c:v>0.72849901896664493</c:v>
                </c:pt>
                <c:pt idx="151">
                  <c:v>0.7295563549160673</c:v>
                </c:pt>
                <c:pt idx="152">
                  <c:v>0.73307717462393718</c:v>
                </c:pt>
                <c:pt idx="153">
                  <c:v>0.74029867015478534</c:v>
                </c:pt>
                <c:pt idx="154">
                  <c:v>0.74381948986265534</c:v>
                </c:pt>
                <c:pt idx="155">
                  <c:v>0.74364508393285367</c:v>
                </c:pt>
                <c:pt idx="156">
                  <c:v>0.75104098539350339</c:v>
                </c:pt>
                <c:pt idx="157">
                  <c:v>0.75737955090473075</c:v>
                </c:pt>
                <c:pt idx="158">
                  <c:v>0.77023108785698713</c:v>
                </c:pt>
                <c:pt idx="159">
                  <c:v>0.7742860257248747</c:v>
                </c:pt>
                <c:pt idx="160">
                  <c:v>0.77375735775016352</c:v>
                </c:pt>
                <c:pt idx="161">
                  <c:v>0.7809734030957054</c:v>
                </c:pt>
                <c:pt idx="162">
                  <c:v>0.78696315674732942</c:v>
                </c:pt>
                <c:pt idx="163">
                  <c:v>0.79101264442991048</c:v>
                </c:pt>
                <c:pt idx="164">
                  <c:v>0.79876280793546972</c:v>
                </c:pt>
                <c:pt idx="165">
                  <c:v>0.79999454981469365</c:v>
                </c:pt>
                <c:pt idx="166">
                  <c:v>0.80386418138216698</c:v>
                </c:pt>
                <c:pt idx="167">
                  <c:v>0.81496075866579465</c:v>
                </c:pt>
                <c:pt idx="168">
                  <c:v>0.8174242424242425</c:v>
                </c:pt>
                <c:pt idx="169">
                  <c:v>0.8221822541966427</c:v>
                </c:pt>
                <c:pt idx="170">
                  <c:v>0.83063004142140839</c:v>
                </c:pt>
                <c:pt idx="171">
                  <c:v>0.83591672116851967</c:v>
                </c:pt>
                <c:pt idx="172">
                  <c:v>0.83521364726400704</c:v>
                </c:pt>
                <c:pt idx="173">
                  <c:v>0.83468497928929575</c:v>
                </c:pt>
                <c:pt idx="174">
                  <c:v>0.84260954872465665</c:v>
                </c:pt>
                <c:pt idx="175">
                  <c:v>0.84331262262916939</c:v>
                </c:pt>
                <c:pt idx="176">
                  <c:v>0.84683344233703961</c:v>
                </c:pt>
                <c:pt idx="177">
                  <c:v>0.84683344233703961</c:v>
                </c:pt>
                <c:pt idx="178">
                  <c:v>0.85845323741007185</c:v>
                </c:pt>
                <c:pt idx="179">
                  <c:v>0.85969042947460206</c:v>
                </c:pt>
                <c:pt idx="180">
                  <c:v>0.86813821669936786</c:v>
                </c:pt>
                <c:pt idx="181">
                  <c:v>0.86849247874427726</c:v>
                </c:pt>
                <c:pt idx="182">
                  <c:v>0.86584913887072168</c:v>
                </c:pt>
                <c:pt idx="183">
                  <c:v>0.86673206889034216</c:v>
                </c:pt>
                <c:pt idx="184">
                  <c:v>0.86813821669936786</c:v>
                </c:pt>
                <c:pt idx="185">
                  <c:v>0.86778940483976463</c:v>
                </c:pt>
                <c:pt idx="186">
                  <c:v>0.86690647482014394</c:v>
                </c:pt>
                <c:pt idx="187">
                  <c:v>0.86356006104207539</c:v>
                </c:pt>
                <c:pt idx="188">
                  <c:v>0.8644429910616962</c:v>
                </c:pt>
                <c:pt idx="189">
                  <c:v>0.82939829954218447</c:v>
                </c:pt>
                <c:pt idx="190">
                  <c:v>0.79928602572487462</c:v>
                </c:pt>
                <c:pt idx="191">
                  <c:v>0.78696315674732942</c:v>
                </c:pt>
                <c:pt idx="192">
                  <c:v>0.78044473512099422</c:v>
                </c:pt>
                <c:pt idx="193">
                  <c:v>0.77657510355352088</c:v>
                </c:pt>
                <c:pt idx="194">
                  <c:v>0.77058534990189664</c:v>
                </c:pt>
                <c:pt idx="195">
                  <c:v>0.78062459123610206</c:v>
                </c:pt>
                <c:pt idx="196">
                  <c:v>0.78062459123610206</c:v>
                </c:pt>
                <c:pt idx="197">
                  <c:v>0.78643448877261823</c:v>
                </c:pt>
                <c:pt idx="198">
                  <c:v>0.78379114889906265</c:v>
                </c:pt>
                <c:pt idx="199">
                  <c:v>0.77745258338783518</c:v>
                </c:pt>
                <c:pt idx="200">
                  <c:v>0.7716426858513189</c:v>
                </c:pt>
                <c:pt idx="201">
                  <c:v>0.76653586221931558</c:v>
                </c:pt>
                <c:pt idx="202">
                  <c:v>0.76266078046653585</c:v>
                </c:pt>
                <c:pt idx="203">
                  <c:v>0.75790821887944204</c:v>
                </c:pt>
                <c:pt idx="204">
                  <c:v>0.75931436668846741</c:v>
                </c:pt>
                <c:pt idx="205">
                  <c:v>0.76583278831480261</c:v>
                </c:pt>
                <c:pt idx="206">
                  <c:v>0.76318944844124703</c:v>
                </c:pt>
                <c:pt idx="207">
                  <c:v>0.76354371048615655</c:v>
                </c:pt>
                <c:pt idx="208">
                  <c:v>0.76494985829518214</c:v>
                </c:pt>
                <c:pt idx="209">
                  <c:v>0.76759319816873772</c:v>
                </c:pt>
                <c:pt idx="210">
                  <c:v>0.76583278831480261</c:v>
                </c:pt>
                <c:pt idx="211">
                  <c:v>0.76988227599738401</c:v>
                </c:pt>
                <c:pt idx="212">
                  <c:v>0.76935360802267283</c:v>
                </c:pt>
                <c:pt idx="213">
                  <c:v>0.76794201002834095</c:v>
                </c:pt>
                <c:pt idx="214">
                  <c:v>0.76935360802267283</c:v>
                </c:pt>
                <c:pt idx="215">
                  <c:v>0.75579354698059731</c:v>
                </c:pt>
                <c:pt idx="216">
                  <c:v>0.75456180510137338</c:v>
                </c:pt>
                <c:pt idx="217">
                  <c:v>0.75015805537388269</c:v>
                </c:pt>
                <c:pt idx="218">
                  <c:v>0.72585567909308912</c:v>
                </c:pt>
                <c:pt idx="219">
                  <c:v>0.71582188794419022</c:v>
                </c:pt>
                <c:pt idx="220">
                  <c:v>0.70560824068018313</c:v>
                </c:pt>
                <c:pt idx="221">
                  <c:v>0.70103008502289077</c:v>
                </c:pt>
                <c:pt idx="222">
                  <c:v>0.69961848702855911</c:v>
                </c:pt>
                <c:pt idx="223">
                  <c:v>0.69486592544146508</c:v>
                </c:pt>
                <c:pt idx="224">
                  <c:v>0.6916939175931982</c:v>
                </c:pt>
                <c:pt idx="225">
                  <c:v>0.68447787224765633</c:v>
                </c:pt>
                <c:pt idx="226">
                  <c:v>0.67743078264660994</c:v>
                </c:pt>
                <c:pt idx="227">
                  <c:v>0.67514170481796376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B8-4DB9-9631-A6BE68D58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Strain, %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5810356675598074"/>
              <c:y val="0.886206968417754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Stress, MPa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7570586530415977"/>
          <c:y val="0.4081785698372522"/>
          <c:w val="0.17660564604912471"/>
          <c:h val="0.32566521018532468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Tension - transverse direction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516475785063475"/>
          <c:y val="0.14393518518518519"/>
          <c:w val="0.76844632399857438"/>
          <c:h val="0.65922422057696928"/>
        </c:manualLayout>
      </c:layout>
      <c:scatterChart>
        <c:scatterStyle val="lineMarker"/>
        <c:varyColors val="0"/>
        <c:ser>
          <c:idx val="0"/>
          <c:order val="0"/>
          <c:tx>
            <c:v>OLT3-2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'OLT3-2'!$AA$25:$AA$130</c:f>
              <c:numCache>
                <c:formatCode>General</c:formatCode>
                <c:ptCount val="106"/>
                <c:pt idx="0">
                  <c:v>3.0459299999999998E-4</c:v>
                </c:pt>
                <c:pt idx="1">
                  <c:v>3.05834E-4</c:v>
                </c:pt>
                <c:pt idx="2">
                  <c:v>3.3407149999999997E-4</c:v>
                </c:pt>
                <c:pt idx="3">
                  <c:v>3.3338024999999996E-4</c:v>
                </c:pt>
                <c:pt idx="4">
                  <c:v>3.6459474999999997E-4</c:v>
                </c:pt>
                <c:pt idx="5">
                  <c:v>3.9474850000000006E-4</c:v>
                </c:pt>
                <c:pt idx="6">
                  <c:v>4.2193174999999999E-4</c:v>
                </c:pt>
                <c:pt idx="7">
                  <c:v>4.5535774999999997E-4</c:v>
                </c:pt>
                <c:pt idx="8">
                  <c:v>4.9782275000000002E-4</c:v>
                </c:pt>
                <c:pt idx="9">
                  <c:v>5.1217674999999997E-4</c:v>
                </c:pt>
                <c:pt idx="10">
                  <c:v>5.3562050000000006E-4</c:v>
                </c:pt>
                <c:pt idx="11">
                  <c:v>5.8733424999999999E-4</c:v>
                </c:pt>
                <c:pt idx="12">
                  <c:v>5.6280874999999997E-4</c:v>
                </c:pt>
                <c:pt idx="13">
                  <c:v>5.4705775000000003E-4</c:v>
                </c:pt>
                <c:pt idx="14">
                  <c:v>5.4260050000000002E-4</c:v>
                </c:pt>
                <c:pt idx="15">
                  <c:v>5.8883924999999994E-4</c:v>
                </c:pt>
                <c:pt idx="16">
                  <c:v>6.2347425000000003E-4</c:v>
                </c:pt>
                <c:pt idx="17">
                  <c:v>6.4554974999999997E-4</c:v>
                </c:pt>
                <c:pt idx="18">
                  <c:v>6.6329425000000001E-4</c:v>
                </c:pt>
                <c:pt idx="19">
                  <c:v>6.8877024999999998E-4</c:v>
                </c:pt>
                <c:pt idx="20">
                  <c:v>7.2246950000000006E-4</c:v>
                </c:pt>
                <c:pt idx="21">
                  <c:v>7.58462E-4</c:v>
                </c:pt>
                <c:pt idx="22">
                  <c:v>8.0728250000000005E-4</c:v>
                </c:pt>
                <c:pt idx="23">
                  <c:v>7.9902424999999994E-4</c:v>
                </c:pt>
                <c:pt idx="24">
                  <c:v>8.0279975000000002E-4</c:v>
                </c:pt>
                <c:pt idx="25">
                  <c:v>8.3121400000000004E-4</c:v>
                </c:pt>
                <c:pt idx="26">
                  <c:v>8.9274875E-4</c:v>
                </c:pt>
                <c:pt idx="27">
                  <c:v>9.2748575000000007E-4</c:v>
                </c:pt>
                <c:pt idx="28">
                  <c:v>9.5548024999999996E-4</c:v>
                </c:pt>
                <c:pt idx="29">
                  <c:v>9.7132700000000002E-4</c:v>
                </c:pt>
                <c:pt idx="30">
                  <c:v>9.6617125000000002E-4</c:v>
                </c:pt>
                <c:pt idx="31">
                  <c:v>1.0012237499999999E-3</c:v>
                </c:pt>
                <c:pt idx="32">
                  <c:v>1.02075E-3</c:v>
                </c:pt>
                <c:pt idx="33">
                  <c:v>1.01289E-3</c:v>
                </c:pt>
                <c:pt idx="34">
                  <c:v>1.0782025000000001E-3</c:v>
                </c:pt>
                <c:pt idx="35">
                  <c:v>1.1250575E-3</c:v>
                </c:pt>
                <c:pt idx="36">
                  <c:v>1.1479375000000001E-3</c:v>
                </c:pt>
                <c:pt idx="37">
                  <c:v>1.1553325E-3</c:v>
                </c:pt>
                <c:pt idx="38">
                  <c:v>1.16204E-3</c:v>
                </c:pt>
                <c:pt idx="39">
                  <c:v>1.2301075E-3</c:v>
                </c:pt>
                <c:pt idx="40">
                  <c:v>1.3031900000000001E-3</c:v>
                </c:pt>
                <c:pt idx="41">
                  <c:v>1.3295525000000001E-3</c:v>
                </c:pt>
                <c:pt idx="42">
                  <c:v>1.3314775000000001E-3</c:v>
                </c:pt>
                <c:pt idx="43">
                  <c:v>1.3915400000000001E-3</c:v>
                </c:pt>
                <c:pt idx="44">
                  <c:v>1.3896450000000001E-3</c:v>
                </c:pt>
                <c:pt idx="45">
                  <c:v>1.3682149999999999E-3</c:v>
                </c:pt>
                <c:pt idx="46">
                  <c:v>1.3599999999999999E-3</c:v>
                </c:pt>
                <c:pt idx="47">
                  <c:v>1.3763675E-3</c:v>
                </c:pt>
                <c:pt idx="48">
                  <c:v>1.3911925E-3</c:v>
                </c:pt>
                <c:pt idx="49">
                  <c:v>1.4775175E-3</c:v>
                </c:pt>
                <c:pt idx="50">
                  <c:v>1.4971750000000001E-3</c:v>
                </c:pt>
                <c:pt idx="51">
                  <c:v>1.5571574999999997E-3</c:v>
                </c:pt>
                <c:pt idx="52">
                  <c:v>1.5822550000000001E-3</c:v>
                </c:pt>
                <c:pt idx="53">
                  <c:v>1.615685E-3</c:v>
                </c:pt>
                <c:pt idx="54">
                  <c:v>1.616415E-3</c:v>
                </c:pt>
                <c:pt idx="55">
                  <c:v>1.6473200000000001E-3</c:v>
                </c:pt>
                <c:pt idx="56">
                  <c:v>1.675455E-3</c:v>
                </c:pt>
                <c:pt idx="57">
                  <c:v>1.7482875E-3</c:v>
                </c:pt>
                <c:pt idx="58">
                  <c:v>1.7627324999999999E-3</c:v>
                </c:pt>
                <c:pt idx="59">
                  <c:v>1.7576299999999998E-3</c:v>
                </c:pt>
                <c:pt idx="60">
                  <c:v>1.80974E-3</c:v>
                </c:pt>
                <c:pt idx="61">
                  <c:v>1.8632900000000001E-3</c:v>
                </c:pt>
                <c:pt idx="62">
                  <c:v>1.8946200000000001E-3</c:v>
                </c:pt>
                <c:pt idx="63">
                  <c:v>1.9408300000000002E-3</c:v>
                </c:pt>
                <c:pt idx="64">
                  <c:v>1.9862475000000002E-3</c:v>
                </c:pt>
                <c:pt idx="65">
                  <c:v>2.0340074999999997E-3</c:v>
                </c:pt>
                <c:pt idx="66">
                  <c:v>2.0487249999999999E-3</c:v>
                </c:pt>
                <c:pt idx="67">
                  <c:v>2.0950350000000003E-3</c:v>
                </c:pt>
                <c:pt idx="68">
                  <c:v>2.121005E-3</c:v>
                </c:pt>
                <c:pt idx="69">
                  <c:v>2.1469675000000002E-3</c:v>
                </c:pt>
                <c:pt idx="70">
                  <c:v>2.1861350000000001E-3</c:v>
                </c:pt>
                <c:pt idx="71">
                  <c:v>2.2034300000000001E-3</c:v>
                </c:pt>
                <c:pt idx="72">
                  <c:v>2.1996125000000003E-3</c:v>
                </c:pt>
                <c:pt idx="73">
                  <c:v>2.2616625E-3</c:v>
                </c:pt>
                <c:pt idx="74">
                  <c:v>2.3025425E-3</c:v>
                </c:pt>
                <c:pt idx="75">
                  <c:v>2.380325E-3</c:v>
                </c:pt>
                <c:pt idx="76">
                  <c:v>2.3425899999999999E-3</c:v>
                </c:pt>
                <c:pt idx="77">
                  <c:v>2.4287150000000001E-3</c:v>
                </c:pt>
                <c:pt idx="78">
                  <c:v>2.4481175000000003E-3</c:v>
                </c:pt>
                <c:pt idx="79">
                  <c:v>2.4724949999999999E-3</c:v>
                </c:pt>
                <c:pt idx="80">
                  <c:v>2.4829300000000004E-3</c:v>
                </c:pt>
                <c:pt idx="81">
                  <c:v>2.5730874999999997E-3</c:v>
                </c:pt>
                <c:pt idx="82">
                  <c:v>2.5888399999999998E-3</c:v>
                </c:pt>
                <c:pt idx="83">
                  <c:v>2.6699800000000002E-3</c:v>
                </c:pt>
                <c:pt idx="84">
                  <c:v>2.7024599999999998E-3</c:v>
                </c:pt>
                <c:pt idx="85">
                  <c:v>2.7720524999999998E-3</c:v>
                </c:pt>
                <c:pt idx="86">
                  <c:v>2.8297349999999999E-3</c:v>
                </c:pt>
                <c:pt idx="87">
                  <c:v>2.8738099999999996E-3</c:v>
                </c:pt>
                <c:pt idx="88">
                  <c:v>2.8860324999999999E-3</c:v>
                </c:pt>
                <c:pt idx="89">
                  <c:v>2.9110999999999998E-3</c:v>
                </c:pt>
                <c:pt idx="90">
                  <c:v>2.9867499999999998E-3</c:v>
                </c:pt>
                <c:pt idx="91">
                  <c:v>3.0144949999999998E-3</c:v>
                </c:pt>
                <c:pt idx="92">
                  <c:v>3.0502624999999999E-3</c:v>
                </c:pt>
                <c:pt idx="93">
                  <c:v>3.0611299999999996E-3</c:v>
                </c:pt>
                <c:pt idx="94">
                  <c:v>3.1146050000000003E-3</c:v>
                </c:pt>
                <c:pt idx="95">
                  <c:v>3.1889700000000002E-3</c:v>
                </c:pt>
                <c:pt idx="96">
                  <c:v>3.23025E-3</c:v>
                </c:pt>
                <c:pt idx="97">
                  <c:v>3.2626399999999998E-3</c:v>
                </c:pt>
                <c:pt idx="98">
                  <c:v>3.2956299999999999E-3</c:v>
                </c:pt>
                <c:pt idx="99">
                  <c:v>3.2995975000000002E-3</c:v>
                </c:pt>
                <c:pt idx="100">
                  <c:v>3.4042400000000002E-3</c:v>
                </c:pt>
                <c:pt idx="101">
                  <c:v>3.4277675000000001E-3</c:v>
                </c:pt>
                <c:pt idx="102">
                  <c:v>3.4643324999999998E-3</c:v>
                </c:pt>
                <c:pt idx="103">
                  <c:v>3.4861275000000001E-3</c:v>
                </c:pt>
                <c:pt idx="104">
                  <c:v>3.5470174999999997E-3</c:v>
                </c:pt>
                <c:pt idx="105">
                  <c:v>3.5379974999999999E-3</c:v>
                </c:pt>
              </c:numCache>
            </c:numRef>
          </c:xVal>
          <c:yVal>
            <c:numRef>
              <c:f>'OLT3-2'!$V$25:$V$130</c:f>
              <c:numCache>
                <c:formatCode>General</c:formatCode>
                <c:ptCount val="106"/>
                <c:pt idx="0">
                  <c:v>9.8697405711794198E-3</c:v>
                </c:pt>
                <c:pt idx="1">
                  <c:v>1.3039568345323741E-2</c:v>
                </c:pt>
                <c:pt idx="2">
                  <c:v>1.7617724002616089E-2</c:v>
                </c:pt>
                <c:pt idx="3">
                  <c:v>2.5365707434052757E-2</c:v>
                </c:pt>
                <c:pt idx="4">
                  <c:v>3.4874645737955089E-2</c:v>
                </c:pt>
                <c:pt idx="5">
                  <c:v>4.2798670154785258E-2</c:v>
                </c:pt>
                <c:pt idx="6">
                  <c:v>4.7377370830608237E-2</c:v>
                </c:pt>
                <c:pt idx="7">
                  <c:v>5.6710268149117074E-2</c:v>
                </c:pt>
                <c:pt idx="8">
                  <c:v>5.9351427948550244E-2</c:v>
                </c:pt>
                <c:pt idx="9">
                  <c:v>6.4106169609766728E-2</c:v>
                </c:pt>
                <c:pt idx="10">
                  <c:v>6.9741116197950731E-2</c:v>
                </c:pt>
                <c:pt idx="11">
                  <c:v>7.3439066928275565E-2</c:v>
                </c:pt>
                <c:pt idx="12">
                  <c:v>7.8193263570961416E-2</c:v>
                </c:pt>
                <c:pt idx="13">
                  <c:v>8.6117287987791585E-2</c:v>
                </c:pt>
                <c:pt idx="14">
                  <c:v>8.8406365816437751E-2</c:v>
                </c:pt>
                <c:pt idx="15">
                  <c:v>0.1002049269675169</c:v>
                </c:pt>
                <c:pt idx="16">
                  <c:v>0.10407891868323524</c:v>
                </c:pt>
                <c:pt idx="17">
                  <c:v>0.11499618487028558</c:v>
                </c:pt>
                <c:pt idx="18">
                  <c:v>0.11746184870285591</c:v>
                </c:pt>
                <c:pt idx="19">
                  <c:v>0.12432908218879443</c:v>
                </c:pt>
                <c:pt idx="20">
                  <c:v>0.13154894266405059</c:v>
                </c:pt>
                <c:pt idx="21">
                  <c:v>0.13507085240898192</c:v>
                </c:pt>
                <c:pt idx="22">
                  <c:v>0.14176204490952693</c:v>
                </c:pt>
                <c:pt idx="23">
                  <c:v>0.14176204490952693</c:v>
                </c:pt>
                <c:pt idx="24">
                  <c:v>0.14898190538478309</c:v>
                </c:pt>
                <c:pt idx="25">
                  <c:v>0.15285589710050143</c:v>
                </c:pt>
                <c:pt idx="26">
                  <c:v>0.16201275343361676</c:v>
                </c:pt>
                <c:pt idx="27">
                  <c:v>0.16835186396337476</c:v>
                </c:pt>
                <c:pt idx="28">
                  <c:v>0.17310660562459124</c:v>
                </c:pt>
                <c:pt idx="29">
                  <c:v>0.17891759319816877</c:v>
                </c:pt>
                <c:pt idx="30">
                  <c:v>0.18085458905602791</c:v>
                </c:pt>
                <c:pt idx="31">
                  <c:v>0.18983540440374974</c:v>
                </c:pt>
                <c:pt idx="32">
                  <c:v>0.19476564203182908</c:v>
                </c:pt>
                <c:pt idx="33">
                  <c:v>0.20251362546326576</c:v>
                </c:pt>
                <c:pt idx="34">
                  <c:v>0.20762044909526925</c:v>
                </c:pt>
                <c:pt idx="35">
                  <c:v>0.21677730542838455</c:v>
                </c:pt>
                <c:pt idx="36">
                  <c:v>0.22329245694353611</c:v>
                </c:pt>
                <c:pt idx="37">
                  <c:v>0.2264622847176804</c:v>
                </c:pt>
                <c:pt idx="38">
                  <c:v>0.23491497710922174</c:v>
                </c:pt>
                <c:pt idx="39">
                  <c:v>0.24354316546762589</c:v>
                </c:pt>
                <c:pt idx="40">
                  <c:v>0.25005886200130806</c:v>
                </c:pt>
                <c:pt idx="41">
                  <c:v>0.25181927185524311</c:v>
                </c:pt>
                <c:pt idx="42">
                  <c:v>0.25886309134510577</c:v>
                </c:pt>
                <c:pt idx="43">
                  <c:v>0.2660829518203619</c:v>
                </c:pt>
                <c:pt idx="44">
                  <c:v>0.26731578373664705</c:v>
                </c:pt>
                <c:pt idx="45">
                  <c:v>0.27612001308044476</c:v>
                </c:pt>
                <c:pt idx="46">
                  <c:v>0.2815789186832352</c:v>
                </c:pt>
                <c:pt idx="47">
                  <c:v>0.28844669718770438</c:v>
                </c:pt>
                <c:pt idx="48">
                  <c:v>0.28650970132984527</c:v>
                </c:pt>
                <c:pt idx="49">
                  <c:v>0.2979556354916067</c:v>
                </c:pt>
                <c:pt idx="50">
                  <c:v>0.30411870503597127</c:v>
                </c:pt>
                <c:pt idx="51">
                  <c:v>0.31010573359494226</c:v>
                </c:pt>
                <c:pt idx="52">
                  <c:v>0.31433180728144755</c:v>
                </c:pt>
                <c:pt idx="53">
                  <c:v>0.31891050795727055</c:v>
                </c:pt>
                <c:pt idx="54">
                  <c:v>0.32296054065838237</c:v>
                </c:pt>
                <c:pt idx="55">
                  <c:v>0.3294756921735339</c:v>
                </c:pt>
                <c:pt idx="56">
                  <c:v>0.33264551994767821</c:v>
                </c:pt>
                <c:pt idx="57">
                  <c:v>0.3377523435796817</c:v>
                </c:pt>
                <c:pt idx="58">
                  <c:v>0.34743732286897755</c:v>
                </c:pt>
                <c:pt idx="59">
                  <c:v>0.35254414650098098</c:v>
                </c:pt>
                <c:pt idx="60">
                  <c:v>0.3553613472858077</c:v>
                </c:pt>
                <c:pt idx="61">
                  <c:v>0.36258120776106384</c:v>
                </c:pt>
                <c:pt idx="62">
                  <c:v>0.36874427730542841</c:v>
                </c:pt>
                <c:pt idx="63">
                  <c:v>0.37983812949640294</c:v>
                </c:pt>
                <c:pt idx="64">
                  <c:v>0.38529703509919339</c:v>
                </c:pt>
                <c:pt idx="65">
                  <c:v>0.39022727272727276</c:v>
                </c:pt>
                <c:pt idx="66">
                  <c:v>0.40167320688903418</c:v>
                </c:pt>
                <c:pt idx="67">
                  <c:v>0.40449095269239149</c:v>
                </c:pt>
                <c:pt idx="68">
                  <c:v>0.40730815347721822</c:v>
                </c:pt>
                <c:pt idx="69">
                  <c:v>0.41047798125136259</c:v>
                </c:pt>
                <c:pt idx="70">
                  <c:v>0.4178738827120122</c:v>
                </c:pt>
                <c:pt idx="71">
                  <c:v>0.4242129932417702</c:v>
                </c:pt>
                <c:pt idx="72">
                  <c:v>0.42685469805973403</c:v>
                </c:pt>
                <c:pt idx="73">
                  <c:v>0.43196097667320693</c:v>
                </c:pt>
                <c:pt idx="74">
                  <c:v>0.4393568781338566</c:v>
                </c:pt>
                <c:pt idx="75">
                  <c:v>0.44463974275125356</c:v>
                </c:pt>
                <c:pt idx="76">
                  <c:v>0.45062677131022455</c:v>
                </c:pt>
                <c:pt idx="77">
                  <c:v>0.4573185088293002</c:v>
                </c:pt>
                <c:pt idx="78">
                  <c:v>0.45890342271637236</c:v>
                </c:pt>
                <c:pt idx="79">
                  <c:v>0.46770765206017001</c:v>
                </c:pt>
                <c:pt idx="80">
                  <c:v>0.46964464791802918</c:v>
                </c:pt>
                <c:pt idx="81">
                  <c:v>0.4824994549814694</c:v>
                </c:pt>
                <c:pt idx="82">
                  <c:v>0.4858453237410072</c:v>
                </c:pt>
                <c:pt idx="83">
                  <c:v>0.4909516023544801</c:v>
                </c:pt>
                <c:pt idx="84">
                  <c:v>0.49799542184434276</c:v>
                </c:pt>
                <c:pt idx="85">
                  <c:v>0.50591944626117291</c:v>
                </c:pt>
                <c:pt idx="86">
                  <c:v>0.51120231087856993</c:v>
                </c:pt>
                <c:pt idx="87">
                  <c:v>0.51859821233921954</c:v>
                </c:pt>
                <c:pt idx="88">
                  <c:v>0.52264824504033136</c:v>
                </c:pt>
                <c:pt idx="89">
                  <c:v>0.52845923261390881</c:v>
                </c:pt>
                <c:pt idx="90">
                  <c:v>0.5340941792020929</c:v>
                </c:pt>
                <c:pt idx="91">
                  <c:v>0.5362072160453456</c:v>
                </c:pt>
                <c:pt idx="92">
                  <c:v>0.54342707652060174</c:v>
                </c:pt>
                <c:pt idx="93">
                  <c:v>0.54413124046217576</c:v>
                </c:pt>
                <c:pt idx="94">
                  <c:v>0.55170590800087205</c:v>
                </c:pt>
                <c:pt idx="95">
                  <c:v>0.55804447351209951</c:v>
                </c:pt>
                <c:pt idx="96">
                  <c:v>0.56544037497274913</c:v>
                </c:pt>
                <c:pt idx="97">
                  <c:v>0.57019293655984304</c:v>
                </c:pt>
                <c:pt idx="98">
                  <c:v>0.57318508829300208</c:v>
                </c:pt>
                <c:pt idx="99">
                  <c:v>0.5774144320906911</c:v>
                </c:pt>
                <c:pt idx="100">
                  <c:v>0.58551340745585356</c:v>
                </c:pt>
                <c:pt idx="101">
                  <c:v>0.59290930891650317</c:v>
                </c:pt>
                <c:pt idx="102">
                  <c:v>0.59889361238282113</c:v>
                </c:pt>
                <c:pt idx="103">
                  <c:v>0.6003052103771529</c:v>
                </c:pt>
                <c:pt idx="104">
                  <c:v>0.60418029212993241</c:v>
                </c:pt>
                <c:pt idx="105">
                  <c:v>0.61086766950076299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11-4F43-8F35-B95561F1A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  <c:max val="2.0000000000000004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Strain, %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5810356675598074"/>
              <c:y val="0.886206968417754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Stress, MPa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7570586530415977"/>
          <c:y val="0.4081785698372522"/>
          <c:w val="0.17660564604912471"/>
          <c:h val="0.32566521018532468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Tension - transverse direction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516475785063475"/>
          <c:y val="0.14393518518518519"/>
          <c:w val="0.76844632399857438"/>
          <c:h val="0.65922422057696928"/>
        </c:manualLayout>
      </c:layout>
      <c:scatterChart>
        <c:scatterStyle val="lineMarker"/>
        <c:varyColors val="0"/>
        <c:ser>
          <c:idx val="2"/>
          <c:order val="0"/>
          <c:tx>
            <c:v>OLT3-30</c:v>
          </c:tx>
          <c:spPr>
            <a:ln w="25400">
              <a:noFill/>
            </a:ln>
          </c:spPr>
          <c:marker>
            <c:symbol val="diamond"/>
            <c:size val="2"/>
            <c:spPr>
              <a:ln>
                <a:noFill/>
              </a:ln>
            </c:spPr>
          </c:marker>
          <c:xVal>
            <c:numRef>
              <c:f>'OLT3-3'!$W$5:$W$254</c:f>
              <c:numCache>
                <c:formatCode>General</c:formatCode>
                <c:ptCount val="250"/>
                <c:pt idx="0">
                  <c:v>0</c:v>
                </c:pt>
                <c:pt idx="1">
                  <c:v>-1.6196800000000001E-5</c:v>
                </c:pt>
                <c:pt idx="2">
                  <c:v>1.11136E-6</c:v>
                </c:pt>
                <c:pt idx="3">
                  <c:v>-2.7775399999999999E-6</c:v>
                </c:pt>
                <c:pt idx="4">
                  <c:v>1.50657E-5</c:v>
                </c:pt>
                <c:pt idx="5">
                  <c:v>4.7971399999999999E-5</c:v>
                </c:pt>
                <c:pt idx="6">
                  <c:v>6.9923499999999996E-5</c:v>
                </c:pt>
                <c:pt idx="7">
                  <c:v>8.5860399999999995E-5</c:v>
                </c:pt>
                <c:pt idx="8">
                  <c:v>7.7291899999999998E-5</c:v>
                </c:pt>
                <c:pt idx="9">
                  <c:v>1.07563E-4</c:v>
                </c:pt>
                <c:pt idx="10">
                  <c:v>1.4034E-4</c:v>
                </c:pt>
                <c:pt idx="11">
                  <c:v>1.5516799999999999E-4</c:v>
                </c:pt>
                <c:pt idx="12">
                  <c:v>1.57412E-4</c:v>
                </c:pt>
                <c:pt idx="13">
                  <c:v>1.5405099999999999E-4</c:v>
                </c:pt>
                <c:pt idx="14">
                  <c:v>2.1733700000000001E-4</c:v>
                </c:pt>
                <c:pt idx="15">
                  <c:v>2.2737199999999999E-4</c:v>
                </c:pt>
                <c:pt idx="16">
                  <c:v>2.2036500000000001E-4</c:v>
                </c:pt>
                <c:pt idx="17">
                  <c:v>2.3369999999999999E-4</c:v>
                </c:pt>
                <c:pt idx="18">
                  <c:v>2.8524399999999998E-4</c:v>
                </c:pt>
                <c:pt idx="19">
                  <c:v>2.7984499999999997E-4</c:v>
                </c:pt>
                <c:pt idx="20">
                  <c:v>2.8800499999999998E-4</c:v>
                </c:pt>
                <c:pt idx="21">
                  <c:v>3.2517899999999998E-4</c:v>
                </c:pt>
                <c:pt idx="22">
                  <c:v>3.5660899999999997E-4</c:v>
                </c:pt>
                <c:pt idx="23">
                  <c:v>3.8651000000000001E-4</c:v>
                </c:pt>
                <c:pt idx="24">
                  <c:v>4.0249799999999999E-4</c:v>
                </c:pt>
                <c:pt idx="25">
                  <c:v>4.32077E-4</c:v>
                </c:pt>
                <c:pt idx="26">
                  <c:v>4.6222199999999998E-4</c:v>
                </c:pt>
                <c:pt idx="27">
                  <c:v>4.5880200000000002E-4</c:v>
                </c:pt>
                <c:pt idx="28">
                  <c:v>4.9948500000000003E-4</c:v>
                </c:pt>
                <c:pt idx="29">
                  <c:v>5.0635999999999997E-4</c:v>
                </c:pt>
                <c:pt idx="30">
                  <c:v>5.1890400000000004E-4</c:v>
                </c:pt>
                <c:pt idx="31">
                  <c:v>5.2235200000000002E-4</c:v>
                </c:pt>
                <c:pt idx="32">
                  <c:v>5.7285099999999998E-4</c:v>
                </c:pt>
                <c:pt idx="33">
                  <c:v>6.2135399999999996E-4</c:v>
                </c:pt>
                <c:pt idx="34">
                  <c:v>6.5800199999999998E-4</c:v>
                </c:pt>
                <c:pt idx="35">
                  <c:v>6.9238600000000002E-4</c:v>
                </c:pt>
                <c:pt idx="36">
                  <c:v>7.5003099999999996E-4</c:v>
                </c:pt>
                <c:pt idx="37">
                  <c:v>7.3156399999999998E-4</c:v>
                </c:pt>
                <c:pt idx="38">
                  <c:v>7.6371100000000003E-4</c:v>
                </c:pt>
                <c:pt idx="39">
                  <c:v>7.7743199999999999E-4</c:v>
                </c:pt>
                <c:pt idx="40">
                  <c:v>8.3952400000000002E-4</c:v>
                </c:pt>
                <c:pt idx="41">
                  <c:v>8.3111899999999996E-4</c:v>
                </c:pt>
                <c:pt idx="42">
                  <c:v>8.5372499999999995E-4</c:v>
                </c:pt>
                <c:pt idx="43">
                  <c:v>8.9043900000000003E-4</c:v>
                </c:pt>
                <c:pt idx="44">
                  <c:v>9.3041599999999999E-4</c:v>
                </c:pt>
                <c:pt idx="45">
                  <c:v>9.5666299999999996E-4</c:v>
                </c:pt>
                <c:pt idx="46">
                  <c:v>9.6872799999999997E-4</c:v>
                </c:pt>
                <c:pt idx="47">
                  <c:v>1.00686E-3</c:v>
                </c:pt>
                <c:pt idx="48">
                  <c:v>1.0534100000000001E-3</c:v>
                </c:pt>
                <c:pt idx="49">
                  <c:v>1.07427E-3</c:v>
                </c:pt>
                <c:pt idx="50">
                  <c:v>1.0975900000000001E-3</c:v>
                </c:pt>
                <c:pt idx="51">
                  <c:v>1.14737E-3</c:v>
                </c:pt>
                <c:pt idx="52">
                  <c:v>1.17797E-3</c:v>
                </c:pt>
                <c:pt idx="53">
                  <c:v>1.2097799999999999E-3</c:v>
                </c:pt>
                <c:pt idx="54">
                  <c:v>1.2694200000000001E-3</c:v>
                </c:pt>
                <c:pt idx="55">
                  <c:v>1.2754999999999999E-3</c:v>
                </c:pt>
                <c:pt idx="56">
                  <c:v>1.2918300000000001E-3</c:v>
                </c:pt>
                <c:pt idx="57">
                  <c:v>1.3132E-3</c:v>
                </c:pt>
                <c:pt idx="58">
                  <c:v>1.36035E-3</c:v>
                </c:pt>
                <c:pt idx="59">
                  <c:v>1.39083E-3</c:v>
                </c:pt>
                <c:pt idx="60">
                  <c:v>1.40459E-3</c:v>
                </c:pt>
                <c:pt idx="61">
                  <c:v>1.41347E-3</c:v>
                </c:pt>
                <c:pt idx="62">
                  <c:v>1.4609200000000001E-3</c:v>
                </c:pt>
                <c:pt idx="63">
                  <c:v>1.4876900000000001E-3</c:v>
                </c:pt>
                <c:pt idx="64">
                  <c:v>1.5299000000000001E-3</c:v>
                </c:pt>
                <c:pt idx="65">
                  <c:v>1.5558799999999999E-3</c:v>
                </c:pt>
                <c:pt idx="66">
                  <c:v>1.5880200000000001E-3</c:v>
                </c:pt>
                <c:pt idx="67">
                  <c:v>1.5991099999999999E-3</c:v>
                </c:pt>
                <c:pt idx="68">
                  <c:v>1.6255499999999999E-3</c:v>
                </c:pt>
                <c:pt idx="69">
                  <c:v>1.6714200000000001E-3</c:v>
                </c:pt>
                <c:pt idx="70">
                  <c:v>1.67767E-3</c:v>
                </c:pt>
                <c:pt idx="71">
                  <c:v>1.7127900000000001E-3</c:v>
                </c:pt>
                <c:pt idx="72">
                  <c:v>1.74913E-3</c:v>
                </c:pt>
                <c:pt idx="73">
                  <c:v>1.77472E-3</c:v>
                </c:pt>
                <c:pt idx="74">
                  <c:v>1.7800299999999999E-3</c:v>
                </c:pt>
                <c:pt idx="75">
                  <c:v>1.8148800000000001E-3</c:v>
                </c:pt>
                <c:pt idx="76">
                  <c:v>1.86499E-3</c:v>
                </c:pt>
                <c:pt idx="77">
                  <c:v>1.9331999999999999E-3</c:v>
                </c:pt>
                <c:pt idx="78">
                  <c:v>1.9729399999999999E-3</c:v>
                </c:pt>
                <c:pt idx="79">
                  <c:v>2.02841E-3</c:v>
                </c:pt>
                <c:pt idx="80">
                  <c:v>2.02337E-3</c:v>
                </c:pt>
                <c:pt idx="81">
                  <c:v>2.0466099999999999E-3</c:v>
                </c:pt>
                <c:pt idx="82">
                  <c:v>2.08063E-3</c:v>
                </c:pt>
                <c:pt idx="83">
                  <c:v>2.1811399999999998E-3</c:v>
                </c:pt>
                <c:pt idx="84">
                  <c:v>2.22777E-3</c:v>
                </c:pt>
                <c:pt idx="85">
                  <c:v>2.2419900000000001E-3</c:v>
                </c:pt>
                <c:pt idx="86">
                  <c:v>2.23419E-3</c:v>
                </c:pt>
                <c:pt idx="87">
                  <c:v>2.27948E-3</c:v>
                </c:pt>
                <c:pt idx="88">
                  <c:v>2.3407300000000001E-3</c:v>
                </c:pt>
                <c:pt idx="89">
                  <c:v>2.3708599999999998E-3</c:v>
                </c:pt>
                <c:pt idx="90">
                  <c:v>2.4628100000000002E-3</c:v>
                </c:pt>
                <c:pt idx="91">
                  <c:v>2.4794800000000001E-3</c:v>
                </c:pt>
                <c:pt idx="92">
                  <c:v>2.5132499999999999E-3</c:v>
                </c:pt>
                <c:pt idx="93">
                  <c:v>2.5025899999999998E-3</c:v>
                </c:pt>
                <c:pt idx="94">
                  <c:v>2.5644000000000001E-3</c:v>
                </c:pt>
                <c:pt idx="95">
                  <c:v>2.5819800000000002E-3</c:v>
                </c:pt>
                <c:pt idx="96">
                  <c:v>2.5886099999999999E-3</c:v>
                </c:pt>
                <c:pt idx="97">
                  <c:v>2.6130699999999999E-3</c:v>
                </c:pt>
                <c:pt idx="98">
                  <c:v>2.68228E-3</c:v>
                </c:pt>
                <c:pt idx="99">
                  <c:v>2.73026E-3</c:v>
                </c:pt>
                <c:pt idx="100">
                  <c:v>2.7499899999999999E-3</c:v>
                </c:pt>
                <c:pt idx="101">
                  <c:v>2.7834499999999998E-3</c:v>
                </c:pt>
                <c:pt idx="102">
                  <c:v>2.8043399999999998E-3</c:v>
                </c:pt>
                <c:pt idx="103">
                  <c:v>2.8323599999999999E-3</c:v>
                </c:pt>
                <c:pt idx="104">
                  <c:v>2.8575100000000002E-3</c:v>
                </c:pt>
                <c:pt idx="105">
                  <c:v>2.92026E-3</c:v>
                </c:pt>
                <c:pt idx="106">
                  <c:v>2.9606699999999999E-3</c:v>
                </c:pt>
                <c:pt idx="107">
                  <c:v>2.9553800000000001E-3</c:v>
                </c:pt>
                <c:pt idx="108">
                  <c:v>3.0038600000000001E-3</c:v>
                </c:pt>
                <c:pt idx="109">
                  <c:v>3.0183300000000001E-3</c:v>
                </c:pt>
                <c:pt idx="110">
                  <c:v>3.0868699999999998E-3</c:v>
                </c:pt>
                <c:pt idx="111">
                  <c:v>3.09641E-3</c:v>
                </c:pt>
                <c:pt idx="112">
                  <c:v>3.1137000000000001E-3</c:v>
                </c:pt>
                <c:pt idx="113">
                  <c:v>3.1286399999999998E-3</c:v>
                </c:pt>
                <c:pt idx="114">
                  <c:v>3.1611E-3</c:v>
                </c:pt>
                <c:pt idx="115">
                  <c:v>3.2133399999999999E-3</c:v>
                </c:pt>
                <c:pt idx="116">
                  <c:v>3.3286399999999999E-3</c:v>
                </c:pt>
                <c:pt idx="117">
                  <c:v>3.28809E-3</c:v>
                </c:pt>
                <c:pt idx="118">
                  <c:v>3.3061200000000001E-3</c:v>
                </c:pt>
                <c:pt idx="119">
                  <c:v>3.3455899999999998E-3</c:v>
                </c:pt>
                <c:pt idx="120">
                  <c:v>3.3861E-3</c:v>
                </c:pt>
                <c:pt idx="121">
                  <c:v>3.4600500000000001E-3</c:v>
                </c:pt>
                <c:pt idx="122">
                  <c:v>3.4685800000000002E-3</c:v>
                </c:pt>
                <c:pt idx="123">
                  <c:v>3.4930400000000002E-3</c:v>
                </c:pt>
                <c:pt idx="124">
                  <c:v>3.5304300000000002E-3</c:v>
                </c:pt>
                <c:pt idx="125">
                  <c:v>3.5879800000000002E-3</c:v>
                </c:pt>
                <c:pt idx="126">
                  <c:v>3.61963E-3</c:v>
                </c:pt>
                <c:pt idx="127">
                  <c:v>3.66381E-3</c:v>
                </c:pt>
                <c:pt idx="128">
                  <c:v>3.7205099999999998E-3</c:v>
                </c:pt>
                <c:pt idx="129">
                  <c:v>3.7700699999999999E-3</c:v>
                </c:pt>
                <c:pt idx="130">
                  <c:v>3.79284E-3</c:v>
                </c:pt>
                <c:pt idx="131">
                  <c:v>3.8550699999999999E-3</c:v>
                </c:pt>
                <c:pt idx="132">
                  <c:v>3.9359499999999997E-3</c:v>
                </c:pt>
                <c:pt idx="133">
                  <c:v>3.9391699999999997E-3</c:v>
                </c:pt>
                <c:pt idx="134">
                  <c:v>3.9936800000000003E-3</c:v>
                </c:pt>
                <c:pt idx="135">
                  <c:v>4.0589399999999996E-3</c:v>
                </c:pt>
                <c:pt idx="136">
                  <c:v>4.0486599999999999E-3</c:v>
                </c:pt>
                <c:pt idx="137">
                  <c:v>4.1125700000000003E-3</c:v>
                </c:pt>
                <c:pt idx="138">
                  <c:v>4.1780799999999998E-3</c:v>
                </c:pt>
                <c:pt idx="139">
                  <c:v>4.15833E-3</c:v>
                </c:pt>
                <c:pt idx="140">
                  <c:v>4.2564200000000003E-3</c:v>
                </c:pt>
                <c:pt idx="141">
                  <c:v>4.3409700000000004E-3</c:v>
                </c:pt>
                <c:pt idx="142">
                  <c:v>4.35098E-3</c:v>
                </c:pt>
                <c:pt idx="143">
                  <c:v>4.3989199999999997E-3</c:v>
                </c:pt>
                <c:pt idx="144">
                  <c:v>4.4301499999999999E-3</c:v>
                </c:pt>
                <c:pt idx="145">
                  <c:v>4.4980300000000001E-3</c:v>
                </c:pt>
                <c:pt idx="146">
                  <c:v>4.50331E-3</c:v>
                </c:pt>
                <c:pt idx="147">
                  <c:v>4.5456100000000003E-3</c:v>
                </c:pt>
                <c:pt idx="148">
                  <c:v>4.6176300000000002E-3</c:v>
                </c:pt>
                <c:pt idx="149">
                  <c:v>4.6017200000000001E-3</c:v>
                </c:pt>
                <c:pt idx="150">
                  <c:v>4.6180199999999996E-3</c:v>
                </c:pt>
                <c:pt idx="151">
                  <c:v>4.6691199999999997E-3</c:v>
                </c:pt>
                <c:pt idx="152">
                  <c:v>4.6764600000000003E-3</c:v>
                </c:pt>
                <c:pt idx="153">
                  <c:v>4.7624399999999997E-3</c:v>
                </c:pt>
                <c:pt idx="154">
                  <c:v>4.8000200000000003E-3</c:v>
                </c:pt>
                <c:pt idx="155">
                  <c:v>4.9304500000000003E-3</c:v>
                </c:pt>
                <c:pt idx="156">
                  <c:v>4.93503E-3</c:v>
                </c:pt>
                <c:pt idx="157">
                  <c:v>5.0065400000000003E-3</c:v>
                </c:pt>
                <c:pt idx="158">
                  <c:v>5.0349399999999999E-3</c:v>
                </c:pt>
                <c:pt idx="159">
                  <c:v>5.0637599999999996E-3</c:v>
                </c:pt>
                <c:pt idx="160">
                  <c:v>5.1149899999999998E-3</c:v>
                </c:pt>
                <c:pt idx="161">
                  <c:v>5.20521E-3</c:v>
                </c:pt>
                <c:pt idx="162">
                  <c:v>5.2584099999999998E-3</c:v>
                </c:pt>
                <c:pt idx="163">
                  <c:v>5.3153499999999999E-3</c:v>
                </c:pt>
                <c:pt idx="164">
                  <c:v>5.3517E-3</c:v>
                </c:pt>
                <c:pt idx="165">
                  <c:v>5.3875599999999996E-3</c:v>
                </c:pt>
                <c:pt idx="166">
                  <c:v>5.4497599999999997E-3</c:v>
                </c:pt>
                <c:pt idx="167">
                  <c:v>5.4914100000000004E-3</c:v>
                </c:pt>
                <c:pt idx="168">
                  <c:v>5.5332200000000002E-3</c:v>
                </c:pt>
                <c:pt idx="169">
                  <c:v>5.5807299999999999E-3</c:v>
                </c:pt>
                <c:pt idx="170">
                  <c:v>5.6373400000000002E-3</c:v>
                </c:pt>
                <c:pt idx="171">
                  <c:v>5.7460300000000001E-3</c:v>
                </c:pt>
                <c:pt idx="172">
                  <c:v>5.7502200000000003E-3</c:v>
                </c:pt>
                <c:pt idx="173">
                  <c:v>5.8067800000000001E-3</c:v>
                </c:pt>
                <c:pt idx="174">
                  <c:v>5.8924600000000004E-3</c:v>
                </c:pt>
                <c:pt idx="175">
                  <c:v>6.0076000000000001E-3</c:v>
                </c:pt>
                <c:pt idx="176">
                  <c:v>6.02455E-3</c:v>
                </c:pt>
                <c:pt idx="177">
                  <c:v>6.0749200000000001E-3</c:v>
                </c:pt>
                <c:pt idx="178">
                  <c:v>6.1723500000000001E-3</c:v>
                </c:pt>
                <c:pt idx="179">
                  <c:v>6.2452699999999998E-3</c:v>
                </c:pt>
                <c:pt idx="180">
                  <c:v>6.27883E-3</c:v>
                </c:pt>
                <c:pt idx="181">
                  <c:v>6.3960700000000002E-3</c:v>
                </c:pt>
                <c:pt idx="182">
                  <c:v>6.51265E-3</c:v>
                </c:pt>
                <c:pt idx="183">
                  <c:v>6.5881100000000003E-3</c:v>
                </c:pt>
                <c:pt idx="184">
                  <c:v>6.6397299999999999E-3</c:v>
                </c:pt>
                <c:pt idx="185">
                  <c:v>6.7434699999999997E-3</c:v>
                </c:pt>
                <c:pt idx="186">
                  <c:v>6.7776199999999998E-3</c:v>
                </c:pt>
                <c:pt idx="187">
                  <c:v>6.94424E-3</c:v>
                </c:pt>
                <c:pt idx="188">
                  <c:v>7.06195E-3</c:v>
                </c:pt>
                <c:pt idx="189">
                  <c:v>7.1512099999999999E-3</c:v>
                </c:pt>
                <c:pt idx="190">
                  <c:v>7.18829E-3</c:v>
                </c:pt>
                <c:pt idx="191">
                  <c:v>7.3854999999999997E-3</c:v>
                </c:pt>
                <c:pt idx="192">
                  <c:v>7.5405699999999999E-3</c:v>
                </c:pt>
                <c:pt idx="193">
                  <c:v>7.5556199999999999E-3</c:v>
                </c:pt>
                <c:pt idx="194">
                  <c:v>7.76488E-3</c:v>
                </c:pt>
                <c:pt idx="195">
                  <c:v>7.6855200000000004E-3</c:v>
                </c:pt>
                <c:pt idx="196">
                  <c:v>7.8436700000000005E-3</c:v>
                </c:pt>
                <c:pt idx="197">
                  <c:v>8.0283200000000002E-3</c:v>
                </c:pt>
                <c:pt idx="198">
                  <c:v>8.2060899999999992E-3</c:v>
                </c:pt>
                <c:pt idx="199">
                  <c:v>8.2143900000000002E-3</c:v>
                </c:pt>
                <c:pt idx="200">
                  <c:v>8.2348899999999999E-3</c:v>
                </c:pt>
                <c:pt idx="201">
                  <c:v>8.3130099999999992E-3</c:v>
                </c:pt>
                <c:pt idx="202">
                  <c:v>8.47527E-3</c:v>
                </c:pt>
                <c:pt idx="203">
                  <c:v>8.5887399999999992E-3</c:v>
                </c:pt>
                <c:pt idx="204">
                  <c:v>8.6955000000000001E-3</c:v>
                </c:pt>
                <c:pt idx="205">
                  <c:v>8.7420299999999996E-3</c:v>
                </c:pt>
                <c:pt idx="206">
                  <c:v>8.8331399999999997E-3</c:v>
                </c:pt>
                <c:pt idx="207">
                  <c:v>8.8516399999999992E-3</c:v>
                </c:pt>
                <c:pt idx="208">
                  <c:v>8.9055999999999996E-3</c:v>
                </c:pt>
                <c:pt idx="209">
                  <c:v>8.9616299999999999E-3</c:v>
                </c:pt>
                <c:pt idx="210">
                  <c:v>9.0627099999999999E-3</c:v>
                </c:pt>
                <c:pt idx="211">
                  <c:v>9.1545800000000007E-3</c:v>
                </c:pt>
                <c:pt idx="212">
                  <c:v>9.4141099999999998E-3</c:v>
                </c:pt>
                <c:pt idx="213">
                  <c:v>9.5670700000000004E-3</c:v>
                </c:pt>
                <c:pt idx="214">
                  <c:v>9.7403699999999999E-3</c:v>
                </c:pt>
                <c:pt idx="215">
                  <c:v>1.0049000000000001E-2</c:v>
                </c:pt>
                <c:pt idx="216">
                  <c:v>1.0200000000000001E-2</c:v>
                </c:pt>
                <c:pt idx="217">
                  <c:v>1.02489E-2</c:v>
                </c:pt>
                <c:pt idx="218">
                  <c:v>1.03518E-2</c:v>
                </c:pt>
                <c:pt idx="219">
                  <c:v>1.04317E-2</c:v>
                </c:pt>
                <c:pt idx="220">
                  <c:v>1.0521900000000001E-2</c:v>
                </c:pt>
                <c:pt idx="221">
                  <c:v>1.0973399999999999E-2</c:v>
                </c:pt>
                <c:pt idx="222">
                  <c:v>1.12316E-2</c:v>
                </c:pt>
                <c:pt idx="223">
                  <c:v>1.15844E-2</c:v>
                </c:pt>
                <c:pt idx="224">
                  <c:v>1.1622499999999999E-2</c:v>
                </c:pt>
                <c:pt idx="225">
                  <c:v>1.1689E-2</c:v>
                </c:pt>
                <c:pt idx="226">
                  <c:v>1.2023600000000001E-2</c:v>
                </c:pt>
                <c:pt idx="227">
                  <c:v>1.2035499999999999E-2</c:v>
                </c:pt>
                <c:pt idx="228">
                  <c:v>1.27368E-2</c:v>
                </c:pt>
                <c:pt idx="229">
                  <c:v>1.2771899999999999E-2</c:v>
                </c:pt>
                <c:pt idx="230">
                  <c:v>1.2826300000000001E-2</c:v>
                </c:pt>
                <c:pt idx="231">
                  <c:v>1.28658E-2</c:v>
                </c:pt>
                <c:pt idx="232">
                  <c:v>1.2870299999999999E-2</c:v>
                </c:pt>
                <c:pt idx="233">
                  <c:v>1.2905399999999999E-2</c:v>
                </c:pt>
                <c:pt idx="234">
                  <c:v>1.32277E-2</c:v>
                </c:pt>
                <c:pt idx="235">
                  <c:v>1.3993999999999999E-2</c:v>
                </c:pt>
                <c:pt idx="236">
                  <c:v>1.43251E-2</c:v>
                </c:pt>
                <c:pt idx="237">
                  <c:v>1.4404999999999999E-2</c:v>
                </c:pt>
                <c:pt idx="238">
                  <c:v>1.44145E-2</c:v>
                </c:pt>
                <c:pt idx="239">
                  <c:v>1.4439199999999999E-2</c:v>
                </c:pt>
                <c:pt idx="240">
                  <c:v>1.44818E-2</c:v>
                </c:pt>
                <c:pt idx="241">
                  <c:v>1.46307E-2</c:v>
                </c:pt>
                <c:pt idx="242">
                  <c:v>1.6388400000000001E-2</c:v>
                </c:pt>
                <c:pt idx="243">
                  <c:v>1.6469399999999999E-2</c:v>
                </c:pt>
                <c:pt idx="244">
                  <c:v>1.65148E-2</c:v>
                </c:pt>
                <c:pt idx="245">
                  <c:v>1.6549999999999999E-2</c:v>
                </c:pt>
                <c:pt idx="246">
                  <c:v>1.6589099999999999E-2</c:v>
                </c:pt>
                <c:pt idx="247">
                  <c:v>1.6638300000000002E-2</c:v>
                </c:pt>
                <c:pt idx="248">
                  <c:v>1.67245E-2</c:v>
                </c:pt>
                <c:pt idx="249">
                  <c:v>1.7207500000000001E-2</c:v>
                </c:pt>
              </c:numCache>
            </c:numRef>
          </c:xVal>
          <c:yVal>
            <c:numRef>
              <c:f>'OLT3-3'!$V$5:$V$254</c:f>
              <c:numCache>
                <c:formatCode>General</c:formatCode>
                <c:ptCount val="250"/>
                <c:pt idx="0">
                  <c:v>-0.15048187857518486</c:v>
                </c:pt>
                <c:pt idx="1">
                  <c:v>-0.15117518271676489</c:v>
                </c:pt>
                <c:pt idx="2">
                  <c:v>-0.14684095860566448</c:v>
                </c:pt>
                <c:pt idx="3">
                  <c:v>-0.14094626356289641</c:v>
                </c:pt>
                <c:pt idx="4">
                  <c:v>-0.13262393079837298</c:v>
                </c:pt>
                <c:pt idx="5">
                  <c:v>-0.12880968479345761</c:v>
                </c:pt>
                <c:pt idx="6">
                  <c:v>-0.12152784485441687</c:v>
                </c:pt>
                <c:pt idx="7">
                  <c:v>-0.11129892570054842</c:v>
                </c:pt>
                <c:pt idx="8">
                  <c:v>-0.10800465780181803</c:v>
                </c:pt>
                <c:pt idx="9">
                  <c:v>-0.10176331068825997</c:v>
                </c:pt>
                <c:pt idx="10">
                  <c:v>-9.2053833027463852E-2</c:v>
                </c:pt>
                <c:pt idx="11">
                  <c:v>-8.4078688946843103E-2</c:v>
                </c:pt>
                <c:pt idx="12">
                  <c:v>-7.7664015797890035E-2</c:v>
                </c:pt>
                <c:pt idx="13">
                  <c:v>-7.5236378076134675E-2</c:v>
                </c:pt>
                <c:pt idx="14">
                  <c:v>-7.0555501894244296E-2</c:v>
                </c:pt>
                <c:pt idx="15">
                  <c:v>-6.5874089099241223E-2</c:v>
                </c:pt>
                <c:pt idx="16">
                  <c:v>-5.8592785773313158E-2</c:v>
                </c:pt>
                <c:pt idx="17">
                  <c:v>-5.3391394872125096E-2</c:v>
                </c:pt>
                <c:pt idx="18">
                  <c:v>-4.6976185110059354E-2</c:v>
                </c:pt>
                <c:pt idx="19">
                  <c:v>-4.5415714178391665E-2</c:v>
                </c:pt>
                <c:pt idx="20">
                  <c:v>-3.6573939920795905E-2</c:v>
                </c:pt>
                <c:pt idx="21">
                  <c:v>-2.8251607156272472E-2</c:v>
                </c:pt>
                <c:pt idx="22">
                  <c:v>-2.3744057009777091E-2</c:v>
                </c:pt>
                <c:pt idx="23">
                  <c:v>-1.5942238964551336E-2</c:v>
                </c:pt>
                <c:pt idx="24">
                  <c:v>-1.4901746139068655E-2</c:v>
                </c:pt>
                <c:pt idx="25">
                  <c:v>-6.4066239522628972E-3</c:v>
                </c:pt>
                <c:pt idx="26">
                  <c:v>-1.8985371926548398E-3</c:v>
                </c:pt>
                <c:pt idx="27">
                  <c:v>6.2499329233609152E-3</c:v>
                </c:pt>
                <c:pt idx="28">
                  <c:v>1.249181665003166E-2</c:v>
                </c:pt>
                <c:pt idx="29">
                  <c:v>1.5265569829464355E-2</c:v>
                </c:pt>
                <c:pt idx="30">
                  <c:v>2.7054959915000485E-2</c:v>
                </c:pt>
                <c:pt idx="31">
                  <c:v>2.9309271601360848E-2</c:v>
                </c:pt>
                <c:pt idx="32">
                  <c:v>3.9538190755229297E-2</c:v>
                </c:pt>
                <c:pt idx="33">
                  <c:v>4.387241486632968E-2</c:v>
                </c:pt>
                <c:pt idx="34">
                  <c:v>5.2021421595458105E-2</c:v>
                </c:pt>
                <c:pt idx="35">
                  <c:v>5.7222275883533492E-2</c:v>
                </c:pt>
                <c:pt idx="36">
                  <c:v>6.2596992820116548E-2</c:v>
                </c:pt>
                <c:pt idx="37">
                  <c:v>6.6584564860426937E-2</c:v>
                </c:pt>
                <c:pt idx="38">
                  <c:v>7.4560245554160354E-2</c:v>
                </c:pt>
                <c:pt idx="39">
                  <c:v>7.9587773806840748E-2</c:v>
                </c:pt>
                <c:pt idx="40">
                  <c:v>8.2362063599386109E-2</c:v>
                </c:pt>
                <c:pt idx="41">
                  <c:v>9.2244330682464556E-2</c:v>
                </c:pt>
                <c:pt idx="42">
                  <c:v>9.1031048434699544E-2</c:v>
                </c:pt>
                <c:pt idx="43">
                  <c:v>9.5018620475009932E-2</c:v>
                </c:pt>
                <c:pt idx="44">
                  <c:v>0.10784850338602874</c:v>
                </c:pt>
                <c:pt idx="45">
                  <c:v>0.11495648067656181</c:v>
                </c:pt>
                <c:pt idx="46">
                  <c:v>0.11634362557283449</c:v>
                </c:pt>
                <c:pt idx="47">
                  <c:v>0.12310548740569024</c:v>
                </c:pt>
                <c:pt idx="48">
                  <c:v>0.12674640737521062</c:v>
                </c:pt>
                <c:pt idx="49">
                  <c:v>0.13420157334964639</c:v>
                </c:pt>
                <c:pt idx="50">
                  <c:v>0.14269669553645212</c:v>
                </c:pt>
                <c:pt idx="51">
                  <c:v>0.14893857926312287</c:v>
                </c:pt>
                <c:pt idx="52">
                  <c:v>0.14893857926312287</c:v>
                </c:pt>
                <c:pt idx="53">
                  <c:v>0.15830086824001632</c:v>
                </c:pt>
                <c:pt idx="54">
                  <c:v>0.16644933835603207</c:v>
                </c:pt>
                <c:pt idx="55">
                  <c:v>0.17026358436094743</c:v>
                </c:pt>
                <c:pt idx="56">
                  <c:v>0.17667825750990052</c:v>
                </c:pt>
                <c:pt idx="57">
                  <c:v>0.18101301823411356</c:v>
                </c:pt>
                <c:pt idx="58">
                  <c:v>0.18760101741846164</c:v>
                </c:pt>
                <c:pt idx="59">
                  <c:v>0.1936690384966247</c:v>
                </c:pt>
                <c:pt idx="60">
                  <c:v>0.20008424825869042</c:v>
                </c:pt>
                <c:pt idx="61">
                  <c:v>0.20285800143812316</c:v>
                </c:pt>
                <c:pt idx="62">
                  <c:v>0.20788606630391621</c:v>
                </c:pt>
                <c:pt idx="63">
                  <c:v>0.21586121038453696</c:v>
                </c:pt>
                <c:pt idx="64">
                  <c:v>0.21794165942238963</c:v>
                </c:pt>
                <c:pt idx="65">
                  <c:v>0.22158257939191003</c:v>
                </c:pt>
                <c:pt idx="66">
                  <c:v>0.22990491215643344</c:v>
                </c:pt>
                <c:pt idx="67">
                  <c:v>0.23666623737617654</c:v>
                </c:pt>
                <c:pt idx="68">
                  <c:v>0.23736007813086921</c:v>
                </c:pt>
                <c:pt idx="69">
                  <c:v>0.24464191806990995</c:v>
                </c:pt>
                <c:pt idx="70">
                  <c:v>0.24862949011022034</c:v>
                </c:pt>
                <c:pt idx="71">
                  <c:v>0.25122991725425803</c:v>
                </c:pt>
                <c:pt idx="72">
                  <c:v>0.25851175719329877</c:v>
                </c:pt>
                <c:pt idx="73">
                  <c:v>0.26562027109694453</c:v>
                </c:pt>
                <c:pt idx="74">
                  <c:v>0.2715149661397126</c:v>
                </c:pt>
                <c:pt idx="75">
                  <c:v>0.27862348004335835</c:v>
                </c:pt>
                <c:pt idx="76">
                  <c:v>0.280703929081211</c:v>
                </c:pt>
                <c:pt idx="77">
                  <c:v>0.29110671088358714</c:v>
                </c:pt>
                <c:pt idx="78">
                  <c:v>0.29925518099960291</c:v>
                </c:pt>
                <c:pt idx="79">
                  <c:v>0.30046899986048059</c:v>
                </c:pt>
                <c:pt idx="80">
                  <c:v>0.30879079601189136</c:v>
                </c:pt>
                <c:pt idx="81">
                  <c:v>0.31468549105465937</c:v>
                </c:pt>
                <c:pt idx="82">
                  <c:v>0.31745978084720478</c:v>
                </c:pt>
                <c:pt idx="83">
                  <c:v>0.3275153739656782</c:v>
                </c:pt>
                <c:pt idx="84">
                  <c:v>0.33826480783884433</c:v>
                </c:pt>
                <c:pt idx="85">
                  <c:v>0.34415950288161234</c:v>
                </c:pt>
                <c:pt idx="86">
                  <c:v>0.34658660399025509</c:v>
                </c:pt>
                <c:pt idx="87">
                  <c:v>0.35265462506841816</c:v>
                </c:pt>
                <c:pt idx="88">
                  <c:v>0.35716271182802622</c:v>
                </c:pt>
                <c:pt idx="89">
                  <c:v>0.36565783401483198</c:v>
                </c:pt>
                <c:pt idx="90">
                  <c:v>0.36843212380737733</c:v>
                </c:pt>
                <c:pt idx="91">
                  <c:v>0.37606061581720807</c:v>
                </c:pt>
                <c:pt idx="92">
                  <c:v>0.38056816596370352</c:v>
                </c:pt>
                <c:pt idx="93">
                  <c:v>0.38698337572576919</c:v>
                </c:pt>
                <c:pt idx="94">
                  <c:v>0.39339804887472235</c:v>
                </c:pt>
                <c:pt idx="95">
                  <c:v>0.39582568659647765</c:v>
                </c:pt>
                <c:pt idx="96">
                  <c:v>0.39963993260139308</c:v>
                </c:pt>
                <c:pt idx="97">
                  <c:v>0.40553462764416104</c:v>
                </c:pt>
                <c:pt idx="98">
                  <c:v>0.41038882986144648</c:v>
                </c:pt>
                <c:pt idx="99">
                  <c:v>0.41715069169430224</c:v>
                </c:pt>
                <c:pt idx="100">
                  <c:v>0.42287206070167532</c:v>
                </c:pt>
                <c:pt idx="101">
                  <c:v>0.4263396546358007</c:v>
                </c:pt>
                <c:pt idx="102">
                  <c:v>0.43171437157238379</c:v>
                </c:pt>
                <c:pt idx="103">
                  <c:v>0.43934286358221453</c:v>
                </c:pt>
                <c:pt idx="104">
                  <c:v>0.44575753673116758</c:v>
                </c:pt>
                <c:pt idx="105">
                  <c:v>0.44887847859450292</c:v>
                </c:pt>
                <c:pt idx="106">
                  <c:v>0.44939845670068795</c:v>
                </c:pt>
                <c:pt idx="107">
                  <c:v>0.45494649967266598</c:v>
                </c:pt>
                <c:pt idx="108">
                  <c:v>0.45459984760187594</c:v>
                </c:pt>
                <c:pt idx="109">
                  <c:v>0.46066786868003912</c:v>
                </c:pt>
                <c:pt idx="110">
                  <c:v>0.46205501357631179</c:v>
                </c:pt>
                <c:pt idx="111">
                  <c:v>0.46985683162153752</c:v>
                </c:pt>
                <c:pt idx="112">
                  <c:v>0.47471157045193552</c:v>
                </c:pt>
                <c:pt idx="113">
                  <c:v>0.4778319757021583</c:v>
                </c:pt>
                <c:pt idx="114">
                  <c:v>0.48615430846668167</c:v>
                </c:pt>
                <c:pt idx="115">
                  <c:v>0.4918756774740547</c:v>
                </c:pt>
                <c:pt idx="116">
                  <c:v>0.49863753930691052</c:v>
                </c:pt>
                <c:pt idx="117">
                  <c:v>0.50314508945340586</c:v>
                </c:pt>
                <c:pt idx="118">
                  <c:v>0.50938643656696392</c:v>
                </c:pt>
                <c:pt idx="119">
                  <c:v>0.51406784936196703</c:v>
                </c:pt>
                <c:pt idx="120">
                  <c:v>0.52100303723021768</c:v>
                </c:pt>
                <c:pt idx="121">
                  <c:v>0.52516393530592309</c:v>
                </c:pt>
                <c:pt idx="122">
                  <c:v>0.52776436244996083</c:v>
                </c:pt>
                <c:pt idx="123">
                  <c:v>0.53192526052566624</c:v>
                </c:pt>
                <c:pt idx="124">
                  <c:v>0.53782049218154693</c:v>
                </c:pt>
                <c:pt idx="125">
                  <c:v>0.54562284683988538</c:v>
                </c:pt>
                <c:pt idx="126">
                  <c:v>0.54839713663243073</c:v>
                </c:pt>
                <c:pt idx="127">
                  <c:v>0.55325348530216689</c:v>
                </c:pt>
                <c:pt idx="128">
                  <c:v>0.56157098854867604</c:v>
                </c:pt>
                <c:pt idx="129">
                  <c:v>0.5693733432070146</c:v>
                </c:pt>
                <c:pt idx="130">
                  <c:v>0.57093488736490761</c:v>
                </c:pt>
                <c:pt idx="131">
                  <c:v>0.5789089582193031</c:v>
                </c:pt>
                <c:pt idx="132">
                  <c:v>0.5915676615473775</c:v>
                </c:pt>
                <c:pt idx="133">
                  <c:v>0.5945136675359799</c:v>
                </c:pt>
                <c:pt idx="134">
                  <c:v>0.60075447803642534</c:v>
                </c:pt>
                <c:pt idx="135">
                  <c:v>0.60595962522940217</c:v>
                </c:pt>
                <c:pt idx="136">
                  <c:v>0.60976957832941603</c:v>
                </c:pt>
                <c:pt idx="137">
                  <c:v>0.61479764319520913</c:v>
                </c:pt>
                <c:pt idx="138">
                  <c:v>0.62138725221889524</c:v>
                </c:pt>
                <c:pt idx="139">
                  <c:v>0.63040235251188592</c:v>
                </c:pt>
                <c:pt idx="140">
                  <c:v>0.63751247625486973</c:v>
                </c:pt>
                <c:pt idx="141">
                  <c:v>0.64288397351277671</c:v>
                </c:pt>
                <c:pt idx="142">
                  <c:v>0.64808912070575364</c:v>
                </c:pt>
                <c:pt idx="143">
                  <c:v>0.65450164740225591</c:v>
                </c:pt>
                <c:pt idx="144">
                  <c:v>0.65519387831761056</c:v>
                </c:pt>
                <c:pt idx="145">
                  <c:v>0.66317331530313273</c:v>
                </c:pt>
                <c:pt idx="146">
                  <c:v>0.66594760509567819</c:v>
                </c:pt>
                <c:pt idx="147">
                  <c:v>0.66993464052287588</c:v>
                </c:pt>
                <c:pt idx="148">
                  <c:v>0.67894974081586656</c:v>
                </c:pt>
                <c:pt idx="149">
                  <c:v>0.67894974081586656</c:v>
                </c:pt>
                <c:pt idx="150">
                  <c:v>0.68275969391588054</c:v>
                </c:pt>
                <c:pt idx="151">
                  <c:v>0.68397780568165967</c:v>
                </c:pt>
                <c:pt idx="152">
                  <c:v>0.6916030780128144</c:v>
                </c:pt>
                <c:pt idx="153">
                  <c:v>0.69628771048649341</c:v>
                </c:pt>
                <c:pt idx="154">
                  <c:v>0.69906200027903875</c:v>
                </c:pt>
                <c:pt idx="155">
                  <c:v>0.7082488167680866</c:v>
                </c:pt>
                <c:pt idx="156">
                  <c:v>0.70894104768344124</c:v>
                </c:pt>
                <c:pt idx="157">
                  <c:v>0.71986649065756569</c:v>
                </c:pt>
                <c:pt idx="158">
                  <c:v>0.72298421284222492</c:v>
                </c:pt>
                <c:pt idx="159">
                  <c:v>0.72870987475449955</c:v>
                </c:pt>
                <c:pt idx="160">
                  <c:v>0.73061485130450643</c:v>
                </c:pt>
                <c:pt idx="161">
                  <c:v>0.73962995159749723</c:v>
                </c:pt>
                <c:pt idx="162">
                  <c:v>0.74292475610934028</c:v>
                </c:pt>
                <c:pt idx="163">
                  <c:v>0.74829625336724737</c:v>
                </c:pt>
                <c:pt idx="164">
                  <c:v>0.75523466091417413</c:v>
                </c:pt>
                <c:pt idx="165">
                  <c:v>0.75696792126812407</c:v>
                </c:pt>
                <c:pt idx="166">
                  <c:v>0.76840851283041955</c:v>
                </c:pt>
                <c:pt idx="167">
                  <c:v>0.77395709241551025</c:v>
                </c:pt>
                <c:pt idx="168">
                  <c:v>0.77534692037734632</c:v>
                </c:pt>
                <c:pt idx="169">
                  <c:v>0.78245167798920323</c:v>
                </c:pt>
                <c:pt idx="170">
                  <c:v>0.78661579574358487</c:v>
                </c:pt>
                <c:pt idx="171">
                  <c:v>0.79406935187868255</c:v>
                </c:pt>
                <c:pt idx="172">
                  <c:v>0.7978846711098232</c:v>
                </c:pt>
                <c:pt idx="173">
                  <c:v>0.80326153449885707</c:v>
                </c:pt>
                <c:pt idx="174">
                  <c:v>0.80620754048745946</c:v>
                </c:pt>
                <c:pt idx="175">
                  <c:v>0.81539435697650708</c:v>
                </c:pt>
                <c:pt idx="176">
                  <c:v>0.82094293656159778</c:v>
                </c:pt>
                <c:pt idx="177">
                  <c:v>0.82440945726949777</c:v>
                </c:pt>
                <c:pt idx="178">
                  <c:v>0.82874529121993623</c:v>
                </c:pt>
                <c:pt idx="179">
                  <c:v>0.83429387080502693</c:v>
                </c:pt>
                <c:pt idx="180">
                  <c:v>0.83810919003616768</c:v>
                </c:pt>
                <c:pt idx="181">
                  <c:v>0.8452139476480246</c:v>
                </c:pt>
                <c:pt idx="182">
                  <c:v>0.85059081103705847</c:v>
                </c:pt>
                <c:pt idx="183">
                  <c:v>0.85718042006074457</c:v>
                </c:pt>
                <c:pt idx="184">
                  <c:v>0.86099037316075855</c:v>
                </c:pt>
                <c:pt idx="185">
                  <c:v>0.86775706451162848</c:v>
                </c:pt>
                <c:pt idx="186">
                  <c:v>0.87018255578093306</c:v>
                </c:pt>
                <c:pt idx="187">
                  <c:v>0.87763611191603075</c:v>
                </c:pt>
                <c:pt idx="188">
                  <c:v>0.88231537825858308</c:v>
                </c:pt>
                <c:pt idx="189">
                  <c:v>0.8889049872822693</c:v>
                </c:pt>
                <c:pt idx="190">
                  <c:v>0.88977430052480755</c:v>
                </c:pt>
                <c:pt idx="191">
                  <c:v>0.89826888609850064</c:v>
                </c:pt>
                <c:pt idx="192">
                  <c:v>0.90312523476823681</c:v>
                </c:pt>
                <c:pt idx="193">
                  <c:v>0.90728398639149144</c:v>
                </c:pt>
                <c:pt idx="194">
                  <c:v>0.91560685576912759</c:v>
                </c:pt>
                <c:pt idx="195">
                  <c:v>0.92132715155027523</c:v>
                </c:pt>
                <c:pt idx="196">
                  <c:v>0.92462195606211828</c:v>
                </c:pt>
                <c:pt idx="197">
                  <c:v>0.93277310924369738</c:v>
                </c:pt>
                <c:pt idx="198">
                  <c:v>0.93710357706300917</c:v>
                </c:pt>
                <c:pt idx="199">
                  <c:v>0.93762409178230677</c:v>
                </c:pt>
                <c:pt idx="200">
                  <c:v>0.94143941101344752</c:v>
                </c:pt>
                <c:pt idx="201">
                  <c:v>0.94386490228275211</c:v>
                </c:pt>
                <c:pt idx="202">
                  <c:v>0.94768022151389297</c:v>
                </c:pt>
                <c:pt idx="203">
                  <c:v>0.95426983053757897</c:v>
                </c:pt>
                <c:pt idx="204">
                  <c:v>0.95600309089152902</c:v>
                </c:pt>
                <c:pt idx="205">
                  <c:v>0.95929789540337207</c:v>
                </c:pt>
                <c:pt idx="206">
                  <c:v>0.96155167047661971</c:v>
                </c:pt>
                <c:pt idx="207">
                  <c:v>0.96484647498846288</c:v>
                </c:pt>
                <c:pt idx="208">
                  <c:v>0.96224390139197458</c:v>
                </c:pt>
                <c:pt idx="209">
                  <c:v>0.96345664702662681</c:v>
                </c:pt>
                <c:pt idx="210">
                  <c:v>0.97004625605031281</c:v>
                </c:pt>
                <c:pt idx="211">
                  <c:v>0.97108728548890821</c:v>
                </c:pt>
                <c:pt idx="212">
                  <c:v>0.97941015486654426</c:v>
                </c:pt>
                <c:pt idx="213">
                  <c:v>0.98322010796655823</c:v>
                </c:pt>
                <c:pt idx="214">
                  <c:v>0.98374062268585605</c:v>
                </c:pt>
                <c:pt idx="215">
                  <c:v>0.99449434946392345</c:v>
                </c:pt>
                <c:pt idx="216">
                  <c:v>0.9957070950985758</c:v>
                </c:pt>
                <c:pt idx="217">
                  <c:v>0.99900189961041896</c:v>
                </c:pt>
                <c:pt idx="218">
                  <c:v>0.99431726713673974</c:v>
                </c:pt>
                <c:pt idx="219">
                  <c:v>0.99796087017182344</c:v>
                </c:pt>
                <c:pt idx="220">
                  <c:v>0.99709155692928519</c:v>
                </c:pt>
                <c:pt idx="221">
                  <c:v>1.0059349410262191</c:v>
                </c:pt>
                <c:pt idx="222">
                  <c:v>1.0090580293420051</c:v>
                </c:pt>
                <c:pt idx="223">
                  <c:v>1.0104424911727143</c:v>
                </c:pt>
                <c:pt idx="224">
                  <c:v>1.0100990587806002</c:v>
                </c:pt>
                <c:pt idx="225">
                  <c:v>1.0106142073687712</c:v>
                </c:pt>
                <c:pt idx="226">
                  <c:v>1.0123528338538481</c:v>
                </c:pt>
                <c:pt idx="227">
                  <c:v>1.010791289695955</c:v>
                </c:pt>
                <c:pt idx="228">
                  <c:v>0.93415757107440678</c:v>
                </c:pt>
                <c:pt idx="229">
                  <c:v>0.88214366206252603</c:v>
                </c:pt>
                <c:pt idx="230">
                  <c:v>0.86203140259935385</c:v>
                </c:pt>
                <c:pt idx="231">
                  <c:v>0.85093960956029913</c:v>
                </c:pt>
                <c:pt idx="232">
                  <c:v>0.84660377560986089</c:v>
                </c:pt>
                <c:pt idx="233">
                  <c:v>0.84001416658617467</c:v>
                </c:pt>
                <c:pt idx="234">
                  <c:v>0.84591154469450625</c:v>
                </c:pt>
                <c:pt idx="235">
                  <c:v>0.84660377560986089</c:v>
                </c:pt>
                <c:pt idx="236">
                  <c:v>0.84122691222082691</c:v>
                </c:pt>
                <c:pt idx="237">
                  <c:v>0.83377335608572933</c:v>
                </c:pt>
                <c:pt idx="238">
                  <c:v>0.82319671163484542</c:v>
                </c:pt>
                <c:pt idx="239">
                  <c:v>0.80932526267211868</c:v>
                </c:pt>
                <c:pt idx="240">
                  <c:v>0.80620754048745946</c:v>
                </c:pt>
                <c:pt idx="241">
                  <c:v>0.67947025553516427</c:v>
                </c:pt>
                <c:pt idx="242">
                  <c:v>0.29648089120705751</c:v>
                </c:pt>
                <c:pt idx="243">
                  <c:v>0.12986681262543331</c:v>
                </c:pt>
                <c:pt idx="244">
                  <c:v>5.4101870633310796E-2</c:v>
                </c:pt>
                <c:pt idx="245">
                  <c:v>1.8386511692799729E-2</c:v>
                </c:pt>
                <c:pt idx="246">
                  <c:v>3.1289910600255425E-3</c:v>
                </c:pt>
                <c:pt idx="247">
                  <c:v>1.7423827768655354E-3</c:v>
                </c:pt>
                <c:pt idx="248">
                  <c:v>-7.2732541292379023E-3</c:v>
                </c:pt>
                <c:pt idx="249">
                  <c:v>-1.0319070156798351E-3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5B-41F6-8B69-8D703D5DF2C2}"/>
            </c:ext>
          </c:extLst>
        </c:ser>
        <c:ser>
          <c:idx val="1"/>
          <c:order val="1"/>
          <c:tx>
            <c:v>OLT3-31</c:v>
          </c:tx>
          <c:spPr>
            <a:ln w="25400">
              <a:noFill/>
            </a:ln>
          </c:spPr>
          <c:marker>
            <c:symbol val="square"/>
            <c:size val="2"/>
            <c:spPr>
              <a:ln>
                <a:solidFill>
                  <a:schemeClr val="accent2"/>
                </a:solidFill>
              </a:ln>
            </c:spPr>
          </c:marker>
          <c:xVal>
            <c:numRef>
              <c:f>'OLT3-3'!$X$5:$X$254</c:f>
              <c:numCache>
                <c:formatCode>General</c:formatCode>
                <c:ptCount val="250"/>
                <c:pt idx="0">
                  <c:v>0</c:v>
                </c:pt>
                <c:pt idx="1">
                  <c:v>-1.4199000000000001E-5</c:v>
                </c:pt>
                <c:pt idx="2">
                  <c:v>8.2974299999999999E-6</c:v>
                </c:pt>
                <c:pt idx="3">
                  <c:v>6.2226499999999996E-6</c:v>
                </c:pt>
                <c:pt idx="4">
                  <c:v>1.5390899999999999E-5</c:v>
                </c:pt>
                <c:pt idx="5">
                  <c:v>5.1801000000000001E-5</c:v>
                </c:pt>
                <c:pt idx="6">
                  <c:v>8.14744E-5</c:v>
                </c:pt>
                <c:pt idx="7">
                  <c:v>9.3342400000000003E-5</c:v>
                </c:pt>
                <c:pt idx="8">
                  <c:v>8.6218300000000001E-5</c:v>
                </c:pt>
                <c:pt idx="9">
                  <c:v>1.0775100000000001E-4</c:v>
                </c:pt>
                <c:pt idx="10">
                  <c:v>1.4675199999999999E-4</c:v>
                </c:pt>
                <c:pt idx="11">
                  <c:v>1.5708599999999999E-4</c:v>
                </c:pt>
                <c:pt idx="12">
                  <c:v>1.5557099999999999E-4</c:v>
                </c:pt>
                <c:pt idx="13">
                  <c:v>1.62917E-4</c:v>
                </c:pt>
                <c:pt idx="14">
                  <c:v>2.2055100000000001E-4</c:v>
                </c:pt>
                <c:pt idx="15">
                  <c:v>2.2961699999999999E-4</c:v>
                </c:pt>
                <c:pt idx="16">
                  <c:v>2.2597700000000001E-4</c:v>
                </c:pt>
                <c:pt idx="17">
                  <c:v>2.3673999999999999E-4</c:v>
                </c:pt>
                <c:pt idx="18">
                  <c:v>2.91346E-4</c:v>
                </c:pt>
                <c:pt idx="19">
                  <c:v>2.8066099999999997E-4</c:v>
                </c:pt>
                <c:pt idx="20">
                  <c:v>2.8727499999999998E-4</c:v>
                </c:pt>
                <c:pt idx="21">
                  <c:v>3.3799299999999997E-4</c:v>
                </c:pt>
                <c:pt idx="22">
                  <c:v>3.6569599999999999E-4</c:v>
                </c:pt>
                <c:pt idx="23">
                  <c:v>3.9404400000000002E-4</c:v>
                </c:pt>
                <c:pt idx="24">
                  <c:v>4.1454799999999999E-4</c:v>
                </c:pt>
                <c:pt idx="25">
                  <c:v>4.42736E-4</c:v>
                </c:pt>
                <c:pt idx="26">
                  <c:v>4.7133400000000001E-4</c:v>
                </c:pt>
                <c:pt idx="27">
                  <c:v>4.74026E-4</c:v>
                </c:pt>
                <c:pt idx="28">
                  <c:v>5.0611199999999997E-4</c:v>
                </c:pt>
                <c:pt idx="29">
                  <c:v>5.2057799999999995E-4</c:v>
                </c:pt>
                <c:pt idx="30">
                  <c:v>5.3303200000000002E-4</c:v>
                </c:pt>
                <c:pt idx="31">
                  <c:v>5.3228300000000004E-4</c:v>
                </c:pt>
                <c:pt idx="32">
                  <c:v>5.8272399999999996E-4</c:v>
                </c:pt>
                <c:pt idx="33">
                  <c:v>6.2689199999999999E-4</c:v>
                </c:pt>
                <c:pt idx="34">
                  <c:v>6.7182099999999996E-4</c:v>
                </c:pt>
                <c:pt idx="35">
                  <c:v>7.1075399999999996E-4</c:v>
                </c:pt>
                <c:pt idx="36">
                  <c:v>7.5881500000000003E-4</c:v>
                </c:pt>
                <c:pt idx="37">
                  <c:v>7.3919899999999995E-4</c:v>
                </c:pt>
                <c:pt idx="38">
                  <c:v>7.7951799999999999E-4</c:v>
                </c:pt>
                <c:pt idx="39">
                  <c:v>7.8356400000000005E-4</c:v>
                </c:pt>
                <c:pt idx="40">
                  <c:v>8.4772500000000002E-4</c:v>
                </c:pt>
                <c:pt idx="41">
                  <c:v>8.3608100000000002E-4</c:v>
                </c:pt>
                <c:pt idx="42">
                  <c:v>8.61406E-4</c:v>
                </c:pt>
                <c:pt idx="43">
                  <c:v>8.9737499999999995E-4</c:v>
                </c:pt>
                <c:pt idx="44">
                  <c:v>9.3535600000000003E-4</c:v>
                </c:pt>
                <c:pt idx="45">
                  <c:v>9.6691799999999999E-4</c:v>
                </c:pt>
                <c:pt idx="46">
                  <c:v>9.8411000000000006E-4</c:v>
                </c:pt>
                <c:pt idx="47">
                  <c:v>1.0050599999999999E-3</c:v>
                </c:pt>
                <c:pt idx="48">
                  <c:v>1.0583599999999999E-3</c:v>
                </c:pt>
                <c:pt idx="49">
                  <c:v>1.0794299999999999E-3</c:v>
                </c:pt>
                <c:pt idx="50">
                  <c:v>1.1037499999999999E-3</c:v>
                </c:pt>
                <c:pt idx="51">
                  <c:v>1.15533E-3</c:v>
                </c:pt>
                <c:pt idx="52">
                  <c:v>1.1786100000000001E-3</c:v>
                </c:pt>
                <c:pt idx="53">
                  <c:v>1.2258099999999999E-3</c:v>
                </c:pt>
                <c:pt idx="54">
                  <c:v>1.2695199999999999E-3</c:v>
                </c:pt>
                <c:pt idx="55">
                  <c:v>1.27644E-3</c:v>
                </c:pt>
                <c:pt idx="56">
                  <c:v>1.3079599999999999E-3</c:v>
                </c:pt>
                <c:pt idx="57">
                  <c:v>1.31707E-3</c:v>
                </c:pt>
                <c:pt idx="58">
                  <c:v>1.36852E-3</c:v>
                </c:pt>
                <c:pt idx="59">
                  <c:v>1.39028E-3</c:v>
                </c:pt>
                <c:pt idx="60">
                  <c:v>1.4166599999999999E-3</c:v>
                </c:pt>
                <c:pt idx="61">
                  <c:v>1.41573E-3</c:v>
                </c:pt>
                <c:pt idx="62">
                  <c:v>1.4678600000000001E-3</c:v>
                </c:pt>
                <c:pt idx="63">
                  <c:v>1.4925800000000001E-3</c:v>
                </c:pt>
                <c:pt idx="64">
                  <c:v>1.5285699999999999E-3</c:v>
                </c:pt>
                <c:pt idx="65">
                  <c:v>1.5595100000000001E-3</c:v>
                </c:pt>
                <c:pt idx="66">
                  <c:v>1.5907600000000001E-3</c:v>
                </c:pt>
                <c:pt idx="67">
                  <c:v>1.5971099999999999E-3</c:v>
                </c:pt>
                <c:pt idx="68">
                  <c:v>1.6148899999999999E-3</c:v>
                </c:pt>
                <c:pt idx="69">
                  <c:v>1.6667800000000001E-3</c:v>
                </c:pt>
                <c:pt idx="70">
                  <c:v>1.67888E-3</c:v>
                </c:pt>
                <c:pt idx="71">
                  <c:v>1.7179000000000001E-3</c:v>
                </c:pt>
                <c:pt idx="72">
                  <c:v>1.74832E-3</c:v>
                </c:pt>
                <c:pt idx="73">
                  <c:v>1.77926E-3</c:v>
                </c:pt>
                <c:pt idx="74">
                  <c:v>1.7780700000000001E-3</c:v>
                </c:pt>
                <c:pt idx="75">
                  <c:v>1.81909E-3</c:v>
                </c:pt>
                <c:pt idx="76">
                  <c:v>1.85856E-3</c:v>
                </c:pt>
                <c:pt idx="77">
                  <c:v>1.9333899999999999E-3</c:v>
                </c:pt>
                <c:pt idx="78">
                  <c:v>1.9721500000000002E-3</c:v>
                </c:pt>
                <c:pt idx="79">
                  <c:v>2.0250400000000001E-3</c:v>
                </c:pt>
                <c:pt idx="80">
                  <c:v>2.02389E-3</c:v>
                </c:pt>
                <c:pt idx="81">
                  <c:v>2.0402699999999998E-3</c:v>
                </c:pt>
                <c:pt idx="82">
                  <c:v>2.0772999999999998E-3</c:v>
                </c:pt>
                <c:pt idx="83">
                  <c:v>2.1768199999999999E-3</c:v>
                </c:pt>
                <c:pt idx="84">
                  <c:v>2.2217399999999998E-3</c:v>
                </c:pt>
                <c:pt idx="85">
                  <c:v>2.2403900000000001E-3</c:v>
                </c:pt>
                <c:pt idx="86">
                  <c:v>2.2369500000000001E-3</c:v>
                </c:pt>
                <c:pt idx="87">
                  <c:v>2.27517E-3</c:v>
                </c:pt>
                <c:pt idx="88">
                  <c:v>2.3328200000000002E-3</c:v>
                </c:pt>
                <c:pt idx="89">
                  <c:v>2.3715799999999999E-3</c:v>
                </c:pt>
                <c:pt idx="90">
                  <c:v>2.4604800000000001E-3</c:v>
                </c:pt>
                <c:pt idx="91">
                  <c:v>2.4775600000000002E-3</c:v>
                </c:pt>
                <c:pt idx="92">
                  <c:v>2.4928099999999998E-3</c:v>
                </c:pt>
                <c:pt idx="93">
                  <c:v>2.4935399999999998E-3</c:v>
                </c:pt>
                <c:pt idx="94">
                  <c:v>2.5500599999999998E-3</c:v>
                </c:pt>
                <c:pt idx="95">
                  <c:v>2.5727900000000001E-3</c:v>
                </c:pt>
                <c:pt idx="96">
                  <c:v>2.5786699999999999E-3</c:v>
                </c:pt>
                <c:pt idx="97">
                  <c:v>2.6016099999999999E-3</c:v>
                </c:pt>
                <c:pt idx="98">
                  <c:v>2.6689999999999999E-3</c:v>
                </c:pt>
                <c:pt idx="99">
                  <c:v>2.7104899999999999E-3</c:v>
                </c:pt>
                <c:pt idx="100">
                  <c:v>2.7326199999999998E-3</c:v>
                </c:pt>
                <c:pt idx="101">
                  <c:v>2.7629799999999999E-3</c:v>
                </c:pt>
                <c:pt idx="102">
                  <c:v>2.7881799999999999E-3</c:v>
                </c:pt>
                <c:pt idx="103">
                  <c:v>2.8196100000000002E-3</c:v>
                </c:pt>
                <c:pt idx="104">
                  <c:v>2.8440800000000001E-3</c:v>
                </c:pt>
                <c:pt idx="105">
                  <c:v>2.9036999999999999E-3</c:v>
                </c:pt>
                <c:pt idx="106">
                  <c:v>2.9443999999999998E-3</c:v>
                </c:pt>
                <c:pt idx="107">
                  <c:v>2.9367299999999998E-3</c:v>
                </c:pt>
                <c:pt idx="108">
                  <c:v>2.9856700000000002E-3</c:v>
                </c:pt>
                <c:pt idx="109">
                  <c:v>3.00761E-3</c:v>
                </c:pt>
                <c:pt idx="110">
                  <c:v>3.0663000000000001E-3</c:v>
                </c:pt>
                <c:pt idx="111">
                  <c:v>3.0803900000000001E-3</c:v>
                </c:pt>
                <c:pt idx="112">
                  <c:v>3.0976200000000001E-3</c:v>
                </c:pt>
                <c:pt idx="113">
                  <c:v>3.1112700000000002E-3</c:v>
                </c:pt>
                <c:pt idx="114">
                  <c:v>3.1442100000000001E-3</c:v>
                </c:pt>
                <c:pt idx="115">
                  <c:v>3.19149E-3</c:v>
                </c:pt>
                <c:pt idx="116">
                  <c:v>3.30402E-3</c:v>
                </c:pt>
                <c:pt idx="117">
                  <c:v>3.26458E-3</c:v>
                </c:pt>
                <c:pt idx="118">
                  <c:v>3.28356E-3</c:v>
                </c:pt>
                <c:pt idx="119">
                  <c:v>3.3230600000000001E-3</c:v>
                </c:pt>
                <c:pt idx="120">
                  <c:v>3.3579500000000002E-3</c:v>
                </c:pt>
                <c:pt idx="121">
                  <c:v>3.4364199999999999E-3</c:v>
                </c:pt>
                <c:pt idx="122">
                  <c:v>3.4485200000000001E-3</c:v>
                </c:pt>
                <c:pt idx="123">
                  <c:v>3.4604900000000001E-3</c:v>
                </c:pt>
                <c:pt idx="124">
                  <c:v>3.4992299999999999E-3</c:v>
                </c:pt>
                <c:pt idx="125">
                  <c:v>3.5607199999999999E-3</c:v>
                </c:pt>
                <c:pt idx="126">
                  <c:v>3.5964999999999999E-3</c:v>
                </c:pt>
                <c:pt idx="127">
                  <c:v>3.6381199999999999E-3</c:v>
                </c:pt>
                <c:pt idx="128">
                  <c:v>3.6898999999999999E-3</c:v>
                </c:pt>
                <c:pt idx="129">
                  <c:v>3.7404399999999998E-3</c:v>
                </c:pt>
                <c:pt idx="130">
                  <c:v>3.7735099999999999E-3</c:v>
                </c:pt>
                <c:pt idx="131">
                  <c:v>3.82716E-3</c:v>
                </c:pt>
                <c:pt idx="132">
                  <c:v>3.8979599999999998E-3</c:v>
                </c:pt>
                <c:pt idx="133">
                  <c:v>3.9099099999999999E-3</c:v>
                </c:pt>
                <c:pt idx="134">
                  <c:v>3.9623899999999997E-3</c:v>
                </c:pt>
                <c:pt idx="135">
                  <c:v>4.0224199999999996E-3</c:v>
                </c:pt>
                <c:pt idx="136">
                  <c:v>4.0089599999999998E-3</c:v>
                </c:pt>
                <c:pt idx="137">
                  <c:v>4.0831000000000001E-3</c:v>
                </c:pt>
                <c:pt idx="138">
                  <c:v>4.1549300000000003E-3</c:v>
                </c:pt>
                <c:pt idx="139">
                  <c:v>4.1247300000000001E-3</c:v>
                </c:pt>
                <c:pt idx="140">
                  <c:v>4.2261199999999999E-3</c:v>
                </c:pt>
                <c:pt idx="141">
                  <c:v>4.3028800000000002E-3</c:v>
                </c:pt>
                <c:pt idx="142">
                  <c:v>4.3165299999999998E-3</c:v>
                </c:pt>
                <c:pt idx="143">
                  <c:v>4.3515899999999998E-3</c:v>
                </c:pt>
                <c:pt idx="144">
                  <c:v>4.3890600000000002E-3</c:v>
                </c:pt>
                <c:pt idx="145">
                  <c:v>4.4569800000000001E-3</c:v>
                </c:pt>
                <c:pt idx="146">
                  <c:v>4.4668900000000003E-3</c:v>
                </c:pt>
                <c:pt idx="147">
                  <c:v>4.4999599999999999E-3</c:v>
                </c:pt>
                <c:pt idx="148">
                  <c:v>4.56932E-3</c:v>
                </c:pt>
                <c:pt idx="149">
                  <c:v>4.5560399999999999E-3</c:v>
                </c:pt>
                <c:pt idx="150">
                  <c:v>4.5726200000000003E-3</c:v>
                </c:pt>
                <c:pt idx="151">
                  <c:v>4.6287799999999999E-3</c:v>
                </c:pt>
                <c:pt idx="152">
                  <c:v>4.6246000000000004E-3</c:v>
                </c:pt>
                <c:pt idx="153">
                  <c:v>4.7242999999999999E-3</c:v>
                </c:pt>
                <c:pt idx="154">
                  <c:v>4.7672299999999999E-3</c:v>
                </c:pt>
                <c:pt idx="155">
                  <c:v>4.8880399999999997E-3</c:v>
                </c:pt>
                <c:pt idx="156">
                  <c:v>4.8984900000000001E-3</c:v>
                </c:pt>
                <c:pt idx="157">
                  <c:v>4.9717700000000004E-3</c:v>
                </c:pt>
                <c:pt idx="158">
                  <c:v>4.9949499999999997E-3</c:v>
                </c:pt>
                <c:pt idx="159">
                  <c:v>5.0305300000000001E-3</c:v>
                </c:pt>
                <c:pt idx="160">
                  <c:v>5.0740200000000003E-3</c:v>
                </c:pt>
                <c:pt idx="161">
                  <c:v>5.1676400000000003E-3</c:v>
                </c:pt>
                <c:pt idx="162">
                  <c:v>5.2183200000000002E-3</c:v>
                </c:pt>
                <c:pt idx="163">
                  <c:v>5.27064E-3</c:v>
                </c:pt>
                <c:pt idx="164">
                  <c:v>5.3159899999999996E-3</c:v>
                </c:pt>
                <c:pt idx="165">
                  <c:v>5.3376400000000003E-3</c:v>
                </c:pt>
                <c:pt idx="166">
                  <c:v>5.4067400000000002E-3</c:v>
                </c:pt>
                <c:pt idx="167">
                  <c:v>5.45204E-3</c:v>
                </c:pt>
                <c:pt idx="168">
                  <c:v>5.4839600000000004E-3</c:v>
                </c:pt>
                <c:pt idx="169">
                  <c:v>5.5345799999999999E-3</c:v>
                </c:pt>
                <c:pt idx="170">
                  <c:v>5.5980400000000003E-3</c:v>
                </c:pt>
                <c:pt idx="171">
                  <c:v>5.7083000000000004E-3</c:v>
                </c:pt>
                <c:pt idx="172">
                  <c:v>5.7020600000000001E-3</c:v>
                </c:pt>
                <c:pt idx="173">
                  <c:v>5.7643399999999997E-3</c:v>
                </c:pt>
                <c:pt idx="174">
                  <c:v>5.8454900000000001E-3</c:v>
                </c:pt>
                <c:pt idx="175">
                  <c:v>5.9568099999999999E-3</c:v>
                </c:pt>
                <c:pt idx="176">
                  <c:v>5.9831600000000004E-3</c:v>
                </c:pt>
                <c:pt idx="177">
                  <c:v>6.0385500000000002E-3</c:v>
                </c:pt>
                <c:pt idx="178">
                  <c:v>6.1243599999999997E-3</c:v>
                </c:pt>
                <c:pt idx="179">
                  <c:v>6.1989200000000001E-3</c:v>
                </c:pt>
                <c:pt idx="180">
                  <c:v>6.2317300000000004E-3</c:v>
                </c:pt>
                <c:pt idx="181">
                  <c:v>6.3507399999999997E-3</c:v>
                </c:pt>
                <c:pt idx="182">
                  <c:v>6.4616500000000002E-3</c:v>
                </c:pt>
                <c:pt idx="183">
                  <c:v>6.5424300000000001E-3</c:v>
                </c:pt>
                <c:pt idx="184">
                  <c:v>6.5944999999999997E-3</c:v>
                </c:pt>
                <c:pt idx="185">
                  <c:v>6.6927000000000002E-3</c:v>
                </c:pt>
                <c:pt idx="186">
                  <c:v>6.7297800000000003E-3</c:v>
                </c:pt>
                <c:pt idx="187">
                  <c:v>6.9118900000000004E-3</c:v>
                </c:pt>
                <c:pt idx="188">
                  <c:v>7.0197100000000002E-3</c:v>
                </c:pt>
                <c:pt idx="189">
                  <c:v>7.1037000000000001E-3</c:v>
                </c:pt>
                <c:pt idx="190">
                  <c:v>7.1407800000000002E-3</c:v>
                </c:pt>
                <c:pt idx="191">
                  <c:v>7.3499000000000004E-3</c:v>
                </c:pt>
                <c:pt idx="192">
                  <c:v>7.5162600000000003E-3</c:v>
                </c:pt>
                <c:pt idx="193">
                  <c:v>7.5170100000000002E-3</c:v>
                </c:pt>
                <c:pt idx="194">
                  <c:v>7.7415499999999998E-3</c:v>
                </c:pt>
                <c:pt idx="195">
                  <c:v>7.6640399999999996E-3</c:v>
                </c:pt>
                <c:pt idx="196">
                  <c:v>7.8181799999999992E-3</c:v>
                </c:pt>
                <c:pt idx="197">
                  <c:v>8.0133800000000005E-3</c:v>
                </c:pt>
                <c:pt idx="198">
                  <c:v>8.1886800000000003E-3</c:v>
                </c:pt>
                <c:pt idx="199">
                  <c:v>8.1915100000000008E-3</c:v>
                </c:pt>
                <c:pt idx="200">
                  <c:v>8.2077000000000001E-3</c:v>
                </c:pt>
                <c:pt idx="201">
                  <c:v>8.2841900000000003E-3</c:v>
                </c:pt>
                <c:pt idx="202">
                  <c:v>8.4562300000000003E-3</c:v>
                </c:pt>
                <c:pt idx="203">
                  <c:v>8.5719699999999999E-3</c:v>
                </c:pt>
                <c:pt idx="204">
                  <c:v>8.6772700000000008E-3</c:v>
                </c:pt>
                <c:pt idx="205">
                  <c:v>8.7305400000000002E-3</c:v>
                </c:pt>
                <c:pt idx="206">
                  <c:v>8.8248200000000006E-3</c:v>
                </c:pt>
                <c:pt idx="207">
                  <c:v>8.8416799999999993E-3</c:v>
                </c:pt>
                <c:pt idx="208">
                  <c:v>8.8904799999999992E-3</c:v>
                </c:pt>
                <c:pt idx="209">
                  <c:v>8.9412099999999998E-3</c:v>
                </c:pt>
                <c:pt idx="210">
                  <c:v>9.0471400000000004E-3</c:v>
                </c:pt>
                <c:pt idx="211">
                  <c:v>9.1311399999999994E-3</c:v>
                </c:pt>
                <c:pt idx="212">
                  <c:v>9.3989499999999997E-3</c:v>
                </c:pt>
                <c:pt idx="213">
                  <c:v>9.5522200000000002E-3</c:v>
                </c:pt>
                <c:pt idx="214">
                  <c:v>9.7324000000000004E-3</c:v>
                </c:pt>
                <c:pt idx="215">
                  <c:v>1.00413E-2</c:v>
                </c:pt>
                <c:pt idx="216">
                  <c:v>1.0183299999999999E-2</c:v>
                </c:pt>
                <c:pt idx="217">
                  <c:v>1.0228900000000001E-2</c:v>
                </c:pt>
                <c:pt idx="218">
                  <c:v>1.03386E-2</c:v>
                </c:pt>
                <c:pt idx="219">
                  <c:v>1.0430399999999999E-2</c:v>
                </c:pt>
                <c:pt idx="220">
                  <c:v>1.05068E-2</c:v>
                </c:pt>
                <c:pt idx="221">
                  <c:v>1.09687E-2</c:v>
                </c:pt>
                <c:pt idx="222">
                  <c:v>1.1228699999999999E-2</c:v>
                </c:pt>
                <c:pt idx="223">
                  <c:v>1.1583E-2</c:v>
                </c:pt>
                <c:pt idx="224">
                  <c:v>1.16159E-2</c:v>
                </c:pt>
                <c:pt idx="225">
                  <c:v>1.16823E-2</c:v>
                </c:pt>
                <c:pt idx="226">
                  <c:v>1.20121E-2</c:v>
                </c:pt>
                <c:pt idx="227">
                  <c:v>1.2034400000000001E-2</c:v>
                </c:pt>
                <c:pt idx="228">
                  <c:v>1.2718500000000001E-2</c:v>
                </c:pt>
                <c:pt idx="229">
                  <c:v>1.2763099999999999E-2</c:v>
                </c:pt>
                <c:pt idx="230">
                  <c:v>1.28218E-2</c:v>
                </c:pt>
                <c:pt idx="231">
                  <c:v>1.2864499999999999E-2</c:v>
                </c:pt>
                <c:pt idx="232">
                  <c:v>1.28682E-2</c:v>
                </c:pt>
                <c:pt idx="233">
                  <c:v>1.29035E-2</c:v>
                </c:pt>
                <c:pt idx="234">
                  <c:v>1.32281E-2</c:v>
                </c:pt>
                <c:pt idx="235">
                  <c:v>1.40012E-2</c:v>
                </c:pt>
                <c:pt idx="236">
                  <c:v>1.43299E-2</c:v>
                </c:pt>
                <c:pt idx="237">
                  <c:v>1.44174E-2</c:v>
                </c:pt>
                <c:pt idx="238">
                  <c:v>1.4461399999999999E-2</c:v>
                </c:pt>
                <c:pt idx="239">
                  <c:v>1.44841E-2</c:v>
                </c:pt>
                <c:pt idx="240">
                  <c:v>1.45139E-2</c:v>
                </c:pt>
                <c:pt idx="241">
                  <c:v>1.46202E-2</c:v>
                </c:pt>
                <c:pt idx="242">
                  <c:v>1.6405200000000002E-2</c:v>
                </c:pt>
                <c:pt idx="243">
                  <c:v>1.6487100000000001E-2</c:v>
                </c:pt>
                <c:pt idx="244">
                  <c:v>1.6532999999999999E-2</c:v>
                </c:pt>
                <c:pt idx="245">
                  <c:v>1.65702E-2</c:v>
                </c:pt>
                <c:pt idx="246">
                  <c:v>1.66076E-2</c:v>
                </c:pt>
                <c:pt idx="247">
                  <c:v>1.6653299999999999E-2</c:v>
                </c:pt>
                <c:pt idx="248">
                  <c:v>1.67484E-2</c:v>
                </c:pt>
                <c:pt idx="249">
                  <c:v>1.7229999999999999E-2</c:v>
                </c:pt>
              </c:numCache>
            </c:numRef>
          </c:xVal>
          <c:yVal>
            <c:numRef>
              <c:f>'OLT3-3'!$V$5:$V$254</c:f>
              <c:numCache>
                <c:formatCode>General</c:formatCode>
                <c:ptCount val="250"/>
                <c:pt idx="0">
                  <c:v>-0.15048187857518486</c:v>
                </c:pt>
                <c:pt idx="1">
                  <c:v>-0.15117518271676489</c:v>
                </c:pt>
                <c:pt idx="2">
                  <c:v>-0.14684095860566448</c:v>
                </c:pt>
                <c:pt idx="3">
                  <c:v>-0.14094626356289641</c:v>
                </c:pt>
                <c:pt idx="4">
                  <c:v>-0.13262393079837298</c:v>
                </c:pt>
                <c:pt idx="5">
                  <c:v>-0.12880968479345761</c:v>
                </c:pt>
                <c:pt idx="6">
                  <c:v>-0.12152784485441687</c:v>
                </c:pt>
                <c:pt idx="7">
                  <c:v>-0.11129892570054842</c:v>
                </c:pt>
                <c:pt idx="8">
                  <c:v>-0.10800465780181803</c:v>
                </c:pt>
                <c:pt idx="9">
                  <c:v>-0.10176331068825997</c:v>
                </c:pt>
                <c:pt idx="10">
                  <c:v>-9.2053833027463852E-2</c:v>
                </c:pt>
                <c:pt idx="11">
                  <c:v>-8.4078688946843103E-2</c:v>
                </c:pt>
                <c:pt idx="12">
                  <c:v>-7.7664015797890035E-2</c:v>
                </c:pt>
                <c:pt idx="13">
                  <c:v>-7.5236378076134675E-2</c:v>
                </c:pt>
                <c:pt idx="14">
                  <c:v>-7.0555501894244296E-2</c:v>
                </c:pt>
                <c:pt idx="15">
                  <c:v>-6.5874089099241223E-2</c:v>
                </c:pt>
                <c:pt idx="16">
                  <c:v>-5.8592785773313158E-2</c:v>
                </c:pt>
                <c:pt idx="17">
                  <c:v>-5.3391394872125096E-2</c:v>
                </c:pt>
                <c:pt idx="18">
                  <c:v>-4.6976185110059354E-2</c:v>
                </c:pt>
                <c:pt idx="19">
                  <c:v>-4.5415714178391665E-2</c:v>
                </c:pt>
                <c:pt idx="20">
                  <c:v>-3.6573939920795905E-2</c:v>
                </c:pt>
                <c:pt idx="21">
                  <c:v>-2.8251607156272472E-2</c:v>
                </c:pt>
                <c:pt idx="22">
                  <c:v>-2.3744057009777091E-2</c:v>
                </c:pt>
                <c:pt idx="23">
                  <c:v>-1.5942238964551336E-2</c:v>
                </c:pt>
                <c:pt idx="24">
                  <c:v>-1.4901746139068655E-2</c:v>
                </c:pt>
                <c:pt idx="25">
                  <c:v>-6.4066239522628972E-3</c:v>
                </c:pt>
                <c:pt idx="26">
                  <c:v>-1.8985371926548398E-3</c:v>
                </c:pt>
                <c:pt idx="27">
                  <c:v>6.2499329233609152E-3</c:v>
                </c:pt>
                <c:pt idx="28">
                  <c:v>1.249181665003166E-2</c:v>
                </c:pt>
                <c:pt idx="29">
                  <c:v>1.5265569829464355E-2</c:v>
                </c:pt>
                <c:pt idx="30">
                  <c:v>2.7054959915000485E-2</c:v>
                </c:pt>
                <c:pt idx="31">
                  <c:v>2.9309271601360848E-2</c:v>
                </c:pt>
                <c:pt idx="32">
                  <c:v>3.9538190755229297E-2</c:v>
                </c:pt>
                <c:pt idx="33">
                  <c:v>4.387241486632968E-2</c:v>
                </c:pt>
                <c:pt idx="34">
                  <c:v>5.2021421595458105E-2</c:v>
                </c:pt>
                <c:pt idx="35">
                  <c:v>5.7222275883533492E-2</c:v>
                </c:pt>
                <c:pt idx="36">
                  <c:v>6.2596992820116548E-2</c:v>
                </c:pt>
                <c:pt idx="37">
                  <c:v>6.6584564860426937E-2</c:v>
                </c:pt>
                <c:pt idx="38">
                  <c:v>7.4560245554160354E-2</c:v>
                </c:pt>
                <c:pt idx="39">
                  <c:v>7.9587773806840748E-2</c:v>
                </c:pt>
                <c:pt idx="40">
                  <c:v>8.2362063599386109E-2</c:v>
                </c:pt>
                <c:pt idx="41">
                  <c:v>9.2244330682464556E-2</c:v>
                </c:pt>
                <c:pt idx="42">
                  <c:v>9.1031048434699544E-2</c:v>
                </c:pt>
                <c:pt idx="43">
                  <c:v>9.5018620475009932E-2</c:v>
                </c:pt>
                <c:pt idx="44">
                  <c:v>0.10784850338602874</c:v>
                </c:pt>
                <c:pt idx="45">
                  <c:v>0.11495648067656181</c:v>
                </c:pt>
                <c:pt idx="46">
                  <c:v>0.11634362557283449</c:v>
                </c:pt>
                <c:pt idx="47">
                  <c:v>0.12310548740569024</c:v>
                </c:pt>
                <c:pt idx="48">
                  <c:v>0.12674640737521062</c:v>
                </c:pt>
                <c:pt idx="49">
                  <c:v>0.13420157334964639</c:v>
                </c:pt>
                <c:pt idx="50">
                  <c:v>0.14269669553645212</c:v>
                </c:pt>
                <c:pt idx="51">
                  <c:v>0.14893857926312287</c:v>
                </c:pt>
                <c:pt idx="52">
                  <c:v>0.14893857926312287</c:v>
                </c:pt>
                <c:pt idx="53">
                  <c:v>0.15830086824001632</c:v>
                </c:pt>
                <c:pt idx="54">
                  <c:v>0.16644933835603207</c:v>
                </c:pt>
                <c:pt idx="55">
                  <c:v>0.17026358436094743</c:v>
                </c:pt>
                <c:pt idx="56">
                  <c:v>0.17667825750990052</c:v>
                </c:pt>
                <c:pt idx="57">
                  <c:v>0.18101301823411356</c:v>
                </c:pt>
                <c:pt idx="58">
                  <c:v>0.18760101741846164</c:v>
                </c:pt>
                <c:pt idx="59">
                  <c:v>0.1936690384966247</c:v>
                </c:pt>
                <c:pt idx="60">
                  <c:v>0.20008424825869042</c:v>
                </c:pt>
                <c:pt idx="61">
                  <c:v>0.20285800143812316</c:v>
                </c:pt>
                <c:pt idx="62">
                  <c:v>0.20788606630391621</c:v>
                </c:pt>
                <c:pt idx="63">
                  <c:v>0.21586121038453696</c:v>
                </c:pt>
                <c:pt idx="64">
                  <c:v>0.21794165942238963</c:v>
                </c:pt>
                <c:pt idx="65">
                  <c:v>0.22158257939191003</c:v>
                </c:pt>
                <c:pt idx="66">
                  <c:v>0.22990491215643344</c:v>
                </c:pt>
                <c:pt idx="67">
                  <c:v>0.23666623737617654</c:v>
                </c:pt>
                <c:pt idx="68">
                  <c:v>0.23736007813086921</c:v>
                </c:pt>
                <c:pt idx="69">
                  <c:v>0.24464191806990995</c:v>
                </c:pt>
                <c:pt idx="70">
                  <c:v>0.24862949011022034</c:v>
                </c:pt>
                <c:pt idx="71">
                  <c:v>0.25122991725425803</c:v>
                </c:pt>
                <c:pt idx="72">
                  <c:v>0.25851175719329877</c:v>
                </c:pt>
                <c:pt idx="73">
                  <c:v>0.26562027109694453</c:v>
                </c:pt>
                <c:pt idx="74">
                  <c:v>0.2715149661397126</c:v>
                </c:pt>
                <c:pt idx="75">
                  <c:v>0.27862348004335835</c:v>
                </c:pt>
                <c:pt idx="76">
                  <c:v>0.280703929081211</c:v>
                </c:pt>
                <c:pt idx="77">
                  <c:v>0.29110671088358714</c:v>
                </c:pt>
                <c:pt idx="78">
                  <c:v>0.29925518099960291</c:v>
                </c:pt>
                <c:pt idx="79">
                  <c:v>0.30046899986048059</c:v>
                </c:pt>
                <c:pt idx="80">
                  <c:v>0.30879079601189136</c:v>
                </c:pt>
                <c:pt idx="81">
                  <c:v>0.31468549105465937</c:v>
                </c:pt>
                <c:pt idx="82">
                  <c:v>0.31745978084720478</c:v>
                </c:pt>
                <c:pt idx="83">
                  <c:v>0.3275153739656782</c:v>
                </c:pt>
                <c:pt idx="84">
                  <c:v>0.33826480783884433</c:v>
                </c:pt>
                <c:pt idx="85">
                  <c:v>0.34415950288161234</c:v>
                </c:pt>
                <c:pt idx="86">
                  <c:v>0.34658660399025509</c:v>
                </c:pt>
                <c:pt idx="87">
                  <c:v>0.35265462506841816</c:v>
                </c:pt>
                <c:pt idx="88">
                  <c:v>0.35716271182802622</c:v>
                </c:pt>
                <c:pt idx="89">
                  <c:v>0.36565783401483198</c:v>
                </c:pt>
                <c:pt idx="90">
                  <c:v>0.36843212380737733</c:v>
                </c:pt>
                <c:pt idx="91">
                  <c:v>0.37606061581720807</c:v>
                </c:pt>
                <c:pt idx="92">
                  <c:v>0.38056816596370352</c:v>
                </c:pt>
                <c:pt idx="93">
                  <c:v>0.38698337572576919</c:v>
                </c:pt>
                <c:pt idx="94">
                  <c:v>0.39339804887472235</c:v>
                </c:pt>
                <c:pt idx="95">
                  <c:v>0.39582568659647765</c:v>
                </c:pt>
                <c:pt idx="96">
                  <c:v>0.39963993260139308</c:v>
                </c:pt>
                <c:pt idx="97">
                  <c:v>0.40553462764416104</c:v>
                </c:pt>
                <c:pt idx="98">
                  <c:v>0.41038882986144648</c:v>
                </c:pt>
                <c:pt idx="99">
                  <c:v>0.41715069169430224</c:v>
                </c:pt>
                <c:pt idx="100">
                  <c:v>0.42287206070167532</c:v>
                </c:pt>
                <c:pt idx="101">
                  <c:v>0.4263396546358007</c:v>
                </c:pt>
                <c:pt idx="102">
                  <c:v>0.43171437157238379</c:v>
                </c:pt>
                <c:pt idx="103">
                  <c:v>0.43934286358221453</c:v>
                </c:pt>
                <c:pt idx="104">
                  <c:v>0.44575753673116758</c:v>
                </c:pt>
                <c:pt idx="105">
                  <c:v>0.44887847859450292</c:v>
                </c:pt>
                <c:pt idx="106">
                  <c:v>0.44939845670068795</c:v>
                </c:pt>
                <c:pt idx="107">
                  <c:v>0.45494649967266598</c:v>
                </c:pt>
                <c:pt idx="108">
                  <c:v>0.45459984760187594</c:v>
                </c:pt>
                <c:pt idx="109">
                  <c:v>0.46066786868003912</c:v>
                </c:pt>
                <c:pt idx="110">
                  <c:v>0.46205501357631179</c:v>
                </c:pt>
                <c:pt idx="111">
                  <c:v>0.46985683162153752</c:v>
                </c:pt>
                <c:pt idx="112">
                  <c:v>0.47471157045193552</c:v>
                </c:pt>
                <c:pt idx="113">
                  <c:v>0.4778319757021583</c:v>
                </c:pt>
                <c:pt idx="114">
                  <c:v>0.48615430846668167</c:v>
                </c:pt>
                <c:pt idx="115">
                  <c:v>0.4918756774740547</c:v>
                </c:pt>
                <c:pt idx="116">
                  <c:v>0.49863753930691052</c:v>
                </c:pt>
                <c:pt idx="117">
                  <c:v>0.50314508945340586</c:v>
                </c:pt>
                <c:pt idx="118">
                  <c:v>0.50938643656696392</c:v>
                </c:pt>
                <c:pt idx="119">
                  <c:v>0.51406784936196703</c:v>
                </c:pt>
                <c:pt idx="120">
                  <c:v>0.52100303723021768</c:v>
                </c:pt>
                <c:pt idx="121">
                  <c:v>0.52516393530592309</c:v>
                </c:pt>
                <c:pt idx="122">
                  <c:v>0.52776436244996083</c:v>
                </c:pt>
                <c:pt idx="123">
                  <c:v>0.53192526052566624</c:v>
                </c:pt>
                <c:pt idx="124">
                  <c:v>0.53782049218154693</c:v>
                </c:pt>
                <c:pt idx="125">
                  <c:v>0.54562284683988538</c:v>
                </c:pt>
                <c:pt idx="126">
                  <c:v>0.54839713663243073</c:v>
                </c:pt>
                <c:pt idx="127">
                  <c:v>0.55325348530216689</c:v>
                </c:pt>
                <c:pt idx="128">
                  <c:v>0.56157098854867604</c:v>
                </c:pt>
                <c:pt idx="129">
                  <c:v>0.5693733432070146</c:v>
                </c:pt>
                <c:pt idx="130">
                  <c:v>0.57093488736490761</c:v>
                </c:pt>
                <c:pt idx="131">
                  <c:v>0.5789089582193031</c:v>
                </c:pt>
                <c:pt idx="132">
                  <c:v>0.5915676615473775</c:v>
                </c:pt>
                <c:pt idx="133">
                  <c:v>0.5945136675359799</c:v>
                </c:pt>
                <c:pt idx="134">
                  <c:v>0.60075447803642534</c:v>
                </c:pt>
                <c:pt idx="135">
                  <c:v>0.60595962522940217</c:v>
                </c:pt>
                <c:pt idx="136">
                  <c:v>0.60976957832941603</c:v>
                </c:pt>
                <c:pt idx="137">
                  <c:v>0.61479764319520913</c:v>
                </c:pt>
                <c:pt idx="138">
                  <c:v>0.62138725221889524</c:v>
                </c:pt>
                <c:pt idx="139">
                  <c:v>0.63040235251188592</c:v>
                </c:pt>
                <c:pt idx="140">
                  <c:v>0.63751247625486973</c:v>
                </c:pt>
                <c:pt idx="141">
                  <c:v>0.64288397351277671</c:v>
                </c:pt>
                <c:pt idx="142">
                  <c:v>0.64808912070575364</c:v>
                </c:pt>
                <c:pt idx="143">
                  <c:v>0.65450164740225591</c:v>
                </c:pt>
                <c:pt idx="144">
                  <c:v>0.65519387831761056</c:v>
                </c:pt>
                <c:pt idx="145">
                  <c:v>0.66317331530313273</c:v>
                </c:pt>
                <c:pt idx="146">
                  <c:v>0.66594760509567819</c:v>
                </c:pt>
                <c:pt idx="147">
                  <c:v>0.66993464052287588</c:v>
                </c:pt>
                <c:pt idx="148">
                  <c:v>0.67894974081586656</c:v>
                </c:pt>
                <c:pt idx="149">
                  <c:v>0.67894974081586656</c:v>
                </c:pt>
                <c:pt idx="150">
                  <c:v>0.68275969391588054</c:v>
                </c:pt>
                <c:pt idx="151">
                  <c:v>0.68397780568165967</c:v>
                </c:pt>
                <c:pt idx="152">
                  <c:v>0.6916030780128144</c:v>
                </c:pt>
                <c:pt idx="153">
                  <c:v>0.69628771048649341</c:v>
                </c:pt>
                <c:pt idx="154">
                  <c:v>0.69906200027903875</c:v>
                </c:pt>
                <c:pt idx="155">
                  <c:v>0.7082488167680866</c:v>
                </c:pt>
                <c:pt idx="156">
                  <c:v>0.70894104768344124</c:v>
                </c:pt>
                <c:pt idx="157">
                  <c:v>0.71986649065756569</c:v>
                </c:pt>
                <c:pt idx="158">
                  <c:v>0.72298421284222492</c:v>
                </c:pt>
                <c:pt idx="159">
                  <c:v>0.72870987475449955</c:v>
                </c:pt>
                <c:pt idx="160">
                  <c:v>0.73061485130450643</c:v>
                </c:pt>
                <c:pt idx="161">
                  <c:v>0.73962995159749723</c:v>
                </c:pt>
                <c:pt idx="162">
                  <c:v>0.74292475610934028</c:v>
                </c:pt>
                <c:pt idx="163">
                  <c:v>0.74829625336724737</c:v>
                </c:pt>
                <c:pt idx="164">
                  <c:v>0.75523466091417413</c:v>
                </c:pt>
                <c:pt idx="165">
                  <c:v>0.75696792126812407</c:v>
                </c:pt>
                <c:pt idx="166">
                  <c:v>0.76840851283041955</c:v>
                </c:pt>
                <c:pt idx="167">
                  <c:v>0.77395709241551025</c:v>
                </c:pt>
                <c:pt idx="168">
                  <c:v>0.77534692037734632</c:v>
                </c:pt>
                <c:pt idx="169">
                  <c:v>0.78245167798920323</c:v>
                </c:pt>
                <c:pt idx="170">
                  <c:v>0.78661579574358487</c:v>
                </c:pt>
                <c:pt idx="171">
                  <c:v>0.79406935187868255</c:v>
                </c:pt>
                <c:pt idx="172">
                  <c:v>0.7978846711098232</c:v>
                </c:pt>
                <c:pt idx="173">
                  <c:v>0.80326153449885707</c:v>
                </c:pt>
                <c:pt idx="174">
                  <c:v>0.80620754048745946</c:v>
                </c:pt>
                <c:pt idx="175">
                  <c:v>0.81539435697650708</c:v>
                </c:pt>
                <c:pt idx="176">
                  <c:v>0.82094293656159778</c:v>
                </c:pt>
                <c:pt idx="177">
                  <c:v>0.82440945726949777</c:v>
                </c:pt>
                <c:pt idx="178">
                  <c:v>0.82874529121993623</c:v>
                </c:pt>
                <c:pt idx="179">
                  <c:v>0.83429387080502693</c:v>
                </c:pt>
                <c:pt idx="180">
                  <c:v>0.83810919003616768</c:v>
                </c:pt>
                <c:pt idx="181">
                  <c:v>0.8452139476480246</c:v>
                </c:pt>
                <c:pt idx="182">
                  <c:v>0.85059081103705847</c:v>
                </c:pt>
                <c:pt idx="183">
                  <c:v>0.85718042006074457</c:v>
                </c:pt>
                <c:pt idx="184">
                  <c:v>0.86099037316075855</c:v>
                </c:pt>
                <c:pt idx="185">
                  <c:v>0.86775706451162848</c:v>
                </c:pt>
                <c:pt idx="186">
                  <c:v>0.87018255578093306</c:v>
                </c:pt>
                <c:pt idx="187">
                  <c:v>0.87763611191603075</c:v>
                </c:pt>
                <c:pt idx="188">
                  <c:v>0.88231537825858308</c:v>
                </c:pt>
                <c:pt idx="189">
                  <c:v>0.8889049872822693</c:v>
                </c:pt>
                <c:pt idx="190">
                  <c:v>0.88977430052480755</c:v>
                </c:pt>
                <c:pt idx="191">
                  <c:v>0.89826888609850064</c:v>
                </c:pt>
                <c:pt idx="192">
                  <c:v>0.90312523476823681</c:v>
                </c:pt>
                <c:pt idx="193">
                  <c:v>0.90728398639149144</c:v>
                </c:pt>
                <c:pt idx="194">
                  <c:v>0.91560685576912759</c:v>
                </c:pt>
                <c:pt idx="195">
                  <c:v>0.92132715155027523</c:v>
                </c:pt>
                <c:pt idx="196">
                  <c:v>0.92462195606211828</c:v>
                </c:pt>
                <c:pt idx="197">
                  <c:v>0.93277310924369738</c:v>
                </c:pt>
                <c:pt idx="198">
                  <c:v>0.93710357706300917</c:v>
                </c:pt>
                <c:pt idx="199">
                  <c:v>0.93762409178230677</c:v>
                </c:pt>
                <c:pt idx="200">
                  <c:v>0.94143941101344752</c:v>
                </c:pt>
                <c:pt idx="201">
                  <c:v>0.94386490228275211</c:v>
                </c:pt>
                <c:pt idx="202">
                  <c:v>0.94768022151389297</c:v>
                </c:pt>
                <c:pt idx="203">
                  <c:v>0.95426983053757897</c:v>
                </c:pt>
                <c:pt idx="204">
                  <c:v>0.95600309089152902</c:v>
                </c:pt>
                <c:pt idx="205">
                  <c:v>0.95929789540337207</c:v>
                </c:pt>
                <c:pt idx="206">
                  <c:v>0.96155167047661971</c:v>
                </c:pt>
                <c:pt idx="207">
                  <c:v>0.96484647498846288</c:v>
                </c:pt>
                <c:pt idx="208">
                  <c:v>0.96224390139197458</c:v>
                </c:pt>
                <c:pt idx="209">
                  <c:v>0.96345664702662681</c:v>
                </c:pt>
                <c:pt idx="210">
                  <c:v>0.97004625605031281</c:v>
                </c:pt>
                <c:pt idx="211">
                  <c:v>0.97108728548890821</c:v>
                </c:pt>
                <c:pt idx="212">
                  <c:v>0.97941015486654426</c:v>
                </c:pt>
                <c:pt idx="213">
                  <c:v>0.98322010796655823</c:v>
                </c:pt>
                <c:pt idx="214">
                  <c:v>0.98374062268585605</c:v>
                </c:pt>
                <c:pt idx="215">
                  <c:v>0.99449434946392345</c:v>
                </c:pt>
                <c:pt idx="216">
                  <c:v>0.9957070950985758</c:v>
                </c:pt>
                <c:pt idx="217">
                  <c:v>0.99900189961041896</c:v>
                </c:pt>
                <c:pt idx="218">
                  <c:v>0.99431726713673974</c:v>
                </c:pt>
                <c:pt idx="219">
                  <c:v>0.99796087017182344</c:v>
                </c:pt>
                <c:pt idx="220">
                  <c:v>0.99709155692928519</c:v>
                </c:pt>
                <c:pt idx="221">
                  <c:v>1.0059349410262191</c:v>
                </c:pt>
                <c:pt idx="222">
                  <c:v>1.0090580293420051</c:v>
                </c:pt>
                <c:pt idx="223">
                  <c:v>1.0104424911727143</c:v>
                </c:pt>
                <c:pt idx="224">
                  <c:v>1.0100990587806002</c:v>
                </c:pt>
                <c:pt idx="225">
                  <c:v>1.0106142073687712</c:v>
                </c:pt>
                <c:pt idx="226">
                  <c:v>1.0123528338538481</c:v>
                </c:pt>
                <c:pt idx="227">
                  <c:v>1.010791289695955</c:v>
                </c:pt>
                <c:pt idx="228">
                  <c:v>0.93415757107440678</c:v>
                </c:pt>
                <c:pt idx="229">
                  <c:v>0.88214366206252603</c:v>
                </c:pt>
                <c:pt idx="230">
                  <c:v>0.86203140259935385</c:v>
                </c:pt>
                <c:pt idx="231">
                  <c:v>0.85093960956029913</c:v>
                </c:pt>
                <c:pt idx="232">
                  <c:v>0.84660377560986089</c:v>
                </c:pt>
                <c:pt idx="233">
                  <c:v>0.84001416658617467</c:v>
                </c:pt>
                <c:pt idx="234">
                  <c:v>0.84591154469450625</c:v>
                </c:pt>
                <c:pt idx="235">
                  <c:v>0.84660377560986089</c:v>
                </c:pt>
                <c:pt idx="236">
                  <c:v>0.84122691222082691</c:v>
                </c:pt>
                <c:pt idx="237">
                  <c:v>0.83377335608572933</c:v>
                </c:pt>
                <c:pt idx="238">
                  <c:v>0.82319671163484542</c:v>
                </c:pt>
                <c:pt idx="239">
                  <c:v>0.80932526267211868</c:v>
                </c:pt>
                <c:pt idx="240">
                  <c:v>0.80620754048745946</c:v>
                </c:pt>
                <c:pt idx="241">
                  <c:v>0.67947025553516427</c:v>
                </c:pt>
                <c:pt idx="242">
                  <c:v>0.29648089120705751</c:v>
                </c:pt>
                <c:pt idx="243">
                  <c:v>0.12986681262543331</c:v>
                </c:pt>
                <c:pt idx="244">
                  <c:v>5.4101870633310796E-2</c:v>
                </c:pt>
                <c:pt idx="245">
                  <c:v>1.8386511692799729E-2</c:v>
                </c:pt>
                <c:pt idx="246">
                  <c:v>3.1289910600255425E-3</c:v>
                </c:pt>
                <c:pt idx="247">
                  <c:v>1.7423827768655354E-3</c:v>
                </c:pt>
                <c:pt idx="248">
                  <c:v>-7.2732541292379023E-3</c:v>
                </c:pt>
                <c:pt idx="249">
                  <c:v>-1.0319070156798351E-3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5B-41F6-8B69-8D703D5DF2C2}"/>
            </c:ext>
          </c:extLst>
        </c:ser>
        <c:ser>
          <c:idx val="0"/>
          <c:order val="2"/>
          <c:tx>
            <c:v>OLT3-32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'OLT3-3'!$Y$5:$Y$254</c:f>
              <c:numCache>
                <c:formatCode>General</c:formatCode>
                <c:ptCount val="250"/>
                <c:pt idx="0">
                  <c:v>0</c:v>
                </c:pt>
                <c:pt idx="1">
                  <c:v>-1.9318E-5</c:v>
                </c:pt>
                <c:pt idx="2">
                  <c:v>4.9341099999999998E-6</c:v>
                </c:pt>
                <c:pt idx="3">
                  <c:v>3.8462499999999998E-6</c:v>
                </c:pt>
                <c:pt idx="4">
                  <c:v>1.8669999999999999E-5</c:v>
                </c:pt>
                <c:pt idx="5">
                  <c:v>4.9465000000000002E-5</c:v>
                </c:pt>
                <c:pt idx="6">
                  <c:v>8.0365399999999995E-5</c:v>
                </c:pt>
                <c:pt idx="7">
                  <c:v>9.4244800000000003E-5</c:v>
                </c:pt>
                <c:pt idx="8">
                  <c:v>8.6558300000000001E-5</c:v>
                </c:pt>
                <c:pt idx="9">
                  <c:v>1.0636E-4</c:v>
                </c:pt>
                <c:pt idx="10">
                  <c:v>1.51232E-4</c:v>
                </c:pt>
                <c:pt idx="11">
                  <c:v>1.5903600000000001E-4</c:v>
                </c:pt>
                <c:pt idx="12">
                  <c:v>1.5652999999999999E-4</c:v>
                </c:pt>
                <c:pt idx="13">
                  <c:v>1.60135E-4</c:v>
                </c:pt>
                <c:pt idx="14">
                  <c:v>2.1602700000000001E-4</c:v>
                </c:pt>
                <c:pt idx="15">
                  <c:v>2.29836E-4</c:v>
                </c:pt>
                <c:pt idx="16">
                  <c:v>2.3681799999999999E-4</c:v>
                </c:pt>
                <c:pt idx="17">
                  <c:v>2.38738E-4</c:v>
                </c:pt>
                <c:pt idx="18">
                  <c:v>2.8926199999999998E-4</c:v>
                </c:pt>
                <c:pt idx="19">
                  <c:v>2.8610099999999998E-4</c:v>
                </c:pt>
                <c:pt idx="20">
                  <c:v>2.9228099999999998E-4</c:v>
                </c:pt>
                <c:pt idx="21">
                  <c:v>3.3606199999999998E-4</c:v>
                </c:pt>
                <c:pt idx="22">
                  <c:v>3.6169300000000001E-4</c:v>
                </c:pt>
                <c:pt idx="23">
                  <c:v>3.9364100000000002E-4</c:v>
                </c:pt>
                <c:pt idx="24">
                  <c:v>4.0605200000000001E-4</c:v>
                </c:pt>
                <c:pt idx="25">
                  <c:v>4.4228099999999999E-4</c:v>
                </c:pt>
                <c:pt idx="26">
                  <c:v>4.73031E-4</c:v>
                </c:pt>
                <c:pt idx="27">
                  <c:v>4.8153600000000002E-4</c:v>
                </c:pt>
                <c:pt idx="28">
                  <c:v>4.9868199999999997E-4</c:v>
                </c:pt>
                <c:pt idx="29">
                  <c:v>5.2073600000000005E-4</c:v>
                </c:pt>
                <c:pt idx="30">
                  <c:v>5.3627000000000004E-4</c:v>
                </c:pt>
                <c:pt idx="31">
                  <c:v>5.2577199999999998E-4</c:v>
                </c:pt>
                <c:pt idx="32">
                  <c:v>5.7407499999999995E-4</c:v>
                </c:pt>
                <c:pt idx="33">
                  <c:v>6.2730499999999999E-4</c:v>
                </c:pt>
                <c:pt idx="34">
                  <c:v>6.7929700000000004E-4</c:v>
                </c:pt>
                <c:pt idx="35">
                  <c:v>7.1193600000000004E-4</c:v>
                </c:pt>
                <c:pt idx="36">
                  <c:v>7.5031700000000002E-4</c:v>
                </c:pt>
                <c:pt idx="37">
                  <c:v>7.4310100000000003E-4</c:v>
                </c:pt>
                <c:pt idx="38">
                  <c:v>7.7521299999999997E-4</c:v>
                </c:pt>
                <c:pt idx="39">
                  <c:v>7.80435E-4</c:v>
                </c:pt>
                <c:pt idx="40">
                  <c:v>8.4326500000000005E-4</c:v>
                </c:pt>
                <c:pt idx="41">
                  <c:v>8.3124800000000003E-4</c:v>
                </c:pt>
                <c:pt idx="42">
                  <c:v>8.5570999999999998E-4</c:v>
                </c:pt>
                <c:pt idx="43">
                  <c:v>8.8745000000000002E-4</c:v>
                </c:pt>
                <c:pt idx="44">
                  <c:v>9.3530999999999996E-4</c:v>
                </c:pt>
                <c:pt idx="45">
                  <c:v>9.6861600000000005E-4</c:v>
                </c:pt>
                <c:pt idx="46">
                  <c:v>9.7967999999999992E-4</c:v>
                </c:pt>
                <c:pt idx="47">
                  <c:v>9.9715299999999997E-4</c:v>
                </c:pt>
                <c:pt idx="48">
                  <c:v>1.0545000000000001E-3</c:v>
                </c:pt>
                <c:pt idx="49">
                  <c:v>1.0682000000000001E-3</c:v>
                </c:pt>
                <c:pt idx="50">
                  <c:v>1.09735E-3</c:v>
                </c:pt>
                <c:pt idx="51">
                  <c:v>1.1582599999999999E-3</c:v>
                </c:pt>
                <c:pt idx="52">
                  <c:v>1.16975E-3</c:v>
                </c:pt>
                <c:pt idx="53">
                  <c:v>1.2277E-3</c:v>
                </c:pt>
                <c:pt idx="54">
                  <c:v>1.26012E-3</c:v>
                </c:pt>
                <c:pt idx="55">
                  <c:v>1.2713399999999999E-3</c:v>
                </c:pt>
                <c:pt idx="56">
                  <c:v>1.30138E-3</c:v>
                </c:pt>
                <c:pt idx="57">
                  <c:v>1.3042900000000001E-3</c:v>
                </c:pt>
                <c:pt idx="58">
                  <c:v>1.3593399999999999E-3</c:v>
                </c:pt>
                <c:pt idx="59">
                  <c:v>1.37787E-3</c:v>
                </c:pt>
                <c:pt idx="60">
                  <c:v>1.41121E-3</c:v>
                </c:pt>
                <c:pt idx="61">
                  <c:v>1.41347E-3</c:v>
                </c:pt>
                <c:pt idx="62">
                  <c:v>1.45601E-3</c:v>
                </c:pt>
                <c:pt idx="63">
                  <c:v>1.47802E-3</c:v>
                </c:pt>
                <c:pt idx="64">
                  <c:v>1.5113699999999999E-3</c:v>
                </c:pt>
                <c:pt idx="65">
                  <c:v>1.54324E-3</c:v>
                </c:pt>
                <c:pt idx="66">
                  <c:v>1.5835999999999999E-3</c:v>
                </c:pt>
                <c:pt idx="67">
                  <c:v>1.5848399999999999E-3</c:v>
                </c:pt>
                <c:pt idx="68">
                  <c:v>1.5982800000000001E-3</c:v>
                </c:pt>
                <c:pt idx="69">
                  <c:v>1.63517E-3</c:v>
                </c:pt>
                <c:pt idx="70">
                  <c:v>1.6627600000000001E-3</c:v>
                </c:pt>
                <c:pt idx="71">
                  <c:v>1.6952499999999999E-3</c:v>
                </c:pt>
                <c:pt idx="72">
                  <c:v>1.71882E-3</c:v>
                </c:pt>
                <c:pt idx="73">
                  <c:v>1.7651800000000001E-3</c:v>
                </c:pt>
                <c:pt idx="74">
                  <c:v>1.76082E-3</c:v>
                </c:pt>
                <c:pt idx="75">
                  <c:v>1.7981799999999999E-3</c:v>
                </c:pt>
                <c:pt idx="76">
                  <c:v>1.83501E-3</c:v>
                </c:pt>
                <c:pt idx="77">
                  <c:v>1.9216000000000001E-3</c:v>
                </c:pt>
                <c:pt idx="78">
                  <c:v>1.9452E-3</c:v>
                </c:pt>
                <c:pt idx="79">
                  <c:v>2.00066E-3</c:v>
                </c:pt>
                <c:pt idx="80">
                  <c:v>2.0023699999999998E-3</c:v>
                </c:pt>
                <c:pt idx="81">
                  <c:v>2.0204300000000001E-3</c:v>
                </c:pt>
                <c:pt idx="82">
                  <c:v>2.05741E-3</c:v>
                </c:pt>
                <c:pt idx="83">
                  <c:v>2.1510499999999998E-3</c:v>
                </c:pt>
                <c:pt idx="84">
                  <c:v>2.1903000000000001E-3</c:v>
                </c:pt>
                <c:pt idx="85">
                  <c:v>2.225E-3</c:v>
                </c:pt>
                <c:pt idx="86">
                  <c:v>2.2107699999999999E-3</c:v>
                </c:pt>
                <c:pt idx="87">
                  <c:v>2.2438900000000001E-3</c:v>
                </c:pt>
                <c:pt idx="88">
                  <c:v>2.3042700000000002E-3</c:v>
                </c:pt>
                <c:pt idx="89">
                  <c:v>2.3383000000000002E-3</c:v>
                </c:pt>
                <c:pt idx="90">
                  <c:v>2.4226500000000002E-3</c:v>
                </c:pt>
                <c:pt idx="91">
                  <c:v>2.4463900000000001E-3</c:v>
                </c:pt>
                <c:pt idx="92">
                  <c:v>2.4540299999999998E-3</c:v>
                </c:pt>
                <c:pt idx="93">
                  <c:v>2.4792799999999999E-3</c:v>
                </c:pt>
                <c:pt idx="94">
                  <c:v>2.5192499999999998E-3</c:v>
                </c:pt>
                <c:pt idx="95">
                  <c:v>2.5370900000000001E-3</c:v>
                </c:pt>
                <c:pt idx="96">
                  <c:v>2.5425399999999998E-3</c:v>
                </c:pt>
                <c:pt idx="97">
                  <c:v>2.5665100000000001E-3</c:v>
                </c:pt>
                <c:pt idx="98">
                  <c:v>2.6389899999999999E-3</c:v>
                </c:pt>
                <c:pt idx="99">
                  <c:v>2.6748399999999999E-3</c:v>
                </c:pt>
                <c:pt idx="100">
                  <c:v>2.6908000000000001E-3</c:v>
                </c:pt>
                <c:pt idx="101">
                  <c:v>2.72661E-3</c:v>
                </c:pt>
                <c:pt idx="102">
                  <c:v>2.7463800000000001E-3</c:v>
                </c:pt>
                <c:pt idx="103">
                  <c:v>2.7798300000000001E-3</c:v>
                </c:pt>
                <c:pt idx="104">
                  <c:v>2.7980700000000002E-3</c:v>
                </c:pt>
                <c:pt idx="105">
                  <c:v>2.8667599999999999E-3</c:v>
                </c:pt>
                <c:pt idx="106">
                  <c:v>2.8953799999999999E-3</c:v>
                </c:pt>
                <c:pt idx="107">
                  <c:v>2.89603E-3</c:v>
                </c:pt>
                <c:pt idx="108">
                  <c:v>2.9429999999999999E-3</c:v>
                </c:pt>
                <c:pt idx="109">
                  <c:v>2.9630799999999999E-3</c:v>
                </c:pt>
                <c:pt idx="110">
                  <c:v>3.0225999999999999E-3</c:v>
                </c:pt>
                <c:pt idx="111">
                  <c:v>3.0356599999999999E-3</c:v>
                </c:pt>
                <c:pt idx="112">
                  <c:v>3.0556899999999998E-3</c:v>
                </c:pt>
                <c:pt idx="113">
                  <c:v>3.0654599999999999E-3</c:v>
                </c:pt>
                <c:pt idx="114">
                  <c:v>3.1018600000000001E-3</c:v>
                </c:pt>
                <c:pt idx="115">
                  <c:v>3.1458599999999999E-3</c:v>
                </c:pt>
                <c:pt idx="116">
                  <c:v>3.2559500000000001E-3</c:v>
                </c:pt>
                <c:pt idx="117">
                  <c:v>3.2188300000000002E-3</c:v>
                </c:pt>
                <c:pt idx="118">
                  <c:v>3.23982E-3</c:v>
                </c:pt>
                <c:pt idx="119">
                  <c:v>3.2804000000000002E-3</c:v>
                </c:pt>
                <c:pt idx="120">
                  <c:v>3.3110700000000002E-3</c:v>
                </c:pt>
                <c:pt idx="121">
                  <c:v>3.3853400000000001E-3</c:v>
                </c:pt>
                <c:pt idx="122">
                  <c:v>3.3883699999999999E-3</c:v>
                </c:pt>
                <c:pt idx="123">
                  <c:v>3.4091600000000001E-3</c:v>
                </c:pt>
                <c:pt idx="124">
                  <c:v>3.4432400000000002E-3</c:v>
                </c:pt>
                <c:pt idx="125">
                  <c:v>3.4970299999999999E-3</c:v>
                </c:pt>
                <c:pt idx="126">
                  <c:v>3.5329200000000002E-3</c:v>
                </c:pt>
                <c:pt idx="127">
                  <c:v>3.57954E-3</c:v>
                </c:pt>
                <c:pt idx="128">
                  <c:v>3.6277100000000001E-3</c:v>
                </c:pt>
                <c:pt idx="129">
                  <c:v>3.6868299999999999E-3</c:v>
                </c:pt>
                <c:pt idx="130">
                  <c:v>3.7171800000000001E-3</c:v>
                </c:pt>
                <c:pt idx="131">
                  <c:v>3.7752900000000002E-3</c:v>
                </c:pt>
                <c:pt idx="132">
                  <c:v>3.8391599999999999E-3</c:v>
                </c:pt>
                <c:pt idx="133">
                  <c:v>3.8591900000000002E-3</c:v>
                </c:pt>
                <c:pt idx="134">
                  <c:v>3.9027599999999999E-3</c:v>
                </c:pt>
                <c:pt idx="135">
                  <c:v>3.9630500000000001E-3</c:v>
                </c:pt>
                <c:pt idx="136">
                  <c:v>3.9468699999999999E-3</c:v>
                </c:pt>
                <c:pt idx="137">
                  <c:v>4.01695E-3</c:v>
                </c:pt>
                <c:pt idx="138">
                  <c:v>4.0898899999999997E-3</c:v>
                </c:pt>
                <c:pt idx="139">
                  <c:v>4.0596599999999997E-3</c:v>
                </c:pt>
                <c:pt idx="140">
                  <c:v>4.1522199999999999E-3</c:v>
                </c:pt>
                <c:pt idx="141">
                  <c:v>4.2449200000000001E-3</c:v>
                </c:pt>
                <c:pt idx="142">
                  <c:v>4.2534799999999996E-3</c:v>
                </c:pt>
                <c:pt idx="143">
                  <c:v>4.2750399999999999E-3</c:v>
                </c:pt>
                <c:pt idx="144">
                  <c:v>4.3277200000000002E-3</c:v>
                </c:pt>
                <c:pt idx="145">
                  <c:v>4.3813100000000002E-3</c:v>
                </c:pt>
                <c:pt idx="146">
                  <c:v>4.3902000000000004E-3</c:v>
                </c:pt>
                <c:pt idx="147">
                  <c:v>4.4289000000000004E-3</c:v>
                </c:pt>
                <c:pt idx="148">
                  <c:v>4.5035600000000002E-3</c:v>
                </c:pt>
                <c:pt idx="149">
                  <c:v>4.4955500000000001E-3</c:v>
                </c:pt>
                <c:pt idx="150">
                  <c:v>4.5035099999999996E-3</c:v>
                </c:pt>
                <c:pt idx="151">
                  <c:v>4.5700899999999997E-3</c:v>
                </c:pt>
                <c:pt idx="152">
                  <c:v>4.5512599999999997E-3</c:v>
                </c:pt>
                <c:pt idx="153">
                  <c:v>4.6609499999999996E-3</c:v>
                </c:pt>
                <c:pt idx="154">
                  <c:v>4.6981699999999998E-3</c:v>
                </c:pt>
                <c:pt idx="155">
                  <c:v>4.8095300000000002E-3</c:v>
                </c:pt>
                <c:pt idx="156">
                  <c:v>4.8291100000000002E-3</c:v>
                </c:pt>
                <c:pt idx="157">
                  <c:v>4.8981399999999996E-3</c:v>
                </c:pt>
                <c:pt idx="158">
                  <c:v>4.92977E-3</c:v>
                </c:pt>
                <c:pt idx="159">
                  <c:v>4.9670399999999998E-3</c:v>
                </c:pt>
                <c:pt idx="160">
                  <c:v>5.0118599999999999E-3</c:v>
                </c:pt>
                <c:pt idx="161">
                  <c:v>5.0959000000000004E-3</c:v>
                </c:pt>
                <c:pt idx="162">
                  <c:v>5.1485200000000002E-3</c:v>
                </c:pt>
                <c:pt idx="163">
                  <c:v>5.1996899999999999E-3</c:v>
                </c:pt>
                <c:pt idx="164">
                  <c:v>5.2428700000000002E-3</c:v>
                </c:pt>
                <c:pt idx="165">
                  <c:v>5.2682700000000002E-3</c:v>
                </c:pt>
                <c:pt idx="166">
                  <c:v>5.3310400000000004E-3</c:v>
                </c:pt>
                <c:pt idx="167">
                  <c:v>5.3776300000000004E-3</c:v>
                </c:pt>
                <c:pt idx="168">
                  <c:v>5.4064600000000001E-3</c:v>
                </c:pt>
                <c:pt idx="169">
                  <c:v>5.4586599999999997E-3</c:v>
                </c:pt>
                <c:pt idx="170">
                  <c:v>5.5271799999999996E-3</c:v>
                </c:pt>
                <c:pt idx="171">
                  <c:v>5.6428399999999997E-3</c:v>
                </c:pt>
                <c:pt idx="172">
                  <c:v>5.6394399999999999E-3</c:v>
                </c:pt>
                <c:pt idx="173">
                  <c:v>5.6985300000000003E-3</c:v>
                </c:pt>
                <c:pt idx="174">
                  <c:v>5.77452E-3</c:v>
                </c:pt>
                <c:pt idx="175">
                  <c:v>5.8871699999999997E-3</c:v>
                </c:pt>
                <c:pt idx="176">
                  <c:v>5.9124700000000004E-3</c:v>
                </c:pt>
                <c:pt idx="177">
                  <c:v>5.9718899999999997E-3</c:v>
                </c:pt>
                <c:pt idx="178">
                  <c:v>6.0450599999999997E-3</c:v>
                </c:pt>
                <c:pt idx="179">
                  <c:v>6.1272200000000001E-3</c:v>
                </c:pt>
                <c:pt idx="180">
                  <c:v>6.1611900000000004E-3</c:v>
                </c:pt>
                <c:pt idx="181">
                  <c:v>6.2804100000000002E-3</c:v>
                </c:pt>
                <c:pt idx="182">
                  <c:v>6.3980299999999999E-3</c:v>
                </c:pt>
                <c:pt idx="183">
                  <c:v>6.4620099999999998E-3</c:v>
                </c:pt>
                <c:pt idx="184">
                  <c:v>6.5222800000000001E-3</c:v>
                </c:pt>
                <c:pt idx="185">
                  <c:v>6.6210000000000001E-3</c:v>
                </c:pt>
                <c:pt idx="186">
                  <c:v>6.6575799999999997E-3</c:v>
                </c:pt>
                <c:pt idx="187">
                  <c:v>6.8404599999999996E-3</c:v>
                </c:pt>
                <c:pt idx="188">
                  <c:v>6.9539900000000002E-3</c:v>
                </c:pt>
                <c:pt idx="189">
                  <c:v>7.03742E-3</c:v>
                </c:pt>
                <c:pt idx="190">
                  <c:v>7.0659599999999996E-3</c:v>
                </c:pt>
                <c:pt idx="191">
                  <c:v>7.28848E-3</c:v>
                </c:pt>
                <c:pt idx="192">
                  <c:v>7.4526899999999997E-3</c:v>
                </c:pt>
                <c:pt idx="193">
                  <c:v>7.4583200000000001E-3</c:v>
                </c:pt>
                <c:pt idx="194">
                  <c:v>7.6887800000000001E-3</c:v>
                </c:pt>
                <c:pt idx="195">
                  <c:v>7.6214999999999998E-3</c:v>
                </c:pt>
                <c:pt idx="196">
                  <c:v>7.7587000000000003E-3</c:v>
                </c:pt>
                <c:pt idx="197">
                  <c:v>7.9656099999999997E-3</c:v>
                </c:pt>
                <c:pt idx="198">
                  <c:v>8.1364799999999998E-3</c:v>
                </c:pt>
                <c:pt idx="199">
                  <c:v>8.1499399999999996E-3</c:v>
                </c:pt>
                <c:pt idx="200">
                  <c:v>8.1619299999999995E-3</c:v>
                </c:pt>
                <c:pt idx="201">
                  <c:v>8.2214200000000001E-3</c:v>
                </c:pt>
                <c:pt idx="202">
                  <c:v>8.4059200000000008E-3</c:v>
                </c:pt>
                <c:pt idx="203">
                  <c:v>8.5246200000000001E-3</c:v>
                </c:pt>
                <c:pt idx="204">
                  <c:v>8.6335300000000004E-3</c:v>
                </c:pt>
                <c:pt idx="205">
                  <c:v>8.6828200000000008E-3</c:v>
                </c:pt>
                <c:pt idx="206">
                  <c:v>8.7824500000000007E-3</c:v>
                </c:pt>
                <c:pt idx="207">
                  <c:v>8.8041999999999999E-3</c:v>
                </c:pt>
                <c:pt idx="208">
                  <c:v>8.8498799999999992E-3</c:v>
                </c:pt>
                <c:pt idx="209">
                  <c:v>8.8962699999999995E-3</c:v>
                </c:pt>
                <c:pt idx="210">
                  <c:v>9.0057599999999998E-3</c:v>
                </c:pt>
                <c:pt idx="211">
                  <c:v>9.0882399999999992E-3</c:v>
                </c:pt>
                <c:pt idx="212">
                  <c:v>9.3564500000000005E-3</c:v>
                </c:pt>
                <c:pt idx="213">
                  <c:v>9.5125299999999999E-3</c:v>
                </c:pt>
                <c:pt idx="214">
                  <c:v>9.6894000000000008E-3</c:v>
                </c:pt>
                <c:pt idx="215">
                  <c:v>9.9829199999999993E-3</c:v>
                </c:pt>
                <c:pt idx="216">
                  <c:v>1.0137999999999999E-2</c:v>
                </c:pt>
                <c:pt idx="217">
                  <c:v>1.018E-2</c:v>
                </c:pt>
                <c:pt idx="218">
                  <c:v>1.02948E-2</c:v>
                </c:pt>
                <c:pt idx="219">
                  <c:v>1.0381E-2</c:v>
                </c:pt>
                <c:pt idx="220">
                  <c:v>1.047E-2</c:v>
                </c:pt>
                <c:pt idx="221">
                  <c:v>1.09359E-2</c:v>
                </c:pt>
                <c:pt idx="222">
                  <c:v>1.11845E-2</c:v>
                </c:pt>
                <c:pt idx="223">
                  <c:v>1.1545100000000001E-2</c:v>
                </c:pt>
                <c:pt idx="224">
                  <c:v>1.1578700000000001E-2</c:v>
                </c:pt>
                <c:pt idx="225">
                  <c:v>1.1647299999999999E-2</c:v>
                </c:pt>
                <c:pt idx="226">
                  <c:v>1.19641E-2</c:v>
                </c:pt>
                <c:pt idx="227">
                  <c:v>1.1999299999999999E-2</c:v>
                </c:pt>
                <c:pt idx="228">
                  <c:v>1.27054E-2</c:v>
                </c:pt>
                <c:pt idx="229">
                  <c:v>1.27502E-2</c:v>
                </c:pt>
                <c:pt idx="230">
                  <c:v>1.28074E-2</c:v>
                </c:pt>
                <c:pt idx="231">
                  <c:v>1.28448E-2</c:v>
                </c:pt>
                <c:pt idx="232">
                  <c:v>1.28559E-2</c:v>
                </c:pt>
                <c:pt idx="233">
                  <c:v>1.28895E-2</c:v>
                </c:pt>
                <c:pt idx="234">
                  <c:v>1.32122E-2</c:v>
                </c:pt>
                <c:pt idx="235">
                  <c:v>1.39601E-2</c:v>
                </c:pt>
                <c:pt idx="236">
                  <c:v>1.42849E-2</c:v>
                </c:pt>
                <c:pt idx="237">
                  <c:v>1.4389000000000001E-2</c:v>
                </c:pt>
                <c:pt idx="238">
                  <c:v>1.44598E-2</c:v>
                </c:pt>
                <c:pt idx="239">
                  <c:v>1.44808E-2</c:v>
                </c:pt>
                <c:pt idx="240">
                  <c:v>1.45151E-2</c:v>
                </c:pt>
                <c:pt idx="241">
                  <c:v>1.4578600000000001E-2</c:v>
                </c:pt>
                <c:pt idx="242">
                  <c:v>1.6418100000000001E-2</c:v>
                </c:pt>
                <c:pt idx="243">
                  <c:v>1.6505200000000001E-2</c:v>
                </c:pt>
                <c:pt idx="244">
                  <c:v>1.6553200000000001E-2</c:v>
                </c:pt>
                <c:pt idx="245">
                  <c:v>1.6589099999999999E-2</c:v>
                </c:pt>
                <c:pt idx="246">
                  <c:v>1.6630599999999999E-2</c:v>
                </c:pt>
                <c:pt idx="247">
                  <c:v>1.6681999999999999E-2</c:v>
                </c:pt>
                <c:pt idx="248">
                  <c:v>1.6777500000000001E-2</c:v>
                </c:pt>
                <c:pt idx="249">
                  <c:v>1.72661E-2</c:v>
                </c:pt>
              </c:numCache>
            </c:numRef>
          </c:xVal>
          <c:yVal>
            <c:numRef>
              <c:f>'OLT3-3'!$V$5:$V$254</c:f>
              <c:numCache>
                <c:formatCode>General</c:formatCode>
                <c:ptCount val="250"/>
                <c:pt idx="0">
                  <c:v>-0.15048187857518486</c:v>
                </c:pt>
                <c:pt idx="1">
                  <c:v>-0.15117518271676489</c:v>
                </c:pt>
                <c:pt idx="2">
                  <c:v>-0.14684095860566448</c:v>
                </c:pt>
                <c:pt idx="3">
                  <c:v>-0.14094626356289641</c:v>
                </c:pt>
                <c:pt idx="4">
                  <c:v>-0.13262393079837298</c:v>
                </c:pt>
                <c:pt idx="5">
                  <c:v>-0.12880968479345761</c:v>
                </c:pt>
                <c:pt idx="6">
                  <c:v>-0.12152784485441687</c:v>
                </c:pt>
                <c:pt idx="7">
                  <c:v>-0.11129892570054842</c:v>
                </c:pt>
                <c:pt idx="8">
                  <c:v>-0.10800465780181803</c:v>
                </c:pt>
                <c:pt idx="9">
                  <c:v>-0.10176331068825997</c:v>
                </c:pt>
                <c:pt idx="10">
                  <c:v>-9.2053833027463852E-2</c:v>
                </c:pt>
                <c:pt idx="11">
                  <c:v>-8.4078688946843103E-2</c:v>
                </c:pt>
                <c:pt idx="12">
                  <c:v>-7.7664015797890035E-2</c:v>
                </c:pt>
                <c:pt idx="13">
                  <c:v>-7.5236378076134675E-2</c:v>
                </c:pt>
                <c:pt idx="14">
                  <c:v>-7.0555501894244296E-2</c:v>
                </c:pt>
                <c:pt idx="15">
                  <c:v>-6.5874089099241223E-2</c:v>
                </c:pt>
                <c:pt idx="16">
                  <c:v>-5.8592785773313158E-2</c:v>
                </c:pt>
                <c:pt idx="17">
                  <c:v>-5.3391394872125096E-2</c:v>
                </c:pt>
                <c:pt idx="18">
                  <c:v>-4.6976185110059354E-2</c:v>
                </c:pt>
                <c:pt idx="19">
                  <c:v>-4.5415714178391665E-2</c:v>
                </c:pt>
                <c:pt idx="20">
                  <c:v>-3.6573939920795905E-2</c:v>
                </c:pt>
                <c:pt idx="21">
                  <c:v>-2.8251607156272472E-2</c:v>
                </c:pt>
                <c:pt idx="22">
                  <c:v>-2.3744057009777091E-2</c:v>
                </c:pt>
                <c:pt idx="23">
                  <c:v>-1.5942238964551336E-2</c:v>
                </c:pt>
                <c:pt idx="24">
                  <c:v>-1.4901746139068655E-2</c:v>
                </c:pt>
                <c:pt idx="25">
                  <c:v>-6.4066239522628972E-3</c:v>
                </c:pt>
                <c:pt idx="26">
                  <c:v>-1.8985371926548398E-3</c:v>
                </c:pt>
                <c:pt idx="27">
                  <c:v>6.2499329233609152E-3</c:v>
                </c:pt>
                <c:pt idx="28">
                  <c:v>1.249181665003166E-2</c:v>
                </c:pt>
                <c:pt idx="29">
                  <c:v>1.5265569829464355E-2</c:v>
                </c:pt>
                <c:pt idx="30">
                  <c:v>2.7054959915000485E-2</c:v>
                </c:pt>
                <c:pt idx="31">
                  <c:v>2.9309271601360848E-2</c:v>
                </c:pt>
                <c:pt idx="32">
                  <c:v>3.9538190755229297E-2</c:v>
                </c:pt>
                <c:pt idx="33">
                  <c:v>4.387241486632968E-2</c:v>
                </c:pt>
                <c:pt idx="34">
                  <c:v>5.2021421595458105E-2</c:v>
                </c:pt>
                <c:pt idx="35">
                  <c:v>5.7222275883533492E-2</c:v>
                </c:pt>
                <c:pt idx="36">
                  <c:v>6.2596992820116548E-2</c:v>
                </c:pt>
                <c:pt idx="37">
                  <c:v>6.6584564860426937E-2</c:v>
                </c:pt>
                <c:pt idx="38">
                  <c:v>7.4560245554160354E-2</c:v>
                </c:pt>
                <c:pt idx="39">
                  <c:v>7.9587773806840748E-2</c:v>
                </c:pt>
                <c:pt idx="40">
                  <c:v>8.2362063599386109E-2</c:v>
                </c:pt>
                <c:pt idx="41">
                  <c:v>9.2244330682464556E-2</c:v>
                </c:pt>
                <c:pt idx="42">
                  <c:v>9.1031048434699544E-2</c:v>
                </c:pt>
                <c:pt idx="43">
                  <c:v>9.5018620475009932E-2</c:v>
                </c:pt>
                <c:pt idx="44">
                  <c:v>0.10784850338602874</c:v>
                </c:pt>
                <c:pt idx="45">
                  <c:v>0.11495648067656181</c:v>
                </c:pt>
                <c:pt idx="46">
                  <c:v>0.11634362557283449</c:v>
                </c:pt>
                <c:pt idx="47">
                  <c:v>0.12310548740569024</c:v>
                </c:pt>
                <c:pt idx="48">
                  <c:v>0.12674640737521062</c:v>
                </c:pt>
                <c:pt idx="49">
                  <c:v>0.13420157334964639</c:v>
                </c:pt>
                <c:pt idx="50">
                  <c:v>0.14269669553645212</c:v>
                </c:pt>
                <c:pt idx="51">
                  <c:v>0.14893857926312287</c:v>
                </c:pt>
                <c:pt idx="52">
                  <c:v>0.14893857926312287</c:v>
                </c:pt>
                <c:pt idx="53">
                  <c:v>0.15830086824001632</c:v>
                </c:pt>
                <c:pt idx="54">
                  <c:v>0.16644933835603207</c:v>
                </c:pt>
                <c:pt idx="55">
                  <c:v>0.17026358436094743</c:v>
                </c:pt>
                <c:pt idx="56">
                  <c:v>0.17667825750990052</c:v>
                </c:pt>
                <c:pt idx="57">
                  <c:v>0.18101301823411356</c:v>
                </c:pt>
                <c:pt idx="58">
                  <c:v>0.18760101741846164</c:v>
                </c:pt>
                <c:pt idx="59">
                  <c:v>0.1936690384966247</c:v>
                </c:pt>
                <c:pt idx="60">
                  <c:v>0.20008424825869042</c:v>
                </c:pt>
                <c:pt idx="61">
                  <c:v>0.20285800143812316</c:v>
                </c:pt>
                <c:pt idx="62">
                  <c:v>0.20788606630391621</c:v>
                </c:pt>
                <c:pt idx="63">
                  <c:v>0.21586121038453696</c:v>
                </c:pt>
                <c:pt idx="64">
                  <c:v>0.21794165942238963</c:v>
                </c:pt>
                <c:pt idx="65">
                  <c:v>0.22158257939191003</c:v>
                </c:pt>
                <c:pt idx="66">
                  <c:v>0.22990491215643344</c:v>
                </c:pt>
                <c:pt idx="67">
                  <c:v>0.23666623737617654</c:v>
                </c:pt>
                <c:pt idx="68">
                  <c:v>0.23736007813086921</c:v>
                </c:pt>
                <c:pt idx="69">
                  <c:v>0.24464191806990995</c:v>
                </c:pt>
                <c:pt idx="70">
                  <c:v>0.24862949011022034</c:v>
                </c:pt>
                <c:pt idx="71">
                  <c:v>0.25122991725425803</c:v>
                </c:pt>
                <c:pt idx="72">
                  <c:v>0.25851175719329877</c:v>
                </c:pt>
                <c:pt idx="73">
                  <c:v>0.26562027109694453</c:v>
                </c:pt>
                <c:pt idx="74">
                  <c:v>0.2715149661397126</c:v>
                </c:pt>
                <c:pt idx="75">
                  <c:v>0.27862348004335835</c:v>
                </c:pt>
                <c:pt idx="76">
                  <c:v>0.280703929081211</c:v>
                </c:pt>
                <c:pt idx="77">
                  <c:v>0.29110671088358714</c:v>
                </c:pt>
                <c:pt idx="78">
                  <c:v>0.29925518099960291</c:v>
                </c:pt>
                <c:pt idx="79">
                  <c:v>0.30046899986048059</c:v>
                </c:pt>
                <c:pt idx="80">
                  <c:v>0.30879079601189136</c:v>
                </c:pt>
                <c:pt idx="81">
                  <c:v>0.31468549105465937</c:v>
                </c:pt>
                <c:pt idx="82">
                  <c:v>0.31745978084720478</c:v>
                </c:pt>
                <c:pt idx="83">
                  <c:v>0.3275153739656782</c:v>
                </c:pt>
                <c:pt idx="84">
                  <c:v>0.33826480783884433</c:v>
                </c:pt>
                <c:pt idx="85">
                  <c:v>0.34415950288161234</c:v>
                </c:pt>
                <c:pt idx="86">
                  <c:v>0.34658660399025509</c:v>
                </c:pt>
                <c:pt idx="87">
                  <c:v>0.35265462506841816</c:v>
                </c:pt>
                <c:pt idx="88">
                  <c:v>0.35716271182802622</c:v>
                </c:pt>
                <c:pt idx="89">
                  <c:v>0.36565783401483198</c:v>
                </c:pt>
                <c:pt idx="90">
                  <c:v>0.36843212380737733</c:v>
                </c:pt>
                <c:pt idx="91">
                  <c:v>0.37606061581720807</c:v>
                </c:pt>
                <c:pt idx="92">
                  <c:v>0.38056816596370352</c:v>
                </c:pt>
                <c:pt idx="93">
                  <c:v>0.38698337572576919</c:v>
                </c:pt>
                <c:pt idx="94">
                  <c:v>0.39339804887472235</c:v>
                </c:pt>
                <c:pt idx="95">
                  <c:v>0.39582568659647765</c:v>
                </c:pt>
                <c:pt idx="96">
                  <c:v>0.39963993260139308</c:v>
                </c:pt>
                <c:pt idx="97">
                  <c:v>0.40553462764416104</c:v>
                </c:pt>
                <c:pt idx="98">
                  <c:v>0.41038882986144648</c:v>
                </c:pt>
                <c:pt idx="99">
                  <c:v>0.41715069169430224</c:v>
                </c:pt>
                <c:pt idx="100">
                  <c:v>0.42287206070167532</c:v>
                </c:pt>
                <c:pt idx="101">
                  <c:v>0.4263396546358007</c:v>
                </c:pt>
                <c:pt idx="102">
                  <c:v>0.43171437157238379</c:v>
                </c:pt>
                <c:pt idx="103">
                  <c:v>0.43934286358221453</c:v>
                </c:pt>
                <c:pt idx="104">
                  <c:v>0.44575753673116758</c:v>
                </c:pt>
                <c:pt idx="105">
                  <c:v>0.44887847859450292</c:v>
                </c:pt>
                <c:pt idx="106">
                  <c:v>0.44939845670068795</c:v>
                </c:pt>
                <c:pt idx="107">
                  <c:v>0.45494649967266598</c:v>
                </c:pt>
                <c:pt idx="108">
                  <c:v>0.45459984760187594</c:v>
                </c:pt>
                <c:pt idx="109">
                  <c:v>0.46066786868003912</c:v>
                </c:pt>
                <c:pt idx="110">
                  <c:v>0.46205501357631179</c:v>
                </c:pt>
                <c:pt idx="111">
                  <c:v>0.46985683162153752</c:v>
                </c:pt>
                <c:pt idx="112">
                  <c:v>0.47471157045193552</c:v>
                </c:pt>
                <c:pt idx="113">
                  <c:v>0.4778319757021583</c:v>
                </c:pt>
                <c:pt idx="114">
                  <c:v>0.48615430846668167</c:v>
                </c:pt>
                <c:pt idx="115">
                  <c:v>0.4918756774740547</c:v>
                </c:pt>
                <c:pt idx="116">
                  <c:v>0.49863753930691052</c:v>
                </c:pt>
                <c:pt idx="117">
                  <c:v>0.50314508945340586</c:v>
                </c:pt>
                <c:pt idx="118">
                  <c:v>0.50938643656696392</c:v>
                </c:pt>
                <c:pt idx="119">
                  <c:v>0.51406784936196703</c:v>
                </c:pt>
                <c:pt idx="120">
                  <c:v>0.52100303723021768</c:v>
                </c:pt>
                <c:pt idx="121">
                  <c:v>0.52516393530592309</c:v>
                </c:pt>
                <c:pt idx="122">
                  <c:v>0.52776436244996083</c:v>
                </c:pt>
                <c:pt idx="123">
                  <c:v>0.53192526052566624</c:v>
                </c:pt>
                <c:pt idx="124">
                  <c:v>0.53782049218154693</c:v>
                </c:pt>
                <c:pt idx="125">
                  <c:v>0.54562284683988538</c:v>
                </c:pt>
                <c:pt idx="126">
                  <c:v>0.54839713663243073</c:v>
                </c:pt>
                <c:pt idx="127">
                  <c:v>0.55325348530216689</c:v>
                </c:pt>
                <c:pt idx="128">
                  <c:v>0.56157098854867604</c:v>
                </c:pt>
                <c:pt idx="129">
                  <c:v>0.5693733432070146</c:v>
                </c:pt>
                <c:pt idx="130">
                  <c:v>0.57093488736490761</c:v>
                </c:pt>
                <c:pt idx="131">
                  <c:v>0.5789089582193031</c:v>
                </c:pt>
                <c:pt idx="132">
                  <c:v>0.5915676615473775</c:v>
                </c:pt>
                <c:pt idx="133">
                  <c:v>0.5945136675359799</c:v>
                </c:pt>
                <c:pt idx="134">
                  <c:v>0.60075447803642534</c:v>
                </c:pt>
                <c:pt idx="135">
                  <c:v>0.60595962522940217</c:v>
                </c:pt>
                <c:pt idx="136">
                  <c:v>0.60976957832941603</c:v>
                </c:pt>
                <c:pt idx="137">
                  <c:v>0.61479764319520913</c:v>
                </c:pt>
                <c:pt idx="138">
                  <c:v>0.62138725221889524</c:v>
                </c:pt>
                <c:pt idx="139">
                  <c:v>0.63040235251188592</c:v>
                </c:pt>
                <c:pt idx="140">
                  <c:v>0.63751247625486973</c:v>
                </c:pt>
                <c:pt idx="141">
                  <c:v>0.64288397351277671</c:v>
                </c:pt>
                <c:pt idx="142">
                  <c:v>0.64808912070575364</c:v>
                </c:pt>
                <c:pt idx="143">
                  <c:v>0.65450164740225591</c:v>
                </c:pt>
                <c:pt idx="144">
                  <c:v>0.65519387831761056</c:v>
                </c:pt>
                <c:pt idx="145">
                  <c:v>0.66317331530313273</c:v>
                </c:pt>
                <c:pt idx="146">
                  <c:v>0.66594760509567819</c:v>
                </c:pt>
                <c:pt idx="147">
                  <c:v>0.66993464052287588</c:v>
                </c:pt>
                <c:pt idx="148">
                  <c:v>0.67894974081586656</c:v>
                </c:pt>
                <c:pt idx="149">
                  <c:v>0.67894974081586656</c:v>
                </c:pt>
                <c:pt idx="150">
                  <c:v>0.68275969391588054</c:v>
                </c:pt>
                <c:pt idx="151">
                  <c:v>0.68397780568165967</c:v>
                </c:pt>
                <c:pt idx="152">
                  <c:v>0.6916030780128144</c:v>
                </c:pt>
                <c:pt idx="153">
                  <c:v>0.69628771048649341</c:v>
                </c:pt>
                <c:pt idx="154">
                  <c:v>0.69906200027903875</c:v>
                </c:pt>
                <c:pt idx="155">
                  <c:v>0.7082488167680866</c:v>
                </c:pt>
                <c:pt idx="156">
                  <c:v>0.70894104768344124</c:v>
                </c:pt>
                <c:pt idx="157">
                  <c:v>0.71986649065756569</c:v>
                </c:pt>
                <c:pt idx="158">
                  <c:v>0.72298421284222492</c:v>
                </c:pt>
                <c:pt idx="159">
                  <c:v>0.72870987475449955</c:v>
                </c:pt>
                <c:pt idx="160">
                  <c:v>0.73061485130450643</c:v>
                </c:pt>
                <c:pt idx="161">
                  <c:v>0.73962995159749723</c:v>
                </c:pt>
                <c:pt idx="162">
                  <c:v>0.74292475610934028</c:v>
                </c:pt>
                <c:pt idx="163">
                  <c:v>0.74829625336724737</c:v>
                </c:pt>
                <c:pt idx="164">
                  <c:v>0.75523466091417413</c:v>
                </c:pt>
                <c:pt idx="165">
                  <c:v>0.75696792126812407</c:v>
                </c:pt>
                <c:pt idx="166">
                  <c:v>0.76840851283041955</c:v>
                </c:pt>
                <c:pt idx="167">
                  <c:v>0.77395709241551025</c:v>
                </c:pt>
                <c:pt idx="168">
                  <c:v>0.77534692037734632</c:v>
                </c:pt>
                <c:pt idx="169">
                  <c:v>0.78245167798920323</c:v>
                </c:pt>
                <c:pt idx="170">
                  <c:v>0.78661579574358487</c:v>
                </c:pt>
                <c:pt idx="171">
                  <c:v>0.79406935187868255</c:v>
                </c:pt>
                <c:pt idx="172">
                  <c:v>0.7978846711098232</c:v>
                </c:pt>
                <c:pt idx="173">
                  <c:v>0.80326153449885707</c:v>
                </c:pt>
                <c:pt idx="174">
                  <c:v>0.80620754048745946</c:v>
                </c:pt>
                <c:pt idx="175">
                  <c:v>0.81539435697650708</c:v>
                </c:pt>
                <c:pt idx="176">
                  <c:v>0.82094293656159778</c:v>
                </c:pt>
                <c:pt idx="177">
                  <c:v>0.82440945726949777</c:v>
                </c:pt>
                <c:pt idx="178">
                  <c:v>0.82874529121993623</c:v>
                </c:pt>
                <c:pt idx="179">
                  <c:v>0.83429387080502693</c:v>
                </c:pt>
                <c:pt idx="180">
                  <c:v>0.83810919003616768</c:v>
                </c:pt>
                <c:pt idx="181">
                  <c:v>0.8452139476480246</c:v>
                </c:pt>
                <c:pt idx="182">
                  <c:v>0.85059081103705847</c:v>
                </c:pt>
                <c:pt idx="183">
                  <c:v>0.85718042006074457</c:v>
                </c:pt>
                <c:pt idx="184">
                  <c:v>0.86099037316075855</c:v>
                </c:pt>
                <c:pt idx="185">
                  <c:v>0.86775706451162848</c:v>
                </c:pt>
                <c:pt idx="186">
                  <c:v>0.87018255578093306</c:v>
                </c:pt>
                <c:pt idx="187">
                  <c:v>0.87763611191603075</c:v>
                </c:pt>
                <c:pt idx="188">
                  <c:v>0.88231537825858308</c:v>
                </c:pt>
                <c:pt idx="189">
                  <c:v>0.8889049872822693</c:v>
                </c:pt>
                <c:pt idx="190">
                  <c:v>0.88977430052480755</c:v>
                </c:pt>
                <c:pt idx="191">
                  <c:v>0.89826888609850064</c:v>
                </c:pt>
                <c:pt idx="192">
                  <c:v>0.90312523476823681</c:v>
                </c:pt>
                <c:pt idx="193">
                  <c:v>0.90728398639149144</c:v>
                </c:pt>
                <c:pt idx="194">
                  <c:v>0.91560685576912759</c:v>
                </c:pt>
                <c:pt idx="195">
                  <c:v>0.92132715155027523</c:v>
                </c:pt>
                <c:pt idx="196">
                  <c:v>0.92462195606211828</c:v>
                </c:pt>
                <c:pt idx="197">
                  <c:v>0.93277310924369738</c:v>
                </c:pt>
                <c:pt idx="198">
                  <c:v>0.93710357706300917</c:v>
                </c:pt>
                <c:pt idx="199">
                  <c:v>0.93762409178230677</c:v>
                </c:pt>
                <c:pt idx="200">
                  <c:v>0.94143941101344752</c:v>
                </c:pt>
                <c:pt idx="201">
                  <c:v>0.94386490228275211</c:v>
                </c:pt>
                <c:pt idx="202">
                  <c:v>0.94768022151389297</c:v>
                </c:pt>
                <c:pt idx="203">
                  <c:v>0.95426983053757897</c:v>
                </c:pt>
                <c:pt idx="204">
                  <c:v>0.95600309089152902</c:v>
                </c:pt>
                <c:pt idx="205">
                  <c:v>0.95929789540337207</c:v>
                </c:pt>
                <c:pt idx="206">
                  <c:v>0.96155167047661971</c:v>
                </c:pt>
                <c:pt idx="207">
                  <c:v>0.96484647498846288</c:v>
                </c:pt>
                <c:pt idx="208">
                  <c:v>0.96224390139197458</c:v>
                </c:pt>
                <c:pt idx="209">
                  <c:v>0.96345664702662681</c:v>
                </c:pt>
                <c:pt idx="210">
                  <c:v>0.97004625605031281</c:v>
                </c:pt>
                <c:pt idx="211">
                  <c:v>0.97108728548890821</c:v>
                </c:pt>
                <c:pt idx="212">
                  <c:v>0.97941015486654426</c:v>
                </c:pt>
                <c:pt idx="213">
                  <c:v>0.98322010796655823</c:v>
                </c:pt>
                <c:pt idx="214">
                  <c:v>0.98374062268585605</c:v>
                </c:pt>
                <c:pt idx="215">
                  <c:v>0.99449434946392345</c:v>
                </c:pt>
                <c:pt idx="216">
                  <c:v>0.9957070950985758</c:v>
                </c:pt>
                <c:pt idx="217">
                  <c:v>0.99900189961041896</c:v>
                </c:pt>
                <c:pt idx="218">
                  <c:v>0.99431726713673974</c:v>
                </c:pt>
                <c:pt idx="219">
                  <c:v>0.99796087017182344</c:v>
                </c:pt>
                <c:pt idx="220">
                  <c:v>0.99709155692928519</c:v>
                </c:pt>
                <c:pt idx="221">
                  <c:v>1.0059349410262191</c:v>
                </c:pt>
                <c:pt idx="222">
                  <c:v>1.0090580293420051</c:v>
                </c:pt>
                <c:pt idx="223">
                  <c:v>1.0104424911727143</c:v>
                </c:pt>
                <c:pt idx="224">
                  <c:v>1.0100990587806002</c:v>
                </c:pt>
                <c:pt idx="225">
                  <c:v>1.0106142073687712</c:v>
                </c:pt>
                <c:pt idx="226">
                  <c:v>1.0123528338538481</c:v>
                </c:pt>
                <c:pt idx="227">
                  <c:v>1.010791289695955</c:v>
                </c:pt>
                <c:pt idx="228">
                  <c:v>0.93415757107440678</c:v>
                </c:pt>
                <c:pt idx="229">
                  <c:v>0.88214366206252603</c:v>
                </c:pt>
                <c:pt idx="230">
                  <c:v>0.86203140259935385</c:v>
                </c:pt>
                <c:pt idx="231">
                  <c:v>0.85093960956029913</c:v>
                </c:pt>
                <c:pt idx="232">
                  <c:v>0.84660377560986089</c:v>
                </c:pt>
                <c:pt idx="233">
                  <c:v>0.84001416658617467</c:v>
                </c:pt>
                <c:pt idx="234">
                  <c:v>0.84591154469450625</c:v>
                </c:pt>
                <c:pt idx="235">
                  <c:v>0.84660377560986089</c:v>
                </c:pt>
                <c:pt idx="236">
                  <c:v>0.84122691222082691</c:v>
                </c:pt>
                <c:pt idx="237">
                  <c:v>0.83377335608572933</c:v>
                </c:pt>
                <c:pt idx="238">
                  <c:v>0.82319671163484542</c:v>
                </c:pt>
                <c:pt idx="239">
                  <c:v>0.80932526267211868</c:v>
                </c:pt>
                <c:pt idx="240">
                  <c:v>0.80620754048745946</c:v>
                </c:pt>
                <c:pt idx="241">
                  <c:v>0.67947025553516427</c:v>
                </c:pt>
                <c:pt idx="242">
                  <c:v>0.29648089120705751</c:v>
                </c:pt>
                <c:pt idx="243">
                  <c:v>0.12986681262543331</c:v>
                </c:pt>
                <c:pt idx="244">
                  <c:v>5.4101870633310796E-2</c:v>
                </c:pt>
                <c:pt idx="245">
                  <c:v>1.8386511692799729E-2</c:v>
                </c:pt>
                <c:pt idx="246">
                  <c:v>3.1289910600255425E-3</c:v>
                </c:pt>
                <c:pt idx="247">
                  <c:v>1.7423827768655354E-3</c:v>
                </c:pt>
                <c:pt idx="248">
                  <c:v>-7.2732541292379023E-3</c:v>
                </c:pt>
                <c:pt idx="249">
                  <c:v>-1.0319070156798351E-3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5B-41F6-8B69-8D703D5DF2C2}"/>
            </c:ext>
          </c:extLst>
        </c:ser>
        <c:ser>
          <c:idx val="3"/>
          <c:order val="3"/>
          <c:tx>
            <c:v>OLT3-33</c:v>
          </c:tx>
          <c:spPr>
            <a:ln w="19050">
              <a:noFill/>
            </a:ln>
          </c:spPr>
          <c:marker>
            <c:symbol val="diamond"/>
            <c:size val="2"/>
          </c:marker>
          <c:xVal>
            <c:numRef>
              <c:f>'OLT3-3'!$Z$5:$Z$254</c:f>
              <c:numCache>
                <c:formatCode>General</c:formatCode>
                <c:ptCount val="250"/>
                <c:pt idx="0">
                  <c:v>0</c:v>
                </c:pt>
                <c:pt idx="1">
                  <c:v>-1.30589E-5</c:v>
                </c:pt>
                <c:pt idx="2">
                  <c:v>1.35861E-5</c:v>
                </c:pt>
                <c:pt idx="3">
                  <c:v>1.4565100000000001E-5</c:v>
                </c:pt>
                <c:pt idx="4">
                  <c:v>2.41776E-5</c:v>
                </c:pt>
                <c:pt idx="5">
                  <c:v>5.7073700000000002E-5</c:v>
                </c:pt>
                <c:pt idx="6">
                  <c:v>8.4428699999999993E-5</c:v>
                </c:pt>
                <c:pt idx="7">
                  <c:v>1.0533499999999999E-4</c:v>
                </c:pt>
                <c:pt idx="8">
                  <c:v>9.1775999999999997E-5</c:v>
                </c:pt>
                <c:pt idx="9">
                  <c:v>1.10473E-4</c:v>
                </c:pt>
                <c:pt idx="10">
                  <c:v>1.5924799999999999E-4</c:v>
                </c:pt>
                <c:pt idx="11">
                  <c:v>1.6218499999999999E-4</c:v>
                </c:pt>
                <c:pt idx="12">
                  <c:v>1.5836999999999999E-4</c:v>
                </c:pt>
                <c:pt idx="13">
                  <c:v>1.6688099999999999E-4</c:v>
                </c:pt>
                <c:pt idx="14">
                  <c:v>2.1823599999999999E-4</c:v>
                </c:pt>
                <c:pt idx="15">
                  <c:v>2.3496300000000001E-4</c:v>
                </c:pt>
                <c:pt idx="16">
                  <c:v>2.4451399999999998E-4</c:v>
                </c:pt>
                <c:pt idx="17">
                  <c:v>2.4908100000000001E-4</c:v>
                </c:pt>
                <c:pt idx="18">
                  <c:v>2.8985300000000002E-4</c:v>
                </c:pt>
                <c:pt idx="19">
                  <c:v>2.9003500000000001E-4</c:v>
                </c:pt>
                <c:pt idx="20">
                  <c:v>2.9888899999999999E-4</c:v>
                </c:pt>
                <c:pt idx="21">
                  <c:v>3.4038299999999998E-4</c:v>
                </c:pt>
                <c:pt idx="22">
                  <c:v>3.6379899999999999E-4</c:v>
                </c:pt>
                <c:pt idx="23">
                  <c:v>3.9863700000000003E-4</c:v>
                </c:pt>
                <c:pt idx="24">
                  <c:v>4.1658299999999999E-4</c:v>
                </c:pt>
                <c:pt idx="25">
                  <c:v>4.4615600000000002E-4</c:v>
                </c:pt>
                <c:pt idx="26">
                  <c:v>4.7981800000000002E-4</c:v>
                </c:pt>
                <c:pt idx="27">
                  <c:v>4.8599599999999999E-4</c:v>
                </c:pt>
                <c:pt idx="28">
                  <c:v>5.0935399999999995E-4</c:v>
                </c:pt>
                <c:pt idx="29">
                  <c:v>5.3218000000000004E-4</c:v>
                </c:pt>
                <c:pt idx="30">
                  <c:v>5.3845599999999998E-4</c:v>
                </c:pt>
                <c:pt idx="31">
                  <c:v>5.3342099999999996E-4</c:v>
                </c:pt>
                <c:pt idx="32">
                  <c:v>5.7778699999999996E-4</c:v>
                </c:pt>
                <c:pt idx="33">
                  <c:v>6.2814299999999995E-4</c:v>
                </c:pt>
                <c:pt idx="34">
                  <c:v>6.7694800000000002E-4</c:v>
                </c:pt>
                <c:pt idx="35">
                  <c:v>7.1154699999999998E-4</c:v>
                </c:pt>
                <c:pt idx="36">
                  <c:v>7.4091800000000002E-4</c:v>
                </c:pt>
                <c:pt idx="37">
                  <c:v>7.4394800000000003E-4</c:v>
                </c:pt>
                <c:pt idx="38">
                  <c:v>7.79746E-4</c:v>
                </c:pt>
                <c:pt idx="39">
                  <c:v>7.8614699999999995E-4</c:v>
                </c:pt>
                <c:pt idx="40">
                  <c:v>8.3688999999999996E-4</c:v>
                </c:pt>
                <c:pt idx="41">
                  <c:v>8.2964900000000001E-4</c:v>
                </c:pt>
                <c:pt idx="42">
                  <c:v>8.54754E-4</c:v>
                </c:pt>
                <c:pt idx="43">
                  <c:v>8.8345100000000005E-4</c:v>
                </c:pt>
                <c:pt idx="44">
                  <c:v>9.3182400000000004E-4</c:v>
                </c:pt>
                <c:pt idx="45">
                  <c:v>9.7086899999999996E-4</c:v>
                </c:pt>
                <c:pt idx="46">
                  <c:v>9.7828200000000002E-4</c:v>
                </c:pt>
                <c:pt idx="47">
                  <c:v>9.8499500000000001E-4</c:v>
                </c:pt>
                <c:pt idx="48">
                  <c:v>1.0522299999999999E-3</c:v>
                </c:pt>
                <c:pt idx="49">
                  <c:v>1.0662200000000001E-3</c:v>
                </c:pt>
                <c:pt idx="50">
                  <c:v>1.0945200000000001E-3</c:v>
                </c:pt>
                <c:pt idx="51">
                  <c:v>1.14868E-3</c:v>
                </c:pt>
                <c:pt idx="52">
                  <c:v>1.1695200000000001E-3</c:v>
                </c:pt>
                <c:pt idx="53">
                  <c:v>1.23135E-3</c:v>
                </c:pt>
                <c:pt idx="54">
                  <c:v>1.2547000000000001E-3</c:v>
                </c:pt>
                <c:pt idx="55">
                  <c:v>1.26238E-3</c:v>
                </c:pt>
                <c:pt idx="56">
                  <c:v>1.28773E-3</c:v>
                </c:pt>
                <c:pt idx="57">
                  <c:v>1.29981E-3</c:v>
                </c:pt>
                <c:pt idx="58">
                  <c:v>1.3605500000000001E-3</c:v>
                </c:pt>
                <c:pt idx="59">
                  <c:v>1.3707000000000001E-3</c:v>
                </c:pt>
                <c:pt idx="60">
                  <c:v>1.4002999999999999E-3</c:v>
                </c:pt>
                <c:pt idx="61">
                  <c:v>1.4103799999999999E-3</c:v>
                </c:pt>
                <c:pt idx="62">
                  <c:v>1.44589E-3</c:v>
                </c:pt>
                <c:pt idx="63">
                  <c:v>1.46188E-3</c:v>
                </c:pt>
                <c:pt idx="64">
                  <c:v>1.5007E-3</c:v>
                </c:pt>
                <c:pt idx="65">
                  <c:v>1.53421E-3</c:v>
                </c:pt>
                <c:pt idx="66">
                  <c:v>1.5590999999999999E-3</c:v>
                </c:pt>
                <c:pt idx="67">
                  <c:v>1.56402E-3</c:v>
                </c:pt>
                <c:pt idx="68">
                  <c:v>1.5778400000000001E-3</c:v>
                </c:pt>
                <c:pt idx="69">
                  <c:v>1.6262799999999999E-3</c:v>
                </c:pt>
                <c:pt idx="70">
                  <c:v>1.6505199999999999E-3</c:v>
                </c:pt>
                <c:pt idx="71">
                  <c:v>1.67688E-3</c:v>
                </c:pt>
                <c:pt idx="72">
                  <c:v>1.7072999999999999E-3</c:v>
                </c:pt>
                <c:pt idx="73">
                  <c:v>1.7515899999999999E-3</c:v>
                </c:pt>
                <c:pt idx="74">
                  <c:v>1.7414500000000001E-3</c:v>
                </c:pt>
                <c:pt idx="75">
                  <c:v>1.77951E-3</c:v>
                </c:pt>
                <c:pt idx="76">
                  <c:v>1.81416E-3</c:v>
                </c:pt>
                <c:pt idx="77">
                  <c:v>1.9014100000000001E-3</c:v>
                </c:pt>
                <c:pt idx="78">
                  <c:v>1.92147E-3</c:v>
                </c:pt>
                <c:pt idx="79">
                  <c:v>1.9740299999999999E-3</c:v>
                </c:pt>
                <c:pt idx="80">
                  <c:v>1.97635E-3</c:v>
                </c:pt>
                <c:pt idx="81">
                  <c:v>1.9961200000000001E-3</c:v>
                </c:pt>
                <c:pt idx="82">
                  <c:v>2.0275599999999999E-3</c:v>
                </c:pt>
                <c:pt idx="83">
                  <c:v>2.12028E-3</c:v>
                </c:pt>
                <c:pt idx="84">
                  <c:v>2.15862E-3</c:v>
                </c:pt>
                <c:pt idx="85">
                  <c:v>2.1954100000000001E-3</c:v>
                </c:pt>
                <c:pt idx="86">
                  <c:v>2.1886599999999998E-3</c:v>
                </c:pt>
                <c:pt idx="87">
                  <c:v>2.2132100000000002E-3</c:v>
                </c:pt>
                <c:pt idx="88">
                  <c:v>2.2726399999999998E-3</c:v>
                </c:pt>
                <c:pt idx="89">
                  <c:v>2.3026100000000001E-3</c:v>
                </c:pt>
                <c:pt idx="90">
                  <c:v>2.3884599999999998E-3</c:v>
                </c:pt>
                <c:pt idx="91">
                  <c:v>2.3991899999999998E-3</c:v>
                </c:pt>
                <c:pt idx="92">
                  <c:v>2.4118E-3</c:v>
                </c:pt>
                <c:pt idx="93">
                  <c:v>2.4563300000000001E-3</c:v>
                </c:pt>
                <c:pt idx="94">
                  <c:v>2.4796000000000002E-3</c:v>
                </c:pt>
                <c:pt idx="95">
                  <c:v>2.5024600000000002E-3</c:v>
                </c:pt>
                <c:pt idx="96">
                  <c:v>2.5045900000000001E-3</c:v>
                </c:pt>
                <c:pt idx="97">
                  <c:v>2.5272900000000002E-3</c:v>
                </c:pt>
                <c:pt idx="98">
                  <c:v>2.59129E-3</c:v>
                </c:pt>
                <c:pt idx="99">
                  <c:v>2.6291299999999999E-3</c:v>
                </c:pt>
                <c:pt idx="100">
                  <c:v>2.6423200000000001E-3</c:v>
                </c:pt>
                <c:pt idx="101">
                  <c:v>2.67935E-3</c:v>
                </c:pt>
                <c:pt idx="102">
                  <c:v>2.6953900000000002E-3</c:v>
                </c:pt>
                <c:pt idx="103">
                  <c:v>2.73062E-3</c:v>
                </c:pt>
                <c:pt idx="104">
                  <c:v>2.7540899999999998E-3</c:v>
                </c:pt>
                <c:pt idx="105">
                  <c:v>2.8148600000000002E-3</c:v>
                </c:pt>
                <c:pt idx="106">
                  <c:v>2.85192E-3</c:v>
                </c:pt>
                <c:pt idx="107">
                  <c:v>2.8404900000000002E-3</c:v>
                </c:pt>
                <c:pt idx="108">
                  <c:v>2.8824900000000001E-3</c:v>
                </c:pt>
                <c:pt idx="109">
                  <c:v>2.9058700000000001E-3</c:v>
                </c:pt>
                <c:pt idx="110">
                  <c:v>2.9715000000000002E-3</c:v>
                </c:pt>
                <c:pt idx="111">
                  <c:v>2.9846999999999999E-3</c:v>
                </c:pt>
                <c:pt idx="112">
                  <c:v>2.9996699999999999E-3</c:v>
                </c:pt>
                <c:pt idx="113">
                  <c:v>3.0050200000000002E-3</c:v>
                </c:pt>
                <c:pt idx="114">
                  <c:v>3.0416900000000001E-3</c:v>
                </c:pt>
                <c:pt idx="115">
                  <c:v>3.0832099999999999E-3</c:v>
                </c:pt>
                <c:pt idx="116">
                  <c:v>3.1945099999999998E-3</c:v>
                </c:pt>
                <c:pt idx="117">
                  <c:v>3.1517400000000001E-3</c:v>
                </c:pt>
                <c:pt idx="118">
                  <c:v>3.1714600000000001E-3</c:v>
                </c:pt>
                <c:pt idx="119">
                  <c:v>3.21572E-3</c:v>
                </c:pt>
                <c:pt idx="120">
                  <c:v>3.2501800000000001E-3</c:v>
                </c:pt>
                <c:pt idx="121">
                  <c:v>3.32257E-3</c:v>
                </c:pt>
                <c:pt idx="122">
                  <c:v>3.32468E-3</c:v>
                </c:pt>
                <c:pt idx="123">
                  <c:v>3.3328300000000002E-3</c:v>
                </c:pt>
                <c:pt idx="124">
                  <c:v>3.3752600000000002E-3</c:v>
                </c:pt>
                <c:pt idx="125">
                  <c:v>3.42348E-3</c:v>
                </c:pt>
                <c:pt idx="126">
                  <c:v>3.4699000000000002E-3</c:v>
                </c:pt>
                <c:pt idx="127">
                  <c:v>3.5109400000000002E-3</c:v>
                </c:pt>
                <c:pt idx="128">
                  <c:v>3.55559E-3</c:v>
                </c:pt>
                <c:pt idx="129">
                  <c:v>3.60144E-3</c:v>
                </c:pt>
                <c:pt idx="130">
                  <c:v>3.6369499999999999E-3</c:v>
                </c:pt>
                <c:pt idx="131">
                  <c:v>3.6871E-3</c:v>
                </c:pt>
                <c:pt idx="132">
                  <c:v>3.7502600000000001E-3</c:v>
                </c:pt>
                <c:pt idx="133">
                  <c:v>3.7693599999999998E-3</c:v>
                </c:pt>
                <c:pt idx="134">
                  <c:v>3.8153200000000001E-3</c:v>
                </c:pt>
                <c:pt idx="135">
                  <c:v>3.8699699999999999E-3</c:v>
                </c:pt>
                <c:pt idx="136">
                  <c:v>3.8639400000000002E-3</c:v>
                </c:pt>
                <c:pt idx="137">
                  <c:v>3.92523E-3</c:v>
                </c:pt>
                <c:pt idx="138">
                  <c:v>3.9936599999999996E-3</c:v>
                </c:pt>
                <c:pt idx="139">
                  <c:v>3.9616299999999998E-3</c:v>
                </c:pt>
                <c:pt idx="140">
                  <c:v>4.0545800000000003E-3</c:v>
                </c:pt>
                <c:pt idx="141">
                  <c:v>4.1479200000000003E-3</c:v>
                </c:pt>
                <c:pt idx="142">
                  <c:v>4.1515500000000004E-3</c:v>
                </c:pt>
                <c:pt idx="143">
                  <c:v>4.1738699999999997E-3</c:v>
                </c:pt>
                <c:pt idx="144">
                  <c:v>4.2122499999999998E-3</c:v>
                </c:pt>
                <c:pt idx="145">
                  <c:v>4.2715399999999999E-3</c:v>
                </c:pt>
                <c:pt idx="146">
                  <c:v>4.2849100000000003E-3</c:v>
                </c:pt>
                <c:pt idx="147">
                  <c:v>4.3230200000000003E-3</c:v>
                </c:pt>
                <c:pt idx="148">
                  <c:v>4.3955599999999997E-3</c:v>
                </c:pt>
                <c:pt idx="149">
                  <c:v>4.3856299999999997E-3</c:v>
                </c:pt>
                <c:pt idx="150">
                  <c:v>4.3797000000000003E-3</c:v>
                </c:pt>
                <c:pt idx="151">
                  <c:v>4.4544399999999996E-3</c:v>
                </c:pt>
                <c:pt idx="152">
                  <c:v>4.43319E-3</c:v>
                </c:pt>
                <c:pt idx="153">
                  <c:v>4.5454800000000002E-3</c:v>
                </c:pt>
                <c:pt idx="154">
                  <c:v>4.5864E-3</c:v>
                </c:pt>
                <c:pt idx="155">
                  <c:v>4.6818399999999996E-3</c:v>
                </c:pt>
                <c:pt idx="156">
                  <c:v>4.7064899999999998E-3</c:v>
                </c:pt>
                <c:pt idx="157">
                  <c:v>4.77948E-3</c:v>
                </c:pt>
                <c:pt idx="158">
                  <c:v>4.7918700000000002E-3</c:v>
                </c:pt>
                <c:pt idx="159">
                  <c:v>4.8458700000000004E-3</c:v>
                </c:pt>
                <c:pt idx="160">
                  <c:v>4.8778800000000002E-3</c:v>
                </c:pt>
                <c:pt idx="161">
                  <c:v>4.95898E-3</c:v>
                </c:pt>
                <c:pt idx="162">
                  <c:v>5.0112300000000002E-3</c:v>
                </c:pt>
                <c:pt idx="163">
                  <c:v>5.0614600000000003E-3</c:v>
                </c:pt>
                <c:pt idx="164">
                  <c:v>5.0975100000000004E-3</c:v>
                </c:pt>
                <c:pt idx="165">
                  <c:v>5.1231799999999997E-3</c:v>
                </c:pt>
                <c:pt idx="166">
                  <c:v>5.1827000000000002E-3</c:v>
                </c:pt>
                <c:pt idx="167">
                  <c:v>5.2239599999999997E-3</c:v>
                </c:pt>
                <c:pt idx="168">
                  <c:v>5.2579999999999997E-3</c:v>
                </c:pt>
                <c:pt idx="169">
                  <c:v>5.3017100000000003E-3</c:v>
                </c:pt>
                <c:pt idx="170">
                  <c:v>5.37873E-3</c:v>
                </c:pt>
                <c:pt idx="171">
                  <c:v>5.4809200000000002E-3</c:v>
                </c:pt>
                <c:pt idx="172">
                  <c:v>5.48534E-3</c:v>
                </c:pt>
                <c:pt idx="173">
                  <c:v>5.5423099999999999E-3</c:v>
                </c:pt>
                <c:pt idx="174">
                  <c:v>5.6075200000000004E-3</c:v>
                </c:pt>
                <c:pt idx="175">
                  <c:v>5.7189399999999996E-3</c:v>
                </c:pt>
                <c:pt idx="176">
                  <c:v>5.74867E-3</c:v>
                </c:pt>
                <c:pt idx="177">
                  <c:v>5.8081599999999997E-3</c:v>
                </c:pt>
                <c:pt idx="178">
                  <c:v>5.8674199999999999E-3</c:v>
                </c:pt>
                <c:pt idx="179">
                  <c:v>5.9628600000000004E-3</c:v>
                </c:pt>
                <c:pt idx="180">
                  <c:v>5.98556E-3</c:v>
                </c:pt>
                <c:pt idx="181">
                  <c:v>6.10211E-3</c:v>
                </c:pt>
                <c:pt idx="182">
                  <c:v>6.2209400000000003E-3</c:v>
                </c:pt>
                <c:pt idx="183">
                  <c:v>6.2843999999999999E-3</c:v>
                </c:pt>
                <c:pt idx="184">
                  <c:v>6.33229E-3</c:v>
                </c:pt>
                <c:pt idx="185">
                  <c:v>6.4346000000000004E-3</c:v>
                </c:pt>
                <c:pt idx="186">
                  <c:v>6.4652199999999998E-3</c:v>
                </c:pt>
                <c:pt idx="187">
                  <c:v>6.6434399999999996E-3</c:v>
                </c:pt>
                <c:pt idx="188">
                  <c:v>6.7592499999999996E-3</c:v>
                </c:pt>
                <c:pt idx="189">
                  <c:v>6.8443999999999996E-3</c:v>
                </c:pt>
                <c:pt idx="190">
                  <c:v>6.8702800000000003E-3</c:v>
                </c:pt>
                <c:pt idx="191">
                  <c:v>7.0907100000000001E-3</c:v>
                </c:pt>
                <c:pt idx="192">
                  <c:v>7.2494500000000002E-3</c:v>
                </c:pt>
                <c:pt idx="193">
                  <c:v>7.25503E-3</c:v>
                </c:pt>
                <c:pt idx="194">
                  <c:v>7.4961999999999997E-3</c:v>
                </c:pt>
                <c:pt idx="195">
                  <c:v>7.4203000000000003E-3</c:v>
                </c:pt>
                <c:pt idx="196">
                  <c:v>7.5620399999999999E-3</c:v>
                </c:pt>
                <c:pt idx="197">
                  <c:v>7.7694900000000004E-3</c:v>
                </c:pt>
                <c:pt idx="198">
                  <c:v>7.9209399999999996E-3</c:v>
                </c:pt>
                <c:pt idx="199">
                  <c:v>7.9404000000000002E-3</c:v>
                </c:pt>
                <c:pt idx="200">
                  <c:v>7.9470700000000005E-3</c:v>
                </c:pt>
                <c:pt idx="201">
                  <c:v>8.00062E-3</c:v>
                </c:pt>
                <c:pt idx="202">
                  <c:v>8.1962500000000004E-3</c:v>
                </c:pt>
                <c:pt idx="203">
                  <c:v>8.3264399999999992E-3</c:v>
                </c:pt>
                <c:pt idx="204">
                  <c:v>8.4116699999999996E-3</c:v>
                </c:pt>
                <c:pt idx="205">
                  <c:v>8.4655400000000006E-3</c:v>
                </c:pt>
                <c:pt idx="206">
                  <c:v>8.5676899999999993E-3</c:v>
                </c:pt>
                <c:pt idx="207">
                  <c:v>8.5879200000000006E-3</c:v>
                </c:pt>
                <c:pt idx="208">
                  <c:v>8.6426100000000002E-3</c:v>
                </c:pt>
                <c:pt idx="209">
                  <c:v>8.6809899999999995E-3</c:v>
                </c:pt>
                <c:pt idx="210">
                  <c:v>8.7831000000000003E-3</c:v>
                </c:pt>
                <c:pt idx="211">
                  <c:v>8.8585299999999999E-3</c:v>
                </c:pt>
                <c:pt idx="212">
                  <c:v>9.1244599999999992E-3</c:v>
                </c:pt>
                <c:pt idx="213">
                  <c:v>9.2848900000000005E-3</c:v>
                </c:pt>
                <c:pt idx="214">
                  <c:v>9.4460599999999992E-3</c:v>
                </c:pt>
                <c:pt idx="215">
                  <c:v>9.7375699999999992E-3</c:v>
                </c:pt>
                <c:pt idx="216">
                  <c:v>9.8879099999999998E-3</c:v>
                </c:pt>
                <c:pt idx="217">
                  <c:v>9.9289300000000007E-3</c:v>
                </c:pt>
                <c:pt idx="218">
                  <c:v>1.00479E-2</c:v>
                </c:pt>
                <c:pt idx="219">
                  <c:v>1.0133100000000001E-2</c:v>
                </c:pt>
                <c:pt idx="220">
                  <c:v>1.0222500000000001E-2</c:v>
                </c:pt>
                <c:pt idx="221">
                  <c:v>1.06845E-2</c:v>
                </c:pt>
                <c:pt idx="222">
                  <c:v>1.09278E-2</c:v>
                </c:pt>
                <c:pt idx="223">
                  <c:v>1.1284300000000001E-2</c:v>
                </c:pt>
                <c:pt idx="224">
                  <c:v>1.13107E-2</c:v>
                </c:pt>
                <c:pt idx="225">
                  <c:v>1.1368700000000001E-2</c:v>
                </c:pt>
                <c:pt idx="226">
                  <c:v>1.16848E-2</c:v>
                </c:pt>
                <c:pt idx="227">
                  <c:v>1.1713599999999999E-2</c:v>
                </c:pt>
                <c:pt idx="228">
                  <c:v>1.2321199999999999E-2</c:v>
                </c:pt>
                <c:pt idx="229">
                  <c:v>1.2365599999999999E-2</c:v>
                </c:pt>
                <c:pt idx="230">
                  <c:v>1.24189E-2</c:v>
                </c:pt>
                <c:pt idx="231">
                  <c:v>1.2462600000000001E-2</c:v>
                </c:pt>
                <c:pt idx="232">
                  <c:v>1.24733E-2</c:v>
                </c:pt>
                <c:pt idx="233">
                  <c:v>1.2503999999999999E-2</c:v>
                </c:pt>
                <c:pt idx="234">
                  <c:v>1.28082E-2</c:v>
                </c:pt>
                <c:pt idx="235">
                  <c:v>1.3535E-2</c:v>
                </c:pt>
                <c:pt idx="236">
                  <c:v>1.38672E-2</c:v>
                </c:pt>
                <c:pt idx="237">
                  <c:v>1.39776E-2</c:v>
                </c:pt>
                <c:pt idx="238">
                  <c:v>1.40935E-2</c:v>
                </c:pt>
                <c:pt idx="239">
                  <c:v>1.41172E-2</c:v>
                </c:pt>
                <c:pt idx="240">
                  <c:v>1.4157299999999999E-2</c:v>
                </c:pt>
                <c:pt idx="241">
                  <c:v>1.41958E-2</c:v>
                </c:pt>
                <c:pt idx="242">
                  <c:v>1.6340199999999999E-2</c:v>
                </c:pt>
                <c:pt idx="243">
                  <c:v>1.6433E-2</c:v>
                </c:pt>
                <c:pt idx="244">
                  <c:v>1.6490999999999999E-2</c:v>
                </c:pt>
                <c:pt idx="245">
                  <c:v>1.65381E-2</c:v>
                </c:pt>
                <c:pt idx="246">
                  <c:v>1.65795E-2</c:v>
                </c:pt>
                <c:pt idx="247">
                  <c:v>1.6636000000000001E-2</c:v>
                </c:pt>
                <c:pt idx="248">
                  <c:v>1.6741300000000001E-2</c:v>
                </c:pt>
                <c:pt idx="249">
                  <c:v>1.7256000000000001E-2</c:v>
                </c:pt>
              </c:numCache>
            </c:numRef>
          </c:xVal>
          <c:yVal>
            <c:numRef>
              <c:f>'OLT3-3'!$V$5:$V$254</c:f>
              <c:numCache>
                <c:formatCode>General</c:formatCode>
                <c:ptCount val="250"/>
                <c:pt idx="0">
                  <c:v>-0.15048187857518486</c:v>
                </c:pt>
                <c:pt idx="1">
                  <c:v>-0.15117518271676489</c:v>
                </c:pt>
                <c:pt idx="2">
                  <c:v>-0.14684095860566448</c:v>
                </c:pt>
                <c:pt idx="3">
                  <c:v>-0.14094626356289641</c:v>
                </c:pt>
                <c:pt idx="4">
                  <c:v>-0.13262393079837298</c:v>
                </c:pt>
                <c:pt idx="5">
                  <c:v>-0.12880968479345761</c:v>
                </c:pt>
                <c:pt idx="6">
                  <c:v>-0.12152784485441687</c:v>
                </c:pt>
                <c:pt idx="7">
                  <c:v>-0.11129892570054842</c:v>
                </c:pt>
                <c:pt idx="8">
                  <c:v>-0.10800465780181803</c:v>
                </c:pt>
                <c:pt idx="9">
                  <c:v>-0.10176331068825997</c:v>
                </c:pt>
                <c:pt idx="10">
                  <c:v>-9.2053833027463852E-2</c:v>
                </c:pt>
                <c:pt idx="11">
                  <c:v>-8.4078688946843103E-2</c:v>
                </c:pt>
                <c:pt idx="12">
                  <c:v>-7.7664015797890035E-2</c:v>
                </c:pt>
                <c:pt idx="13">
                  <c:v>-7.5236378076134675E-2</c:v>
                </c:pt>
                <c:pt idx="14">
                  <c:v>-7.0555501894244296E-2</c:v>
                </c:pt>
                <c:pt idx="15">
                  <c:v>-6.5874089099241223E-2</c:v>
                </c:pt>
                <c:pt idx="16">
                  <c:v>-5.8592785773313158E-2</c:v>
                </c:pt>
                <c:pt idx="17">
                  <c:v>-5.3391394872125096E-2</c:v>
                </c:pt>
                <c:pt idx="18">
                  <c:v>-4.6976185110059354E-2</c:v>
                </c:pt>
                <c:pt idx="19">
                  <c:v>-4.5415714178391665E-2</c:v>
                </c:pt>
                <c:pt idx="20">
                  <c:v>-3.6573939920795905E-2</c:v>
                </c:pt>
                <c:pt idx="21">
                  <c:v>-2.8251607156272472E-2</c:v>
                </c:pt>
                <c:pt idx="22">
                  <c:v>-2.3744057009777091E-2</c:v>
                </c:pt>
                <c:pt idx="23">
                  <c:v>-1.5942238964551336E-2</c:v>
                </c:pt>
                <c:pt idx="24">
                  <c:v>-1.4901746139068655E-2</c:v>
                </c:pt>
                <c:pt idx="25">
                  <c:v>-6.4066239522628972E-3</c:v>
                </c:pt>
                <c:pt idx="26">
                  <c:v>-1.8985371926548398E-3</c:v>
                </c:pt>
                <c:pt idx="27">
                  <c:v>6.2499329233609152E-3</c:v>
                </c:pt>
                <c:pt idx="28">
                  <c:v>1.249181665003166E-2</c:v>
                </c:pt>
                <c:pt idx="29">
                  <c:v>1.5265569829464355E-2</c:v>
                </c:pt>
                <c:pt idx="30">
                  <c:v>2.7054959915000485E-2</c:v>
                </c:pt>
                <c:pt idx="31">
                  <c:v>2.9309271601360848E-2</c:v>
                </c:pt>
                <c:pt idx="32">
                  <c:v>3.9538190755229297E-2</c:v>
                </c:pt>
                <c:pt idx="33">
                  <c:v>4.387241486632968E-2</c:v>
                </c:pt>
                <c:pt idx="34">
                  <c:v>5.2021421595458105E-2</c:v>
                </c:pt>
                <c:pt idx="35">
                  <c:v>5.7222275883533492E-2</c:v>
                </c:pt>
                <c:pt idx="36">
                  <c:v>6.2596992820116548E-2</c:v>
                </c:pt>
                <c:pt idx="37">
                  <c:v>6.6584564860426937E-2</c:v>
                </c:pt>
                <c:pt idx="38">
                  <c:v>7.4560245554160354E-2</c:v>
                </c:pt>
                <c:pt idx="39">
                  <c:v>7.9587773806840748E-2</c:v>
                </c:pt>
                <c:pt idx="40">
                  <c:v>8.2362063599386109E-2</c:v>
                </c:pt>
                <c:pt idx="41">
                  <c:v>9.2244330682464556E-2</c:v>
                </c:pt>
                <c:pt idx="42">
                  <c:v>9.1031048434699544E-2</c:v>
                </c:pt>
                <c:pt idx="43">
                  <c:v>9.5018620475009932E-2</c:v>
                </c:pt>
                <c:pt idx="44">
                  <c:v>0.10784850338602874</c:v>
                </c:pt>
                <c:pt idx="45">
                  <c:v>0.11495648067656181</c:v>
                </c:pt>
                <c:pt idx="46">
                  <c:v>0.11634362557283449</c:v>
                </c:pt>
                <c:pt idx="47">
                  <c:v>0.12310548740569024</c:v>
                </c:pt>
                <c:pt idx="48">
                  <c:v>0.12674640737521062</c:v>
                </c:pt>
                <c:pt idx="49">
                  <c:v>0.13420157334964639</c:v>
                </c:pt>
                <c:pt idx="50">
                  <c:v>0.14269669553645212</c:v>
                </c:pt>
                <c:pt idx="51">
                  <c:v>0.14893857926312287</c:v>
                </c:pt>
                <c:pt idx="52">
                  <c:v>0.14893857926312287</c:v>
                </c:pt>
                <c:pt idx="53">
                  <c:v>0.15830086824001632</c:v>
                </c:pt>
                <c:pt idx="54">
                  <c:v>0.16644933835603207</c:v>
                </c:pt>
                <c:pt idx="55">
                  <c:v>0.17026358436094743</c:v>
                </c:pt>
                <c:pt idx="56">
                  <c:v>0.17667825750990052</c:v>
                </c:pt>
                <c:pt idx="57">
                  <c:v>0.18101301823411356</c:v>
                </c:pt>
                <c:pt idx="58">
                  <c:v>0.18760101741846164</c:v>
                </c:pt>
                <c:pt idx="59">
                  <c:v>0.1936690384966247</c:v>
                </c:pt>
                <c:pt idx="60">
                  <c:v>0.20008424825869042</c:v>
                </c:pt>
                <c:pt idx="61">
                  <c:v>0.20285800143812316</c:v>
                </c:pt>
                <c:pt idx="62">
                  <c:v>0.20788606630391621</c:v>
                </c:pt>
                <c:pt idx="63">
                  <c:v>0.21586121038453696</c:v>
                </c:pt>
                <c:pt idx="64">
                  <c:v>0.21794165942238963</c:v>
                </c:pt>
                <c:pt idx="65">
                  <c:v>0.22158257939191003</c:v>
                </c:pt>
                <c:pt idx="66">
                  <c:v>0.22990491215643344</c:v>
                </c:pt>
                <c:pt idx="67">
                  <c:v>0.23666623737617654</c:v>
                </c:pt>
                <c:pt idx="68">
                  <c:v>0.23736007813086921</c:v>
                </c:pt>
                <c:pt idx="69">
                  <c:v>0.24464191806990995</c:v>
                </c:pt>
                <c:pt idx="70">
                  <c:v>0.24862949011022034</c:v>
                </c:pt>
                <c:pt idx="71">
                  <c:v>0.25122991725425803</c:v>
                </c:pt>
                <c:pt idx="72">
                  <c:v>0.25851175719329877</c:v>
                </c:pt>
                <c:pt idx="73">
                  <c:v>0.26562027109694453</c:v>
                </c:pt>
                <c:pt idx="74">
                  <c:v>0.2715149661397126</c:v>
                </c:pt>
                <c:pt idx="75">
                  <c:v>0.27862348004335835</c:v>
                </c:pt>
                <c:pt idx="76">
                  <c:v>0.280703929081211</c:v>
                </c:pt>
                <c:pt idx="77">
                  <c:v>0.29110671088358714</c:v>
                </c:pt>
                <c:pt idx="78">
                  <c:v>0.29925518099960291</c:v>
                </c:pt>
                <c:pt idx="79">
                  <c:v>0.30046899986048059</c:v>
                </c:pt>
                <c:pt idx="80">
                  <c:v>0.30879079601189136</c:v>
                </c:pt>
                <c:pt idx="81">
                  <c:v>0.31468549105465937</c:v>
                </c:pt>
                <c:pt idx="82">
                  <c:v>0.31745978084720478</c:v>
                </c:pt>
                <c:pt idx="83">
                  <c:v>0.3275153739656782</c:v>
                </c:pt>
                <c:pt idx="84">
                  <c:v>0.33826480783884433</c:v>
                </c:pt>
                <c:pt idx="85">
                  <c:v>0.34415950288161234</c:v>
                </c:pt>
                <c:pt idx="86">
                  <c:v>0.34658660399025509</c:v>
                </c:pt>
                <c:pt idx="87">
                  <c:v>0.35265462506841816</c:v>
                </c:pt>
                <c:pt idx="88">
                  <c:v>0.35716271182802622</c:v>
                </c:pt>
                <c:pt idx="89">
                  <c:v>0.36565783401483198</c:v>
                </c:pt>
                <c:pt idx="90">
                  <c:v>0.36843212380737733</c:v>
                </c:pt>
                <c:pt idx="91">
                  <c:v>0.37606061581720807</c:v>
                </c:pt>
                <c:pt idx="92">
                  <c:v>0.38056816596370352</c:v>
                </c:pt>
                <c:pt idx="93">
                  <c:v>0.38698337572576919</c:v>
                </c:pt>
                <c:pt idx="94">
                  <c:v>0.39339804887472235</c:v>
                </c:pt>
                <c:pt idx="95">
                  <c:v>0.39582568659647765</c:v>
                </c:pt>
                <c:pt idx="96">
                  <c:v>0.39963993260139308</c:v>
                </c:pt>
                <c:pt idx="97">
                  <c:v>0.40553462764416104</c:v>
                </c:pt>
                <c:pt idx="98">
                  <c:v>0.41038882986144648</c:v>
                </c:pt>
                <c:pt idx="99">
                  <c:v>0.41715069169430224</c:v>
                </c:pt>
                <c:pt idx="100">
                  <c:v>0.42287206070167532</c:v>
                </c:pt>
                <c:pt idx="101">
                  <c:v>0.4263396546358007</c:v>
                </c:pt>
                <c:pt idx="102">
                  <c:v>0.43171437157238379</c:v>
                </c:pt>
                <c:pt idx="103">
                  <c:v>0.43934286358221453</c:v>
                </c:pt>
                <c:pt idx="104">
                  <c:v>0.44575753673116758</c:v>
                </c:pt>
                <c:pt idx="105">
                  <c:v>0.44887847859450292</c:v>
                </c:pt>
                <c:pt idx="106">
                  <c:v>0.44939845670068795</c:v>
                </c:pt>
                <c:pt idx="107">
                  <c:v>0.45494649967266598</c:v>
                </c:pt>
                <c:pt idx="108">
                  <c:v>0.45459984760187594</c:v>
                </c:pt>
                <c:pt idx="109">
                  <c:v>0.46066786868003912</c:v>
                </c:pt>
                <c:pt idx="110">
                  <c:v>0.46205501357631179</c:v>
                </c:pt>
                <c:pt idx="111">
                  <c:v>0.46985683162153752</c:v>
                </c:pt>
                <c:pt idx="112">
                  <c:v>0.47471157045193552</c:v>
                </c:pt>
                <c:pt idx="113">
                  <c:v>0.4778319757021583</c:v>
                </c:pt>
                <c:pt idx="114">
                  <c:v>0.48615430846668167</c:v>
                </c:pt>
                <c:pt idx="115">
                  <c:v>0.4918756774740547</c:v>
                </c:pt>
                <c:pt idx="116">
                  <c:v>0.49863753930691052</c:v>
                </c:pt>
                <c:pt idx="117">
                  <c:v>0.50314508945340586</c:v>
                </c:pt>
                <c:pt idx="118">
                  <c:v>0.50938643656696392</c:v>
                </c:pt>
                <c:pt idx="119">
                  <c:v>0.51406784936196703</c:v>
                </c:pt>
                <c:pt idx="120">
                  <c:v>0.52100303723021768</c:v>
                </c:pt>
                <c:pt idx="121">
                  <c:v>0.52516393530592309</c:v>
                </c:pt>
                <c:pt idx="122">
                  <c:v>0.52776436244996083</c:v>
                </c:pt>
                <c:pt idx="123">
                  <c:v>0.53192526052566624</c:v>
                </c:pt>
                <c:pt idx="124">
                  <c:v>0.53782049218154693</c:v>
                </c:pt>
                <c:pt idx="125">
                  <c:v>0.54562284683988538</c:v>
                </c:pt>
                <c:pt idx="126">
                  <c:v>0.54839713663243073</c:v>
                </c:pt>
                <c:pt idx="127">
                  <c:v>0.55325348530216689</c:v>
                </c:pt>
                <c:pt idx="128">
                  <c:v>0.56157098854867604</c:v>
                </c:pt>
                <c:pt idx="129">
                  <c:v>0.5693733432070146</c:v>
                </c:pt>
                <c:pt idx="130">
                  <c:v>0.57093488736490761</c:v>
                </c:pt>
                <c:pt idx="131">
                  <c:v>0.5789089582193031</c:v>
                </c:pt>
                <c:pt idx="132">
                  <c:v>0.5915676615473775</c:v>
                </c:pt>
                <c:pt idx="133">
                  <c:v>0.5945136675359799</c:v>
                </c:pt>
                <c:pt idx="134">
                  <c:v>0.60075447803642534</c:v>
                </c:pt>
                <c:pt idx="135">
                  <c:v>0.60595962522940217</c:v>
                </c:pt>
                <c:pt idx="136">
                  <c:v>0.60976957832941603</c:v>
                </c:pt>
                <c:pt idx="137">
                  <c:v>0.61479764319520913</c:v>
                </c:pt>
                <c:pt idx="138">
                  <c:v>0.62138725221889524</c:v>
                </c:pt>
                <c:pt idx="139">
                  <c:v>0.63040235251188592</c:v>
                </c:pt>
                <c:pt idx="140">
                  <c:v>0.63751247625486973</c:v>
                </c:pt>
                <c:pt idx="141">
                  <c:v>0.64288397351277671</c:v>
                </c:pt>
                <c:pt idx="142">
                  <c:v>0.64808912070575364</c:v>
                </c:pt>
                <c:pt idx="143">
                  <c:v>0.65450164740225591</c:v>
                </c:pt>
                <c:pt idx="144">
                  <c:v>0.65519387831761056</c:v>
                </c:pt>
                <c:pt idx="145">
                  <c:v>0.66317331530313273</c:v>
                </c:pt>
                <c:pt idx="146">
                  <c:v>0.66594760509567819</c:v>
                </c:pt>
                <c:pt idx="147">
                  <c:v>0.66993464052287588</c:v>
                </c:pt>
                <c:pt idx="148">
                  <c:v>0.67894974081586656</c:v>
                </c:pt>
                <c:pt idx="149">
                  <c:v>0.67894974081586656</c:v>
                </c:pt>
                <c:pt idx="150">
                  <c:v>0.68275969391588054</c:v>
                </c:pt>
                <c:pt idx="151">
                  <c:v>0.68397780568165967</c:v>
                </c:pt>
                <c:pt idx="152">
                  <c:v>0.6916030780128144</c:v>
                </c:pt>
                <c:pt idx="153">
                  <c:v>0.69628771048649341</c:v>
                </c:pt>
                <c:pt idx="154">
                  <c:v>0.69906200027903875</c:v>
                </c:pt>
                <c:pt idx="155">
                  <c:v>0.7082488167680866</c:v>
                </c:pt>
                <c:pt idx="156">
                  <c:v>0.70894104768344124</c:v>
                </c:pt>
                <c:pt idx="157">
                  <c:v>0.71986649065756569</c:v>
                </c:pt>
                <c:pt idx="158">
                  <c:v>0.72298421284222492</c:v>
                </c:pt>
                <c:pt idx="159">
                  <c:v>0.72870987475449955</c:v>
                </c:pt>
                <c:pt idx="160">
                  <c:v>0.73061485130450643</c:v>
                </c:pt>
                <c:pt idx="161">
                  <c:v>0.73962995159749723</c:v>
                </c:pt>
                <c:pt idx="162">
                  <c:v>0.74292475610934028</c:v>
                </c:pt>
                <c:pt idx="163">
                  <c:v>0.74829625336724737</c:v>
                </c:pt>
                <c:pt idx="164">
                  <c:v>0.75523466091417413</c:v>
                </c:pt>
                <c:pt idx="165">
                  <c:v>0.75696792126812407</c:v>
                </c:pt>
                <c:pt idx="166">
                  <c:v>0.76840851283041955</c:v>
                </c:pt>
                <c:pt idx="167">
                  <c:v>0.77395709241551025</c:v>
                </c:pt>
                <c:pt idx="168">
                  <c:v>0.77534692037734632</c:v>
                </c:pt>
                <c:pt idx="169">
                  <c:v>0.78245167798920323</c:v>
                </c:pt>
                <c:pt idx="170">
                  <c:v>0.78661579574358487</c:v>
                </c:pt>
                <c:pt idx="171">
                  <c:v>0.79406935187868255</c:v>
                </c:pt>
                <c:pt idx="172">
                  <c:v>0.7978846711098232</c:v>
                </c:pt>
                <c:pt idx="173">
                  <c:v>0.80326153449885707</c:v>
                </c:pt>
                <c:pt idx="174">
                  <c:v>0.80620754048745946</c:v>
                </c:pt>
                <c:pt idx="175">
                  <c:v>0.81539435697650708</c:v>
                </c:pt>
                <c:pt idx="176">
                  <c:v>0.82094293656159778</c:v>
                </c:pt>
                <c:pt idx="177">
                  <c:v>0.82440945726949777</c:v>
                </c:pt>
                <c:pt idx="178">
                  <c:v>0.82874529121993623</c:v>
                </c:pt>
                <c:pt idx="179">
                  <c:v>0.83429387080502693</c:v>
                </c:pt>
                <c:pt idx="180">
                  <c:v>0.83810919003616768</c:v>
                </c:pt>
                <c:pt idx="181">
                  <c:v>0.8452139476480246</c:v>
                </c:pt>
                <c:pt idx="182">
                  <c:v>0.85059081103705847</c:v>
                </c:pt>
                <c:pt idx="183">
                  <c:v>0.85718042006074457</c:v>
                </c:pt>
                <c:pt idx="184">
                  <c:v>0.86099037316075855</c:v>
                </c:pt>
                <c:pt idx="185">
                  <c:v>0.86775706451162848</c:v>
                </c:pt>
                <c:pt idx="186">
                  <c:v>0.87018255578093306</c:v>
                </c:pt>
                <c:pt idx="187">
                  <c:v>0.87763611191603075</c:v>
                </c:pt>
                <c:pt idx="188">
                  <c:v>0.88231537825858308</c:v>
                </c:pt>
                <c:pt idx="189">
                  <c:v>0.8889049872822693</c:v>
                </c:pt>
                <c:pt idx="190">
                  <c:v>0.88977430052480755</c:v>
                </c:pt>
                <c:pt idx="191">
                  <c:v>0.89826888609850064</c:v>
                </c:pt>
                <c:pt idx="192">
                  <c:v>0.90312523476823681</c:v>
                </c:pt>
                <c:pt idx="193">
                  <c:v>0.90728398639149144</c:v>
                </c:pt>
                <c:pt idx="194">
                  <c:v>0.91560685576912759</c:v>
                </c:pt>
                <c:pt idx="195">
                  <c:v>0.92132715155027523</c:v>
                </c:pt>
                <c:pt idx="196">
                  <c:v>0.92462195606211828</c:v>
                </c:pt>
                <c:pt idx="197">
                  <c:v>0.93277310924369738</c:v>
                </c:pt>
                <c:pt idx="198">
                  <c:v>0.93710357706300917</c:v>
                </c:pt>
                <c:pt idx="199">
                  <c:v>0.93762409178230677</c:v>
                </c:pt>
                <c:pt idx="200">
                  <c:v>0.94143941101344752</c:v>
                </c:pt>
                <c:pt idx="201">
                  <c:v>0.94386490228275211</c:v>
                </c:pt>
                <c:pt idx="202">
                  <c:v>0.94768022151389297</c:v>
                </c:pt>
                <c:pt idx="203">
                  <c:v>0.95426983053757897</c:v>
                </c:pt>
                <c:pt idx="204">
                  <c:v>0.95600309089152902</c:v>
                </c:pt>
                <c:pt idx="205">
                  <c:v>0.95929789540337207</c:v>
                </c:pt>
                <c:pt idx="206">
                  <c:v>0.96155167047661971</c:v>
                </c:pt>
                <c:pt idx="207">
                  <c:v>0.96484647498846288</c:v>
                </c:pt>
                <c:pt idx="208">
                  <c:v>0.96224390139197458</c:v>
                </c:pt>
                <c:pt idx="209">
                  <c:v>0.96345664702662681</c:v>
                </c:pt>
                <c:pt idx="210">
                  <c:v>0.97004625605031281</c:v>
                </c:pt>
                <c:pt idx="211">
                  <c:v>0.97108728548890821</c:v>
                </c:pt>
                <c:pt idx="212">
                  <c:v>0.97941015486654426</c:v>
                </c:pt>
                <c:pt idx="213">
                  <c:v>0.98322010796655823</c:v>
                </c:pt>
                <c:pt idx="214">
                  <c:v>0.98374062268585605</c:v>
                </c:pt>
                <c:pt idx="215">
                  <c:v>0.99449434946392345</c:v>
                </c:pt>
                <c:pt idx="216">
                  <c:v>0.9957070950985758</c:v>
                </c:pt>
                <c:pt idx="217">
                  <c:v>0.99900189961041896</c:v>
                </c:pt>
                <c:pt idx="218">
                  <c:v>0.99431726713673974</c:v>
                </c:pt>
                <c:pt idx="219">
                  <c:v>0.99796087017182344</c:v>
                </c:pt>
                <c:pt idx="220">
                  <c:v>0.99709155692928519</c:v>
                </c:pt>
                <c:pt idx="221">
                  <c:v>1.0059349410262191</c:v>
                </c:pt>
                <c:pt idx="222">
                  <c:v>1.0090580293420051</c:v>
                </c:pt>
                <c:pt idx="223">
                  <c:v>1.0104424911727143</c:v>
                </c:pt>
                <c:pt idx="224">
                  <c:v>1.0100990587806002</c:v>
                </c:pt>
                <c:pt idx="225">
                  <c:v>1.0106142073687712</c:v>
                </c:pt>
                <c:pt idx="226">
                  <c:v>1.0123528338538481</c:v>
                </c:pt>
                <c:pt idx="227">
                  <c:v>1.010791289695955</c:v>
                </c:pt>
                <c:pt idx="228">
                  <c:v>0.93415757107440678</c:v>
                </c:pt>
                <c:pt idx="229">
                  <c:v>0.88214366206252603</c:v>
                </c:pt>
                <c:pt idx="230">
                  <c:v>0.86203140259935385</c:v>
                </c:pt>
                <c:pt idx="231">
                  <c:v>0.85093960956029913</c:v>
                </c:pt>
                <c:pt idx="232">
                  <c:v>0.84660377560986089</c:v>
                </c:pt>
                <c:pt idx="233">
                  <c:v>0.84001416658617467</c:v>
                </c:pt>
                <c:pt idx="234">
                  <c:v>0.84591154469450625</c:v>
                </c:pt>
                <c:pt idx="235">
                  <c:v>0.84660377560986089</c:v>
                </c:pt>
                <c:pt idx="236">
                  <c:v>0.84122691222082691</c:v>
                </c:pt>
                <c:pt idx="237">
                  <c:v>0.83377335608572933</c:v>
                </c:pt>
                <c:pt idx="238">
                  <c:v>0.82319671163484542</c:v>
                </c:pt>
                <c:pt idx="239">
                  <c:v>0.80932526267211868</c:v>
                </c:pt>
                <c:pt idx="240">
                  <c:v>0.80620754048745946</c:v>
                </c:pt>
                <c:pt idx="241">
                  <c:v>0.67947025553516427</c:v>
                </c:pt>
                <c:pt idx="242">
                  <c:v>0.29648089120705751</c:v>
                </c:pt>
                <c:pt idx="243">
                  <c:v>0.12986681262543331</c:v>
                </c:pt>
                <c:pt idx="244">
                  <c:v>5.4101870633310796E-2</c:v>
                </c:pt>
                <c:pt idx="245">
                  <c:v>1.8386511692799729E-2</c:v>
                </c:pt>
                <c:pt idx="246">
                  <c:v>3.1289910600255425E-3</c:v>
                </c:pt>
                <c:pt idx="247">
                  <c:v>1.7423827768655354E-3</c:v>
                </c:pt>
                <c:pt idx="248">
                  <c:v>-7.2732541292379023E-3</c:v>
                </c:pt>
                <c:pt idx="249">
                  <c:v>-1.0319070156798351E-3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5B-41F6-8B69-8D703D5DF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Strain, %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5810356675598074"/>
              <c:y val="0.886206968417754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Stress, MPa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931803295683192"/>
          <c:y val="0.43524733422243334"/>
          <c:w val="0.17660564604912471"/>
          <c:h val="0.32566521018532468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Tension - transverse direction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516475785063475"/>
          <c:y val="0.14393518518518519"/>
          <c:w val="0.76844632399857438"/>
          <c:h val="0.65922422057696928"/>
        </c:manualLayout>
      </c:layout>
      <c:scatterChart>
        <c:scatterStyle val="lineMarker"/>
        <c:varyColors val="0"/>
        <c:ser>
          <c:idx val="0"/>
          <c:order val="0"/>
          <c:tx>
            <c:v>OLT3-3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'OLT3-3'!$AA$5:$AA$254</c:f>
              <c:numCache>
                <c:formatCode>General</c:formatCode>
                <c:ptCount val="250"/>
                <c:pt idx="0">
                  <c:v>0</c:v>
                </c:pt>
                <c:pt idx="1">
                  <c:v>-1.5693175000000002E-5</c:v>
                </c:pt>
                <c:pt idx="2">
                  <c:v>6.9822499999999999E-6</c:v>
                </c:pt>
                <c:pt idx="3">
                  <c:v>5.4641150000000001E-6</c:v>
                </c:pt>
                <c:pt idx="4">
                  <c:v>1.832605E-5</c:v>
                </c:pt>
                <c:pt idx="5">
                  <c:v>5.1577775000000004E-5</c:v>
                </c:pt>
                <c:pt idx="6">
                  <c:v>7.9047999999999993E-5</c:v>
                </c:pt>
                <c:pt idx="7">
                  <c:v>9.4695650000000005E-5</c:v>
                </c:pt>
                <c:pt idx="8">
                  <c:v>8.5461125000000002E-5</c:v>
                </c:pt>
                <c:pt idx="9">
                  <c:v>1.0803674999999999E-4</c:v>
                </c:pt>
                <c:pt idx="10">
                  <c:v>1.49393E-4</c:v>
                </c:pt>
                <c:pt idx="11">
                  <c:v>1.5836875E-4</c:v>
                </c:pt>
                <c:pt idx="12">
                  <c:v>1.5697074999999999E-4</c:v>
                </c:pt>
                <c:pt idx="13">
                  <c:v>1.60996E-4</c:v>
                </c:pt>
                <c:pt idx="14">
                  <c:v>2.1803775000000001E-4</c:v>
                </c:pt>
                <c:pt idx="15">
                  <c:v>2.30447E-4</c:v>
                </c:pt>
                <c:pt idx="16">
                  <c:v>2.3191850000000002E-4</c:v>
                </c:pt>
                <c:pt idx="17">
                  <c:v>2.3956474999999998E-4</c:v>
                </c:pt>
                <c:pt idx="18">
                  <c:v>2.8892624999999998E-4</c:v>
                </c:pt>
                <c:pt idx="19">
                  <c:v>2.8416049999999994E-4</c:v>
                </c:pt>
                <c:pt idx="20">
                  <c:v>2.9161249999999997E-4</c:v>
                </c:pt>
                <c:pt idx="21">
                  <c:v>3.3490424999999999E-4</c:v>
                </c:pt>
                <c:pt idx="22">
                  <c:v>3.6194924999999995E-4</c:v>
                </c:pt>
                <c:pt idx="23">
                  <c:v>3.9320800000000003E-4</c:v>
                </c:pt>
                <c:pt idx="24">
                  <c:v>4.0992025000000001E-4</c:v>
                </c:pt>
                <c:pt idx="25">
                  <c:v>4.4081250000000002E-4</c:v>
                </c:pt>
                <c:pt idx="26">
                  <c:v>4.7160124999999996E-4</c:v>
                </c:pt>
                <c:pt idx="27">
                  <c:v>4.7509000000000001E-4</c:v>
                </c:pt>
                <c:pt idx="28">
                  <c:v>5.0340824999999998E-4</c:v>
                </c:pt>
                <c:pt idx="29">
                  <c:v>5.1996349999999998E-4</c:v>
                </c:pt>
                <c:pt idx="30">
                  <c:v>5.3166550000000002E-4</c:v>
                </c:pt>
                <c:pt idx="31">
                  <c:v>5.2845699999999997E-4</c:v>
                </c:pt>
                <c:pt idx="32">
                  <c:v>5.7685924999999996E-4</c:v>
                </c:pt>
                <c:pt idx="33">
                  <c:v>6.2592349999999997E-4</c:v>
                </c:pt>
                <c:pt idx="34">
                  <c:v>6.7151700000000006E-4</c:v>
                </c:pt>
                <c:pt idx="35">
                  <c:v>7.0665574999999997E-4</c:v>
                </c:pt>
                <c:pt idx="36">
                  <c:v>7.5002024999999998E-4</c:v>
                </c:pt>
                <c:pt idx="37">
                  <c:v>7.3945299999999994E-4</c:v>
                </c:pt>
                <c:pt idx="38">
                  <c:v>7.74547E-4</c:v>
                </c:pt>
                <c:pt idx="39">
                  <c:v>7.8189450000000005E-4</c:v>
                </c:pt>
                <c:pt idx="40">
                  <c:v>8.4185100000000001E-4</c:v>
                </c:pt>
                <c:pt idx="41">
                  <c:v>8.3202424999999998E-4</c:v>
                </c:pt>
                <c:pt idx="42">
                  <c:v>8.5639875000000001E-4</c:v>
                </c:pt>
                <c:pt idx="43">
                  <c:v>8.8967875000000001E-4</c:v>
                </c:pt>
                <c:pt idx="44">
                  <c:v>9.3322649999999995E-4</c:v>
                </c:pt>
                <c:pt idx="45">
                  <c:v>9.6576650000000002E-4</c:v>
                </c:pt>
                <c:pt idx="46">
                  <c:v>9.7770000000000018E-4</c:v>
                </c:pt>
                <c:pt idx="47">
                  <c:v>9.9851699999999998E-4</c:v>
                </c:pt>
                <c:pt idx="48">
                  <c:v>1.054625E-3</c:v>
                </c:pt>
                <c:pt idx="49">
                  <c:v>1.0720299999999999E-3</c:v>
                </c:pt>
                <c:pt idx="50">
                  <c:v>1.0983025E-3</c:v>
                </c:pt>
                <c:pt idx="51">
                  <c:v>1.15241E-3</c:v>
                </c:pt>
                <c:pt idx="52">
                  <c:v>1.1739625000000001E-3</c:v>
                </c:pt>
                <c:pt idx="53">
                  <c:v>1.2236599999999999E-3</c:v>
                </c:pt>
                <c:pt idx="54">
                  <c:v>1.26344E-3</c:v>
                </c:pt>
                <c:pt idx="55">
                  <c:v>1.2714150000000001E-3</c:v>
                </c:pt>
                <c:pt idx="56">
                  <c:v>1.2972249999999999E-3</c:v>
                </c:pt>
                <c:pt idx="57">
                  <c:v>1.3085925000000001E-3</c:v>
                </c:pt>
                <c:pt idx="58">
                  <c:v>1.3621900000000001E-3</c:v>
                </c:pt>
                <c:pt idx="59">
                  <c:v>1.3824199999999999E-3</c:v>
                </c:pt>
                <c:pt idx="60">
                  <c:v>1.4081900000000001E-3</c:v>
                </c:pt>
                <c:pt idx="61">
                  <c:v>1.4132625000000002E-3</c:v>
                </c:pt>
                <c:pt idx="62">
                  <c:v>1.4576700000000001E-3</c:v>
                </c:pt>
                <c:pt idx="63">
                  <c:v>1.4800425000000002E-3</c:v>
                </c:pt>
                <c:pt idx="64">
                  <c:v>1.5176349999999998E-3</c:v>
                </c:pt>
                <c:pt idx="65">
                  <c:v>1.5482100000000002E-3</c:v>
                </c:pt>
                <c:pt idx="66">
                  <c:v>1.58037E-3</c:v>
                </c:pt>
                <c:pt idx="67">
                  <c:v>1.5862699999999999E-3</c:v>
                </c:pt>
                <c:pt idx="68">
                  <c:v>1.60414E-3</c:v>
                </c:pt>
                <c:pt idx="69">
                  <c:v>1.6499125000000001E-3</c:v>
                </c:pt>
                <c:pt idx="70">
                  <c:v>1.6674575E-3</c:v>
                </c:pt>
                <c:pt idx="71">
                  <c:v>1.7007049999999998E-3</c:v>
                </c:pt>
                <c:pt idx="72">
                  <c:v>1.7308925000000001E-3</c:v>
                </c:pt>
                <c:pt idx="73">
                  <c:v>1.7676874999999999E-3</c:v>
                </c:pt>
                <c:pt idx="74">
                  <c:v>1.7650925E-3</c:v>
                </c:pt>
                <c:pt idx="75">
                  <c:v>1.802915E-3</c:v>
                </c:pt>
                <c:pt idx="76">
                  <c:v>1.8431799999999998E-3</c:v>
                </c:pt>
                <c:pt idx="77">
                  <c:v>1.9223999999999999E-3</c:v>
                </c:pt>
                <c:pt idx="78">
                  <c:v>1.95294E-3</c:v>
                </c:pt>
                <c:pt idx="79">
                  <c:v>2.0070349999999999E-3</c:v>
                </c:pt>
                <c:pt idx="80">
                  <c:v>2.0064950000000001E-3</c:v>
                </c:pt>
                <c:pt idx="81">
                  <c:v>2.0258575E-3</c:v>
                </c:pt>
                <c:pt idx="82">
                  <c:v>2.0607249999999998E-3</c:v>
                </c:pt>
                <c:pt idx="83">
                  <c:v>2.1573224999999999E-3</c:v>
                </c:pt>
                <c:pt idx="84">
                  <c:v>2.1996074999999999E-3</c:v>
                </c:pt>
                <c:pt idx="85">
                  <c:v>2.2256975000000002E-3</c:v>
                </c:pt>
                <c:pt idx="86">
                  <c:v>2.2176424999999999E-3</c:v>
                </c:pt>
                <c:pt idx="87">
                  <c:v>2.2529375000000002E-3</c:v>
                </c:pt>
                <c:pt idx="88">
                  <c:v>2.3126150000000001E-3</c:v>
                </c:pt>
                <c:pt idx="89">
                  <c:v>2.3458375000000001E-3</c:v>
                </c:pt>
                <c:pt idx="90">
                  <c:v>2.4336000000000002E-3</c:v>
                </c:pt>
                <c:pt idx="91">
                  <c:v>2.4506550000000004E-3</c:v>
                </c:pt>
                <c:pt idx="92">
                  <c:v>2.4679724999999999E-3</c:v>
                </c:pt>
                <c:pt idx="93">
                  <c:v>2.4829349999999999E-3</c:v>
                </c:pt>
                <c:pt idx="94">
                  <c:v>2.5283275000000001E-3</c:v>
                </c:pt>
                <c:pt idx="95">
                  <c:v>2.5485799999999999E-3</c:v>
                </c:pt>
                <c:pt idx="96">
                  <c:v>2.5536025E-3</c:v>
                </c:pt>
                <c:pt idx="97">
                  <c:v>2.57712E-3</c:v>
                </c:pt>
                <c:pt idx="98">
                  <c:v>2.6453900000000001E-3</c:v>
                </c:pt>
                <c:pt idx="99">
                  <c:v>2.6861799999999998E-3</c:v>
                </c:pt>
                <c:pt idx="100">
                  <c:v>2.7039324999999998E-3</c:v>
                </c:pt>
                <c:pt idx="101">
                  <c:v>2.7380974999999998E-3</c:v>
                </c:pt>
                <c:pt idx="102">
                  <c:v>2.7585725000000001E-3</c:v>
                </c:pt>
                <c:pt idx="103">
                  <c:v>2.7906049999999998E-3</c:v>
                </c:pt>
                <c:pt idx="104">
                  <c:v>2.8134375E-3</c:v>
                </c:pt>
                <c:pt idx="105">
                  <c:v>2.8763949999999999E-3</c:v>
                </c:pt>
                <c:pt idx="106">
                  <c:v>2.9130924999999997E-3</c:v>
                </c:pt>
                <c:pt idx="107">
                  <c:v>2.9071575000000002E-3</c:v>
                </c:pt>
                <c:pt idx="108">
                  <c:v>2.9537549999999997E-3</c:v>
                </c:pt>
                <c:pt idx="109">
                  <c:v>2.9737225E-3</c:v>
                </c:pt>
                <c:pt idx="110">
                  <c:v>3.0368175E-3</c:v>
                </c:pt>
                <c:pt idx="111">
                  <c:v>3.0492899999999996E-3</c:v>
                </c:pt>
                <c:pt idx="112">
                  <c:v>3.0666699999999996E-3</c:v>
                </c:pt>
                <c:pt idx="113">
                  <c:v>3.0775975000000002E-3</c:v>
                </c:pt>
                <c:pt idx="114">
                  <c:v>3.1122149999999998E-3</c:v>
                </c:pt>
                <c:pt idx="115">
                  <c:v>3.158475E-3</c:v>
                </c:pt>
                <c:pt idx="116">
                  <c:v>3.27078E-3</c:v>
                </c:pt>
                <c:pt idx="117">
                  <c:v>3.2308100000000002E-3</c:v>
                </c:pt>
                <c:pt idx="118">
                  <c:v>3.2502400000000006E-3</c:v>
                </c:pt>
                <c:pt idx="119">
                  <c:v>3.2911925000000002E-3</c:v>
                </c:pt>
                <c:pt idx="120">
                  <c:v>3.3263250000000002E-3</c:v>
                </c:pt>
                <c:pt idx="121">
                  <c:v>3.4010950000000002E-3</c:v>
                </c:pt>
                <c:pt idx="122">
                  <c:v>3.4075375000000001E-3</c:v>
                </c:pt>
                <c:pt idx="123">
                  <c:v>3.4238800000000002E-3</c:v>
                </c:pt>
                <c:pt idx="124">
                  <c:v>3.46204E-3</c:v>
                </c:pt>
                <c:pt idx="125">
                  <c:v>3.5173024999999997E-3</c:v>
                </c:pt>
                <c:pt idx="126">
                  <c:v>3.5547374999999998E-3</c:v>
                </c:pt>
                <c:pt idx="127">
                  <c:v>3.5981025000000003E-3</c:v>
                </c:pt>
                <c:pt idx="128">
                  <c:v>3.6484274999999998E-3</c:v>
                </c:pt>
                <c:pt idx="129">
                  <c:v>3.6996950000000002E-3</c:v>
                </c:pt>
                <c:pt idx="130">
                  <c:v>3.73012E-3</c:v>
                </c:pt>
                <c:pt idx="131">
                  <c:v>3.7861550000000002E-3</c:v>
                </c:pt>
                <c:pt idx="132">
                  <c:v>3.8558324999999997E-3</c:v>
                </c:pt>
                <c:pt idx="133">
                  <c:v>3.8694074999999998E-3</c:v>
                </c:pt>
                <c:pt idx="134">
                  <c:v>3.9185374999999995E-3</c:v>
                </c:pt>
                <c:pt idx="135">
                  <c:v>3.9785949999999997E-3</c:v>
                </c:pt>
                <c:pt idx="136">
                  <c:v>3.9671074999999998E-3</c:v>
                </c:pt>
                <c:pt idx="137">
                  <c:v>4.0344625000000005E-3</c:v>
                </c:pt>
                <c:pt idx="138">
                  <c:v>4.10414E-3</c:v>
                </c:pt>
                <c:pt idx="139">
                  <c:v>4.0760874999999997E-3</c:v>
                </c:pt>
                <c:pt idx="140">
                  <c:v>4.1723350000000001E-3</c:v>
                </c:pt>
                <c:pt idx="141">
                  <c:v>4.2591725E-3</c:v>
                </c:pt>
                <c:pt idx="142">
                  <c:v>4.2681350000000002E-3</c:v>
                </c:pt>
                <c:pt idx="143">
                  <c:v>4.299855E-3</c:v>
                </c:pt>
                <c:pt idx="144">
                  <c:v>4.3397950000000005E-3</c:v>
                </c:pt>
                <c:pt idx="145">
                  <c:v>4.4019649999999999E-3</c:v>
                </c:pt>
                <c:pt idx="146">
                  <c:v>4.4113275000000002E-3</c:v>
                </c:pt>
                <c:pt idx="147">
                  <c:v>4.4493724999999998E-3</c:v>
                </c:pt>
                <c:pt idx="148">
                  <c:v>4.5215174999999998E-3</c:v>
                </c:pt>
                <c:pt idx="149">
                  <c:v>4.5097350000000008E-3</c:v>
                </c:pt>
                <c:pt idx="150">
                  <c:v>4.5184624999999997E-3</c:v>
                </c:pt>
                <c:pt idx="151">
                  <c:v>4.5806075000000002E-3</c:v>
                </c:pt>
                <c:pt idx="152">
                  <c:v>4.5713774999999995E-3</c:v>
                </c:pt>
                <c:pt idx="153">
                  <c:v>4.6732925000000005E-3</c:v>
                </c:pt>
                <c:pt idx="154">
                  <c:v>4.7129549999999996E-3</c:v>
                </c:pt>
                <c:pt idx="155">
                  <c:v>4.8274649999999995E-3</c:v>
                </c:pt>
                <c:pt idx="156">
                  <c:v>4.84228E-3</c:v>
                </c:pt>
                <c:pt idx="157">
                  <c:v>4.9139824999999996E-3</c:v>
                </c:pt>
                <c:pt idx="158">
                  <c:v>4.9378824999999999E-3</c:v>
                </c:pt>
                <c:pt idx="159">
                  <c:v>4.9768E-3</c:v>
                </c:pt>
                <c:pt idx="160">
                  <c:v>5.0196874999999998E-3</c:v>
                </c:pt>
                <c:pt idx="161">
                  <c:v>5.1069324999999995E-3</c:v>
                </c:pt>
                <c:pt idx="162">
                  <c:v>5.1591199999999997E-3</c:v>
                </c:pt>
                <c:pt idx="163">
                  <c:v>5.211785E-3</c:v>
                </c:pt>
                <c:pt idx="164">
                  <c:v>5.2520175000000001E-3</c:v>
                </c:pt>
                <c:pt idx="165">
                  <c:v>5.2791625000000002E-3</c:v>
                </c:pt>
                <c:pt idx="166">
                  <c:v>5.3425599999999997E-3</c:v>
                </c:pt>
                <c:pt idx="167">
                  <c:v>5.3862600000000004E-3</c:v>
                </c:pt>
                <c:pt idx="168">
                  <c:v>5.4204100000000005E-3</c:v>
                </c:pt>
                <c:pt idx="169">
                  <c:v>5.4689200000000004E-3</c:v>
                </c:pt>
                <c:pt idx="170">
                  <c:v>5.5353225000000002E-3</c:v>
                </c:pt>
                <c:pt idx="171">
                  <c:v>5.6445225000000005E-3</c:v>
                </c:pt>
                <c:pt idx="172">
                  <c:v>5.6442650000000007E-3</c:v>
                </c:pt>
                <c:pt idx="173">
                  <c:v>5.7029899999999998E-3</c:v>
                </c:pt>
                <c:pt idx="174">
                  <c:v>5.7799975000000009E-3</c:v>
                </c:pt>
                <c:pt idx="175">
                  <c:v>5.8926299999999994E-3</c:v>
                </c:pt>
                <c:pt idx="176">
                  <c:v>5.9172125000000004E-3</c:v>
                </c:pt>
                <c:pt idx="177">
                  <c:v>5.9733800000000004E-3</c:v>
                </c:pt>
                <c:pt idx="178">
                  <c:v>6.0522974999999996E-3</c:v>
                </c:pt>
                <c:pt idx="179">
                  <c:v>6.1335675000000001E-3</c:v>
                </c:pt>
                <c:pt idx="180">
                  <c:v>6.1643275000000004E-3</c:v>
                </c:pt>
                <c:pt idx="181">
                  <c:v>6.2823325000000005E-3</c:v>
                </c:pt>
                <c:pt idx="182">
                  <c:v>6.3983175000000003E-3</c:v>
                </c:pt>
                <c:pt idx="183">
                  <c:v>6.4692374999999998E-3</c:v>
                </c:pt>
                <c:pt idx="184">
                  <c:v>6.5221999999999997E-3</c:v>
                </c:pt>
                <c:pt idx="185">
                  <c:v>6.6229424999999995E-3</c:v>
                </c:pt>
                <c:pt idx="186">
                  <c:v>6.6575499999999999E-3</c:v>
                </c:pt>
                <c:pt idx="187">
                  <c:v>6.8350075000000003E-3</c:v>
                </c:pt>
                <c:pt idx="188">
                  <c:v>6.9487249999999993E-3</c:v>
                </c:pt>
                <c:pt idx="189">
                  <c:v>7.0341824999999997E-3</c:v>
                </c:pt>
                <c:pt idx="190">
                  <c:v>7.0663274999999996E-3</c:v>
                </c:pt>
                <c:pt idx="191">
                  <c:v>7.2786474999999998E-3</c:v>
                </c:pt>
                <c:pt idx="192">
                  <c:v>7.4397424999999998E-3</c:v>
                </c:pt>
                <c:pt idx="193">
                  <c:v>7.446495E-3</c:v>
                </c:pt>
                <c:pt idx="194">
                  <c:v>7.6728525000000006E-3</c:v>
                </c:pt>
                <c:pt idx="195">
                  <c:v>7.5978400000000007E-3</c:v>
                </c:pt>
                <c:pt idx="196">
                  <c:v>7.7456474999999993E-3</c:v>
                </c:pt>
                <c:pt idx="197">
                  <c:v>7.9441999999999985E-3</c:v>
                </c:pt>
                <c:pt idx="198">
                  <c:v>8.1130474999999997E-3</c:v>
                </c:pt>
                <c:pt idx="199">
                  <c:v>8.1240600000000007E-3</c:v>
                </c:pt>
                <c:pt idx="200">
                  <c:v>8.1378974999999996E-3</c:v>
                </c:pt>
                <c:pt idx="201">
                  <c:v>8.2048099999999999E-3</c:v>
                </c:pt>
                <c:pt idx="202">
                  <c:v>8.3834175000000004E-3</c:v>
                </c:pt>
                <c:pt idx="203">
                  <c:v>8.5029424999999992E-3</c:v>
                </c:pt>
                <c:pt idx="204">
                  <c:v>8.6044925000000015E-3</c:v>
                </c:pt>
                <c:pt idx="205">
                  <c:v>8.6552325000000003E-3</c:v>
                </c:pt>
                <c:pt idx="206">
                  <c:v>8.7520250000000001E-3</c:v>
                </c:pt>
                <c:pt idx="207">
                  <c:v>8.7713599999999989E-3</c:v>
                </c:pt>
                <c:pt idx="208">
                  <c:v>8.8221424999999996E-3</c:v>
                </c:pt>
                <c:pt idx="209">
                  <c:v>8.8700250000000001E-3</c:v>
                </c:pt>
                <c:pt idx="210">
                  <c:v>8.9746775000000001E-3</c:v>
                </c:pt>
                <c:pt idx="211">
                  <c:v>9.0581224999999981E-3</c:v>
                </c:pt>
                <c:pt idx="212">
                  <c:v>9.3234925000000007E-3</c:v>
                </c:pt>
                <c:pt idx="213">
                  <c:v>9.4791775000000016E-3</c:v>
                </c:pt>
                <c:pt idx="214">
                  <c:v>9.6520575000000001E-3</c:v>
                </c:pt>
                <c:pt idx="215">
                  <c:v>9.9526974999999997E-3</c:v>
                </c:pt>
                <c:pt idx="216">
                  <c:v>1.01023025E-2</c:v>
                </c:pt>
                <c:pt idx="217">
                  <c:v>1.01466825E-2</c:v>
                </c:pt>
                <c:pt idx="218">
                  <c:v>1.0258274999999999E-2</c:v>
                </c:pt>
                <c:pt idx="219">
                  <c:v>1.034405E-2</c:v>
                </c:pt>
                <c:pt idx="220">
                  <c:v>1.0430300000000002E-2</c:v>
                </c:pt>
                <c:pt idx="221">
                  <c:v>1.0890624999999999E-2</c:v>
                </c:pt>
                <c:pt idx="222">
                  <c:v>1.1143150000000001E-2</c:v>
                </c:pt>
                <c:pt idx="223">
                  <c:v>1.1499200000000001E-2</c:v>
                </c:pt>
                <c:pt idx="224">
                  <c:v>1.1531950000000001E-2</c:v>
                </c:pt>
                <c:pt idx="225">
                  <c:v>1.1596825E-2</c:v>
                </c:pt>
                <c:pt idx="226">
                  <c:v>1.192115E-2</c:v>
                </c:pt>
                <c:pt idx="227">
                  <c:v>1.1945699999999998E-2</c:v>
                </c:pt>
                <c:pt idx="228">
                  <c:v>1.2620474999999999E-2</c:v>
                </c:pt>
                <c:pt idx="229">
                  <c:v>1.2662699999999999E-2</c:v>
                </c:pt>
                <c:pt idx="230">
                  <c:v>1.27186E-2</c:v>
                </c:pt>
                <c:pt idx="231">
                  <c:v>1.2759425000000001E-2</c:v>
                </c:pt>
                <c:pt idx="232">
                  <c:v>1.2766925E-2</c:v>
                </c:pt>
                <c:pt idx="233">
                  <c:v>1.2800600000000001E-2</c:v>
                </c:pt>
                <c:pt idx="234">
                  <c:v>1.311905E-2</c:v>
                </c:pt>
                <c:pt idx="235">
                  <c:v>1.3872575E-2</c:v>
                </c:pt>
                <c:pt idx="236">
                  <c:v>1.4201775E-2</c:v>
                </c:pt>
                <c:pt idx="237">
                  <c:v>1.4297249999999999E-2</c:v>
                </c:pt>
                <c:pt idx="238">
                  <c:v>1.43573E-2</c:v>
                </c:pt>
                <c:pt idx="239">
                  <c:v>1.4380324999999999E-2</c:v>
                </c:pt>
                <c:pt idx="240">
                  <c:v>1.4417025E-2</c:v>
                </c:pt>
                <c:pt idx="241">
                  <c:v>1.4506325E-2</c:v>
                </c:pt>
                <c:pt idx="242">
                  <c:v>1.6387975000000003E-2</c:v>
                </c:pt>
                <c:pt idx="243">
                  <c:v>1.6473675E-2</c:v>
                </c:pt>
                <c:pt idx="244">
                  <c:v>1.6523000000000003E-2</c:v>
                </c:pt>
                <c:pt idx="245">
                  <c:v>1.6561849999999999E-2</c:v>
                </c:pt>
                <c:pt idx="246">
                  <c:v>1.6601699999999997E-2</c:v>
                </c:pt>
                <c:pt idx="247">
                  <c:v>1.6652400000000001E-2</c:v>
                </c:pt>
                <c:pt idx="248">
                  <c:v>1.6747925E-2</c:v>
                </c:pt>
                <c:pt idx="249">
                  <c:v>1.7239899999999999E-2</c:v>
                </c:pt>
              </c:numCache>
            </c:numRef>
          </c:xVal>
          <c:yVal>
            <c:numRef>
              <c:f>'OLT3-3'!$V$5:$V$254</c:f>
              <c:numCache>
                <c:formatCode>General</c:formatCode>
                <c:ptCount val="250"/>
                <c:pt idx="0">
                  <c:v>-0.15048187857518486</c:v>
                </c:pt>
                <c:pt idx="1">
                  <c:v>-0.15117518271676489</c:v>
                </c:pt>
                <c:pt idx="2">
                  <c:v>-0.14684095860566448</c:v>
                </c:pt>
                <c:pt idx="3">
                  <c:v>-0.14094626356289641</c:v>
                </c:pt>
                <c:pt idx="4">
                  <c:v>-0.13262393079837298</c:v>
                </c:pt>
                <c:pt idx="5">
                  <c:v>-0.12880968479345761</c:v>
                </c:pt>
                <c:pt idx="6">
                  <c:v>-0.12152784485441687</c:v>
                </c:pt>
                <c:pt idx="7">
                  <c:v>-0.11129892570054842</c:v>
                </c:pt>
                <c:pt idx="8">
                  <c:v>-0.10800465780181803</c:v>
                </c:pt>
                <c:pt idx="9">
                  <c:v>-0.10176331068825997</c:v>
                </c:pt>
                <c:pt idx="10">
                  <c:v>-9.2053833027463852E-2</c:v>
                </c:pt>
                <c:pt idx="11">
                  <c:v>-8.4078688946843103E-2</c:v>
                </c:pt>
                <c:pt idx="12">
                  <c:v>-7.7664015797890035E-2</c:v>
                </c:pt>
                <c:pt idx="13">
                  <c:v>-7.5236378076134675E-2</c:v>
                </c:pt>
                <c:pt idx="14">
                  <c:v>-7.0555501894244296E-2</c:v>
                </c:pt>
                <c:pt idx="15">
                  <c:v>-6.5874089099241223E-2</c:v>
                </c:pt>
                <c:pt idx="16">
                  <c:v>-5.8592785773313158E-2</c:v>
                </c:pt>
                <c:pt idx="17">
                  <c:v>-5.3391394872125096E-2</c:v>
                </c:pt>
                <c:pt idx="18">
                  <c:v>-4.6976185110059354E-2</c:v>
                </c:pt>
                <c:pt idx="19">
                  <c:v>-4.5415714178391665E-2</c:v>
                </c:pt>
                <c:pt idx="20">
                  <c:v>-3.6573939920795905E-2</c:v>
                </c:pt>
                <c:pt idx="21">
                  <c:v>-2.8251607156272472E-2</c:v>
                </c:pt>
                <c:pt idx="22">
                  <c:v>-2.3744057009777091E-2</c:v>
                </c:pt>
                <c:pt idx="23">
                  <c:v>-1.5942238964551336E-2</c:v>
                </c:pt>
                <c:pt idx="24">
                  <c:v>-1.4901746139068655E-2</c:v>
                </c:pt>
                <c:pt idx="25">
                  <c:v>-6.4066239522628972E-3</c:v>
                </c:pt>
                <c:pt idx="26">
                  <c:v>-1.8985371926548398E-3</c:v>
                </c:pt>
                <c:pt idx="27">
                  <c:v>6.2499329233609152E-3</c:v>
                </c:pt>
                <c:pt idx="28">
                  <c:v>1.249181665003166E-2</c:v>
                </c:pt>
                <c:pt idx="29">
                  <c:v>1.5265569829464355E-2</c:v>
                </c:pt>
                <c:pt idx="30">
                  <c:v>2.7054959915000485E-2</c:v>
                </c:pt>
                <c:pt idx="31">
                  <c:v>2.9309271601360848E-2</c:v>
                </c:pt>
                <c:pt idx="32">
                  <c:v>3.9538190755229297E-2</c:v>
                </c:pt>
                <c:pt idx="33">
                  <c:v>4.387241486632968E-2</c:v>
                </c:pt>
                <c:pt idx="34">
                  <c:v>5.2021421595458105E-2</c:v>
                </c:pt>
                <c:pt idx="35">
                  <c:v>5.7222275883533492E-2</c:v>
                </c:pt>
                <c:pt idx="36">
                  <c:v>6.2596992820116548E-2</c:v>
                </c:pt>
                <c:pt idx="37">
                  <c:v>6.6584564860426937E-2</c:v>
                </c:pt>
                <c:pt idx="38">
                  <c:v>7.4560245554160354E-2</c:v>
                </c:pt>
                <c:pt idx="39">
                  <c:v>7.9587773806840748E-2</c:v>
                </c:pt>
                <c:pt idx="40">
                  <c:v>8.2362063599386109E-2</c:v>
                </c:pt>
                <c:pt idx="41">
                  <c:v>9.2244330682464556E-2</c:v>
                </c:pt>
                <c:pt idx="42">
                  <c:v>9.1031048434699544E-2</c:v>
                </c:pt>
                <c:pt idx="43">
                  <c:v>9.5018620475009932E-2</c:v>
                </c:pt>
                <c:pt idx="44">
                  <c:v>0.10784850338602874</c:v>
                </c:pt>
                <c:pt idx="45">
                  <c:v>0.11495648067656181</c:v>
                </c:pt>
                <c:pt idx="46">
                  <c:v>0.11634362557283449</c:v>
                </c:pt>
                <c:pt idx="47">
                  <c:v>0.12310548740569024</c:v>
                </c:pt>
                <c:pt idx="48">
                  <c:v>0.12674640737521062</c:v>
                </c:pt>
                <c:pt idx="49">
                  <c:v>0.13420157334964639</c:v>
                </c:pt>
                <c:pt idx="50">
                  <c:v>0.14269669553645212</c:v>
                </c:pt>
                <c:pt idx="51">
                  <c:v>0.14893857926312287</c:v>
                </c:pt>
                <c:pt idx="52">
                  <c:v>0.14893857926312287</c:v>
                </c:pt>
                <c:pt idx="53">
                  <c:v>0.15830086824001632</c:v>
                </c:pt>
                <c:pt idx="54">
                  <c:v>0.16644933835603207</c:v>
                </c:pt>
                <c:pt idx="55">
                  <c:v>0.17026358436094743</c:v>
                </c:pt>
                <c:pt idx="56">
                  <c:v>0.17667825750990052</c:v>
                </c:pt>
                <c:pt idx="57">
                  <c:v>0.18101301823411356</c:v>
                </c:pt>
                <c:pt idx="58">
                  <c:v>0.18760101741846164</c:v>
                </c:pt>
                <c:pt idx="59">
                  <c:v>0.1936690384966247</c:v>
                </c:pt>
                <c:pt idx="60">
                  <c:v>0.20008424825869042</c:v>
                </c:pt>
                <c:pt idx="61">
                  <c:v>0.20285800143812316</c:v>
                </c:pt>
                <c:pt idx="62">
                  <c:v>0.20788606630391621</c:v>
                </c:pt>
                <c:pt idx="63">
                  <c:v>0.21586121038453696</c:v>
                </c:pt>
                <c:pt idx="64">
                  <c:v>0.21794165942238963</c:v>
                </c:pt>
                <c:pt idx="65">
                  <c:v>0.22158257939191003</c:v>
                </c:pt>
                <c:pt idx="66">
                  <c:v>0.22990491215643344</c:v>
                </c:pt>
                <c:pt idx="67">
                  <c:v>0.23666623737617654</c:v>
                </c:pt>
                <c:pt idx="68">
                  <c:v>0.23736007813086921</c:v>
                </c:pt>
                <c:pt idx="69">
                  <c:v>0.24464191806990995</c:v>
                </c:pt>
                <c:pt idx="70">
                  <c:v>0.24862949011022034</c:v>
                </c:pt>
                <c:pt idx="71">
                  <c:v>0.25122991725425803</c:v>
                </c:pt>
                <c:pt idx="72">
                  <c:v>0.25851175719329877</c:v>
                </c:pt>
                <c:pt idx="73">
                  <c:v>0.26562027109694453</c:v>
                </c:pt>
                <c:pt idx="74">
                  <c:v>0.2715149661397126</c:v>
                </c:pt>
                <c:pt idx="75">
                  <c:v>0.27862348004335835</c:v>
                </c:pt>
                <c:pt idx="76">
                  <c:v>0.280703929081211</c:v>
                </c:pt>
                <c:pt idx="77">
                  <c:v>0.29110671088358714</c:v>
                </c:pt>
                <c:pt idx="78">
                  <c:v>0.29925518099960291</c:v>
                </c:pt>
                <c:pt idx="79">
                  <c:v>0.30046899986048059</c:v>
                </c:pt>
                <c:pt idx="80">
                  <c:v>0.30879079601189136</c:v>
                </c:pt>
                <c:pt idx="81">
                  <c:v>0.31468549105465937</c:v>
                </c:pt>
                <c:pt idx="82">
                  <c:v>0.31745978084720478</c:v>
                </c:pt>
                <c:pt idx="83">
                  <c:v>0.3275153739656782</c:v>
                </c:pt>
                <c:pt idx="84">
                  <c:v>0.33826480783884433</c:v>
                </c:pt>
                <c:pt idx="85">
                  <c:v>0.34415950288161234</c:v>
                </c:pt>
                <c:pt idx="86">
                  <c:v>0.34658660399025509</c:v>
                </c:pt>
                <c:pt idx="87">
                  <c:v>0.35265462506841816</c:v>
                </c:pt>
                <c:pt idx="88">
                  <c:v>0.35716271182802622</c:v>
                </c:pt>
                <c:pt idx="89">
                  <c:v>0.36565783401483198</c:v>
                </c:pt>
                <c:pt idx="90">
                  <c:v>0.36843212380737733</c:v>
                </c:pt>
                <c:pt idx="91">
                  <c:v>0.37606061581720807</c:v>
                </c:pt>
                <c:pt idx="92">
                  <c:v>0.38056816596370352</c:v>
                </c:pt>
                <c:pt idx="93">
                  <c:v>0.38698337572576919</c:v>
                </c:pt>
                <c:pt idx="94">
                  <c:v>0.39339804887472235</c:v>
                </c:pt>
                <c:pt idx="95">
                  <c:v>0.39582568659647765</c:v>
                </c:pt>
                <c:pt idx="96">
                  <c:v>0.39963993260139308</c:v>
                </c:pt>
                <c:pt idx="97">
                  <c:v>0.40553462764416104</c:v>
                </c:pt>
                <c:pt idx="98">
                  <c:v>0.41038882986144648</c:v>
                </c:pt>
                <c:pt idx="99">
                  <c:v>0.41715069169430224</c:v>
                </c:pt>
                <c:pt idx="100">
                  <c:v>0.42287206070167532</c:v>
                </c:pt>
                <c:pt idx="101">
                  <c:v>0.4263396546358007</c:v>
                </c:pt>
                <c:pt idx="102">
                  <c:v>0.43171437157238379</c:v>
                </c:pt>
                <c:pt idx="103">
                  <c:v>0.43934286358221453</c:v>
                </c:pt>
                <c:pt idx="104">
                  <c:v>0.44575753673116758</c:v>
                </c:pt>
                <c:pt idx="105">
                  <c:v>0.44887847859450292</c:v>
                </c:pt>
                <c:pt idx="106">
                  <c:v>0.44939845670068795</c:v>
                </c:pt>
                <c:pt idx="107">
                  <c:v>0.45494649967266598</c:v>
                </c:pt>
                <c:pt idx="108">
                  <c:v>0.45459984760187594</c:v>
                </c:pt>
                <c:pt idx="109">
                  <c:v>0.46066786868003912</c:v>
                </c:pt>
                <c:pt idx="110">
                  <c:v>0.46205501357631179</c:v>
                </c:pt>
                <c:pt idx="111">
                  <c:v>0.46985683162153752</c:v>
                </c:pt>
                <c:pt idx="112">
                  <c:v>0.47471157045193552</c:v>
                </c:pt>
                <c:pt idx="113">
                  <c:v>0.4778319757021583</c:v>
                </c:pt>
                <c:pt idx="114">
                  <c:v>0.48615430846668167</c:v>
                </c:pt>
                <c:pt idx="115">
                  <c:v>0.4918756774740547</c:v>
                </c:pt>
                <c:pt idx="116">
                  <c:v>0.49863753930691052</c:v>
                </c:pt>
                <c:pt idx="117">
                  <c:v>0.50314508945340586</c:v>
                </c:pt>
                <c:pt idx="118">
                  <c:v>0.50938643656696392</c:v>
                </c:pt>
                <c:pt idx="119">
                  <c:v>0.51406784936196703</c:v>
                </c:pt>
                <c:pt idx="120">
                  <c:v>0.52100303723021768</c:v>
                </c:pt>
                <c:pt idx="121">
                  <c:v>0.52516393530592309</c:v>
                </c:pt>
                <c:pt idx="122">
                  <c:v>0.52776436244996083</c:v>
                </c:pt>
                <c:pt idx="123">
                  <c:v>0.53192526052566624</c:v>
                </c:pt>
                <c:pt idx="124">
                  <c:v>0.53782049218154693</c:v>
                </c:pt>
                <c:pt idx="125">
                  <c:v>0.54562284683988538</c:v>
                </c:pt>
                <c:pt idx="126">
                  <c:v>0.54839713663243073</c:v>
                </c:pt>
                <c:pt idx="127">
                  <c:v>0.55325348530216689</c:v>
                </c:pt>
                <c:pt idx="128">
                  <c:v>0.56157098854867604</c:v>
                </c:pt>
                <c:pt idx="129">
                  <c:v>0.5693733432070146</c:v>
                </c:pt>
                <c:pt idx="130">
                  <c:v>0.57093488736490761</c:v>
                </c:pt>
                <c:pt idx="131">
                  <c:v>0.5789089582193031</c:v>
                </c:pt>
                <c:pt idx="132">
                  <c:v>0.5915676615473775</c:v>
                </c:pt>
                <c:pt idx="133">
                  <c:v>0.5945136675359799</c:v>
                </c:pt>
                <c:pt idx="134">
                  <c:v>0.60075447803642534</c:v>
                </c:pt>
                <c:pt idx="135">
                  <c:v>0.60595962522940217</c:v>
                </c:pt>
                <c:pt idx="136">
                  <c:v>0.60976957832941603</c:v>
                </c:pt>
                <c:pt idx="137">
                  <c:v>0.61479764319520913</c:v>
                </c:pt>
                <c:pt idx="138">
                  <c:v>0.62138725221889524</c:v>
                </c:pt>
                <c:pt idx="139">
                  <c:v>0.63040235251188592</c:v>
                </c:pt>
                <c:pt idx="140">
                  <c:v>0.63751247625486973</c:v>
                </c:pt>
                <c:pt idx="141">
                  <c:v>0.64288397351277671</c:v>
                </c:pt>
                <c:pt idx="142">
                  <c:v>0.64808912070575364</c:v>
                </c:pt>
                <c:pt idx="143">
                  <c:v>0.65450164740225591</c:v>
                </c:pt>
                <c:pt idx="144">
                  <c:v>0.65519387831761056</c:v>
                </c:pt>
                <c:pt idx="145">
                  <c:v>0.66317331530313273</c:v>
                </c:pt>
                <c:pt idx="146">
                  <c:v>0.66594760509567819</c:v>
                </c:pt>
                <c:pt idx="147">
                  <c:v>0.66993464052287588</c:v>
                </c:pt>
                <c:pt idx="148">
                  <c:v>0.67894974081586656</c:v>
                </c:pt>
                <c:pt idx="149">
                  <c:v>0.67894974081586656</c:v>
                </c:pt>
                <c:pt idx="150">
                  <c:v>0.68275969391588054</c:v>
                </c:pt>
                <c:pt idx="151">
                  <c:v>0.68397780568165967</c:v>
                </c:pt>
                <c:pt idx="152">
                  <c:v>0.6916030780128144</c:v>
                </c:pt>
                <c:pt idx="153">
                  <c:v>0.69628771048649341</c:v>
                </c:pt>
                <c:pt idx="154">
                  <c:v>0.69906200027903875</c:v>
                </c:pt>
                <c:pt idx="155">
                  <c:v>0.7082488167680866</c:v>
                </c:pt>
                <c:pt idx="156">
                  <c:v>0.70894104768344124</c:v>
                </c:pt>
                <c:pt idx="157">
                  <c:v>0.71986649065756569</c:v>
                </c:pt>
                <c:pt idx="158">
                  <c:v>0.72298421284222492</c:v>
                </c:pt>
                <c:pt idx="159">
                  <c:v>0.72870987475449955</c:v>
                </c:pt>
                <c:pt idx="160">
                  <c:v>0.73061485130450643</c:v>
                </c:pt>
                <c:pt idx="161">
                  <c:v>0.73962995159749723</c:v>
                </c:pt>
                <c:pt idx="162">
                  <c:v>0.74292475610934028</c:v>
                </c:pt>
                <c:pt idx="163">
                  <c:v>0.74829625336724737</c:v>
                </c:pt>
                <c:pt idx="164">
                  <c:v>0.75523466091417413</c:v>
                </c:pt>
                <c:pt idx="165">
                  <c:v>0.75696792126812407</c:v>
                </c:pt>
                <c:pt idx="166">
                  <c:v>0.76840851283041955</c:v>
                </c:pt>
                <c:pt idx="167">
                  <c:v>0.77395709241551025</c:v>
                </c:pt>
                <c:pt idx="168">
                  <c:v>0.77534692037734632</c:v>
                </c:pt>
                <c:pt idx="169">
                  <c:v>0.78245167798920323</c:v>
                </c:pt>
                <c:pt idx="170">
                  <c:v>0.78661579574358487</c:v>
                </c:pt>
                <c:pt idx="171">
                  <c:v>0.79406935187868255</c:v>
                </c:pt>
                <c:pt idx="172">
                  <c:v>0.7978846711098232</c:v>
                </c:pt>
                <c:pt idx="173">
                  <c:v>0.80326153449885707</c:v>
                </c:pt>
                <c:pt idx="174">
                  <c:v>0.80620754048745946</c:v>
                </c:pt>
                <c:pt idx="175">
                  <c:v>0.81539435697650708</c:v>
                </c:pt>
                <c:pt idx="176">
                  <c:v>0.82094293656159778</c:v>
                </c:pt>
                <c:pt idx="177">
                  <c:v>0.82440945726949777</c:v>
                </c:pt>
                <c:pt idx="178">
                  <c:v>0.82874529121993623</c:v>
                </c:pt>
                <c:pt idx="179">
                  <c:v>0.83429387080502693</c:v>
                </c:pt>
                <c:pt idx="180">
                  <c:v>0.83810919003616768</c:v>
                </c:pt>
                <c:pt idx="181">
                  <c:v>0.8452139476480246</c:v>
                </c:pt>
                <c:pt idx="182">
                  <c:v>0.85059081103705847</c:v>
                </c:pt>
                <c:pt idx="183">
                  <c:v>0.85718042006074457</c:v>
                </c:pt>
                <c:pt idx="184">
                  <c:v>0.86099037316075855</c:v>
                </c:pt>
                <c:pt idx="185">
                  <c:v>0.86775706451162848</c:v>
                </c:pt>
                <c:pt idx="186">
                  <c:v>0.87018255578093306</c:v>
                </c:pt>
                <c:pt idx="187">
                  <c:v>0.87763611191603075</c:v>
                </c:pt>
                <c:pt idx="188">
                  <c:v>0.88231537825858308</c:v>
                </c:pt>
                <c:pt idx="189">
                  <c:v>0.8889049872822693</c:v>
                </c:pt>
                <c:pt idx="190">
                  <c:v>0.88977430052480755</c:v>
                </c:pt>
                <c:pt idx="191">
                  <c:v>0.89826888609850064</c:v>
                </c:pt>
                <c:pt idx="192">
                  <c:v>0.90312523476823681</c:v>
                </c:pt>
                <c:pt idx="193">
                  <c:v>0.90728398639149144</c:v>
                </c:pt>
                <c:pt idx="194">
                  <c:v>0.91560685576912759</c:v>
                </c:pt>
                <c:pt idx="195">
                  <c:v>0.92132715155027523</c:v>
                </c:pt>
                <c:pt idx="196">
                  <c:v>0.92462195606211828</c:v>
                </c:pt>
                <c:pt idx="197">
                  <c:v>0.93277310924369738</c:v>
                </c:pt>
                <c:pt idx="198">
                  <c:v>0.93710357706300917</c:v>
                </c:pt>
                <c:pt idx="199">
                  <c:v>0.93762409178230677</c:v>
                </c:pt>
                <c:pt idx="200">
                  <c:v>0.94143941101344752</c:v>
                </c:pt>
                <c:pt idx="201">
                  <c:v>0.94386490228275211</c:v>
                </c:pt>
                <c:pt idx="202">
                  <c:v>0.94768022151389297</c:v>
                </c:pt>
                <c:pt idx="203">
                  <c:v>0.95426983053757897</c:v>
                </c:pt>
                <c:pt idx="204">
                  <c:v>0.95600309089152902</c:v>
                </c:pt>
                <c:pt idx="205">
                  <c:v>0.95929789540337207</c:v>
                </c:pt>
                <c:pt idx="206">
                  <c:v>0.96155167047661971</c:v>
                </c:pt>
                <c:pt idx="207">
                  <c:v>0.96484647498846288</c:v>
                </c:pt>
                <c:pt idx="208">
                  <c:v>0.96224390139197458</c:v>
                </c:pt>
                <c:pt idx="209">
                  <c:v>0.96345664702662681</c:v>
                </c:pt>
                <c:pt idx="210">
                  <c:v>0.97004625605031281</c:v>
                </c:pt>
                <c:pt idx="211">
                  <c:v>0.97108728548890821</c:v>
                </c:pt>
                <c:pt idx="212">
                  <c:v>0.97941015486654426</c:v>
                </c:pt>
                <c:pt idx="213">
                  <c:v>0.98322010796655823</c:v>
                </c:pt>
                <c:pt idx="214">
                  <c:v>0.98374062268585605</c:v>
                </c:pt>
                <c:pt idx="215">
                  <c:v>0.99449434946392345</c:v>
                </c:pt>
                <c:pt idx="216">
                  <c:v>0.9957070950985758</c:v>
                </c:pt>
                <c:pt idx="217">
                  <c:v>0.99900189961041896</c:v>
                </c:pt>
                <c:pt idx="218">
                  <c:v>0.99431726713673974</c:v>
                </c:pt>
                <c:pt idx="219">
                  <c:v>0.99796087017182344</c:v>
                </c:pt>
                <c:pt idx="220">
                  <c:v>0.99709155692928519</c:v>
                </c:pt>
                <c:pt idx="221">
                  <c:v>1.0059349410262191</c:v>
                </c:pt>
                <c:pt idx="222">
                  <c:v>1.0090580293420051</c:v>
                </c:pt>
                <c:pt idx="223">
                  <c:v>1.0104424911727143</c:v>
                </c:pt>
                <c:pt idx="224">
                  <c:v>1.0100990587806002</c:v>
                </c:pt>
                <c:pt idx="225">
                  <c:v>1.0106142073687712</c:v>
                </c:pt>
                <c:pt idx="226">
                  <c:v>1.0123528338538481</c:v>
                </c:pt>
                <c:pt idx="227">
                  <c:v>1.010791289695955</c:v>
                </c:pt>
                <c:pt idx="228">
                  <c:v>0.93415757107440678</c:v>
                </c:pt>
                <c:pt idx="229">
                  <c:v>0.88214366206252603</c:v>
                </c:pt>
                <c:pt idx="230">
                  <c:v>0.86203140259935385</c:v>
                </c:pt>
                <c:pt idx="231">
                  <c:v>0.85093960956029913</c:v>
                </c:pt>
                <c:pt idx="232">
                  <c:v>0.84660377560986089</c:v>
                </c:pt>
                <c:pt idx="233">
                  <c:v>0.84001416658617467</c:v>
                </c:pt>
                <c:pt idx="234">
                  <c:v>0.84591154469450625</c:v>
                </c:pt>
                <c:pt idx="235">
                  <c:v>0.84660377560986089</c:v>
                </c:pt>
                <c:pt idx="236">
                  <c:v>0.84122691222082691</c:v>
                </c:pt>
                <c:pt idx="237">
                  <c:v>0.83377335608572933</c:v>
                </c:pt>
                <c:pt idx="238">
                  <c:v>0.82319671163484542</c:v>
                </c:pt>
                <c:pt idx="239">
                  <c:v>0.80932526267211868</c:v>
                </c:pt>
                <c:pt idx="240">
                  <c:v>0.80620754048745946</c:v>
                </c:pt>
                <c:pt idx="241">
                  <c:v>0.67947025553516427</c:v>
                </c:pt>
                <c:pt idx="242">
                  <c:v>0.29648089120705751</c:v>
                </c:pt>
                <c:pt idx="243">
                  <c:v>0.12986681262543331</c:v>
                </c:pt>
                <c:pt idx="244">
                  <c:v>5.4101870633310796E-2</c:v>
                </c:pt>
                <c:pt idx="245">
                  <c:v>1.8386511692799729E-2</c:v>
                </c:pt>
                <c:pt idx="246">
                  <c:v>3.1289910600255425E-3</c:v>
                </c:pt>
                <c:pt idx="247">
                  <c:v>1.7423827768655354E-3</c:v>
                </c:pt>
                <c:pt idx="248">
                  <c:v>-7.2732541292379023E-3</c:v>
                </c:pt>
                <c:pt idx="249">
                  <c:v>-1.0319070156798351E-3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02-4D0B-9180-768552730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Strain, %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5810356675598074"/>
              <c:y val="0.886206968417754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Stress, MPa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7570586530415977"/>
          <c:y val="0.4081785698372522"/>
          <c:w val="0.17660564604912471"/>
          <c:h val="0.32566521018532468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Tension - transverse direction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516475785063475"/>
          <c:y val="0.14393518518518519"/>
          <c:w val="0.76844632399857438"/>
          <c:h val="0.65922422057696928"/>
        </c:manualLayout>
      </c:layout>
      <c:scatterChart>
        <c:scatterStyle val="lineMarker"/>
        <c:varyColors val="0"/>
        <c:ser>
          <c:idx val="0"/>
          <c:order val="0"/>
          <c:tx>
            <c:v>OLT3-3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'OLT3-3'!$AA$32:$AA$130</c:f>
              <c:numCache>
                <c:formatCode>General</c:formatCode>
                <c:ptCount val="99"/>
                <c:pt idx="0">
                  <c:v>4.7509000000000001E-4</c:v>
                </c:pt>
                <c:pt idx="1">
                  <c:v>5.0340824999999998E-4</c:v>
                </c:pt>
                <c:pt idx="2">
                  <c:v>5.1996349999999998E-4</c:v>
                </c:pt>
                <c:pt idx="3">
                  <c:v>5.3166550000000002E-4</c:v>
                </c:pt>
                <c:pt idx="4">
                  <c:v>5.2845699999999997E-4</c:v>
                </c:pt>
                <c:pt idx="5">
                  <c:v>5.7685924999999996E-4</c:v>
                </c:pt>
                <c:pt idx="6">
                  <c:v>6.2592349999999997E-4</c:v>
                </c:pt>
                <c:pt idx="7">
                  <c:v>6.7151700000000006E-4</c:v>
                </c:pt>
                <c:pt idx="8">
                  <c:v>7.0665574999999997E-4</c:v>
                </c:pt>
                <c:pt idx="9">
                  <c:v>7.5002024999999998E-4</c:v>
                </c:pt>
                <c:pt idx="10">
                  <c:v>7.3945299999999994E-4</c:v>
                </c:pt>
                <c:pt idx="11">
                  <c:v>7.74547E-4</c:v>
                </c:pt>
                <c:pt idx="12">
                  <c:v>7.8189450000000005E-4</c:v>
                </c:pt>
                <c:pt idx="13">
                  <c:v>8.4185100000000001E-4</c:v>
                </c:pt>
                <c:pt idx="14">
                  <c:v>8.3202424999999998E-4</c:v>
                </c:pt>
                <c:pt idx="15">
                  <c:v>8.5639875000000001E-4</c:v>
                </c:pt>
                <c:pt idx="16">
                  <c:v>8.8967875000000001E-4</c:v>
                </c:pt>
                <c:pt idx="17">
                  <c:v>9.3322649999999995E-4</c:v>
                </c:pt>
                <c:pt idx="18">
                  <c:v>9.6576650000000002E-4</c:v>
                </c:pt>
                <c:pt idx="19">
                  <c:v>9.7770000000000018E-4</c:v>
                </c:pt>
                <c:pt idx="20">
                  <c:v>9.9851699999999998E-4</c:v>
                </c:pt>
                <c:pt idx="21">
                  <c:v>1.054625E-3</c:v>
                </c:pt>
                <c:pt idx="22">
                  <c:v>1.0720299999999999E-3</c:v>
                </c:pt>
                <c:pt idx="23">
                  <c:v>1.0983025E-3</c:v>
                </c:pt>
                <c:pt idx="24">
                  <c:v>1.15241E-3</c:v>
                </c:pt>
                <c:pt idx="25">
                  <c:v>1.1739625000000001E-3</c:v>
                </c:pt>
                <c:pt idx="26">
                  <c:v>1.2236599999999999E-3</c:v>
                </c:pt>
                <c:pt idx="27">
                  <c:v>1.26344E-3</c:v>
                </c:pt>
                <c:pt idx="28">
                  <c:v>1.2714150000000001E-3</c:v>
                </c:pt>
                <c:pt idx="29">
                  <c:v>1.2972249999999999E-3</c:v>
                </c:pt>
                <c:pt idx="30">
                  <c:v>1.3085925000000001E-3</c:v>
                </c:pt>
                <c:pt idx="31">
                  <c:v>1.3621900000000001E-3</c:v>
                </c:pt>
                <c:pt idx="32">
                  <c:v>1.3824199999999999E-3</c:v>
                </c:pt>
                <c:pt idx="33">
                  <c:v>1.4081900000000001E-3</c:v>
                </c:pt>
                <c:pt idx="34">
                  <c:v>1.4132625000000002E-3</c:v>
                </c:pt>
                <c:pt idx="35">
                  <c:v>1.4576700000000001E-3</c:v>
                </c:pt>
                <c:pt idx="36">
                  <c:v>1.4800425000000002E-3</c:v>
                </c:pt>
                <c:pt idx="37">
                  <c:v>1.5176349999999998E-3</c:v>
                </c:pt>
                <c:pt idx="38">
                  <c:v>1.5482100000000002E-3</c:v>
                </c:pt>
                <c:pt idx="39">
                  <c:v>1.58037E-3</c:v>
                </c:pt>
                <c:pt idx="40">
                  <c:v>1.5862699999999999E-3</c:v>
                </c:pt>
                <c:pt idx="41">
                  <c:v>1.60414E-3</c:v>
                </c:pt>
                <c:pt idx="42">
                  <c:v>1.6499125000000001E-3</c:v>
                </c:pt>
                <c:pt idx="43">
                  <c:v>1.6674575E-3</c:v>
                </c:pt>
                <c:pt idx="44">
                  <c:v>1.7007049999999998E-3</c:v>
                </c:pt>
                <c:pt idx="45">
                  <c:v>1.7308925000000001E-3</c:v>
                </c:pt>
                <c:pt idx="46">
                  <c:v>1.7676874999999999E-3</c:v>
                </c:pt>
                <c:pt idx="47">
                  <c:v>1.7650925E-3</c:v>
                </c:pt>
                <c:pt idx="48">
                  <c:v>1.802915E-3</c:v>
                </c:pt>
                <c:pt idx="49">
                  <c:v>1.8431799999999998E-3</c:v>
                </c:pt>
                <c:pt idx="50">
                  <c:v>1.9223999999999999E-3</c:v>
                </c:pt>
                <c:pt idx="51">
                  <c:v>1.95294E-3</c:v>
                </c:pt>
                <c:pt idx="52">
                  <c:v>2.0070349999999999E-3</c:v>
                </c:pt>
                <c:pt idx="53">
                  <c:v>2.0064950000000001E-3</c:v>
                </c:pt>
                <c:pt idx="54">
                  <c:v>2.0258575E-3</c:v>
                </c:pt>
                <c:pt idx="55">
                  <c:v>2.0607249999999998E-3</c:v>
                </c:pt>
                <c:pt idx="56">
                  <c:v>2.1573224999999999E-3</c:v>
                </c:pt>
                <c:pt idx="57">
                  <c:v>2.1996074999999999E-3</c:v>
                </c:pt>
                <c:pt idx="58">
                  <c:v>2.2256975000000002E-3</c:v>
                </c:pt>
                <c:pt idx="59">
                  <c:v>2.2176424999999999E-3</c:v>
                </c:pt>
                <c:pt idx="60">
                  <c:v>2.2529375000000002E-3</c:v>
                </c:pt>
                <c:pt idx="61">
                  <c:v>2.3126150000000001E-3</c:v>
                </c:pt>
                <c:pt idx="62">
                  <c:v>2.3458375000000001E-3</c:v>
                </c:pt>
                <c:pt idx="63">
                  <c:v>2.4336000000000002E-3</c:v>
                </c:pt>
                <c:pt idx="64">
                  <c:v>2.4506550000000004E-3</c:v>
                </c:pt>
                <c:pt idx="65">
                  <c:v>2.4679724999999999E-3</c:v>
                </c:pt>
                <c:pt idx="66">
                  <c:v>2.4829349999999999E-3</c:v>
                </c:pt>
                <c:pt idx="67">
                  <c:v>2.5283275000000001E-3</c:v>
                </c:pt>
                <c:pt idx="68">
                  <c:v>2.5485799999999999E-3</c:v>
                </c:pt>
                <c:pt idx="69">
                  <c:v>2.5536025E-3</c:v>
                </c:pt>
                <c:pt idx="70">
                  <c:v>2.57712E-3</c:v>
                </c:pt>
                <c:pt idx="71">
                  <c:v>2.6453900000000001E-3</c:v>
                </c:pt>
                <c:pt idx="72">
                  <c:v>2.6861799999999998E-3</c:v>
                </c:pt>
                <c:pt idx="73">
                  <c:v>2.7039324999999998E-3</c:v>
                </c:pt>
                <c:pt idx="74">
                  <c:v>2.7380974999999998E-3</c:v>
                </c:pt>
                <c:pt idx="75">
                  <c:v>2.7585725000000001E-3</c:v>
                </c:pt>
                <c:pt idx="76">
                  <c:v>2.7906049999999998E-3</c:v>
                </c:pt>
                <c:pt idx="77">
                  <c:v>2.8134375E-3</c:v>
                </c:pt>
                <c:pt idx="78">
                  <c:v>2.8763949999999999E-3</c:v>
                </c:pt>
                <c:pt idx="79">
                  <c:v>2.9130924999999997E-3</c:v>
                </c:pt>
                <c:pt idx="80">
                  <c:v>2.9071575000000002E-3</c:v>
                </c:pt>
                <c:pt idx="81">
                  <c:v>2.9537549999999997E-3</c:v>
                </c:pt>
                <c:pt idx="82">
                  <c:v>2.9737225E-3</c:v>
                </c:pt>
                <c:pt idx="83">
                  <c:v>3.0368175E-3</c:v>
                </c:pt>
                <c:pt idx="84">
                  <c:v>3.0492899999999996E-3</c:v>
                </c:pt>
                <c:pt idx="85">
                  <c:v>3.0666699999999996E-3</c:v>
                </c:pt>
                <c:pt idx="86">
                  <c:v>3.0775975000000002E-3</c:v>
                </c:pt>
                <c:pt idx="87">
                  <c:v>3.1122149999999998E-3</c:v>
                </c:pt>
                <c:pt idx="88">
                  <c:v>3.158475E-3</c:v>
                </c:pt>
                <c:pt idx="89">
                  <c:v>3.27078E-3</c:v>
                </c:pt>
                <c:pt idx="90">
                  <c:v>3.2308100000000002E-3</c:v>
                </c:pt>
                <c:pt idx="91">
                  <c:v>3.2502400000000006E-3</c:v>
                </c:pt>
                <c:pt idx="92">
                  <c:v>3.2911925000000002E-3</c:v>
                </c:pt>
                <c:pt idx="93">
                  <c:v>3.3263250000000002E-3</c:v>
                </c:pt>
                <c:pt idx="94">
                  <c:v>3.4010950000000002E-3</c:v>
                </c:pt>
                <c:pt idx="95">
                  <c:v>3.4075375000000001E-3</c:v>
                </c:pt>
                <c:pt idx="96">
                  <c:v>3.4238800000000002E-3</c:v>
                </c:pt>
                <c:pt idx="97">
                  <c:v>3.46204E-3</c:v>
                </c:pt>
                <c:pt idx="98">
                  <c:v>3.5173024999999997E-3</c:v>
                </c:pt>
              </c:numCache>
            </c:numRef>
          </c:xVal>
          <c:yVal>
            <c:numRef>
              <c:f>'OLT3-3'!$V$32:$V$130</c:f>
              <c:numCache>
                <c:formatCode>General</c:formatCode>
                <c:ptCount val="99"/>
                <c:pt idx="0">
                  <c:v>6.2499329233609152E-3</c:v>
                </c:pt>
                <c:pt idx="1">
                  <c:v>1.249181665003166E-2</c:v>
                </c:pt>
                <c:pt idx="2">
                  <c:v>1.5265569829464355E-2</c:v>
                </c:pt>
                <c:pt idx="3">
                  <c:v>2.7054959915000485E-2</c:v>
                </c:pt>
                <c:pt idx="4">
                  <c:v>2.9309271601360848E-2</c:v>
                </c:pt>
                <c:pt idx="5">
                  <c:v>3.9538190755229297E-2</c:v>
                </c:pt>
                <c:pt idx="6">
                  <c:v>4.387241486632968E-2</c:v>
                </c:pt>
                <c:pt idx="7">
                  <c:v>5.2021421595458105E-2</c:v>
                </c:pt>
                <c:pt idx="8">
                  <c:v>5.7222275883533492E-2</c:v>
                </c:pt>
                <c:pt idx="9">
                  <c:v>6.2596992820116548E-2</c:v>
                </c:pt>
                <c:pt idx="10">
                  <c:v>6.6584564860426937E-2</c:v>
                </c:pt>
                <c:pt idx="11">
                  <c:v>7.4560245554160354E-2</c:v>
                </c:pt>
                <c:pt idx="12">
                  <c:v>7.9587773806840748E-2</c:v>
                </c:pt>
                <c:pt idx="13">
                  <c:v>8.2362063599386109E-2</c:v>
                </c:pt>
                <c:pt idx="14">
                  <c:v>9.2244330682464556E-2</c:v>
                </c:pt>
                <c:pt idx="15">
                  <c:v>9.1031048434699544E-2</c:v>
                </c:pt>
                <c:pt idx="16">
                  <c:v>9.5018620475009932E-2</c:v>
                </c:pt>
                <c:pt idx="17">
                  <c:v>0.10784850338602874</c:v>
                </c:pt>
                <c:pt idx="18">
                  <c:v>0.11495648067656181</c:v>
                </c:pt>
                <c:pt idx="19">
                  <c:v>0.11634362557283449</c:v>
                </c:pt>
                <c:pt idx="20">
                  <c:v>0.12310548740569024</c:v>
                </c:pt>
                <c:pt idx="21">
                  <c:v>0.12674640737521062</c:v>
                </c:pt>
                <c:pt idx="22">
                  <c:v>0.13420157334964639</c:v>
                </c:pt>
                <c:pt idx="23">
                  <c:v>0.14269669553645212</c:v>
                </c:pt>
                <c:pt idx="24">
                  <c:v>0.14893857926312287</c:v>
                </c:pt>
                <c:pt idx="25">
                  <c:v>0.14893857926312287</c:v>
                </c:pt>
                <c:pt idx="26">
                  <c:v>0.15830086824001632</c:v>
                </c:pt>
                <c:pt idx="27">
                  <c:v>0.16644933835603207</c:v>
                </c:pt>
                <c:pt idx="28">
                  <c:v>0.17026358436094743</c:v>
                </c:pt>
                <c:pt idx="29">
                  <c:v>0.17667825750990052</c:v>
                </c:pt>
                <c:pt idx="30">
                  <c:v>0.18101301823411356</c:v>
                </c:pt>
                <c:pt idx="31">
                  <c:v>0.18760101741846164</c:v>
                </c:pt>
                <c:pt idx="32">
                  <c:v>0.1936690384966247</c:v>
                </c:pt>
                <c:pt idx="33">
                  <c:v>0.20008424825869042</c:v>
                </c:pt>
                <c:pt idx="34">
                  <c:v>0.20285800143812316</c:v>
                </c:pt>
                <c:pt idx="35">
                  <c:v>0.20788606630391621</c:v>
                </c:pt>
                <c:pt idx="36">
                  <c:v>0.21586121038453696</c:v>
                </c:pt>
                <c:pt idx="37">
                  <c:v>0.21794165942238963</c:v>
                </c:pt>
                <c:pt idx="38">
                  <c:v>0.22158257939191003</c:v>
                </c:pt>
                <c:pt idx="39">
                  <c:v>0.22990491215643344</c:v>
                </c:pt>
                <c:pt idx="40">
                  <c:v>0.23666623737617654</c:v>
                </c:pt>
                <c:pt idx="41">
                  <c:v>0.23736007813086921</c:v>
                </c:pt>
                <c:pt idx="42">
                  <c:v>0.24464191806990995</c:v>
                </c:pt>
                <c:pt idx="43">
                  <c:v>0.24862949011022034</c:v>
                </c:pt>
                <c:pt idx="44">
                  <c:v>0.25122991725425803</c:v>
                </c:pt>
                <c:pt idx="45">
                  <c:v>0.25851175719329877</c:v>
                </c:pt>
                <c:pt idx="46">
                  <c:v>0.26562027109694453</c:v>
                </c:pt>
                <c:pt idx="47">
                  <c:v>0.2715149661397126</c:v>
                </c:pt>
                <c:pt idx="48">
                  <c:v>0.27862348004335835</c:v>
                </c:pt>
                <c:pt idx="49">
                  <c:v>0.280703929081211</c:v>
                </c:pt>
                <c:pt idx="50">
                  <c:v>0.29110671088358714</c:v>
                </c:pt>
                <c:pt idx="51">
                  <c:v>0.29925518099960291</c:v>
                </c:pt>
                <c:pt idx="52">
                  <c:v>0.30046899986048059</c:v>
                </c:pt>
                <c:pt idx="53">
                  <c:v>0.30879079601189136</c:v>
                </c:pt>
                <c:pt idx="54">
                  <c:v>0.31468549105465937</c:v>
                </c:pt>
                <c:pt idx="55">
                  <c:v>0.31745978084720478</c:v>
                </c:pt>
                <c:pt idx="56">
                  <c:v>0.3275153739656782</c:v>
                </c:pt>
                <c:pt idx="57">
                  <c:v>0.33826480783884433</c:v>
                </c:pt>
                <c:pt idx="58">
                  <c:v>0.34415950288161234</c:v>
                </c:pt>
                <c:pt idx="59">
                  <c:v>0.34658660399025509</c:v>
                </c:pt>
                <c:pt idx="60">
                  <c:v>0.35265462506841816</c:v>
                </c:pt>
                <c:pt idx="61">
                  <c:v>0.35716271182802622</c:v>
                </c:pt>
                <c:pt idx="62">
                  <c:v>0.36565783401483198</c:v>
                </c:pt>
                <c:pt idx="63">
                  <c:v>0.36843212380737733</c:v>
                </c:pt>
                <c:pt idx="64">
                  <c:v>0.37606061581720807</c:v>
                </c:pt>
                <c:pt idx="65">
                  <c:v>0.38056816596370352</c:v>
                </c:pt>
                <c:pt idx="66">
                  <c:v>0.38698337572576919</c:v>
                </c:pt>
                <c:pt idx="67">
                  <c:v>0.39339804887472235</c:v>
                </c:pt>
                <c:pt idx="68">
                  <c:v>0.39582568659647765</c:v>
                </c:pt>
                <c:pt idx="69">
                  <c:v>0.39963993260139308</c:v>
                </c:pt>
                <c:pt idx="70">
                  <c:v>0.40553462764416104</c:v>
                </c:pt>
                <c:pt idx="71">
                  <c:v>0.41038882986144648</c:v>
                </c:pt>
                <c:pt idx="72">
                  <c:v>0.41715069169430224</c:v>
                </c:pt>
                <c:pt idx="73">
                  <c:v>0.42287206070167532</c:v>
                </c:pt>
                <c:pt idx="74">
                  <c:v>0.4263396546358007</c:v>
                </c:pt>
                <c:pt idx="75">
                  <c:v>0.43171437157238379</c:v>
                </c:pt>
                <c:pt idx="76">
                  <c:v>0.43934286358221453</c:v>
                </c:pt>
                <c:pt idx="77">
                  <c:v>0.44575753673116758</c:v>
                </c:pt>
                <c:pt idx="78">
                  <c:v>0.44887847859450292</c:v>
                </c:pt>
                <c:pt idx="79">
                  <c:v>0.44939845670068795</c:v>
                </c:pt>
                <c:pt idx="80">
                  <c:v>0.45494649967266598</c:v>
                </c:pt>
                <c:pt idx="81">
                  <c:v>0.45459984760187594</c:v>
                </c:pt>
                <c:pt idx="82">
                  <c:v>0.46066786868003912</c:v>
                </c:pt>
                <c:pt idx="83">
                  <c:v>0.46205501357631179</c:v>
                </c:pt>
                <c:pt idx="84">
                  <c:v>0.46985683162153752</c:v>
                </c:pt>
                <c:pt idx="85">
                  <c:v>0.47471157045193552</c:v>
                </c:pt>
                <c:pt idx="86">
                  <c:v>0.4778319757021583</c:v>
                </c:pt>
                <c:pt idx="87">
                  <c:v>0.48615430846668167</c:v>
                </c:pt>
                <c:pt idx="88">
                  <c:v>0.4918756774740547</c:v>
                </c:pt>
                <c:pt idx="89">
                  <c:v>0.49863753930691052</c:v>
                </c:pt>
                <c:pt idx="90">
                  <c:v>0.50314508945340586</c:v>
                </c:pt>
                <c:pt idx="91">
                  <c:v>0.50938643656696392</c:v>
                </c:pt>
                <c:pt idx="92">
                  <c:v>0.51406784936196703</c:v>
                </c:pt>
                <c:pt idx="93">
                  <c:v>0.52100303723021768</c:v>
                </c:pt>
                <c:pt idx="94">
                  <c:v>0.52516393530592309</c:v>
                </c:pt>
                <c:pt idx="95">
                  <c:v>0.52776436244996083</c:v>
                </c:pt>
                <c:pt idx="96">
                  <c:v>0.53192526052566624</c:v>
                </c:pt>
                <c:pt idx="97">
                  <c:v>0.53782049218154693</c:v>
                </c:pt>
                <c:pt idx="98">
                  <c:v>0.54562284683988538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25-473E-82B5-892F458FA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Strain, %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5810356675598074"/>
              <c:y val="0.886206968417754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Stress, MPa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7570586530415977"/>
          <c:y val="0.4081785698372522"/>
          <c:w val="0.17660564604912471"/>
          <c:h val="0.32566521018532468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533400</xdr:colOff>
          <xdr:row>9</xdr:row>
          <xdr:rowOff>68580</xdr:rowOff>
        </xdr:from>
        <xdr:to>
          <xdr:col>19</xdr:col>
          <xdr:colOff>205740</xdr:colOff>
          <xdr:row>12</xdr:row>
          <xdr:rowOff>22860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495300</xdr:colOff>
          <xdr:row>4</xdr:row>
          <xdr:rowOff>152400</xdr:rowOff>
        </xdr:from>
        <xdr:to>
          <xdr:col>19</xdr:col>
          <xdr:colOff>563880</xdr:colOff>
          <xdr:row>7</xdr:row>
          <xdr:rowOff>76200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351182</xdr:colOff>
      <xdr:row>4</xdr:row>
      <xdr:rowOff>39755</xdr:rowOff>
    </xdr:from>
    <xdr:to>
      <xdr:col>15</xdr:col>
      <xdr:colOff>158817</xdr:colOff>
      <xdr:row>19</xdr:row>
      <xdr:rowOff>136799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206071</xdr:colOff>
      <xdr:row>3</xdr:row>
      <xdr:rowOff>107673</xdr:rowOff>
    </xdr:from>
    <xdr:to>
      <xdr:col>33</xdr:col>
      <xdr:colOff>212697</xdr:colOff>
      <xdr:row>18</xdr:row>
      <xdr:rowOff>132189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351183</xdr:colOff>
      <xdr:row>3</xdr:row>
      <xdr:rowOff>99392</xdr:rowOff>
    </xdr:from>
    <xdr:to>
      <xdr:col>39</xdr:col>
      <xdr:colOff>357809</xdr:colOff>
      <xdr:row>18</xdr:row>
      <xdr:rowOff>123908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212034</xdr:colOff>
      <xdr:row>19</xdr:row>
      <xdr:rowOff>79515</xdr:rowOff>
    </xdr:from>
    <xdr:to>
      <xdr:col>33</xdr:col>
      <xdr:colOff>218660</xdr:colOff>
      <xdr:row>34</xdr:row>
      <xdr:rowOff>117283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365760</xdr:colOff>
      <xdr:row>3</xdr:row>
      <xdr:rowOff>15240</xdr:rowOff>
    </xdr:from>
    <xdr:to>
      <xdr:col>34</xdr:col>
      <xdr:colOff>342900</xdr:colOff>
      <xdr:row>20</xdr:row>
      <xdr:rowOff>175260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365760</xdr:colOff>
      <xdr:row>21</xdr:row>
      <xdr:rowOff>152400</xdr:rowOff>
    </xdr:from>
    <xdr:to>
      <xdr:col>33</xdr:col>
      <xdr:colOff>372386</xdr:colOff>
      <xdr:row>37</xdr:row>
      <xdr:rowOff>47045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502920</xdr:colOff>
      <xdr:row>22</xdr:row>
      <xdr:rowOff>38100</xdr:rowOff>
    </xdr:from>
    <xdr:to>
      <xdr:col>39</xdr:col>
      <xdr:colOff>509546</xdr:colOff>
      <xdr:row>37</xdr:row>
      <xdr:rowOff>115625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4</xdr:row>
      <xdr:rowOff>0</xdr:rowOff>
    </xdr:from>
    <xdr:to>
      <xdr:col>34</xdr:col>
      <xdr:colOff>586740</xdr:colOff>
      <xdr:row>21</xdr:row>
      <xdr:rowOff>175260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30480</xdr:colOff>
      <xdr:row>23</xdr:row>
      <xdr:rowOff>0</xdr:rowOff>
    </xdr:from>
    <xdr:to>
      <xdr:col>35</xdr:col>
      <xdr:colOff>7620</xdr:colOff>
      <xdr:row>38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190500</xdr:colOff>
      <xdr:row>23</xdr:row>
      <xdr:rowOff>7620</xdr:rowOff>
    </xdr:from>
    <xdr:to>
      <xdr:col>42</xdr:col>
      <xdr:colOff>167640</xdr:colOff>
      <xdr:row>38</xdr:row>
      <xdr:rowOff>160020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w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DEBA-C3C3-423D-8145-E7D2BA90AC36}">
  <dimension ref="A2:V9"/>
  <sheetViews>
    <sheetView tabSelected="1" zoomScale="115" zoomScaleNormal="115" workbookViewId="0">
      <selection activeCell="Q13" sqref="Q13"/>
    </sheetView>
  </sheetViews>
  <sheetFormatPr defaultRowHeight="14.4" x14ac:dyDescent="0.3"/>
  <cols>
    <col min="2" max="2" width="13.33203125" bestFit="1" customWidth="1"/>
    <col min="3" max="3" width="9.88671875" customWidth="1"/>
    <col min="4" max="4" width="7.5546875" bestFit="1" customWidth="1"/>
    <col min="6" max="6" width="7.21875" bestFit="1" customWidth="1"/>
    <col min="7" max="7" width="6.33203125" bestFit="1" customWidth="1"/>
    <col min="8" max="8" width="6.44140625" bestFit="1" customWidth="1"/>
    <col min="9" max="9" width="5.21875" bestFit="1" customWidth="1"/>
    <col min="10" max="10" width="5.5546875" customWidth="1"/>
    <col min="11" max="11" width="5" customWidth="1"/>
    <col min="12" max="12" width="3.88671875" customWidth="1"/>
    <col min="13" max="15" width="5.6640625" bestFit="1" customWidth="1"/>
    <col min="16" max="16" width="9.88671875" customWidth="1"/>
  </cols>
  <sheetData>
    <row r="2" spans="1:22" x14ac:dyDescent="0.3">
      <c r="A2" s="8"/>
      <c r="B2" s="8" t="str">
        <f>'OLT3-1'!V2</f>
        <v>Ult Stress, MPa</v>
      </c>
      <c r="C2" s="8" t="str">
        <f>'OLT3-1'!W2</f>
        <v>Failure Strains, %</v>
      </c>
      <c r="D2" s="8" t="str">
        <f>'OLT3-1'!Y2</f>
        <v>Ez, MPa</v>
      </c>
      <c r="E2" s="8" t="s">
        <v>26</v>
      </c>
      <c r="F2" s="8" t="s">
        <v>27</v>
      </c>
      <c r="G2" s="8" t="s">
        <v>40</v>
      </c>
      <c r="H2" s="8" t="s">
        <v>41</v>
      </c>
      <c r="I2" s="8" t="s">
        <v>42</v>
      </c>
      <c r="J2" s="8" t="s">
        <v>43</v>
      </c>
      <c r="K2" s="8" t="s">
        <v>35</v>
      </c>
      <c r="L2" s="8" t="s">
        <v>36</v>
      </c>
      <c r="M2" s="8" t="s">
        <v>38</v>
      </c>
      <c r="N2" s="8" t="s">
        <v>39</v>
      </c>
      <c r="O2" s="8" t="s">
        <v>37</v>
      </c>
      <c r="P2" s="8" t="s">
        <v>28</v>
      </c>
      <c r="Q2" s="8" t="s">
        <v>29</v>
      </c>
      <c r="R2" s="8" t="s">
        <v>30</v>
      </c>
      <c r="S2" s="8" t="s">
        <v>31</v>
      </c>
    </row>
    <row r="3" spans="1:22" x14ac:dyDescent="0.3">
      <c r="A3" s="8" t="s">
        <v>32</v>
      </c>
      <c r="B3" s="9">
        <f>AVERAGE(B6:B9)</f>
        <v>0.89068659429412111</v>
      </c>
      <c r="C3" s="10">
        <f>AVERAGE(C6:C9)</f>
        <v>9.8597700000000021E-3</v>
      </c>
      <c r="D3" s="11">
        <f>AVERAGE(D6:D9)</f>
        <v>179.15396166260174</v>
      </c>
      <c r="E3" s="11">
        <f>D3/Q3</f>
        <v>215.36647408389183</v>
      </c>
      <c r="F3" s="13">
        <v>0.17760000000000001</v>
      </c>
      <c r="G3" s="13">
        <v>27</v>
      </c>
      <c r="H3" s="13">
        <v>7</v>
      </c>
      <c r="I3" s="13">
        <v>2</v>
      </c>
      <c r="J3" s="13">
        <v>5</v>
      </c>
      <c r="K3" s="20">
        <f>ROUNDDOWN(G3/J3,0)</f>
        <v>5</v>
      </c>
      <c r="L3" s="20">
        <f>ROUNDDOWN(H3/J3,0)</f>
        <v>1</v>
      </c>
      <c r="M3" s="14">
        <f>I3*(L3+1)/H3</f>
        <v>0.5714285714285714</v>
      </c>
      <c r="N3" s="14">
        <f>I3*(K3+1)/G3</f>
        <v>0.44444444444444442</v>
      </c>
      <c r="O3" s="14">
        <f>2*M3*N3</f>
        <v>0.50793650793650791</v>
      </c>
      <c r="P3" s="14">
        <f>M3+N3</f>
        <v>1.0158730158730158</v>
      </c>
      <c r="Q3" s="14">
        <f>(P3-(1-3*F3)*O3/2/(1-2*F3))</f>
        <v>0.83185631572728347</v>
      </c>
      <c r="R3" s="15">
        <f>D3/P3</f>
        <v>176.3546810116236</v>
      </c>
      <c r="S3" s="12">
        <f>R3/E3</f>
        <v>0.81885856079404473</v>
      </c>
      <c r="T3" s="16">
        <f>(1-S3)</f>
        <v>0.18114143920595527</v>
      </c>
      <c r="V3" s="21">
        <f>B3/P$3</f>
        <v>0.87676961625827554</v>
      </c>
    </row>
    <row r="4" spans="1:22" x14ac:dyDescent="0.3">
      <c r="A4" s="8" t="s">
        <v>33</v>
      </c>
      <c r="B4" s="17">
        <f>STDEV(B6:B9)</f>
        <v>0.11222734976083523</v>
      </c>
      <c r="C4" s="18">
        <f>STDEV(C6:C9)</f>
        <v>1.9418018237451525E-3</v>
      </c>
      <c r="D4" s="19">
        <f>STDEV(D6:D9)</f>
        <v>3.8433609667074626</v>
      </c>
      <c r="R4" s="15">
        <f>D4/P$3</f>
        <v>3.7833084516026587</v>
      </c>
      <c r="V4" s="21">
        <f>B4/P$3</f>
        <v>0.11047379742082218</v>
      </c>
    </row>
    <row r="5" spans="1:22" x14ac:dyDescent="0.3">
      <c r="A5" s="8" t="s">
        <v>34</v>
      </c>
      <c r="B5" s="18">
        <f>B4/B3</f>
        <v>0.12600094183496344</v>
      </c>
      <c r="C5" s="18">
        <f t="shared" ref="C5:D5" si="0">C4/C3</f>
        <v>0.19694189861884731</v>
      </c>
      <c r="D5" s="18">
        <f t="shared" si="0"/>
        <v>2.145283827965587E-2</v>
      </c>
    </row>
    <row r="6" spans="1:22" x14ac:dyDescent="0.3">
      <c r="A6" s="8">
        <v>1</v>
      </c>
      <c r="B6" s="17">
        <f>'OLT3-1'!V3</f>
        <v>0.79121447028423775</v>
      </c>
      <c r="C6" s="18">
        <f>'OLT3-1'!W3</f>
        <v>9.2867499999999999E-3</v>
      </c>
      <c r="D6" s="19">
        <f>'OLT3-1'!Y3</f>
        <v>180.36076300955679</v>
      </c>
    </row>
    <row r="7" spans="1:22" x14ac:dyDescent="0.3">
      <c r="A7" s="8">
        <v>2</v>
      </c>
      <c r="B7" s="17">
        <f>'OLT3-2'!$V$3</f>
        <v>0.86849247874427726</v>
      </c>
      <c r="C7" s="18">
        <f>'OLT3-2'!$X$3</f>
        <v>8.2689600000000005E-3</v>
      </c>
      <c r="D7" s="19">
        <f>'OLT3-2'!$Y$3</f>
        <v>182.24909399589203</v>
      </c>
    </row>
    <row r="8" spans="1:22" x14ac:dyDescent="0.3">
      <c r="A8" s="8">
        <v>3</v>
      </c>
      <c r="B8" s="17">
        <f>'OLT3-3'!V3</f>
        <v>1.0123528338538481</v>
      </c>
      <c r="C8" s="18">
        <f>'OLT3-3'!W3</f>
        <v>1.2023600000000001E-2</v>
      </c>
      <c r="D8" s="19">
        <f>'OLT3-3'!Y3</f>
        <v>174.85202798235636</v>
      </c>
    </row>
    <row r="9" spans="1:22" x14ac:dyDescent="0.3">
      <c r="B9" s="4"/>
      <c r="C9" s="5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4098" r:id="rId3">
          <objectPr defaultSize="0" autoPict="0" r:id="rId4">
            <anchor moveWithCells="1" sizeWithCells="1">
              <from>
                <xdr:col>16</xdr:col>
                <xdr:colOff>533400</xdr:colOff>
                <xdr:row>9</xdr:row>
                <xdr:rowOff>68580</xdr:rowOff>
              </from>
              <to>
                <xdr:col>19</xdr:col>
                <xdr:colOff>205740</xdr:colOff>
                <xdr:row>12</xdr:row>
                <xdr:rowOff>22860</xdr:rowOff>
              </to>
            </anchor>
          </objectPr>
        </oleObject>
      </mc:Choice>
      <mc:Fallback>
        <oleObject progId="Equation.DSMT4" shapeId="4098" r:id="rId3"/>
      </mc:Fallback>
    </mc:AlternateContent>
    <mc:AlternateContent xmlns:mc="http://schemas.openxmlformats.org/markup-compatibility/2006">
      <mc:Choice Requires="x14">
        <oleObject progId="Equation.DSMT4" shapeId="4099" r:id="rId5">
          <objectPr defaultSize="0" autoPict="0" r:id="rId6">
            <anchor moveWithCells="1" sizeWithCells="1">
              <from>
                <xdr:col>16</xdr:col>
                <xdr:colOff>495300</xdr:colOff>
                <xdr:row>4</xdr:row>
                <xdr:rowOff>152400</xdr:rowOff>
              </from>
              <to>
                <xdr:col>19</xdr:col>
                <xdr:colOff>563880</xdr:colOff>
                <xdr:row>7</xdr:row>
                <xdr:rowOff>76200</xdr:rowOff>
              </to>
            </anchor>
          </objectPr>
        </oleObject>
      </mc:Choice>
      <mc:Fallback>
        <oleObject progId="Equation.DSMT4" shapeId="4099" r:id="rId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6FA5-CB7A-4DAF-AAA3-BF74B8BF2BEC}">
  <dimension ref="A1:AA133"/>
  <sheetViews>
    <sheetView zoomScale="115" zoomScaleNormal="115" workbookViewId="0">
      <selection activeCell="V1" sqref="V1:Y3"/>
    </sheetView>
  </sheetViews>
  <sheetFormatPr defaultRowHeight="14.4" x14ac:dyDescent="0.3"/>
  <sheetData>
    <row r="1" spans="1:27" x14ac:dyDescent="0.3">
      <c r="A1" t="s">
        <v>15</v>
      </c>
      <c r="B1" t="s">
        <v>16</v>
      </c>
      <c r="W1" s="2">
        <f>MATCH(V3,V5:V1048576,0)-1</f>
        <v>66</v>
      </c>
    </row>
    <row r="2" spans="1:27" x14ac:dyDescent="0.3">
      <c r="A2">
        <v>25.8</v>
      </c>
      <c r="B2">
        <v>7.05</v>
      </c>
      <c r="V2" t="s">
        <v>17</v>
      </c>
      <c r="W2" t="s">
        <v>18</v>
      </c>
      <c r="Y2" t="s">
        <v>19</v>
      </c>
      <c r="Z2" s="3"/>
    </row>
    <row r="3" spans="1:27" x14ac:dyDescent="0.3">
      <c r="A3" t="s">
        <v>0</v>
      </c>
      <c r="B3" t="s">
        <v>1</v>
      </c>
      <c r="F3" t="s">
        <v>2</v>
      </c>
      <c r="J3" t="s">
        <v>3</v>
      </c>
      <c r="N3" t="s">
        <v>4</v>
      </c>
      <c r="R3" t="s">
        <v>5</v>
      </c>
      <c r="V3" s="4">
        <f>MAX(V5:V1048576)</f>
        <v>0.79121447028423775</v>
      </c>
      <c r="W3" s="5">
        <f>INDEX(W5:W1048576,MATCH(V3,V5:V1048576,0))</f>
        <v>9.2867499999999999E-3</v>
      </c>
      <c r="X3" s="6">
        <f>INDEX(X5:X1048576,MATCH(V3,V5:V1048576,0))</f>
        <v>9.56101E-3</v>
      </c>
      <c r="Y3" s="2">
        <f>INDEX(LINEST(V11:V45,AA11:AA45),1)</f>
        <v>180.36076300955679</v>
      </c>
      <c r="Z3" s="7"/>
    </row>
    <row r="4" spans="1:27" ht="15.6" x14ac:dyDescent="0.3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7</v>
      </c>
      <c r="G4" t="s">
        <v>8</v>
      </c>
      <c r="H4" t="s">
        <v>9</v>
      </c>
      <c r="I4" t="s">
        <v>10</v>
      </c>
      <c r="J4" t="s">
        <v>7</v>
      </c>
      <c r="K4" t="s">
        <v>8</v>
      </c>
      <c r="L4" t="s">
        <v>9</v>
      </c>
      <c r="M4" t="s">
        <v>10</v>
      </c>
      <c r="N4" t="s">
        <v>7</v>
      </c>
      <c r="O4" t="s">
        <v>8</v>
      </c>
      <c r="P4" t="s">
        <v>9</v>
      </c>
      <c r="Q4" t="s">
        <v>10</v>
      </c>
      <c r="R4" t="s">
        <v>11</v>
      </c>
      <c r="S4" t="s">
        <v>12</v>
      </c>
      <c r="T4" t="s">
        <v>13</v>
      </c>
      <c r="U4" t="s">
        <v>14</v>
      </c>
      <c r="V4" t="s">
        <v>20</v>
      </c>
      <c r="W4" t="s">
        <v>22</v>
      </c>
      <c r="X4" t="s">
        <v>23</v>
      </c>
      <c r="Y4" t="s">
        <v>24</v>
      </c>
      <c r="Z4" t="s">
        <v>25</v>
      </c>
      <c r="AA4" t="s">
        <v>21</v>
      </c>
    </row>
    <row r="5" spans="1:27" x14ac:dyDescent="0.3">
      <c r="A5">
        <v>0</v>
      </c>
      <c r="B5">
        <v>0</v>
      </c>
      <c r="C5">
        <v>0</v>
      </c>
      <c r="D5">
        <v>23.901</v>
      </c>
      <c r="E5">
        <v>23.901</v>
      </c>
      <c r="F5">
        <v>0</v>
      </c>
      <c r="G5">
        <v>0</v>
      </c>
      <c r="H5">
        <v>24.5946</v>
      </c>
      <c r="I5">
        <v>24.5946</v>
      </c>
      <c r="J5">
        <v>0</v>
      </c>
      <c r="K5">
        <v>0</v>
      </c>
      <c r="L5">
        <v>23.9664</v>
      </c>
      <c r="M5">
        <v>23.9664</v>
      </c>
      <c r="N5">
        <v>0</v>
      </c>
      <c r="O5">
        <v>0</v>
      </c>
      <c r="P5">
        <v>24.178999999999998</v>
      </c>
      <c r="Q5">
        <v>24.178999999999998</v>
      </c>
      <c r="R5">
        <v>3779.18</v>
      </c>
      <c r="S5">
        <v>3779.18</v>
      </c>
      <c r="T5">
        <v>-3.2500000000000001E-2</v>
      </c>
      <c r="U5">
        <v>-8.6250999999999998</v>
      </c>
      <c r="V5">
        <f t="shared" ref="V5:V36" si="0">U5/$A$2/$B$2</f>
        <v>-4.7419319368849307E-2</v>
      </c>
      <c r="W5">
        <f t="shared" ref="W5:W36" si="1">B5</f>
        <v>0</v>
      </c>
      <c r="X5">
        <f t="shared" ref="X5:X36" si="2">F5</f>
        <v>0</v>
      </c>
      <c r="Y5">
        <f t="shared" ref="Y5:Y36" si="3">J5</f>
        <v>0</v>
      </c>
      <c r="Z5">
        <f t="shared" ref="Z5:Z36" si="4">N5</f>
        <v>0</v>
      </c>
      <c r="AA5">
        <f>AVERAGE(W5:Z5)</f>
        <v>0</v>
      </c>
    </row>
    <row r="6" spans="1:27" x14ac:dyDescent="0.3">
      <c r="A6">
        <v>1</v>
      </c>
      <c r="B6" s="1">
        <v>-2.7143300000000001E-5</v>
      </c>
      <c r="C6">
        <v>-6.4875000000000002E-4</v>
      </c>
      <c r="D6">
        <v>23.900300000000001</v>
      </c>
      <c r="E6">
        <v>23.901</v>
      </c>
      <c r="F6" s="1">
        <v>-3.3518700000000001E-5</v>
      </c>
      <c r="G6">
        <v>-8.2437999999999999E-4</v>
      </c>
      <c r="H6">
        <v>24.593800000000002</v>
      </c>
      <c r="I6">
        <v>24.5946</v>
      </c>
      <c r="J6" s="1">
        <v>-2.2430899999999999E-5</v>
      </c>
      <c r="K6">
        <v>-5.3758600000000005E-4</v>
      </c>
      <c r="L6">
        <v>23.965800000000002</v>
      </c>
      <c r="M6">
        <v>23.9664</v>
      </c>
      <c r="N6" s="1">
        <v>-3.1501100000000002E-5</v>
      </c>
      <c r="O6">
        <v>-7.6166299999999999E-4</v>
      </c>
      <c r="P6">
        <v>24.1782</v>
      </c>
      <c r="Q6">
        <v>24.178999999999998</v>
      </c>
      <c r="R6">
        <v>3779.74</v>
      </c>
      <c r="S6">
        <v>3779.74</v>
      </c>
      <c r="T6">
        <v>-3.5700000000000003E-2</v>
      </c>
      <c r="U6">
        <v>-9.5943000000000005</v>
      </c>
      <c r="V6">
        <f t="shared" si="0"/>
        <v>-5.2747814613227771E-2</v>
      </c>
      <c r="W6">
        <f t="shared" si="1"/>
        <v>-2.7143300000000001E-5</v>
      </c>
      <c r="X6">
        <f t="shared" si="2"/>
        <v>-3.3518700000000001E-5</v>
      </c>
      <c r="Y6">
        <f t="shared" si="3"/>
        <v>-2.2430899999999999E-5</v>
      </c>
      <c r="Z6">
        <f t="shared" si="4"/>
        <v>-3.1501100000000002E-5</v>
      </c>
      <c r="AA6">
        <f t="shared" ref="AA6:AA69" si="5">AVERAGE(W6:Z6)</f>
        <v>-2.8648500000000002E-5</v>
      </c>
    </row>
    <row r="7" spans="1:27" x14ac:dyDescent="0.3">
      <c r="A7">
        <v>2</v>
      </c>
      <c r="B7" s="1">
        <v>-1.6087399999999999E-7</v>
      </c>
      <c r="C7" s="1">
        <v>-3.8450499999999997E-6</v>
      </c>
      <c r="D7">
        <v>23.9009</v>
      </c>
      <c r="E7">
        <v>23.901</v>
      </c>
      <c r="F7" s="1">
        <v>-2.6989300000000001E-6</v>
      </c>
      <c r="G7" s="1">
        <v>-6.6379199999999996E-5</v>
      </c>
      <c r="H7">
        <v>24.5946</v>
      </c>
      <c r="I7">
        <v>24.5946</v>
      </c>
      <c r="J7" s="1">
        <v>1.21931E-5</v>
      </c>
      <c r="K7">
        <v>2.92224E-4</v>
      </c>
      <c r="L7">
        <v>23.9666</v>
      </c>
      <c r="M7">
        <v>23.9664</v>
      </c>
      <c r="N7" s="1">
        <v>-1.31056E-5</v>
      </c>
      <c r="O7">
        <v>-3.16879E-4</v>
      </c>
      <c r="P7">
        <v>24.178699999999999</v>
      </c>
      <c r="Q7">
        <v>24.178999999999998</v>
      </c>
      <c r="R7">
        <v>3781.8</v>
      </c>
      <c r="S7">
        <v>3781.8</v>
      </c>
      <c r="T7">
        <v>-3.1899999999999998E-2</v>
      </c>
      <c r="U7">
        <v>-8.4313000000000002</v>
      </c>
      <c r="V7">
        <f t="shared" si="0"/>
        <v>-4.6353840233107922E-2</v>
      </c>
      <c r="W7">
        <f t="shared" si="1"/>
        <v>-1.6087399999999999E-7</v>
      </c>
      <c r="X7">
        <f t="shared" si="2"/>
        <v>-2.6989300000000001E-6</v>
      </c>
      <c r="Y7">
        <f t="shared" si="3"/>
        <v>1.21931E-5</v>
      </c>
      <c r="Z7">
        <f t="shared" si="4"/>
        <v>-1.31056E-5</v>
      </c>
      <c r="AA7">
        <f t="shared" si="5"/>
        <v>-9.430760000000001E-7</v>
      </c>
    </row>
    <row r="8" spans="1:27" x14ac:dyDescent="0.3">
      <c r="A8">
        <v>3</v>
      </c>
      <c r="B8">
        <v>1.1427200000000001E-4</v>
      </c>
      <c r="C8">
        <v>2.7312E-3</v>
      </c>
      <c r="D8">
        <v>23.903700000000001</v>
      </c>
      <c r="E8">
        <v>23.901</v>
      </c>
      <c r="F8">
        <v>1.09941E-4</v>
      </c>
      <c r="G8">
        <v>2.7039500000000001E-3</v>
      </c>
      <c r="H8">
        <v>24.5974</v>
      </c>
      <c r="I8">
        <v>24.5946</v>
      </c>
      <c r="J8">
        <v>1.10882E-4</v>
      </c>
      <c r="K8">
        <v>2.6574400000000001E-3</v>
      </c>
      <c r="L8">
        <v>23.969000000000001</v>
      </c>
      <c r="M8">
        <v>23.9664</v>
      </c>
      <c r="N8">
        <v>1.15587E-4</v>
      </c>
      <c r="O8">
        <v>2.7947699999999998E-3</v>
      </c>
      <c r="P8">
        <v>24.181799999999999</v>
      </c>
      <c r="Q8">
        <v>24.178999999999998</v>
      </c>
      <c r="R8">
        <v>3782.04</v>
      </c>
      <c r="S8">
        <v>3782.04</v>
      </c>
      <c r="T8">
        <v>-2.2499999999999999E-2</v>
      </c>
      <c r="U8">
        <v>-5.6208999999999998</v>
      </c>
      <c r="V8">
        <f t="shared" si="0"/>
        <v>-3.0902743416350541E-2</v>
      </c>
      <c r="W8">
        <f t="shared" si="1"/>
        <v>1.1427200000000001E-4</v>
      </c>
      <c r="X8">
        <f t="shared" si="2"/>
        <v>1.09941E-4</v>
      </c>
      <c r="Y8">
        <f t="shared" si="3"/>
        <v>1.10882E-4</v>
      </c>
      <c r="Z8">
        <f t="shared" si="4"/>
        <v>1.15587E-4</v>
      </c>
      <c r="AA8">
        <f t="shared" si="5"/>
        <v>1.126705E-4</v>
      </c>
    </row>
    <row r="9" spans="1:27" x14ac:dyDescent="0.3">
      <c r="A9">
        <v>4</v>
      </c>
      <c r="B9">
        <v>1.0928400000000001E-4</v>
      </c>
      <c r="C9">
        <v>2.6120000000000002E-3</v>
      </c>
      <c r="D9">
        <v>23.903600000000001</v>
      </c>
      <c r="E9">
        <v>23.901</v>
      </c>
      <c r="F9" s="1">
        <v>9.1708399999999998E-5</v>
      </c>
      <c r="G9">
        <v>2.2555399999999999E-3</v>
      </c>
      <c r="H9">
        <v>24.596900000000002</v>
      </c>
      <c r="I9">
        <v>24.5946</v>
      </c>
      <c r="J9" s="1">
        <v>8.7452000000000002E-5</v>
      </c>
      <c r="K9">
        <v>2.0959099999999999E-3</v>
      </c>
      <c r="L9">
        <v>23.968499999999999</v>
      </c>
      <c r="M9">
        <v>23.9664</v>
      </c>
      <c r="N9" s="1">
        <v>9.7572999999999996E-5</v>
      </c>
      <c r="O9">
        <v>2.35922E-3</v>
      </c>
      <c r="P9">
        <v>24.1813</v>
      </c>
      <c r="Q9">
        <v>24.178999999999998</v>
      </c>
      <c r="R9">
        <v>3782.29</v>
      </c>
      <c r="S9">
        <v>3782.29</v>
      </c>
      <c r="T9">
        <v>-1.4200000000000001E-2</v>
      </c>
      <c r="U9">
        <v>-3.1012</v>
      </c>
      <c r="V9">
        <f t="shared" si="0"/>
        <v>-1.7049865303205233E-2</v>
      </c>
      <c r="W9">
        <f t="shared" si="1"/>
        <v>1.0928400000000001E-4</v>
      </c>
      <c r="X9">
        <f t="shared" si="2"/>
        <v>9.1708399999999998E-5</v>
      </c>
      <c r="Y9">
        <f t="shared" si="3"/>
        <v>8.7452000000000002E-5</v>
      </c>
      <c r="Z9">
        <f t="shared" si="4"/>
        <v>9.7572999999999996E-5</v>
      </c>
      <c r="AA9">
        <f t="shared" si="5"/>
        <v>9.6504350000000007E-5</v>
      </c>
    </row>
    <row r="10" spans="1:27" x14ac:dyDescent="0.3">
      <c r="A10">
        <v>5</v>
      </c>
      <c r="B10">
        <v>1.7190799999999999E-4</v>
      </c>
      <c r="C10">
        <v>4.1087600000000004E-3</v>
      </c>
      <c r="D10">
        <v>23.905100000000001</v>
      </c>
      <c r="E10">
        <v>23.901</v>
      </c>
      <c r="F10">
        <v>1.7552799999999999E-4</v>
      </c>
      <c r="G10">
        <v>4.3170500000000002E-3</v>
      </c>
      <c r="H10">
        <v>24.599</v>
      </c>
      <c r="I10">
        <v>24.5946</v>
      </c>
      <c r="J10">
        <v>1.85861E-4</v>
      </c>
      <c r="K10">
        <v>4.4544199999999997E-3</v>
      </c>
      <c r="L10">
        <v>23.970800000000001</v>
      </c>
      <c r="M10">
        <v>23.9664</v>
      </c>
      <c r="N10">
        <v>1.6168500000000001E-4</v>
      </c>
      <c r="O10">
        <v>3.9093899999999996E-3</v>
      </c>
      <c r="P10">
        <v>24.1829</v>
      </c>
      <c r="Q10">
        <v>24.178999999999998</v>
      </c>
      <c r="R10">
        <v>3782.54</v>
      </c>
      <c r="S10">
        <v>3782.54</v>
      </c>
      <c r="T10">
        <v>-5.1000000000000004E-3</v>
      </c>
      <c r="U10">
        <v>-0.3876</v>
      </c>
      <c r="V10">
        <f t="shared" si="0"/>
        <v>-2.1309582714827643E-3</v>
      </c>
      <c r="W10">
        <f t="shared" si="1"/>
        <v>1.7190799999999999E-4</v>
      </c>
      <c r="X10">
        <f t="shared" si="2"/>
        <v>1.7552799999999999E-4</v>
      </c>
      <c r="Y10">
        <f t="shared" si="3"/>
        <v>1.85861E-4</v>
      </c>
      <c r="Z10">
        <f t="shared" si="4"/>
        <v>1.6168500000000001E-4</v>
      </c>
      <c r="AA10">
        <f t="shared" si="5"/>
        <v>1.7374550000000001E-4</v>
      </c>
    </row>
    <row r="11" spans="1:27" x14ac:dyDescent="0.3">
      <c r="A11">
        <v>6</v>
      </c>
      <c r="B11">
        <v>2.4837600000000002E-4</v>
      </c>
      <c r="C11">
        <v>5.9364300000000004E-3</v>
      </c>
      <c r="D11">
        <v>23.9069</v>
      </c>
      <c r="E11">
        <v>23.901</v>
      </c>
      <c r="F11">
        <v>2.5133499999999999E-4</v>
      </c>
      <c r="G11">
        <v>6.1815000000000004E-3</v>
      </c>
      <c r="H11">
        <v>24.6008</v>
      </c>
      <c r="I11">
        <v>24.5946</v>
      </c>
      <c r="J11">
        <v>2.6665599999999999E-4</v>
      </c>
      <c r="K11">
        <v>6.3907699999999996E-3</v>
      </c>
      <c r="L11">
        <v>23.9727</v>
      </c>
      <c r="M11">
        <v>23.9664</v>
      </c>
      <c r="N11">
        <v>2.2899699999999999E-4</v>
      </c>
      <c r="O11">
        <v>5.5369099999999999E-3</v>
      </c>
      <c r="P11">
        <v>24.1845</v>
      </c>
      <c r="Q11">
        <v>24.178999999999998</v>
      </c>
      <c r="R11">
        <v>3782.92</v>
      </c>
      <c r="S11">
        <v>3782.92</v>
      </c>
      <c r="T11">
        <v>9.1000000000000004E-3</v>
      </c>
      <c r="U11">
        <v>3.8765000000000001</v>
      </c>
      <c r="V11">
        <f t="shared" si="0"/>
        <v>2.1312331629006542E-2</v>
      </c>
      <c r="W11">
        <f t="shared" si="1"/>
        <v>2.4837600000000002E-4</v>
      </c>
      <c r="X11">
        <f t="shared" si="2"/>
        <v>2.5133499999999999E-4</v>
      </c>
      <c r="Y11">
        <f t="shared" si="3"/>
        <v>2.6665599999999999E-4</v>
      </c>
      <c r="Z11">
        <f t="shared" si="4"/>
        <v>2.2899699999999999E-4</v>
      </c>
      <c r="AA11">
        <f t="shared" si="5"/>
        <v>2.4884099999999997E-4</v>
      </c>
    </row>
    <row r="12" spans="1:27" x14ac:dyDescent="0.3">
      <c r="A12">
        <v>7</v>
      </c>
      <c r="B12">
        <v>2.8467999999999999E-4</v>
      </c>
      <c r="C12">
        <v>6.8041300000000002E-3</v>
      </c>
      <c r="D12">
        <v>23.907800000000002</v>
      </c>
      <c r="E12">
        <v>23.901</v>
      </c>
      <c r="F12">
        <v>2.92341E-4</v>
      </c>
      <c r="G12">
        <v>7.19003E-3</v>
      </c>
      <c r="H12">
        <v>24.601800000000001</v>
      </c>
      <c r="I12">
        <v>24.5946</v>
      </c>
      <c r="J12">
        <v>3.0536300000000001E-4</v>
      </c>
      <c r="K12">
        <v>7.3184399999999998E-3</v>
      </c>
      <c r="L12">
        <v>23.973700000000001</v>
      </c>
      <c r="M12">
        <v>23.9664</v>
      </c>
      <c r="N12">
        <v>2.5768699999999999E-4</v>
      </c>
      <c r="O12">
        <v>6.2306000000000002E-3</v>
      </c>
      <c r="P12">
        <v>24.185199999999998</v>
      </c>
      <c r="Q12">
        <v>24.178999999999998</v>
      </c>
      <c r="R12">
        <v>3783.17</v>
      </c>
      <c r="S12">
        <v>3783.17</v>
      </c>
      <c r="T12">
        <v>1.3899999999999999E-2</v>
      </c>
      <c r="U12">
        <v>5.3300999999999998</v>
      </c>
      <c r="V12">
        <f t="shared" si="0"/>
        <v>2.9303974929902686E-2</v>
      </c>
      <c r="W12">
        <f t="shared" si="1"/>
        <v>2.8467999999999999E-4</v>
      </c>
      <c r="X12">
        <f t="shared" si="2"/>
        <v>2.92341E-4</v>
      </c>
      <c r="Y12">
        <f t="shared" si="3"/>
        <v>3.0536300000000001E-4</v>
      </c>
      <c r="Z12">
        <f t="shared" si="4"/>
        <v>2.5768699999999999E-4</v>
      </c>
      <c r="AA12">
        <f t="shared" si="5"/>
        <v>2.8501775000000002E-4</v>
      </c>
    </row>
    <row r="13" spans="1:27" x14ac:dyDescent="0.3">
      <c r="A13">
        <v>8</v>
      </c>
      <c r="B13">
        <v>3.6643500000000002E-4</v>
      </c>
      <c r="C13">
        <v>8.7581499999999993E-3</v>
      </c>
      <c r="D13">
        <v>23.909700000000001</v>
      </c>
      <c r="E13">
        <v>23.901</v>
      </c>
      <c r="F13">
        <v>3.69852E-4</v>
      </c>
      <c r="G13">
        <v>9.0963699999999995E-3</v>
      </c>
      <c r="H13">
        <v>24.6037</v>
      </c>
      <c r="I13">
        <v>24.5946</v>
      </c>
      <c r="J13">
        <v>3.8696500000000002E-4</v>
      </c>
      <c r="K13">
        <v>9.2741400000000002E-3</v>
      </c>
      <c r="L13">
        <v>23.9756</v>
      </c>
      <c r="M13">
        <v>23.9664</v>
      </c>
      <c r="N13">
        <v>3.4257299999999999E-4</v>
      </c>
      <c r="O13">
        <v>8.2830600000000001E-3</v>
      </c>
      <c r="P13">
        <v>24.1873</v>
      </c>
      <c r="Q13">
        <v>24.178999999999998</v>
      </c>
      <c r="R13">
        <v>3783.54</v>
      </c>
      <c r="S13">
        <v>3783.54</v>
      </c>
      <c r="T13">
        <v>2.9700000000000001E-2</v>
      </c>
      <c r="U13">
        <v>10.078799999999999</v>
      </c>
      <c r="V13">
        <f t="shared" si="0"/>
        <v>5.5411512452581226E-2</v>
      </c>
      <c r="W13">
        <f t="shared" si="1"/>
        <v>3.6643500000000002E-4</v>
      </c>
      <c r="X13">
        <f t="shared" si="2"/>
        <v>3.69852E-4</v>
      </c>
      <c r="Y13">
        <f t="shared" si="3"/>
        <v>3.8696500000000002E-4</v>
      </c>
      <c r="Z13">
        <f t="shared" si="4"/>
        <v>3.4257299999999999E-4</v>
      </c>
      <c r="AA13">
        <f t="shared" si="5"/>
        <v>3.6645625000000001E-4</v>
      </c>
    </row>
    <row r="14" spans="1:27" x14ac:dyDescent="0.3">
      <c r="A14">
        <v>9</v>
      </c>
      <c r="B14">
        <v>3.9239199999999998E-4</v>
      </c>
      <c r="C14">
        <v>9.3785299999999995E-3</v>
      </c>
      <c r="D14">
        <v>23.910299999999999</v>
      </c>
      <c r="E14">
        <v>23.901</v>
      </c>
      <c r="F14">
        <v>4.2787800000000003E-4</v>
      </c>
      <c r="G14">
        <v>1.05235E-2</v>
      </c>
      <c r="H14">
        <v>24.6052</v>
      </c>
      <c r="I14">
        <v>24.5946</v>
      </c>
      <c r="J14">
        <v>4.5991400000000002E-4</v>
      </c>
      <c r="K14">
        <v>1.1022499999999999E-2</v>
      </c>
      <c r="L14">
        <v>23.977399999999999</v>
      </c>
      <c r="M14">
        <v>23.9664</v>
      </c>
      <c r="N14">
        <v>3.6404100000000001E-4</v>
      </c>
      <c r="O14">
        <v>8.80214E-3</v>
      </c>
      <c r="P14">
        <v>24.187799999999999</v>
      </c>
      <c r="Q14">
        <v>24.178999999999998</v>
      </c>
      <c r="R14">
        <v>3783.79</v>
      </c>
      <c r="S14">
        <v>3783.79</v>
      </c>
      <c r="T14">
        <v>3.5200000000000002E-2</v>
      </c>
      <c r="U14">
        <v>11.7263</v>
      </c>
      <c r="V14">
        <f t="shared" si="0"/>
        <v>6.4469184672054536E-2</v>
      </c>
      <c r="W14">
        <f t="shared" si="1"/>
        <v>3.9239199999999998E-4</v>
      </c>
      <c r="X14">
        <f t="shared" si="2"/>
        <v>4.2787800000000003E-4</v>
      </c>
      <c r="Y14">
        <f t="shared" si="3"/>
        <v>4.5991400000000002E-4</v>
      </c>
      <c r="Z14">
        <f t="shared" si="4"/>
        <v>3.6404100000000001E-4</v>
      </c>
      <c r="AA14">
        <f t="shared" si="5"/>
        <v>4.1105625000000001E-4</v>
      </c>
    </row>
    <row r="15" spans="1:27" x14ac:dyDescent="0.3">
      <c r="A15">
        <v>10</v>
      </c>
      <c r="B15">
        <v>4.3174799999999997E-4</v>
      </c>
      <c r="C15">
        <v>1.0319200000000001E-2</v>
      </c>
      <c r="D15">
        <v>23.911300000000001</v>
      </c>
      <c r="E15">
        <v>23.901</v>
      </c>
      <c r="F15">
        <v>4.4806799999999998E-4</v>
      </c>
      <c r="G15">
        <v>1.10201E-2</v>
      </c>
      <c r="H15">
        <v>24.605699999999999</v>
      </c>
      <c r="I15">
        <v>24.5946</v>
      </c>
      <c r="J15">
        <v>4.6847600000000001E-4</v>
      </c>
      <c r="K15">
        <v>1.12277E-2</v>
      </c>
      <c r="L15">
        <v>23.977599999999999</v>
      </c>
      <c r="M15">
        <v>23.9664</v>
      </c>
      <c r="N15">
        <v>4.0878900000000001E-4</v>
      </c>
      <c r="O15">
        <v>9.8841099999999998E-3</v>
      </c>
      <c r="P15">
        <v>24.1889</v>
      </c>
      <c r="Q15">
        <v>24.178999999999998</v>
      </c>
      <c r="R15">
        <v>3784.04</v>
      </c>
      <c r="S15">
        <v>3784.04</v>
      </c>
      <c r="T15">
        <v>4.1000000000000002E-2</v>
      </c>
      <c r="U15">
        <v>13.470700000000001</v>
      </c>
      <c r="V15">
        <f t="shared" si="0"/>
        <v>7.4059596459398552E-2</v>
      </c>
      <c r="W15">
        <f t="shared" si="1"/>
        <v>4.3174799999999997E-4</v>
      </c>
      <c r="X15">
        <f t="shared" si="2"/>
        <v>4.4806799999999998E-4</v>
      </c>
      <c r="Y15">
        <f t="shared" si="3"/>
        <v>4.6847600000000001E-4</v>
      </c>
      <c r="Z15">
        <f t="shared" si="4"/>
        <v>4.0878900000000001E-4</v>
      </c>
      <c r="AA15">
        <f t="shared" si="5"/>
        <v>4.3927025000000005E-4</v>
      </c>
    </row>
    <row r="16" spans="1:27" x14ac:dyDescent="0.3">
      <c r="A16">
        <v>11</v>
      </c>
      <c r="B16">
        <v>5.4588200000000003E-4</v>
      </c>
      <c r="C16">
        <v>1.3047100000000001E-2</v>
      </c>
      <c r="D16">
        <v>23.914000000000001</v>
      </c>
      <c r="E16">
        <v>23.901</v>
      </c>
      <c r="F16">
        <v>5.7217699999999999E-4</v>
      </c>
      <c r="G16">
        <v>1.40725E-2</v>
      </c>
      <c r="H16">
        <v>24.608699999999999</v>
      </c>
      <c r="I16">
        <v>24.5946</v>
      </c>
      <c r="J16">
        <v>5.9094200000000001E-4</v>
      </c>
      <c r="K16">
        <v>1.41627E-2</v>
      </c>
      <c r="L16">
        <v>23.980499999999999</v>
      </c>
      <c r="M16">
        <v>23.9664</v>
      </c>
      <c r="N16">
        <v>5.2738299999999998E-4</v>
      </c>
      <c r="O16">
        <v>1.27516E-2</v>
      </c>
      <c r="P16">
        <v>24.191700000000001</v>
      </c>
      <c r="Q16">
        <v>24.178999999999998</v>
      </c>
      <c r="R16">
        <v>3784.54</v>
      </c>
      <c r="S16">
        <v>3784.54</v>
      </c>
      <c r="T16">
        <v>5.6099999999999997E-2</v>
      </c>
      <c r="U16">
        <v>18.025600000000001</v>
      </c>
      <c r="V16">
        <f t="shared" si="0"/>
        <v>9.9101654846335693E-2</v>
      </c>
      <c r="W16">
        <f t="shared" si="1"/>
        <v>5.4588200000000003E-4</v>
      </c>
      <c r="X16">
        <f t="shared" si="2"/>
        <v>5.7217699999999999E-4</v>
      </c>
      <c r="Y16">
        <f t="shared" si="3"/>
        <v>5.9094200000000001E-4</v>
      </c>
      <c r="Z16">
        <f t="shared" si="4"/>
        <v>5.2738299999999998E-4</v>
      </c>
      <c r="AA16">
        <f t="shared" si="5"/>
        <v>5.5909600000000003E-4</v>
      </c>
    </row>
    <row r="17" spans="1:27" x14ac:dyDescent="0.3">
      <c r="A17">
        <v>12</v>
      </c>
      <c r="B17">
        <v>5.7183699999999995E-4</v>
      </c>
      <c r="C17">
        <v>1.36674E-2</v>
      </c>
      <c r="D17">
        <v>23.9146</v>
      </c>
      <c r="E17">
        <v>23.901</v>
      </c>
      <c r="F17">
        <v>5.8365200000000004E-4</v>
      </c>
      <c r="G17">
        <v>1.43547E-2</v>
      </c>
      <c r="H17">
        <v>24.609000000000002</v>
      </c>
      <c r="I17">
        <v>24.5946</v>
      </c>
      <c r="J17">
        <v>6.1129700000000001E-4</v>
      </c>
      <c r="K17">
        <v>1.46506E-2</v>
      </c>
      <c r="L17">
        <v>23.981000000000002</v>
      </c>
      <c r="M17">
        <v>23.9664</v>
      </c>
      <c r="N17">
        <v>5.4082299999999995E-4</v>
      </c>
      <c r="O17">
        <v>1.30765E-2</v>
      </c>
      <c r="P17">
        <v>24.1921</v>
      </c>
      <c r="Q17">
        <v>24.178999999999998</v>
      </c>
      <c r="R17">
        <v>3784.79</v>
      </c>
      <c r="S17">
        <v>3784.79</v>
      </c>
      <c r="T17">
        <v>6.5799999999999997E-2</v>
      </c>
      <c r="U17">
        <v>20.9329</v>
      </c>
      <c r="V17">
        <f t="shared" si="0"/>
        <v>0.11508549123096377</v>
      </c>
      <c r="W17">
        <f t="shared" si="1"/>
        <v>5.7183699999999995E-4</v>
      </c>
      <c r="X17">
        <f t="shared" si="2"/>
        <v>5.8365200000000004E-4</v>
      </c>
      <c r="Y17">
        <f t="shared" si="3"/>
        <v>6.1129700000000001E-4</v>
      </c>
      <c r="Z17">
        <f t="shared" si="4"/>
        <v>5.4082299999999995E-4</v>
      </c>
      <c r="AA17">
        <f t="shared" si="5"/>
        <v>5.7690224999999999E-4</v>
      </c>
    </row>
    <row r="18" spans="1:27" x14ac:dyDescent="0.3">
      <c r="A18">
        <v>13</v>
      </c>
      <c r="B18">
        <v>6.62624E-4</v>
      </c>
      <c r="C18">
        <v>1.5837400000000001E-2</v>
      </c>
      <c r="D18">
        <v>23.916799999999999</v>
      </c>
      <c r="E18">
        <v>23.901</v>
      </c>
      <c r="F18">
        <v>6.6584999999999995E-4</v>
      </c>
      <c r="G18">
        <v>1.63763E-2</v>
      </c>
      <c r="H18">
        <v>24.611000000000001</v>
      </c>
      <c r="I18">
        <v>24.5946</v>
      </c>
      <c r="J18">
        <v>6.7632100000000002E-4</v>
      </c>
      <c r="K18">
        <v>1.6208899999999998E-2</v>
      </c>
      <c r="L18">
        <v>23.982600000000001</v>
      </c>
      <c r="M18">
        <v>23.9664</v>
      </c>
      <c r="N18">
        <v>6.5797200000000005E-4</v>
      </c>
      <c r="O18">
        <v>1.5909099999999999E-2</v>
      </c>
      <c r="P18">
        <v>24.194900000000001</v>
      </c>
      <c r="Q18">
        <v>24.178999999999998</v>
      </c>
      <c r="R18">
        <v>3785.16</v>
      </c>
      <c r="S18">
        <v>3785.17</v>
      </c>
      <c r="T18">
        <v>8.5800000000000001E-2</v>
      </c>
      <c r="U18">
        <v>26.941500000000001</v>
      </c>
      <c r="V18">
        <f t="shared" si="0"/>
        <v>0.14811974270163286</v>
      </c>
      <c r="W18">
        <f t="shared" si="1"/>
        <v>6.62624E-4</v>
      </c>
      <c r="X18">
        <f t="shared" si="2"/>
        <v>6.6584999999999995E-4</v>
      </c>
      <c r="Y18">
        <f t="shared" si="3"/>
        <v>6.7632100000000002E-4</v>
      </c>
      <c r="Z18">
        <f t="shared" si="4"/>
        <v>6.5797200000000005E-4</v>
      </c>
      <c r="AA18">
        <f t="shared" si="5"/>
        <v>6.6569175000000009E-4</v>
      </c>
    </row>
    <row r="19" spans="1:27" x14ac:dyDescent="0.3">
      <c r="A19">
        <v>14</v>
      </c>
      <c r="B19">
        <v>7.7113099999999999E-4</v>
      </c>
      <c r="C19">
        <v>1.8430800000000001E-2</v>
      </c>
      <c r="D19">
        <v>23.9194</v>
      </c>
      <c r="E19">
        <v>23.901</v>
      </c>
      <c r="F19">
        <v>7.8674500000000004E-4</v>
      </c>
      <c r="G19">
        <v>1.9349700000000001E-2</v>
      </c>
      <c r="H19">
        <v>24.614000000000001</v>
      </c>
      <c r="I19">
        <v>24.5946</v>
      </c>
      <c r="J19">
        <v>8.1096399999999996E-4</v>
      </c>
      <c r="K19">
        <v>1.94358E-2</v>
      </c>
      <c r="L19">
        <v>23.985800000000001</v>
      </c>
      <c r="M19">
        <v>23.9664</v>
      </c>
      <c r="N19">
        <v>7.5735500000000003E-4</v>
      </c>
      <c r="O19">
        <v>1.8312100000000001E-2</v>
      </c>
      <c r="P19">
        <v>24.197299999999998</v>
      </c>
      <c r="Q19">
        <v>24.178999999999998</v>
      </c>
      <c r="R19">
        <v>3785.6</v>
      </c>
      <c r="S19">
        <v>3785.6</v>
      </c>
      <c r="T19">
        <v>8.9899999999999994E-2</v>
      </c>
      <c r="U19">
        <v>28.2013</v>
      </c>
      <c r="V19">
        <f t="shared" si="0"/>
        <v>0.15504590686678763</v>
      </c>
      <c r="W19">
        <f t="shared" si="1"/>
        <v>7.7113099999999999E-4</v>
      </c>
      <c r="X19">
        <f t="shared" si="2"/>
        <v>7.8674500000000004E-4</v>
      </c>
      <c r="Y19">
        <f t="shared" si="3"/>
        <v>8.1096399999999996E-4</v>
      </c>
      <c r="Z19">
        <f t="shared" si="4"/>
        <v>7.5735500000000003E-4</v>
      </c>
      <c r="AA19">
        <f t="shared" si="5"/>
        <v>7.8154875E-4</v>
      </c>
    </row>
    <row r="20" spans="1:27" x14ac:dyDescent="0.3">
      <c r="A20">
        <v>15</v>
      </c>
      <c r="B20">
        <v>8.5667899999999995E-4</v>
      </c>
      <c r="C20">
        <v>2.0475400000000001E-2</v>
      </c>
      <c r="D20">
        <v>23.921399999999998</v>
      </c>
      <c r="E20">
        <v>23.901</v>
      </c>
      <c r="F20">
        <v>8.6353700000000005E-4</v>
      </c>
      <c r="G20">
        <v>2.1238400000000001E-2</v>
      </c>
      <c r="H20">
        <v>24.6159</v>
      </c>
      <c r="I20">
        <v>24.5946</v>
      </c>
      <c r="J20">
        <v>8.7930699999999996E-4</v>
      </c>
      <c r="K20">
        <v>2.10738E-2</v>
      </c>
      <c r="L20">
        <v>23.987400000000001</v>
      </c>
      <c r="M20">
        <v>23.9664</v>
      </c>
      <c r="N20">
        <v>8.2386600000000003E-4</v>
      </c>
      <c r="O20">
        <v>1.9920199999999999E-2</v>
      </c>
      <c r="P20">
        <v>24.198899999999998</v>
      </c>
      <c r="Q20">
        <v>24.178999999999998</v>
      </c>
      <c r="R20">
        <v>3785.91</v>
      </c>
      <c r="S20">
        <v>3785.91</v>
      </c>
      <c r="T20">
        <v>9.7000000000000003E-2</v>
      </c>
      <c r="U20">
        <v>30.333400000000001</v>
      </c>
      <c r="V20">
        <f t="shared" si="0"/>
        <v>0.16676782670845017</v>
      </c>
      <c r="W20">
        <f t="shared" si="1"/>
        <v>8.5667899999999995E-4</v>
      </c>
      <c r="X20">
        <f t="shared" si="2"/>
        <v>8.6353700000000005E-4</v>
      </c>
      <c r="Y20">
        <f t="shared" si="3"/>
        <v>8.7930699999999996E-4</v>
      </c>
      <c r="Z20">
        <f t="shared" si="4"/>
        <v>8.2386600000000003E-4</v>
      </c>
      <c r="AA20">
        <f t="shared" si="5"/>
        <v>8.5584725000000005E-4</v>
      </c>
    </row>
    <row r="21" spans="1:27" x14ac:dyDescent="0.3">
      <c r="A21">
        <v>16</v>
      </c>
      <c r="B21">
        <v>8.8909600000000003E-4</v>
      </c>
      <c r="C21">
        <v>2.12502E-2</v>
      </c>
      <c r="D21">
        <v>23.9222</v>
      </c>
      <c r="E21">
        <v>23.901</v>
      </c>
      <c r="F21">
        <v>9.0667199999999997E-4</v>
      </c>
      <c r="G21">
        <v>2.2299300000000001E-2</v>
      </c>
      <c r="H21">
        <v>24.616900000000001</v>
      </c>
      <c r="I21">
        <v>24.5946</v>
      </c>
      <c r="J21">
        <v>9.0334900000000001E-4</v>
      </c>
      <c r="K21">
        <v>2.1649999999999999E-2</v>
      </c>
      <c r="L21">
        <v>23.988</v>
      </c>
      <c r="M21">
        <v>23.9664</v>
      </c>
      <c r="N21">
        <v>8.70654E-4</v>
      </c>
      <c r="O21">
        <v>2.1051500000000001E-2</v>
      </c>
      <c r="P21">
        <v>24.2</v>
      </c>
      <c r="Q21">
        <v>24.178999999999998</v>
      </c>
      <c r="R21">
        <v>3786.29</v>
      </c>
      <c r="S21">
        <v>3786.29</v>
      </c>
      <c r="T21">
        <v>0.1041</v>
      </c>
      <c r="U21">
        <v>32.465400000000002</v>
      </c>
      <c r="V21">
        <f t="shared" si="0"/>
        <v>0.17848919676727693</v>
      </c>
      <c r="W21">
        <f t="shared" si="1"/>
        <v>8.8909600000000003E-4</v>
      </c>
      <c r="X21">
        <f t="shared" si="2"/>
        <v>9.0667199999999997E-4</v>
      </c>
      <c r="Y21">
        <f t="shared" si="3"/>
        <v>9.0334900000000001E-4</v>
      </c>
      <c r="Z21">
        <f t="shared" si="4"/>
        <v>8.70654E-4</v>
      </c>
      <c r="AA21">
        <f t="shared" si="5"/>
        <v>8.9244275000000006E-4</v>
      </c>
    </row>
    <row r="22" spans="1:27" x14ac:dyDescent="0.3">
      <c r="A22">
        <v>17</v>
      </c>
      <c r="B22">
        <v>9.6624500000000002E-4</v>
      </c>
      <c r="C22">
        <v>2.3094199999999999E-2</v>
      </c>
      <c r="D22">
        <v>23.923999999999999</v>
      </c>
      <c r="E22">
        <v>23.901</v>
      </c>
      <c r="F22">
        <v>9.8279899999999991E-4</v>
      </c>
      <c r="G22">
        <v>2.4171600000000001E-2</v>
      </c>
      <c r="H22">
        <v>24.6188</v>
      </c>
      <c r="I22">
        <v>24.5946</v>
      </c>
      <c r="J22">
        <v>9.8485700000000001E-4</v>
      </c>
      <c r="K22">
        <v>2.36034E-2</v>
      </c>
      <c r="L22">
        <v>23.99</v>
      </c>
      <c r="M22">
        <v>23.9664</v>
      </c>
      <c r="N22">
        <v>9.41923E-4</v>
      </c>
      <c r="O22">
        <v>2.2774699999999998E-2</v>
      </c>
      <c r="P22">
        <v>24.201799999999999</v>
      </c>
      <c r="Q22">
        <v>24.178999999999998</v>
      </c>
      <c r="R22">
        <v>3786.72</v>
      </c>
      <c r="S22">
        <v>3786.72</v>
      </c>
      <c r="T22">
        <v>0.11609999999999999</v>
      </c>
      <c r="U22">
        <v>36.051200000000001</v>
      </c>
      <c r="V22">
        <f t="shared" si="0"/>
        <v>0.19820330969267139</v>
      </c>
      <c r="W22">
        <f t="shared" si="1"/>
        <v>9.6624500000000002E-4</v>
      </c>
      <c r="X22">
        <f t="shared" si="2"/>
        <v>9.8279899999999991E-4</v>
      </c>
      <c r="Y22">
        <f t="shared" si="3"/>
        <v>9.8485700000000001E-4</v>
      </c>
      <c r="Z22">
        <f t="shared" si="4"/>
        <v>9.41923E-4</v>
      </c>
      <c r="AA22">
        <f t="shared" si="5"/>
        <v>9.6895599999999998E-4</v>
      </c>
    </row>
    <row r="23" spans="1:27" x14ac:dyDescent="0.3">
      <c r="A23">
        <v>18</v>
      </c>
      <c r="B23">
        <v>1.06521E-3</v>
      </c>
      <c r="C23">
        <v>2.5459499999999999E-2</v>
      </c>
      <c r="D23">
        <v>23.926400000000001</v>
      </c>
      <c r="E23">
        <v>23.901</v>
      </c>
      <c r="F23">
        <v>1.08544E-3</v>
      </c>
      <c r="G23">
        <v>2.6696000000000001E-2</v>
      </c>
      <c r="H23">
        <v>24.621300000000002</v>
      </c>
      <c r="I23">
        <v>24.5946</v>
      </c>
      <c r="J23">
        <v>1.0877E-3</v>
      </c>
      <c r="K23">
        <v>2.6068299999999999E-2</v>
      </c>
      <c r="L23">
        <v>23.9924</v>
      </c>
      <c r="M23">
        <v>23.9664</v>
      </c>
      <c r="N23">
        <v>1.03224E-3</v>
      </c>
      <c r="O23">
        <v>2.4958500000000002E-2</v>
      </c>
      <c r="P23">
        <v>24.203900000000001</v>
      </c>
      <c r="Q23">
        <v>24.178999999999998</v>
      </c>
      <c r="R23">
        <v>3787.28</v>
      </c>
      <c r="S23">
        <v>3787.28</v>
      </c>
      <c r="T23">
        <v>0.127</v>
      </c>
      <c r="U23">
        <v>39.346200000000003</v>
      </c>
      <c r="V23">
        <f t="shared" si="0"/>
        <v>0.21631865413161802</v>
      </c>
      <c r="W23">
        <f t="shared" si="1"/>
        <v>1.06521E-3</v>
      </c>
      <c r="X23">
        <f t="shared" si="2"/>
        <v>1.08544E-3</v>
      </c>
      <c r="Y23">
        <f t="shared" si="3"/>
        <v>1.0877E-3</v>
      </c>
      <c r="Z23">
        <f t="shared" si="4"/>
        <v>1.03224E-3</v>
      </c>
      <c r="AA23">
        <f t="shared" si="5"/>
        <v>1.0676475000000001E-3</v>
      </c>
    </row>
    <row r="24" spans="1:27" x14ac:dyDescent="0.3">
      <c r="A24">
        <v>19</v>
      </c>
      <c r="B24">
        <v>1.1253299999999999E-3</v>
      </c>
      <c r="C24">
        <v>2.68965E-2</v>
      </c>
      <c r="D24">
        <v>23.927900000000001</v>
      </c>
      <c r="E24">
        <v>23.901</v>
      </c>
      <c r="F24">
        <v>1.1618500000000001E-3</v>
      </c>
      <c r="G24">
        <v>2.8575300000000001E-2</v>
      </c>
      <c r="H24">
        <v>24.623200000000001</v>
      </c>
      <c r="I24">
        <v>24.5946</v>
      </c>
      <c r="J24">
        <v>1.1524199999999999E-3</v>
      </c>
      <c r="K24">
        <v>2.76192E-2</v>
      </c>
      <c r="L24">
        <v>23.994</v>
      </c>
      <c r="M24">
        <v>23.9664</v>
      </c>
      <c r="N24">
        <v>1.0893700000000001E-3</v>
      </c>
      <c r="O24">
        <v>2.63398E-2</v>
      </c>
      <c r="P24">
        <v>24.205300000000001</v>
      </c>
      <c r="Q24">
        <v>24.178999999999998</v>
      </c>
      <c r="R24">
        <v>3787.6</v>
      </c>
      <c r="S24">
        <v>3787.6</v>
      </c>
      <c r="T24">
        <v>0.13669999999999999</v>
      </c>
      <c r="U24">
        <v>42.253500000000003</v>
      </c>
      <c r="V24">
        <f t="shared" si="0"/>
        <v>0.2323024905162461</v>
      </c>
      <c r="W24">
        <f t="shared" si="1"/>
        <v>1.1253299999999999E-3</v>
      </c>
      <c r="X24">
        <f t="shared" si="2"/>
        <v>1.1618500000000001E-3</v>
      </c>
      <c r="Y24">
        <f t="shared" si="3"/>
        <v>1.1524199999999999E-3</v>
      </c>
      <c r="Z24">
        <f t="shared" si="4"/>
        <v>1.0893700000000001E-3</v>
      </c>
      <c r="AA24">
        <f t="shared" si="5"/>
        <v>1.1322425000000001E-3</v>
      </c>
    </row>
    <row r="25" spans="1:27" x14ac:dyDescent="0.3">
      <c r="A25">
        <v>20</v>
      </c>
      <c r="B25">
        <v>1.2152199999999999E-3</v>
      </c>
      <c r="C25">
        <v>2.9044899999999998E-2</v>
      </c>
      <c r="D25">
        <v>23.93</v>
      </c>
      <c r="E25">
        <v>23.901</v>
      </c>
      <c r="F25">
        <v>1.2215800000000001E-3</v>
      </c>
      <c r="G25">
        <v>3.0044399999999999E-2</v>
      </c>
      <c r="H25">
        <v>24.624700000000001</v>
      </c>
      <c r="I25">
        <v>24.5946</v>
      </c>
      <c r="J25">
        <v>1.21083E-3</v>
      </c>
      <c r="K25">
        <v>2.9019099999999999E-2</v>
      </c>
      <c r="L25">
        <v>23.9954</v>
      </c>
      <c r="M25">
        <v>23.9664</v>
      </c>
      <c r="N25">
        <v>1.18407E-3</v>
      </c>
      <c r="O25">
        <v>2.8629600000000002E-2</v>
      </c>
      <c r="P25">
        <v>24.207599999999999</v>
      </c>
      <c r="Q25">
        <v>24.178999999999998</v>
      </c>
      <c r="R25">
        <v>3787.91</v>
      </c>
      <c r="S25">
        <v>3787.91</v>
      </c>
      <c r="T25">
        <v>0.14630000000000001</v>
      </c>
      <c r="U25">
        <v>45.160899999999998</v>
      </c>
      <c r="V25">
        <f t="shared" si="0"/>
        <v>0.24828687668370991</v>
      </c>
      <c r="W25">
        <f t="shared" si="1"/>
        <v>1.2152199999999999E-3</v>
      </c>
      <c r="X25">
        <f t="shared" si="2"/>
        <v>1.2215800000000001E-3</v>
      </c>
      <c r="Y25">
        <f t="shared" si="3"/>
        <v>1.21083E-3</v>
      </c>
      <c r="Z25">
        <f t="shared" si="4"/>
        <v>1.18407E-3</v>
      </c>
      <c r="AA25">
        <f t="shared" si="5"/>
        <v>1.2079250000000001E-3</v>
      </c>
    </row>
    <row r="26" spans="1:27" x14ac:dyDescent="0.3">
      <c r="A26">
        <v>21</v>
      </c>
      <c r="B26">
        <v>1.29721E-3</v>
      </c>
      <c r="C26">
        <v>3.1004500000000001E-2</v>
      </c>
      <c r="D26">
        <v>23.931999999999999</v>
      </c>
      <c r="E26">
        <v>23.901</v>
      </c>
      <c r="F26">
        <v>1.33208E-3</v>
      </c>
      <c r="G26">
        <v>3.2761999999999999E-2</v>
      </c>
      <c r="H26">
        <v>24.627400000000002</v>
      </c>
      <c r="I26">
        <v>24.5946</v>
      </c>
      <c r="J26">
        <v>1.3096399999999999E-3</v>
      </c>
      <c r="K26">
        <v>3.13873E-2</v>
      </c>
      <c r="L26">
        <v>23.997699999999998</v>
      </c>
      <c r="M26">
        <v>23.9664</v>
      </c>
      <c r="N26">
        <v>1.27268E-3</v>
      </c>
      <c r="O26">
        <v>3.07722E-2</v>
      </c>
      <c r="P26">
        <v>24.209700000000002</v>
      </c>
      <c r="Q26">
        <v>24.178999999999998</v>
      </c>
      <c r="R26">
        <v>3788.35</v>
      </c>
      <c r="S26">
        <v>3788.35</v>
      </c>
      <c r="T26">
        <v>0.157</v>
      </c>
      <c r="U26">
        <v>48.358899999999998</v>
      </c>
      <c r="V26">
        <f t="shared" si="0"/>
        <v>0.26586893177195009</v>
      </c>
      <c r="W26">
        <f t="shared" si="1"/>
        <v>1.29721E-3</v>
      </c>
      <c r="X26">
        <f t="shared" si="2"/>
        <v>1.33208E-3</v>
      </c>
      <c r="Y26">
        <f t="shared" si="3"/>
        <v>1.3096399999999999E-3</v>
      </c>
      <c r="Z26">
        <f t="shared" si="4"/>
        <v>1.27268E-3</v>
      </c>
      <c r="AA26">
        <f t="shared" si="5"/>
        <v>1.3029025000000001E-3</v>
      </c>
    </row>
    <row r="27" spans="1:27" x14ac:dyDescent="0.3">
      <c r="A27">
        <v>22</v>
      </c>
      <c r="B27">
        <v>1.37138E-3</v>
      </c>
      <c r="C27">
        <v>3.2777199999999999E-2</v>
      </c>
      <c r="D27">
        <v>23.933700000000002</v>
      </c>
      <c r="E27">
        <v>23.901</v>
      </c>
      <c r="F27">
        <v>1.38152E-3</v>
      </c>
      <c r="G27">
        <v>3.3978099999999997E-2</v>
      </c>
      <c r="H27">
        <v>24.628599999999999</v>
      </c>
      <c r="I27">
        <v>24.5946</v>
      </c>
      <c r="J27">
        <v>1.33686E-3</v>
      </c>
      <c r="K27">
        <v>3.2039600000000001E-2</v>
      </c>
      <c r="L27">
        <v>23.9984</v>
      </c>
      <c r="M27">
        <v>23.9664</v>
      </c>
      <c r="N27">
        <v>1.3686900000000001E-3</v>
      </c>
      <c r="O27">
        <v>3.3093600000000001E-2</v>
      </c>
      <c r="P27">
        <v>24.2121</v>
      </c>
      <c r="Q27">
        <v>24.178999999999998</v>
      </c>
      <c r="R27">
        <v>3788.97</v>
      </c>
      <c r="S27">
        <v>3788.97</v>
      </c>
      <c r="T27">
        <v>0.16439999999999999</v>
      </c>
      <c r="U27">
        <v>50.587899999999998</v>
      </c>
      <c r="V27">
        <f t="shared" si="0"/>
        <v>0.27812359118148328</v>
      </c>
      <c r="W27">
        <f t="shared" si="1"/>
        <v>1.37138E-3</v>
      </c>
      <c r="X27">
        <f t="shared" si="2"/>
        <v>1.38152E-3</v>
      </c>
      <c r="Y27">
        <f t="shared" si="3"/>
        <v>1.33686E-3</v>
      </c>
      <c r="Z27">
        <f t="shared" si="4"/>
        <v>1.3686900000000001E-3</v>
      </c>
      <c r="AA27">
        <f t="shared" si="5"/>
        <v>1.3646125E-3</v>
      </c>
    </row>
    <row r="28" spans="1:27" x14ac:dyDescent="0.3">
      <c r="A28">
        <v>23</v>
      </c>
      <c r="B28">
        <v>1.4658E-3</v>
      </c>
      <c r="C28">
        <v>3.5034099999999999E-2</v>
      </c>
      <c r="D28">
        <v>23.936</v>
      </c>
      <c r="E28">
        <v>23.901</v>
      </c>
      <c r="F28">
        <v>1.4896899999999999E-3</v>
      </c>
      <c r="G28">
        <v>3.6638400000000002E-2</v>
      </c>
      <c r="H28">
        <v>24.6313</v>
      </c>
      <c r="I28">
        <v>24.5946</v>
      </c>
      <c r="J28">
        <v>1.45006E-3</v>
      </c>
      <c r="K28">
        <v>3.4752499999999999E-2</v>
      </c>
      <c r="L28">
        <v>24.001100000000001</v>
      </c>
      <c r="M28">
        <v>23.9664</v>
      </c>
      <c r="N28">
        <v>1.45021E-3</v>
      </c>
      <c r="O28">
        <v>3.5064600000000001E-2</v>
      </c>
      <c r="P28">
        <v>24.213999999999999</v>
      </c>
      <c r="Q28">
        <v>24.178999999999998</v>
      </c>
      <c r="R28">
        <v>3789.41</v>
      </c>
      <c r="S28">
        <v>3789.41</v>
      </c>
      <c r="T28">
        <v>0.17469999999999999</v>
      </c>
      <c r="U28">
        <v>53.689100000000003</v>
      </c>
      <c r="V28">
        <f t="shared" si="0"/>
        <v>0.29517345648468857</v>
      </c>
      <c r="W28">
        <f t="shared" si="1"/>
        <v>1.4658E-3</v>
      </c>
      <c r="X28">
        <f t="shared" si="2"/>
        <v>1.4896899999999999E-3</v>
      </c>
      <c r="Y28">
        <f t="shared" si="3"/>
        <v>1.45006E-3</v>
      </c>
      <c r="Z28">
        <f t="shared" si="4"/>
        <v>1.45021E-3</v>
      </c>
      <c r="AA28">
        <f t="shared" si="5"/>
        <v>1.4639399999999999E-3</v>
      </c>
    </row>
    <row r="29" spans="1:27" x14ac:dyDescent="0.3">
      <c r="A29">
        <v>24</v>
      </c>
      <c r="B29">
        <v>1.5180700000000001E-3</v>
      </c>
      <c r="C29">
        <v>3.6283299999999997E-2</v>
      </c>
      <c r="D29">
        <v>23.937200000000001</v>
      </c>
      <c r="E29">
        <v>23.901</v>
      </c>
      <c r="F29">
        <v>1.53257E-3</v>
      </c>
      <c r="G29">
        <v>3.7692999999999997E-2</v>
      </c>
      <c r="H29">
        <v>24.632300000000001</v>
      </c>
      <c r="I29">
        <v>24.5946</v>
      </c>
      <c r="J29">
        <v>1.46075E-3</v>
      </c>
      <c r="K29">
        <v>3.5008900000000003E-2</v>
      </c>
      <c r="L29">
        <v>24.0014</v>
      </c>
      <c r="M29">
        <v>23.9664</v>
      </c>
      <c r="N29">
        <v>1.4993999999999999E-3</v>
      </c>
      <c r="O29">
        <v>3.6253899999999999E-2</v>
      </c>
      <c r="P29">
        <v>24.215199999999999</v>
      </c>
      <c r="Q29">
        <v>24.178999999999998</v>
      </c>
      <c r="R29">
        <v>3789.59</v>
      </c>
      <c r="S29">
        <v>3789.59</v>
      </c>
      <c r="T29">
        <v>0.18210000000000001</v>
      </c>
      <c r="U29">
        <v>55.918100000000003</v>
      </c>
      <c r="V29">
        <f t="shared" si="0"/>
        <v>0.30742811589422181</v>
      </c>
      <c r="W29">
        <f t="shared" si="1"/>
        <v>1.5180700000000001E-3</v>
      </c>
      <c r="X29">
        <f t="shared" si="2"/>
        <v>1.53257E-3</v>
      </c>
      <c r="Y29">
        <f t="shared" si="3"/>
        <v>1.46075E-3</v>
      </c>
      <c r="Z29">
        <f t="shared" si="4"/>
        <v>1.4993999999999999E-3</v>
      </c>
      <c r="AA29">
        <f t="shared" si="5"/>
        <v>1.5026975000000001E-3</v>
      </c>
    </row>
    <row r="30" spans="1:27" x14ac:dyDescent="0.3">
      <c r="A30">
        <v>25</v>
      </c>
      <c r="B30">
        <v>1.6542499999999999E-3</v>
      </c>
      <c r="C30">
        <v>3.9538200000000003E-2</v>
      </c>
      <c r="D30">
        <v>23.9405</v>
      </c>
      <c r="E30">
        <v>23.901</v>
      </c>
      <c r="F30">
        <v>1.68483E-3</v>
      </c>
      <c r="G30">
        <v>4.1437700000000001E-2</v>
      </c>
      <c r="H30">
        <v>24.636099999999999</v>
      </c>
      <c r="I30">
        <v>24.5946</v>
      </c>
      <c r="J30">
        <v>1.6218700000000001E-3</v>
      </c>
      <c r="K30">
        <v>3.8870300000000003E-2</v>
      </c>
      <c r="L30">
        <v>24.005199999999999</v>
      </c>
      <c r="M30">
        <v>23.9664</v>
      </c>
      <c r="N30">
        <v>1.6357800000000001E-3</v>
      </c>
      <c r="O30">
        <v>3.95514E-2</v>
      </c>
      <c r="P30">
        <v>24.218499999999999</v>
      </c>
      <c r="Q30">
        <v>24.178999999999998</v>
      </c>
      <c r="R30">
        <v>3790.41</v>
      </c>
      <c r="S30">
        <v>3790.41</v>
      </c>
      <c r="T30">
        <v>0.20180000000000001</v>
      </c>
      <c r="U30">
        <v>61.829700000000003</v>
      </c>
      <c r="V30">
        <f t="shared" si="0"/>
        <v>0.33992907801418443</v>
      </c>
      <c r="W30">
        <f t="shared" si="1"/>
        <v>1.6542499999999999E-3</v>
      </c>
      <c r="X30">
        <f t="shared" si="2"/>
        <v>1.68483E-3</v>
      </c>
      <c r="Y30">
        <f t="shared" si="3"/>
        <v>1.6218700000000001E-3</v>
      </c>
      <c r="Z30">
        <f t="shared" si="4"/>
        <v>1.6357800000000001E-3</v>
      </c>
      <c r="AA30">
        <f t="shared" si="5"/>
        <v>1.6491825000000001E-3</v>
      </c>
    </row>
    <row r="31" spans="1:27" x14ac:dyDescent="0.3">
      <c r="A31">
        <v>26</v>
      </c>
      <c r="B31">
        <v>1.81635E-3</v>
      </c>
      <c r="C31">
        <v>4.34125E-2</v>
      </c>
      <c r="D31">
        <v>23.944400000000002</v>
      </c>
      <c r="E31">
        <v>23.901</v>
      </c>
      <c r="F31">
        <v>1.8529099999999999E-3</v>
      </c>
      <c r="G31">
        <v>4.55717E-2</v>
      </c>
      <c r="H31">
        <v>24.6402</v>
      </c>
      <c r="I31">
        <v>24.5946</v>
      </c>
      <c r="J31">
        <v>1.7901499999999999E-3</v>
      </c>
      <c r="K31">
        <v>4.2903299999999998E-2</v>
      </c>
      <c r="L31">
        <v>24.0093</v>
      </c>
      <c r="M31">
        <v>23.9664</v>
      </c>
      <c r="N31">
        <v>1.7837700000000001E-3</v>
      </c>
      <c r="O31">
        <v>4.3129599999999997E-2</v>
      </c>
      <c r="P31">
        <v>24.222100000000001</v>
      </c>
      <c r="Q31">
        <v>24.178999999999998</v>
      </c>
      <c r="R31">
        <v>3790.97</v>
      </c>
      <c r="S31">
        <v>3790.97</v>
      </c>
      <c r="T31">
        <v>0.2092</v>
      </c>
      <c r="U31">
        <v>64.058599999999998</v>
      </c>
      <c r="V31">
        <f t="shared" si="0"/>
        <v>0.35218318764088186</v>
      </c>
      <c r="W31">
        <f t="shared" si="1"/>
        <v>1.81635E-3</v>
      </c>
      <c r="X31">
        <f t="shared" si="2"/>
        <v>1.8529099999999999E-3</v>
      </c>
      <c r="Y31">
        <f t="shared" si="3"/>
        <v>1.7901499999999999E-3</v>
      </c>
      <c r="Z31">
        <f t="shared" si="4"/>
        <v>1.7837700000000001E-3</v>
      </c>
      <c r="AA31">
        <f t="shared" si="5"/>
        <v>1.810795E-3</v>
      </c>
    </row>
    <row r="32" spans="1:27" x14ac:dyDescent="0.3">
      <c r="A32">
        <v>27</v>
      </c>
      <c r="B32">
        <v>1.89708E-3</v>
      </c>
      <c r="C32">
        <v>4.5342E-2</v>
      </c>
      <c r="D32">
        <v>23.946300000000001</v>
      </c>
      <c r="E32">
        <v>23.901</v>
      </c>
      <c r="F32">
        <v>1.92179E-3</v>
      </c>
      <c r="G32">
        <v>4.7265799999999997E-2</v>
      </c>
      <c r="H32">
        <v>24.6419</v>
      </c>
      <c r="I32">
        <v>24.5946</v>
      </c>
      <c r="J32">
        <v>1.8507199999999999E-3</v>
      </c>
      <c r="K32">
        <v>4.4354900000000003E-2</v>
      </c>
      <c r="L32">
        <v>24.0107</v>
      </c>
      <c r="M32">
        <v>23.9664</v>
      </c>
      <c r="N32">
        <v>1.8565700000000001E-3</v>
      </c>
      <c r="O32">
        <v>4.4889999999999999E-2</v>
      </c>
      <c r="P32">
        <v>24.2239</v>
      </c>
      <c r="Q32">
        <v>24.178999999999998</v>
      </c>
      <c r="R32">
        <v>3791.47</v>
      </c>
      <c r="S32">
        <v>3791.47</v>
      </c>
      <c r="T32">
        <v>0.2172</v>
      </c>
      <c r="U32">
        <v>66.481399999999994</v>
      </c>
      <c r="V32">
        <f t="shared" si="0"/>
        <v>0.36550332618615639</v>
      </c>
      <c r="W32">
        <f t="shared" si="1"/>
        <v>1.89708E-3</v>
      </c>
      <c r="X32">
        <f t="shared" si="2"/>
        <v>1.92179E-3</v>
      </c>
      <c r="Y32">
        <f t="shared" si="3"/>
        <v>1.8507199999999999E-3</v>
      </c>
      <c r="Z32">
        <f t="shared" si="4"/>
        <v>1.8565700000000001E-3</v>
      </c>
      <c r="AA32">
        <f t="shared" si="5"/>
        <v>1.8815400000000001E-3</v>
      </c>
    </row>
    <row r="33" spans="1:27" x14ac:dyDescent="0.3">
      <c r="A33">
        <v>28</v>
      </c>
      <c r="B33">
        <v>1.91281E-3</v>
      </c>
      <c r="C33">
        <v>4.5718000000000002E-2</v>
      </c>
      <c r="D33">
        <v>23.9467</v>
      </c>
      <c r="E33">
        <v>23.901</v>
      </c>
      <c r="F33">
        <v>1.9205299999999999E-3</v>
      </c>
      <c r="G33">
        <v>4.72348E-2</v>
      </c>
      <c r="H33">
        <v>24.6419</v>
      </c>
      <c r="I33">
        <v>24.5946</v>
      </c>
      <c r="J33">
        <v>1.8063300000000001E-3</v>
      </c>
      <c r="K33">
        <v>4.3291099999999999E-2</v>
      </c>
      <c r="L33">
        <v>24.009599999999999</v>
      </c>
      <c r="M33">
        <v>23.9664</v>
      </c>
      <c r="N33">
        <v>1.9091100000000001E-3</v>
      </c>
      <c r="O33">
        <v>4.6160300000000001E-2</v>
      </c>
      <c r="P33">
        <v>24.225100000000001</v>
      </c>
      <c r="Q33">
        <v>24.178999999999998</v>
      </c>
      <c r="R33">
        <v>3791.9</v>
      </c>
      <c r="S33">
        <v>3791.9</v>
      </c>
      <c r="T33">
        <v>0.2311</v>
      </c>
      <c r="U33">
        <v>70.648600000000002</v>
      </c>
      <c r="V33">
        <f t="shared" si="0"/>
        <v>0.38841387651877513</v>
      </c>
      <c r="W33">
        <f t="shared" si="1"/>
        <v>1.91281E-3</v>
      </c>
      <c r="X33">
        <f t="shared" si="2"/>
        <v>1.9205299999999999E-3</v>
      </c>
      <c r="Y33">
        <f t="shared" si="3"/>
        <v>1.8063300000000001E-3</v>
      </c>
      <c r="Z33">
        <f t="shared" si="4"/>
        <v>1.9091100000000001E-3</v>
      </c>
      <c r="AA33">
        <f t="shared" si="5"/>
        <v>1.8871950000000001E-3</v>
      </c>
    </row>
    <row r="34" spans="1:27" x14ac:dyDescent="0.3">
      <c r="A34">
        <v>29</v>
      </c>
      <c r="B34">
        <v>2.07018E-3</v>
      </c>
      <c r="C34">
        <v>4.9479299999999997E-2</v>
      </c>
      <c r="D34">
        <v>23.950399999999998</v>
      </c>
      <c r="E34">
        <v>23.901</v>
      </c>
      <c r="F34">
        <v>2.1019400000000001E-3</v>
      </c>
      <c r="G34">
        <v>5.1696600000000002E-2</v>
      </c>
      <c r="H34">
        <v>24.6463</v>
      </c>
      <c r="I34">
        <v>24.5946</v>
      </c>
      <c r="J34">
        <v>1.9992999999999999E-3</v>
      </c>
      <c r="K34">
        <v>4.7916E-2</v>
      </c>
      <c r="L34">
        <v>24.014299999999999</v>
      </c>
      <c r="M34">
        <v>23.9664</v>
      </c>
      <c r="N34">
        <v>2.0414500000000002E-3</v>
      </c>
      <c r="O34">
        <v>4.9360099999999997E-2</v>
      </c>
      <c r="P34">
        <v>24.228300000000001</v>
      </c>
      <c r="Q34">
        <v>24.178999999999998</v>
      </c>
      <c r="R34">
        <v>3792.59</v>
      </c>
      <c r="S34">
        <v>3792.59</v>
      </c>
      <c r="T34">
        <v>0.24210000000000001</v>
      </c>
      <c r="U34">
        <v>73.943600000000004</v>
      </c>
      <c r="V34">
        <f t="shared" si="0"/>
        <v>0.40652922095772176</v>
      </c>
      <c r="W34">
        <f t="shared" si="1"/>
        <v>2.07018E-3</v>
      </c>
      <c r="X34">
        <f t="shared" si="2"/>
        <v>2.1019400000000001E-3</v>
      </c>
      <c r="Y34">
        <f t="shared" si="3"/>
        <v>1.9992999999999999E-3</v>
      </c>
      <c r="Z34">
        <f t="shared" si="4"/>
        <v>2.0414500000000002E-3</v>
      </c>
      <c r="AA34">
        <f t="shared" si="5"/>
        <v>2.0532175000000001E-3</v>
      </c>
    </row>
    <row r="35" spans="1:27" x14ac:dyDescent="0.3">
      <c r="A35">
        <v>30</v>
      </c>
      <c r="B35">
        <v>2.2400300000000001E-3</v>
      </c>
      <c r="C35">
        <v>5.3538799999999998E-2</v>
      </c>
      <c r="D35">
        <v>23.954499999999999</v>
      </c>
      <c r="E35">
        <v>23.901</v>
      </c>
      <c r="F35">
        <v>2.2536000000000001E-3</v>
      </c>
      <c r="G35">
        <v>5.5426599999999999E-2</v>
      </c>
      <c r="H35">
        <v>24.650099999999998</v>
      </c>
      <c r="I35">
        <v>24.5946</v>
      </c>
      <c r="J35">
        <v>2.1336200000000001E-3</v>
      </c>
      <c r="K35">
        <v>5.1135E-2</v>
      </c>
      <c r="L35">
        <v>24.017499999999998</v>
      </c>
      <c r="M35">
        <v>23.9664</v>
      </c>
      <c r="N35">
        <v>2.2216699999999998E-3</v>
      </c>
      <c r="O35">
        <v>5.37177E-2</v>
      </c>
      <c r="P35">
        <v>24.232700000000001</v>
      </c>
      <c r="Q35">
        <v>24.178999999999998</v>
      </c>
      <c r="R35">
        <v>3793.21</v>
      </c>
      <c r="S35">
        <v>3793.21</v>
      </c>
      <c r="T35">
        <v>0.25240000000000001</v>
      </c>
      <c r="U35">
        <v>77.044799999999995</v>
      </c>
      <c r="V35">
        <f t="shared" si="0"/>
        <v>0.42357908626092694</v>
      </c>
      <c r="W35">
        <f t="shared" si="1"/>
        <v>2.2400300000000001E-3</v>
      </c>
      <c r="X35">
        <f t="shared" si="2"/>
        <v>2.2536000000000001E-3</v>
      </c>
      <c r="Y35">
        <f t="shared" si="3"/>
        <v>2.1336200000000001E-3</v>
      </c>
      <c r="Z35">
        <f t="shared" si="4"/>
        <v>2.2216699999999998E-3</v>
      </c>
      <c r="AA35">
        <f t="shared" si="5"/>
        <v>2.2122299999999999E-3</v>
      </c>
    </row>
    <row r="36" spans="1:27" x14ac:dyDescent="0.3">
      <c r="A36">
        <v>31</v>
      </c>
      <c r="B36">
        <v>2.3684800000000001E-3</v>
      </c>
      <c r="C36">
        <v>5.6608899999999997E-2</v>
      </c>
      <c r="D36">
        <v>23.957599999999999</v>
      </c>
      <c r="E36">
        <v>23.901</v>
      </c>
      <c r="F36">
        <v>2.39339E-3</v>
      </c>
      <c r="G36">
        <v>5.8864600000000003E-2</v>
      </c>
      <c r="H36">
        <v>24.653500000000001</v>
      </c>
      <c r="I36">
        <v>24.5946</v>
      </c>
      <c r="J36">
        <v>2.2623000000000001E-3</v>
      </c>
      <c r="K36">
        <v>5.4219099999999999E-2</v>
      </c>
      <c r="L36">
        <v>24.020600000000002</v>
      </c>
      <c r="M36">
        <v>23.9664</v>
      </c>
      <c r="N36">
        <v>2.34388E-3</v>
      </c>
      <c r="O36">
        <v>5.6672699999999999E-2</v>
      </c>
      <c r="P36">
        <v>24.235600000000002</v>
      </c>
      <c r="Q36">
        <v>24.178999999999998</v>
      </c>
      <c r="R36">
        <v>3793.96</v>
      </c>
      <c r="S36">
        <v>3793.96</v>
      </c>
      <c r="T36">
        <v>0.26369999999999999</v>
      </c>
      <c r="U36">
        <v>80.436700000000002</v>
      </c>
      <c r="V36">
        <f t="shared" si="0"/>
        <v>0.44222717026774422</v>
      </c>
      <c r="W36">
        <f t="shared" si="1"/>
        <v>2.3684800000000001E-3</v>
      </c>
      <c r="X36">
        <f t="shared" si="2"/>
        <v>2.39339E-3</v>
      </c>
      <c r="Y36">
        <f t="shared" si="3"/>
        <v>2.2623000000000001E-3</v>
      </c>
      <c r="Z36">
        <f t="shared" si="4"/>
        <v>2.34388E-3</v>
      </c>
      <c r="AA36">
        <f t="shared" si="5"/>
        <v>2.3420124999999998E-3</v>
      </c>
    </row>
    <row r="37" spans="1:27" x14ac:dyDescent="0.3">
      <c r="A37">
        <v>32</v>
      </c>
      <c r="B37">
        <v>2.3534799999999998E-3</v>
      </c>
      <c r="C37">
        <v>5.6250399999999999E-2</v>
      </c>
      <c r="D37">
        <v>23.9572</v>
      </c>
      <c r="E37">
        <v>23.901</v>
      </c>
      <c r="F37">
        <v>2.38309E-3</v>
      </c>
      <c r="G37">
        <v>5.8611200000000002E-2</v>
      </c>
      <c r="H37">
        <v>24.653300000000002</v>
      </c>
      <c r="I37">
        <v>24.5946</v>
      </c>
      <c r="J37">
        <v>2.2526999999999998E-3</v>
      </c>
      <c r="K37">
        <v>5.3989000000000002E-2</v>
      </c>
      <c r="L37">
        <v>24.020299999999999</v>
      </c>
      <c r="M37">
        <v>23.9664</v>
      </c>
      <c r="N37">
        <v>2.3412300000000001E-3</v>
      </c>
      <c r="O37">
        <v>5.6608600000000002E-2</v>
      </c>
      <c r="P37">
        <v>24.235600000000002</v>
      </c>
      <c r="Q37">
        <v>24.178999999999998</v>
      </c>
      <c r="R37">
        <v>3794.15</v>
      </c>
      <c r="S37">
        <v>3794.15</v>
      </c>
      <c r="T37">
        <v>0.26779999999999998</v>
      </c>
      <c r="U37">
        <v>81.696600000000004</v>
      </c>
      <c r="V37">
        <f t="shared" ref="V37:V60" si="6">U37/$A$2/$B$2</f>
        <v>0.44915388421573477</v>
      </c>
      <c r="W37">
        <f t="shared" ref="W37:W60" si="7">B37</f>
        <v>2.3534799999999998E-3</v>
      </c>
      <c r="X37">
        <f t="shared" ref="X37:X60" si="8">F37</f>
        <v>2.38309E-3</v>
      </c>
      <c r="Y37">
        <f t="shared" ref="Y37:Y60" si="9">J37</f>
        <v>2.2526999999999998E-3</v>
      </c>
      <c r="Z37">
        <f t="shared" ref="Z37:Z60" si="10">N37</f>
        <v>2.3412300000000001E-3</v>
      </c>
      <c r="AA37">
        <f t="shared" si="5"/>
        <v>2.3326250000000001E-3</v>
      </c>
    </row>
    <row r="38" spans="1:27" x14ac:dyDescent="0.3">
      <c r="A38">
        <v>33</v>
      </c>
      <c r="B38">
        <v>2.3714600000000001E-3</v>
      </c>
      <c r="C38">
        <v>5.66802E-2</v>
      </c>
      <c r="D38">
        <v>23.957599999999999</v>
      </c>
      <c r="E38">
        <v>23.901</v>
      </c>
      <c r="F38">
        <v>2.3891400000000001E-3</v>
      </c>
      <c r="G38">
        <v>5.8760199999999999E-2</v>
      </c>
      <c r="H38">
        <v>24.653400000000001</v>
      </c>
      <c r="I38">
        <v>24.5946</v>
      </c>
      <c r="J38">
        <v>2.2389100000000002E-3</v>
      </c>
      <c r="K38">
        <v>5.3658499999999998E-2</v>
      </c>
      <c r="L38">
        <v>24.02</v>
      </c>
      <c r="M38">
        <v>23.9664</v>
      </c>
      <c r="N38">
        <v>2.3680099999999998E-3</v>
      </c>
      <c r="O38">
        <v>5.7256099999999997E-2</v>
      </c>
      <c r="P38">
        <v>24.2362</v>
      </c>
      <c r="Q38">
        <v>24.178999999999998</v>
      </c>
      <c r="R38">
        <v>3794.27</v>
      </c>
      <c r="S38">
        <v>3794.27</v>
      </c>
      <c r="T38">
        <v>0.26979999999999998</v>
      </c>
      <c r="U38">
        <v>82.278000000000006</v>
      </c>
      <c r="V38">
        <f t="shared" si="6"/>
        <v>0.45235032162295896</v>
      </c>
      <c r="W38">
        <f t="shared" si="7"/>
        <v>2.3714600000000001E-3</v>
      </c>
      <c r="X38">
        <f t="shared" si="8"/>
        <v>2.3891400000000001E-3</v>
      </c>
      <c r="Y38">
        <f t="shared" si="9"/>
        <v>2.2389100000000002E-3</v>
      </c>
      <c r="Z38">
        <f t="shared" si="10"/>
        <v>2.3680099999999998E-3</v>
      </c>
      <c r="AA38">
        <f t="shared" si="5"/>
        <v>2.3418800000000002E-3</v>
      </c>
    </row>
    <row r="39" spans="1:27" x14ac:dyDescent="0.3">
      <c r="A39">
        <v>34</v>
      </c>
      <c r="B39">
        <v>2.55573E-3</v>
      </c>
      <c r="C39">
        <v>6.1084399999999997E-2</v>
      </c>
      <c r="D39">
        <v>23.962</v>
      </c>
      <c r="E39">
        <v>23.901</v>
      </c>
      <c r="F39">
        <v>2.5949900000000001E-3</v>
      </c>
      <c r="G39">
        <v>6.3822900000000002E-2</v>
      </c>
      <c r="H39">
        <v>24.6585</v>
      </c>
      <c r="I39">
        <v>24.5946</v>
      </c>
      <c r="J39">
        <v>2.4539399999999999E-3</v>
      </c>
      <c r="K39">
        <v>5.8812099999999999E-2</v>
      </c>
      <c r="L39">
        <v>24.025200000000002</v>
      </c>
      <c r="M39">
        <v>23.9664</v>
      </c>
      <c r="N39">
        <v>2.5262399999999999E-3</v>
      </c>
      <c r="O39">
        <v>6.1081799999999999E-2</v>
      </c>
      <c r="P39">
        <v>24.240100000000002</v>
      </c>
      <c r="Q39">
        <v>24.178999999999998</v>
      </c>
      <c r="R39">
        <v>3794.71</v>
      </c>
      <c r="S39">
        <v>3794.71</v>
      </c>
      <c r="T39">
        <v>0.27589999999999998</v>
      </c>
      <c r="U39">
        <v>84.119399999999999</v>
      </c>
      <c r="V39">
        <f t="shared" si="6"/>
        <v>0.46247402276100941</v>
      </c>
      <c r="W39">
        <f t="shared" si="7"/>
        <v>2.55573E-3</v>
      </c>
      <c r="X39">
        <f t="shared" si="8"/>
        <v>2.5949900000000001E-3</v>
      </c>
      <c r="Y39">
        <f t="shared" si="9"/>
        <v>2.4539399999999999E-3</v>
      </c>
      <c r="Z39">
        <f t="shared" si="10"/>
        <v>2.5262399999999999E-3</v>
      </c>
      <c r="AA39">
        <f t="shared" si="5"/>
        <v>2.532725E-3</v>
      </c>
    </row>
    <row r="40" spans="1:27" x14ac:dyDescent="0.3">
      <c r="A40">
        <v>35</v>
      </c>
      <c r="B40">
        <v>2.6380900000000001E-3</v>
      </c>
      <c r="C40">
        <v>6.3052899999999995E-2</v>
      </c>
      <c r="D40">
        <v>23.963999999999999</v>
      </c>
      <c r="E40">
        <v>23.901</v>
      </c>
      <c r="F40">
        <v>2.6543500000000002E-3</v>
      </c>
      <c r="G40">
        <v>6.5282900000000005E-2</v>
      </c>
      <c r="H40">
        <v>24.6599</v>
      </c>
      <c r="I40">
        <v>24.5946</v>
      </c>
      <c r="J40">
        <v>2.4775800000000001E-3</v>
      </c>
      <c r="K40">
        <v>5.9378599999999997E-2</v>
      </c>
      <c r="L40">
        <v>24.025700000000001</v>
      </c>
      <c r="M40">
        <v>23.9664</v>
      </c>
      <c r="N40">
        <v>2.6437499999999998E-3</v>
      </c>
      <c r="O40">
        <v>6.3923099999999997E-2</v>
      </c>
      <c r="P40">
        <v>24.242899999999999</v>
      </c>
      <c r="Q40">
        <v>24.178999999999998</v>
      </c>
      <c r="R40">
        <v>3795.33</v>
      </c>
      <c r="S40">
        <v>3795.33</v>
      </c>
      <c r="T40">
        <v>0.28689999999999999</v>
      </c>
      <c r="U40">
        <v>87.414400000000001</v>
      </c>
      <c r="V40">
        <f t="shared" si="6"/>
        <v>0.48058936719995604</v>
      </c>
      <c r="W40">
        <f t="shared" si="7"/>
        <v>2.6380900000000001E-3</v>
      </c>
      <c r="X40">
        <f t="shared" si="8"/>
        <v>2.6543500000000002E-3</v>
      </c>
      <c r="Y40">
        <f t="shared" si="9"/>
        <v>2.4775800000000001E-3</v>
      </c>
      <c r="Z40">
        <f t="shared" si="10"/>
        <v>2.6437499999999998E-3</v>
      </c>
      <c r="AA40">
        <f t="shared" si="5"/>
        <v>2.6034425000000003E-3</v>
      </c>
    </row>
    <row r="41" spans="1:27" x14ac:dyDescent="0.3">
      <c r="A41">
        <v>36</v>
      </c>
      <c r="B41">
        <v>2.75661E-3</v>
      </c>
      <c r="C41">
        <v>6.58855E-2</v>
      </c>
      <c r="D41">
        <v>23.966799999999999</v>
      </c>
      <c r="E41">
        <v>23.901</v>
      </c>
      <c r="F41">
        <v>2.7830200000000002E-3</v>
      </c>
      <c r="G41">
        <v>6.8447400000000005E-2</v>
      </c>
      <c r="H41">
        <v>24.6631</v>
      </c>
      <c r="I41">
        <v>24.5946</v>
      </c>
      <c r="J41">
        <v>2.6074399999999999E-3</v>
      </c>
      <c r="K41">
        <v>6.2490700000000003E-2</v>
      </c>
      <c r="L41">
        <v>24.0288</v>
      </c>
      <c r="M41">
        <v>23.9664</v>
      </c>
      <c r="N41">
        <v>2.7299500000000001E-3</v>
      </c>
      <c r="O41">
        <v>6.6007399999999994E-2</v>
      </c>
      <c r="P41">
        <v>24.245000000000001</v>
      </c>
      <c r="Q41">
        <v>24.178999999999998</v>
      </c>
      <c r="R41">
        <v>3795.96</v>
      </c>
      <c r="S41">
        <v>3795.96</v>
      </c>
      <c r="T41">
        <v>0.29430000000000001</v>
      </c>
      <c r="U41">
        <v>89.643299999999996</v>
      </c>
      <c r="V41">
        <f t="shared" si="6"/>
        <v>0.49284347682665347</v>
      </c>
      <c r="W41">
        <f t="shared" si="7"/>
        <v>2.75661E-3</v>
      </c>
      <c r="X41">
        <f t="shared" si="8"/>
        <v>2.7830200000000002E-3</v>
      </c>
      <c r="Y41">
        <f t="shared" si="9"/>
        <v>2.6074399999999999E-3</v>
      </c>
      <c r="Z41">
        <f t="shared" si="10"/>
        <v>2.7299500000000001E-3</v>
      </c>
      <c r="AA41">
        <f t="shared" si="5"/>
        <v>2.7192549999999998E-3</v>
      </c>
    </row>
    <row r="42" spans="1:27" x14ac:dyDescent="0.3">
      <c r="A42">
        <v>37</v>
      </c>
      <c r="B42">
        <v>2.8487600000000001E-3</v>
      </c>
      <c r="C42">
        <v>6.8087999999999996E-2</v>
      </c>
      <c r="D42">
        <v>23.969000000000001</v>
      </c>
      <c r="E42">
        <v>23.901</v>
      </c>
      <c r="F42">
        <v>2.87966E-3</v>
      </c>
      <c r="G42">
        <v>7.0824300000000007E-2</v>
      </c>
      <c r="H42">
        <v>24.665500000000002</v>
      </c>
      <c r="I42">
        <v>24.5946</v>
      </c>
      <c r="J42">
        <v>2.6908800000000001E-3</v>
      </c>
      <c r="K42">
        <v>6.4490500000000006E-2</v>
      </c>
      <c r="L42">
        <v>24.030799999999999</v>
      </c>
      <c r="M42">
        <v>23.9664</v>
      </c>
      <c r="N42">
        <v>2.8418599999999999E-3</v>
      </c>
      <c r="O42">
        <v>6.8713300000000005E-2</v>
      </c>
      <c r="P42">
        <v>24.247699999999998</v>
      </c>
      <c r="Q42">
        <v>24.178999999999998</v>
      </c>
      <c r="R42">
        <v>3796.77</v>
      </c>
      <c r="S42">
        <v>3796.77</v>
      </c>
      <c r="T42">
        <v>0.30719999999999997</v>
      </c>
      <c r="U42">
        <v>93.519800000000004</v>
      </c>
      <c r="V42">
        <f t="shared" si="6"/>
        <v>0.51415580845566</v>
      </c>
      <c r="W42">
        <f t="shared" si="7"/>
        <v>2.8487600000000001E-3</v>
      </c>
      <c r="X42">
        <f t="shared" si="8"/>
        <v>2.87966E-3</v>
      </c>
      <c r="Y42">
        <f t="shared" si="9"/>
        <v>2.6908800000000001E-3</v>
      </c>
      <c r="Z42">
        <f t="shared" si="10"/>
        <v>2.8418599999999999E-3</v>
      </c>
      <c r="AA42">
        <f t="shared" si="5"/>
        <v>2.8152899999999998E-3</v>
      </c>
    </row>
    <row r="43" spans="1:27" x14ac:dyDescent="0.3">
      <c r="A43">
        <v>38</v>
      </c>
      <c r="B43">
        <v>3.07019E-3</v>
      </c>
      <c r="C43">
        <v>7.3380399999999998E-2</v>
      </c>
      <c r="D43">
        <v>23.974299999999999</v>
      </c>
      <c r="E43">
        <v>23.901</v>
      </c>
      <c r="F43">
        <v>3.09574E-3</v>
      </c>
      <c r="G43">
        <v>7.6138700000000004E-2</v>
      </c>
      <c r="H43">
        <v>24.6708</v>
      </c>
      <c r="I43">
        <v>24.5946</v>
      </c>
      <c r="J43">
        <v>2.8655999999999998E-3</v>
      </c>
      <c r="K43">
        <v>6.8678000000000003E-2</v>
      </c>
      <c r="L43">
        <v>24.035</v>
      </c>
      <c r="M43">
        <v>23.9664</v>
      </c>
      <c r="N43">
        <v>3.0754100000000002E-3</v>
      </c>
      <c r="O43">
        <v>7.4360200000000001E-2</v>
      </c>
      <c r="P43">
        <v>24.253299999999999</v>
      </c>
      <c r="Q43">
        <v>24.178999999999998</v>
      </c>
      <c r="R43">
        <v>3797.58</v>
      </c>
      <c r="S43">
        <v>3797.58</v>
      </c>
      <c r="T43">
        <v>0.32229999999999998</v>
      </c>
      <c r="U43">
        <v>98.074700000000007</v>
      </c>
      <c r="V43">
        <f t="shared" si="6"/>
        <v>0.53919786684259718</v>
      </c>
      <c r="W43">
        <f t="shared" si="7"/>
        <v>3.07019E-3</v>
      </c>
      <c r="X43">
        <f t="shared" si="8"/>
        <v>3.09574E-3</v>
      </c>
      <c r="Y43">
        <f t="shared" si="9"/>
        <v>2.8655999999999998E-3</v>
      </c>
      <c r="Z43">
        <f t="shared" si="10"/>
        <v>3.0754100000000002E-3</v>
      </c>
      <c r="AA43">
        <f t="shared" si="5"/>
        <v>3.026735E-3</v>
      </c>
    </row>
    <row r="44" spans="1:27" x14ac:dyDescent="0.3">
      <c r="A44">
        <v>39</v>
      </c>
      <c r="B44">
        <v>3.2457100000000002E-3</v>
      </c>
      <c r="C44">
        <v>7.7575500000000006E-2</v>
      </c>
      <c r="D44">
        <v>23.9785</v>
      </c>
      <c r="E44">
        <v>23.901</v>
      </c>
      <c r="F44">
        <v>3.27728E-3</v>
      </c>
      <c r="G44">
        <v>8.0603599999999997E-2</v>
      </c>
      <c r="H44">
        <v>24.6753</v>
      </c>
      <c r="I44">
        <v>24.5946</v>
      </c>
      <c r="J44">
        <v>3.0327000000000002E-3</v>
      </c>
      <c r="K44">
        <v>7.2682800000000006E-2</v>
      </c>
      <c r="L44">
        <v>24.039000000000001</v>
      </c>
      <c r="M44">
        <v>23.9664</v>
      </c>
      <c r="N44">
        <v>3.2138399999999999E-3</v>
      </c>
      <c r="O44">
        <v>7.7707300000000007E-2</v>
      </c>
      <c r="P44">
        <v>24.256699999999999</v>
      </c>
      <c r="Q44">
        <v>24.178999999999998</v>
      </c>
      <c r="R44">
        <v>3798.33</v>
      </c>
      <c r="S44">
        <v>3798.33</v>
      </c>
      <c r="T44">
        <v>0.32590000000000002</v>
      </c>
      <c r="U44">
        <v>99.140699999999995</v>
      </c>
      <c r="V44">
        <f t="shared" si="6"/>
        <v>0.54505855187201058</v>
      </c>
      <c r="W44">
        <f t="shared" si="7"/>
        <v>3.2457100000000002E-3</v>
      </c>
      <c r="X44">
        <f t="shared" si="8"/>
        <v>3.27728E-3</v>
      </c>
      <c r="Y44">
        <f t="shared" si="9"/>
        <v>3.0327000000000002E-3</v>
      </c>
      <c r="Z44">
        <f t="shared" si="10"/>
        <v>3.2138399999999999E-3</v>
      </c>
      <c r="AA44">
        <f t="shared" si="5"/>
        <v>3.1923825000000003E-3</v>
      </c>
    </row>
    <row r="45" spans="1:27" x14ac:dyDescent="0.3">
      <c r="A45">
        <v>40</v>
      </c>
      <c r="B45">
        <v>3.3504400000000001E-3</v>
      </c>
      <c r="C45">
        <v>8.0078700000000003E-2</v>
      </c>
      <c r="D45">
        <v>23.981000000000002</v>
      </c>
      <c r="E45">
        <v>23.901</v>
      </c>
      <c r="F45">
        <v>3.3901999999999999E-3</v>
      </c>
      <c r="G45">
        <v>8.3380700000000002E-2</v>
      </c>
      <c r="H45">
        <v>24.678000000000001</v>
      </c>
      <c r="I45">
        <v>24.5946</v>
      </c>
      <c r="J45">
        <v>3.12576E-3</v>
      </c>
      <c r="K45">
        <v>7.4913099999999996E-2</v>
      </c>
      <c r="L45">
        <v>24.0413</v>
      </c>
      <c r="M45">
        <v>23.9664</v>
      </c>
      <c r="N45">
        <v>3.3406899999999999E-3</v>
      </c>
      <c r="O45">
        <v>8.0774399999999996E-2</v>
      </c>
      <c r="P45">
        <v>24.259799999999998</v>
      </c>
      <c r="Q45">
        <v>24.178999999999998</v>
      </c>
      <c r="R45">
        <v>3799.02</v>
      </c>
      <c r="S45">
        <v>3799.02</v>
      </c>
      <c r="T45">
        <v>0.33910000000000001</v>
      </c>
      <c r="U45">
        <v>103.114</v>
      </c>
      <c r="V45">
        <f t="shared" si="6"/>
        <v>0.56690307328605205</v>
      </c>
      <c r="W45">
        <f t="shared" si="7"/>
        <v>3.3504400000000001E-3</v>
      </c>
      <c r="X45">
        <f t="shared" si="8"/>
        <v>3.3901999999999999E-3</v>
      </c>
      <c r="Y45">
        <f t="shared" si="9"/>
        <v>3.12576E-3</v>
      </c>
      <c r="Z45">
        <f t="shared" si="10"/>
        <v>3.3406899999999999E-3</v>
      </c>
      <c r="AA45">
        <f t="shared" si="5"/>
        <v>3.3017725000000003E-3</v>
      </c>
    </row>
    <row r="46" spans="1:27" x14ac:dyDescent="0.3">
      <c r="A46">
        <v>41</v>
      </c>
      <c r="B46">
        <v>3.52498E-3</v>
      </c>
      <c r="C46">
        <v>8.4250400000000003E-2</v>
      </c>
      <c r="D46">
        <v>23.985199999999999</v>
      </c>
      <c r="E46">
        <v>23.901</v>
      </c>
      <c r="F46">
        <v>3.5288199999999998E-3</v>
      </c>
      <c r="G46">
        <v>8.6790099999999995E-2</v>
      </c>
      <c r="H46">
        <v>24.6814</v>
      </c>
      <c r="I46">
        <v>24.5946</v>
      </c>
      <c r="J46">
        <v>3.2234299999999998E-3</v>
      </c>
      <c r="K46">
        <v>7.7253699999999995E-2</v>
      </c>
      <c r="L46">
        <v>24.043600000000001</v>
      </c>
      <c r="M46">
        <v>23.9664</v>
      </c>
      <c r="N46">
        <v>3.5117799999999999E-3</v>
      </c>
      <c r="O46">
        <v>8.4911299999999995E-2</v>
      </c>
      <c r="P46">
        <v>24.2639</v>
      </c>
      <c r="Q46">
        <v>24.178999999999998</v>
      </c>
      <c r="R46">
        <v>3799.83</v>
      </c>
      <c r="S46">
        <v>3799.83</v>
      </c>
      <c r="T46">
        <v>0.34649999999999997</v>
      </c>
      <c r="U46">
        <v>105.343</v>
      </c>
      <c r="V46">
        <f t="shared" si="6"/>
        <v>0.57915773269558535</v>
      </c>
      <c r="W46">
        <f t="shared" si="7"/>
        <v>3.52498E-3</v>
      </c>
      <c r="X46">
        <f t="shared" si="8"/>
        <v>3.5288199999999998E-3</v>
      </c>
      <c r="Y46">
        <f t="shared" si="9"/>
        <v>3.2234299999999998E-3</v>
      </c>
      <c r="Z46">
        <f t="shared" si="10"/>
        <v>3.5117799999999999E-3</v>
      </c>
      <c r="AA46">
        <f t="shared" si="5"/>
        <v>3.4472525000000002E-3</v>
      </c>
    </row>
    <row r="47" spans="1:27" x14ac:dyDescent="0.3">
      <c r="A47">
        <v>42</v>
      </c>
      <c r="B47">
        <v>3.7544499999999999E-3</v>
      </c>
      <c r="C47">
        <v>8.9734999999999995E-2</v>
      </c>
      <c r="D47">
        <v>23.9907</v>
      </c>
      <c r="E47">
        <v>23.901</v>
      </c>
      <c r="F47">
        <v>3.78408E-3</v>
      </c>
      <c r="G47">
        <v>9.3067999999999998E-2</v>
      </c>
      <c r="H47">
        <v>24.6877</v>
      </c>
      <c r="I47">
        <v>24.5946</v>
      </c>
      <c r="J47">
        <v>3.4556299999999999E-3</v>
      </c>
      <c r="K47">
        <v>8.2818799999999998E-2</v>
      </c>
      <c r="L47">
        <v>24.049199999999999</v>
      </c>
      <c r="M47">
        <v>23.9664</v>
      </c>
      <c r="N47">
        <v>3.71616E-3</v>
      </c>
      <c r="O47">
        <v>8.9853000000000002E-2</v>
      </c>
      <c r="P47">
        <v>24.268799999999999</v>
      </c>
      <c r="Q47">
        <v>24.178999999999998</v>
      </c>
      <c r="R47">
        <v>3800.58</v>
      </c>
      <c r="S47">
        <v>3800.58</v>
      </c>
      <c r="T47">
        <v>0.3574</v>
      </c>
      <c r="U47">
        <v>108.63800000000001</v>
      </c>
      <c r="V47">
        <f t="shared" si="6"/>
        <v>0.59727307713453193</v>
      </c>
      <c r="W47">
        <f t="shared" si="7"/>
        <v>3.7544499999999999E-3</v>
      </c>
      <c r="X47">
        <f t="shared" si="8"/>
        <v>3.78408E-3</v>
      </c>
      <c r="Y47">
        <f t="shared" si="9"/>
        <v>3.4556299999999999E-3</v>
      </c>
      <c r="Z47">
        <f t="shared" si="10"/>
        <v>3.71616E-3</v>
      </c>
      <c r="AA47">
        <f t="shared" si="5"/>
        <v>3.6775799999999997E-3</v>
      </c>
    </row>
    <row r="48" spans="1:27" x14ac:dyDescent="0.3">
      <c r="A48">
        <v>43</v>
      </c>
      <c r="B48">
        <v>3.9268599999999999E-3</v>
      </c>
      <c r="C48">
        <v>9.38557E-2</v>
      </c>
      <c r="D48">
        <v>23.994800000000001</v>
      </c>
      <c r="E48">
        <v>23.901</v>
      </c>
      <c r="F48">
        <v>3.91267E-3</v>
      </c>
      <c r="G48">
        <v>9.6230700000000002E-2</v>
      </c>
      <c r="H48">
        <v>24.690899999999999</v>
      </c>
      <c r="I48">
        <v>24.5946</v>
      </c>
      <c r="J48">
        <v>3.55156E-3</v>
      </c>
      <c r="K48">
        <v>8.5117899999999996E-2</v>
      </c>
      <c r="L48">
        <v>24.051500000000001</v>
      </c>
      <c r="M48">
        <v>23.9664</v>
      </c>
      <c r="N48">
        <v>3.9150900000000004E-3</v>
      </c>
      <c r="O48">
        <v>9.4662899999999994E-2</v>
      </c>
      <c r="P48">
        <v>24.273599999999998</v>
      </c>
      <c r="Q48">
        <v>24.178999999999998</v>
      </c>
      <c r="R48">
        <v>3801.2</v>
      </c>
      <c r="S48">
        <v>3801.2</v>
      </c>
      <c r="T48">
        <v>0.36580000000000001</v>
      </c>
      <c r="U48">
        <v>111.158</v>
      </c>
      <c r="V48">
        <f t="shared" si="6"/>
        <v>0.61112760459618454</v>
      </c>
      <c r="W48">
        <f t="shared" si="7"/>
        <v>3.9268599999999999E-3</v>
      </c>
      <c r="X48">
        <f t="shared" si="8"/>
        <v>3.91267E-3</v>
      </c>
      <c r="Y48">
        <f t="shared" si="9"/>
        <v>3.55156E-3</v>
      </c>
      <c r="Z48">
        <f t="shared" si="10"/>
        <v>3.9150900000000004E-3</v>
      </c>
      <c r="AA48">
        <f t="shared" si="5"/>
        <v>3.8265450000000006E-3</v>
      </c>
    </row>
    <row r="49" spans="1:27" x14ac:dyDescent="0.3">
      <c r="A49">
        <v>44</v>
      </c>
      <c r="B49">
        <v>4.0693099999999996E-3</v>
      </c>
      <c r="C49">
        <v>9.7260299999999994E-2</v>
      </c>
      <c r="D49">
        <v>23.998200000000001</v>
      </c>
      <c r="E49">
        <v>23.901</v>
      </c>
      <c r="F49">
        <v>4.0665400000000004E-3</v>
      </c>
      <c r="G49">
        <v>0.10001500000000001</v>
      </c>
      <c r="H49">
        <v>24.694700000000001</v>
      </c>
      <c r="I49">
        <v>24.5946</v>
      </c>
      <c r="J49">
        <v>3.6878000000000002E-3</v>
      </c>
      <c r="K49">
        <v>8.8383100000000006E-2</v>
      </c>
      <c r="L49">
        <v>24.0547</v>
      </c>
      <c r="M49">
        <v>23.9664</v>
      </c>
      <c r="N49">
        <v>4.0485399999999998E-3</v>
      </c>
      <c r="O49">
        <v>9.7889400000000001E-2</v>
      </c>
      <c r="P49">
        <v>24.276900000000001</v>
      </c>
      <c r="Q49">
        <v>24.178999999999998</v>
      </c>
      <c r="R49">
        <v>3802.39</v>
      </c>
      <c r="S49">
        <v>3802.39</v>
      </c>
      <c r="T49">
        <v>0.37809999999999999</v>
      </c>
      <c r="U49">
        <v>114.84</v>
      </c>
      <c r="V49">
        <f t="shared" si="6"/>
        <v>0.63137060860959926</v>
      </c>
      <c r="W49">
        <f t="shared" si="7"/>
        <v>4.0693099999999996E-3</v>
      </c>
      <c r="X49">
        <f t="shared" si="8"/>
        <v>4.0665400000000004E-3</v>
      </c>
      <c r="Y49">
        <f t="shared" si="9"/>
        <v>3.6878000000000002E-3</v>
      </c>
      <c r="Z49">
        <f t="shared" si="10"/>
        <v>4.0485399999999998E-3</v>
      </c>
      <c r="AA49">
        <f t="shared" si="5"/>
        <v>3.9680475000000003E-3</v>
      </c>
    </row>
    <row r="50" spans="1:27" x14ac:dyDescent="0.3">
      <c r="A50">
        <v>45</v>
      </c>
      <c r="B50">
        <v>4.2344499999999998E-3</v>
      </c>
      <c r="C50">
        <v>0.10120700000000001</v>
      </c>
      <c r="D50">
        <v>24.002199999999998</v>
      </c>
      <c r="E50">
        <v>23.901</v>
      </c>
      <c r="F50">
        <v>4.2353800000000004E-3</v>
      </c>
      <c r="G50">
        <v>0.104168</v>
      </c>
      <c r="H50">
        <v>24.698799999999999</v>
      </c>
      <c r="I50">
        <v>24.5946</v>
      </c>
      <c r="J50">
        <v>3.82066E-3</v>
      </c>
      <c r="K50">
        <v>9.1567200000000001E-2</v>
      </c>
      <c r="L50">
        <v>24.0579</v>
      </c>
      <c r="M50">
        <v>23.9664</v>
      </c>
      <c r="N50">
        <v>4.2055199999999999E-3</v>
      </c>
      <c r="O50">
        <v>0.101685</v>
      </c>
      <c r="P50">
        <v>24.2807</v>
      </c>
      <c r="Q50">
        <v>24.178999999999998</v>
      </c>
      <c r="R50">
        <v>3803.01</v>
      </c>
      <c r="S50">
        <v>3803.01</v>
      </c>
      <c r="T50">
        <v>0.38290000000000002</v>
      </c>
      <c r="U50">
        <v>116.294</v>
      </c>
      <c r="V50">
        <f t="shared" si="6"/>
        <v>0.63936445104183848</v>
      </c>
      <c r="W50">
        <f t="shared" si="7"/>
        <v>4.2344499999999998E-3</v>
      </c>
      <c r="X50">
        <f t="shared" si="8"/>
        <v>4.2353800000000004E-3</v>
      </c>
      <c r="Y50">
        <f t="shared" si="9"/>
        <v>3.82066E-3</v>
      </c>
      <c r="Z50">
        <f t="shared" si="10"/>
        <v>4.2055199999999999E-3</v>
      </c>
      <c r="AA50">
        <f t="shared" si="5"/>
        <v>4.1240025000000005E-3</v>
      </c>
    </row>
    <row r="51" spans="1:27" x14ac:dyDescent="0.3">
      <c r="A51">
        <v>46</v>
      </c>
      <c r="B51">
        <v>4.3865900000000001E-3</v>
      </c>
      <c r="C51">
        <v>0.10484400000000001</v>
      </c>
      <c r="D51">
        <v>24.005800000000001</v>
      </c>
      <c r="E51">
        <v>23.901</v>
      </c>
      <c r="F51">
        <v>4.3706500000000002E-3</v>
      </c>
      <c r="G51">
        <v>0.10749499999999999</v>
      </c>
      <c r="H51">
        <v>24.702100000000002</v>
      </c>
      <c r="I51">
        <v>24.5946</v>
      </c>
      <c r="J51">
        <v>3.9240100000000003E-3</v>
      </c>
      <c r="K51">
        <v>9.4044299999999997E-2</v>
      </c>
      <c r="L51">
        <v>24.060400000000001</v>
      </c>
      <c r="M51">
        <v>23.9664</v>
      </c>
      <c r="N51">
        <v>4.3309899999999998E-3</v>
      </c>
      <c r="O51">
        <v>0.10471900000000001</v>
      </c>
      <c r="P51">
        <v>24.2837</v>
      </c>
      <c r="Q51">
        <v>24.178999999999998</v>
      </c>
      <c r="R51">
        <v>3803.76</v>
      </c>
      <c r="S51">
        <v>3803.76</v>
      </c>
      <c r="T51">
        <v>0.39319999999999999</v>
      </c>
      <c r="U51">
        <v>119.395</v>
      </c>
      <c r="V51">
        <f t="shared" si="6"/>
        <v>0.65641321677937214</v>
      </c>
      <c r="W51">
        <f t="shared" si="7"/>
        <v>4.3865900000000001E-3</v>
      </c>
      <c r="X51">
        <f t="shared" si="8"/>
        <v>4.3706500000000002E-3</v>
      </c>
      <c r="Y51">
        <f t="shared" si="9"/>
        <v>3.9240100000000003E-3</v>
      </c>
      <c r="Z51">
        <f t="shared" si="10"/>
        <v>4.3309899999999998E-3</v>
      </c>
      <c r="AA51">
        <f t="shared" si="5"/>
        <v>4.2530599999999995E-3</v>
      </c>
    </row>
    <row r="52" spans="1:27" x14ac:dyDescent="0.3">
      <c r="A52">
        <v>47</v>
      </c>
      <c r="B52">
        <v>4.6491900000000001E-3</v>
      </c>
      <c r="C52">
        <v>0.11112</v>
      </c>
      <c r="D52">
        <v>24.0121</v>
      </c>
      <c r="E52">
        <v>23.901</v>
      </c>
      <c r="F52">
        <v>4.62832E-3</v>
      </c>
      <c r="G52">
        <v>0.113832</v>
      </c>
      <c r="H52">
        <v>24.708500000000001</v>
      </c>
      <c r="I52">
        <v>24.5946</v>
      </c>
      <c r="J52">
        <v>4.16505E-3</v>
      </c>
      <c r="K52">
        <v>9.9821199999999999E-2</v>
      </c>
      <c r="L52">
        <v>24.066199999999998</v>
      </c>
      <c r="M52">
        <v>23.9664</v>
      </c>
      <c r="N52">
        <v>4.6183099999999996E-3</v>
      </c>
      <c r="O52">
        <v>0.111666</v>
      </c>
      <c r="P52">
        <v>24.290600000000001</v>
      </c>
      <c r="Q52">
        <v>24.178999999999998</v>
      </c>
      <c r="R52">
        <v>3804.76</v>
      </c>
      <c r="S52">
        <v>3804.76</v>
      </c>
      <c r="T52">
        <v>0.40129999999999999</v>
      </c>
      <c r="U52">
        <v>121.818</v>
      </c>
      <c r="V52">
        <f t="shared" si="6"/>
        <v>0.66973445489031835</v>
      </c>
      <c r="W52">
        <f t="shared" si="7"/>
        <v>4.6491900000000001E-3</v>
      </c>
      <c r="X52">
        <f t="shared" si="8"/>
        <v>4.62832E-3</v>
      </c>
      <c r="Y52">
        <f t="shared" si="9"/>
        <v>4.16505E-3</v>
      </c>
      <c r="Z52">
        <f t="shared" si="10"/>
        <v>4.6183099999999996E-3</v>
      </c>
      <c r="AA52">
        <f t="shared" si="5"/>
        <v>4.5152174999999999E-3</v>
      </c>
    </row>
    <row r="53" spans="1:27" x14ac:dyDescent="0.3">
      <c r="A53">
        <v>48</v>
      </c>
      <c r="B53">
        <v>4.8109299999999997E-3</v>
      </c>
      <c r="C53">
        <v>0.114986</v>
      </c>
      <c r="D53">
        <v>24.015899999999998</v>
      </c>
      <c r="E53">
        <v>23.901</v>
      </c>
      <c r="F53">
        <v>4.7808E-3</v>
      </c>
      <c r="G53">
        <v>0.11758200000000001</v>
      </c>
      <c r="H53">
        <v>24.712199999999999</v>
      </c>
      <c r="I53">
        <v>24.5946</v>
      </c>
      <c r="J53">
        <v>4.2933199999999998E-3</v>
      </c>
      <c r="K53">
        <v>0.102895</v>
      </c>
      <c r="L53">
        <v>24.069299999999998</v>
      </c>
      <c r="M53">
        <v>23.9664</v>
      </c>
      <c r="N53">
        <v>4.7483500000000001E-3</v>
      </c>
      <c r="O53">
        <v>0.11481</v>
      </c>
      <c r="P53">
        <v>24.293800000000001</v>
      </c>
      <c r="Q53">
        <v>24.178999999999998</v>
      </c>
      <c r="R53">
        <v>3805.25</v>
      </c>
      <c r="S53">
        <v>3805.25</v>
      </c>
      <c r="T53">
        <v>0.4022</v>
      </c>
      <c r="U53">
        <v>122.10899999999999</v>
      </c>
      <c r="V53">
        <f t="shared" si="6"/>
        <v>0.67133432294243767</v>
      </c>
      <c r="W53">
        <f t="shared" si="7"/>
        <v>4.8109299999999997E-3</v>
      </c>
      <c r="X53">
        <f t="shared" si="8"/>
        <v>4.7808E-3</v>
      </c>
      <c r="Y53">
        <f t="shared" si="9"/>
        <v>4.2933199999999998E-3</v>
      </c>
      <c r="Z53">
        <f t="shared" si="10"/>
        <v>4.7483500000000001E-3</v>
      </c>
      <c r="AA53">
        <f t="shared" si="5"/>
        <v>4.6583500000000003E-3</v>
      </c>
    </row>
    <row r="54" spans="1:27" x14ac:dyDescent="0.3">
      <c r="A54">
        <v>49</v>
      </c>
      <c r="B54">
        <v>5.0318100000000003E-3</v>
      </c>
      <c r="C54">
        <v>0.120265</v>
      </c>
      <c r="D54">
        <v>24.0212</v>
      </c>
      <c r="E54">
        <v>23.901</v>
      </c>
      <c r="F54">
        <v>5.0347500000000002E-3</v>
      </c>
      <c r="G54">
        <v>0.12382799999999999</v>
      </c>
      <c r="H54">
        <v>24.718499999999999</v>
      </c>
      <c r="I54">
        <v>24.5946</v>
      </c>
      <c r="J54">
        <v>4.5279500000000002E-3</v>
      </c>
      <c r="K54">
        <v>0.108518</v>
      </c>
      <c r="L54">
        <v>24.0749</v>
      </c>
      <c r="M54">
        <v>23.9664</v>
      </c>
      <c r="N54">
        <v>4.8774999999999999E-3</v>
      </c>
      <c r="O54">
        <v>0.117933</v>
      </c>
      <c r="P54">
        <v>24.296900000000001</v>
      </c>
      <c r="Q54">
        <v>24.178999999999998</v>
      </c>
      <c r="R54">
        <v>3806.13</v>
      </c>
      <c r="S54">
        <v>3806.13</v>
      </c>
      <c r="T54">
        <v>0.39419999999999999</v>
      </c>
      <c r="U54">
        <v>119.68600000000001</v>
      </c>
      <c r="V54">
        <f t="shared" si="6"/>
        <v>0.65801308483149157</v>
      </c>
      <c r="W54">
        <f t="shared" si="7"/>
        <v>5.0318100000000003E-3</v>
      </c>
      <c r="X54">
        <f t="shared" si="8"/>
        <v>5.0347500000000002E-3</v>
      </c>
      <c r="Y54">
        <f t="shared" si="9"/>
        <v>4.5279500000000002E-3</v>
      </c>
      <c r="Z54">
        <f t="shared" si="10"/>
        <v>4.8774999999999999E-3</v>
      </c>
      <c r="AA54">
        <f t="shared" si="5"/>
        <v>4.8680025000000004E-3</v>
      </c>
    </row>
    <row r="55" spans="1:27" x14ac:dyDescent="0.3">
      <c r="A55">
        <v>50</v>
      </c>
      <c r="B55">
        <v>5.0401200000000004E-3</v>
      </c>
      <c r="C55">
        <v>0.120464</v>
      </c>
      <c r="D55">
        <v>24.0214</v>
      </c>
      <c r="E55">
        <v>23.901</v>
      </c>
      <c r="F55">
        <v>5.03712E-3</v>
      </c>
      <c r="G55">
        <v>0.123886</v>
      </c>
      <c r="H55">
        <v>24.718499999999999</v>
      </c>
      <c r="I55">
        <v>24.5946</v>
      </c>
      <c r="J55">
        <v>4.5190500000000002E-3</v>
      </c>
      <c r="K55">
        <v>0.108305</v>
      </c>
      <c r="L55">
        <v>24.0747</v>
      </c>
      <c r="M55">
        <v>23.9664</v>
      </c>
      <c r="N55">
        <v>4.8955600000000002E-3</v>
      </c>
      <c r="O55">
        <v>0.11837</v>
      </c>
      <c r="P55">
        <v>24.2973</v>
      </c>
      <c r="Q55">
        <v>24.178999999999998</v>
      </c>
      <c r="R55">
        <v>3806.32</v>
      </c>
      <c r="S55">
        <v>3806.32</v>
      </c>
      <c r="T55">
        <v>0.39389999999999997</v>
      </c>
      <c r="U55">
        <v>119.589</v>
      </c>
      <c r="V55">
        <f t="shared" si="6"/>
        <v>0.65747979548078506</v>
      </c>
      <c r="W55">
        <f t="shared" si="7"/>
        <v>5.0401200000000004E-3</v>
      </c>
      <c r="X55">
        <f t="shared" si="8"/>
        <v>5.03712E-3</v>
      </c>
      <c r="Y55">
        <f t="shared" si="9"/>
        <v>4.5190500000000002E-3</v>
      </c>
      <c r="Z55">
        <f t="shared" si="10"/>
        <v>4.8955600000000002E-3</v>
      </c>
      <c r="AA55">
        <f t="shared" si="5"/>
        <v>4.8729625000000004E-3</v>
      </c>
    </row>
    <row r="56" spans="1:27" x14ac:dyDescent="0.3">
      <c r="A56">
        <v>51</v>
      </c>
      <c r="B56">
        <v>5.2829599999999997E-3</v>
      </c>
      <c r="C56">
        <v>0.12626799999999999</v>
      </c>
      <c r="D56">
        <v>24.027200000000001</v>
      </c>
      <c r="E56">
        <v>23.901</v>
      </c>
      <c r="F56">
        <v>5.2802200000000004E-3</v>
      </c>
      <c r="G56">
        <v>0.12986500000000001</v>
      </c>
      <c r="H56">
        <v>24.724499999999999</v>
      </c>
      <c r="I56">
        <v>24.5946</v>
      </c>
      <c r="J56">
        <v>4.7267799999999999E-3</v>
      </c>
      <c r="K56">
        <v>0.113284</v>
      </c>
      <c r="L56">
        <v>24.079599999999999</v>
      </c>
      <c r="M56">
        <v>23.9664</v>
      </c>
      <c r="N56">
        <v>5.0963900000000001E-3</v>
      </c>
      <c r="O56">
        <v>0.123225</v>
      </c>
      <c r="P56">
        <v>24.302199999999999</v>
      </c>
      <c r="Q56">
        <v>24.178999999999998</v>
      </c>
      <c r="R56">
        <v>3807.38</v>
      </c>
      <c r="S56">
        <v>3807.38</v>
      </c>
      <c r="T56">
        <v>0.39610000000000001</v>
      </c>
      <c r="U56">
        <v>120.267</v>
      </c>
      <c r="V56">
        <f t="shared" si="6"/>
        <v>0.66120732310737251</v>
      </c>
      <c r="W56">
        <f t="shared" si="7"/>
        <v>5.2829599999999997E-3</v>
      </c>
      <c r="X56">
        <f t="shared" si="8"/>
        <v>5.2802200000000004E-3</v>
      </c>
      <c r="Y56">
        <f t="shared" si="9"/>
        <v>4.7267799999999999E-3</v>
      </c>
      <c r="Z56">
        <f t="shared" si="10"/>
        <v>5.0963900000000001E-3</v>
      </c>
      <c r="AA56">
        <f t="shared" si="5"/>
        <v>5.0965875000000002E-3</v>
      </c>
    </row>
    <row r="57" spans="1:27" x14ac:dyDescent="0.3">
      <c r="A57">
        <v>52</v>
      </c>
      <c r="B57">
        <v>5.5749800000000002E-3</v>
      </c>
      <c r="C57">
        <v>0.133247</v>
      </c>
      <c r="D57">
        <v>24.034199999999998</v>
      </c>
      <c r="E57">
        <v>23.901</v>
      </c>
      <c r="F57">
        <v>5.57107E-3</v>
      </c>
      <c r="G57">
        <v>0.137019</v>
      </c>
      <c r="H57">
        <v>24.7317</v>
      </c>
      <c r="I57">
        <v>24.5946</v>
      </c>
      <c r="J57">
        <v>4.96774E-3</v>
      </c>
      <c r="K57">
        <v>0.119059</v>
      </c>
      <c r="L57">
        <v>24.0854</v>
      </c>
      <c r="M57">
        <v>23.9664</v>
      </c>
      <c r="N57">
        <v>5.3777299999999998E-3</v>
      </c>
      <c r="O57">
        <v>0.130028</v>
      </c>
      <c r="P57">
        <v>24.309000000000001</v>
      </c>
      <c r="Q57">
        <v>24.178999999999998</v>
      </c>
      <c r="R57">
        <v>3808.94</v>
      </c>
      <c r="S57">
        <v>3808.94</v>
      </c>
      <c r="T57">
        <v>0.40610000000000002</v>
      </c>
      <c r="U57">
        <v>123.27200000000001</v>
      </c>
      <c r="V57">
        <f t="shared" si="6"/>
        <v>0.67772829732255757</v>
      </c>
      <c r="W57">
        <f t="shared" si="7"/>
        <v>5.5749800000000002E-3</v>
      </c>
      <c r="X57">
        <f t="shared" si="8"/>
        <v>5.57107E-3</v>
      </c>
      <c r="Y57">
        <f t="shared" si="9"/>
        <v>4.96774E-3</v>
      </c>
      <c r="Z57">
        <f t="shared" si="10"/>
        <v>5.3777299999999998E-3</v>
      </c>
      <c r="AA57">
        <f t="shared" si="5"/>
        <v>5.3728800000000009E-3</v>
      </c>
    </row>
    <row r="58" spans="1:27" x14ac:dyDescent="0.3">
      <c r="A58">
        <v>53</v>
      </c>
      <c r="B58">
        <v>5.9404000000000002E-3</v>
      </c>
      <c r="C58">
        <v>0.141981</v>
      </c>
      <c r="D58">
        <v>24.042899999999999</v>
      </c>
      <c r="E58">
        <v>23.901</v>
      </c>
      <c r="F58">
        <v>5.9241299999999997E-3</v>
      </c>
      <c r="G58">
        <v>0.145702</v>
      </c>
      <c r="H58">
        <v>24.740300000000001</v>
      </c>
      <c r="I58">
        <v>24.5946</v>
      </c>
      <c r="J58">
        <v>5.2374300000000004E-3</v>
      </c>
      <c r="K58">
        <v>0.12552199999999999</v>
      </c>
      <c r="L58">
        <v>24.091899999999999</v>
      </c>
      <c r="M58">
        <v>23.9664</v>
      </c>
      <c r="N58">
        <v>5.7382500000000003E-3</v>
      </c>
      <c r="O58">
        <v>0.13874500000000001</v>
      </c>
      <c r="P58">
        <v>24.317699999999999</v>
      </c>
      <c r="Q58">
        <v>24.178999999999998</v>
      </c>
      <c r="R58">
        <v>3810.19</v>
      </c>
      <c r="S58">
        <v>3810.19</v>
      </c>
      <c r="T58">
        <v>0.4138</v>
      </c>
      <c r="U58">
        <v>125.598</v>
      </c>
      <c r="V58">
        <f t="shared" si="6"/>
        <v>0.69051624608279727</v>
      </c>
      <c r="W58">
        <f t="shared" si="7"/>
        <v>5.9404000000000002E-3</v>
      </c>
      <c r="X58">
        <f t="shared" si="8"/>
        <v>5.9241299999999997E-3</v>
      </c>
      <c r="Y58">
        <f t="shared" si="9"/>
        <v>5.2374300000000004E-3</v>
      </c>
      <c r="Z58">
        <f t="shared" si="10"/>
        <v>5.7382500000000003E-3</v>
      </c>
      <c r="AA58">
        <f t="shared" si="5"/>
        <v>5.7100524999999999E-3</v>
      </c>
    </row>
    <row r="59" spans="1:27" x14ac:dyDescent="0.3">
      <c r="A59">
        <v>54</v>
      </c>
      <c r="B59">
        <v>6.2992300000000003E-3</v>
      </c>
      <c r="C59">
        <v>0.150558</v>
      </c>
      <c r="D59">
        <v>24.051500000000001</v>
      </c>
      <c r="E59">
        <v>23.901</v>
      </c>
      <c r="F59">
        <v>6.3250499999999996E-3</v>
      </c>
      <c r="G59">
        <v>0.15556200000000001</v>
      </c>
      <c r="H59">
        <v>24.7502</v>
      </c>
      <c r="I59">
        <v>24.5946</v>
      </c>
      <c r="J59">
        <v>5.5729000000000004E-3</v>
      </c>
      <c r="K59">
        <v>0.13356199999999999</v>
      </c>
      <c r="L59">
        <v>24.099900000000002</v>
      </c>
      <c r="M59">
        <v>23.9664</v>
      </c>
      <c r="N59">
        <v>6.1108200000000003E-3</v>
      </c>
      <c r="O59">
        <v>0.147753</v>
      </c>
      <c r="P59">
        <v>24.326699999999999</v>
      </c>
      <c r="Q59">
        <v>24.178999999999998</v>
      </c>
      <c r="R59">
        <v>3811.93</v>
      </c>
      <c r="S59">
        <v>3811.93</v>
      </c>
      <c r="T59">
        <v>0.42249999999999999</v>
      </c>
      <c r="U59">
        <v>128.214</v>
      </c>
      <c r="V59">
        <f t="shared" si="6"/>
        <v>0.7048985650667986</v>
      </c>
      <c r="W59">
        <f t="shared" si="7"/>
        <v>6.2992300000000003E-3</v>
      </c>
      <c r="X59">
        <f t="shared" si="8"/>
        <v>6.3250499999999996E-3</v>
      </c>
      <c r="Y59">
        <f t="shared" si="9"/>
        <v>5.5729000000000004E-3</v>
      </c>
      <c r="Z59">
        <f t="shared" si="10"/>
        <v>6.1108200000000003E-3</v>
      </c>
      <c r="AA59">
        <f t="shared" si="5"/>
        <v>6.0769999999999999E-3</v>
      </c>
    </row>
    <row r="60" spans="1:27" x14ac:dyDescent="0.3">
      <c r="A60">
        <v>55</v>
      </c>
      <c r="B60">
        <v>6.4584600000000001E-3</v>
      </c>
      <c r="C60">
        <v>0.154363</v>
      </c>
      <c r="D60">
        <v>24.055299999999999</v>
      </c>
      <c r="E60">
        <v>23.901</v>
      </c>
      <c r="F60">
        <v>6.5231000000000004E-3</v>
      </c>
      <c r="G60">
        <v>0.16043299999999999</v>
      </c>
      <c r="H60">
        <v>24.755099999999999</v>
      </c>
      <c r="I60">
        <v>24.5946</v>
      </c>
      <c r="J60">
        <v>5.6884400000000003E-3</v>
      </c>
      <c r="K60">
        <v>0.13633100000000001</v>
      </c>
      <c r="L60">
        <v>24.102699999999999</v>
      </c>
      <c r="M60">
        <v>23.9664</v>
      </c>
      <c r="N60">
        <v>6.26832E-3</v>
      </c>
      <c r="O60">
        <v>0.151562</v>
      </c>
      <c r="P60">
        <v>24.330500000000001</v>
      </c>
      <c r="Q60">
        <v>24.178999999999998</v>
      </c>
      <c r="R60">
        <v>3812.43</v>
      </c>
      <c r="S60">
        <v>3812.43</v>
      </c>
      <c r="T60">
        <v>0.41160000000000002</v>
      </c>
      <c r="U60">
        <v>124.919</v>
      </c>
      <c r="V60">
        <f t="shared" si="6"/>
        <v>0.68678322062785191</v>
      </c>
      <c r="W60">
        <f t="shared" si="7"/>
        <v>6.4584600000000001E-3</v>
      </c>
      <c r="X60">
        <f t="shared" si="8"/>
        <v>6.5231000000000004E-3</v>
      </c>
      <c r="Y60">
        <f t="shared" si="9"/>
        <v>5.6884400000000003E-3</v>
      </c>
      <c r="Z60">
        <f t="shared" si="10"/>
        <v>6.26832E-3</v>
      </c>
      <c r="AA60">
        <f t="shared" si="5"/>
        <v>6.23458E-3</v>
      </c>
    </row>
    <row r="61" spans="1:27" x14ac:dyDescent="0.3">
      <c r="A61">
        <v>56</v>
      </c>
      <c r="B61">
        <v>6.7869499999999999E-3</v>
      </c>
      <c r="C61">
        <v>0.162215</v>
      </c>
      <c r="D61">
        <v>24.063199999999998</v>
      </c>
      <c r="E61">
        <v>23.901</v>
      </c>
      <c r="F61">
        <v>6.9012400000000003E-3</v>
      </c>
      <c r="G61">
        <v>0.169734</v>
      </c>
      <c r="H61">
        <v>24.764399999999998</v>
      </c>
      <c r="I61">
        <v>24.5946</v>
      </c>
      <c r="J61">
        <v>5.9594000000000001E-3</v>
      </c>
      <c r="K61">
        <v>0.14282500000000001</v>
      </c>
      <c r="L61">
        <v>24.109200000000001</v>
      </c>
      <c r="M61">
        <v>23.9664</v>
      </c>
      <c r="N61">
        <v>6.6035E-3</v>
      </c>
      <c r="O61">
        <v>0.159666</v>
      </c>
      <c r="P61">
        <v>24.3386</v>
      </c>
      <c r="Q61">
        <v>24.178999999999998</v>
      </c>
      <c r="R61">
        <v>3814.43</v>
      </c>
      <c r="S61">
        <v>3814.43</v>
      </c>
      <c r="T61">
        <v>0.41639999999999999</v>
      </c>
      <c r="U61">
        <v>126.373</v>
      </c>
      <c r="V61">
        <f t="shared" ref="V61:V124" si="11">U61/$A$2/$B$2</f>
        <v>0.69477706306009124</v>
      </c>
      <c r="W61">
        <f t="shared" ref="W61:W124" si="12">B61</f>
        <v>6.7869499999999999E-3</v>
      </c>
      <c r="X61">
        <f t="shared" ref="X61:X124" si="13">F61</f>
        <v>6.9012400000000003E-3</v>
      </c>
      <c r="Y61">
        <f t="shared" ref="Y61:Y124" si="14">J61</f>
        <v>5.9594000000000001E-3</v>
      </c>
      <c r="Z61">
        <f t="shared" ref="Z61:Z124" si="15">N61</f>
        <v>6.6035E-3</v>
      </c>
      <c r="AA61">
        <f t="shared" si="5"/>
        <v>6.5627724999999994E-3</v>
      </c>
    </row>
    <row r="62" spans="1:27" x14ac:dyDescent="0.3">
      <c r="A62">
        <v>57</v>
      </c>
      <c r="B62">
        <v>7.0996999999999996E-3</v>
      </c>
      <c r="C62">
        <v>0.16969000000000001</v>
      </c>
      <c r="D62">
        <v>24.070599999999999</v>
      </c>
      <c r="E62">
        <v>23.901</v>
      </c>
      <c r="F62">
        <v>7.2597599999999997E-3</v>
      </c>
      <c r="G62">
        <v>0.17855099999999999</v>
      </c>
      <c r="H62">
        <v>24.773199999999999</v>
      </c>
      <c r="I62">
        <v>24.5946</v>
      </c>
      <c r="J62">
        <v>6.2358800000000001E-3</v>
      </c>
      <c r="K62">
        <v>0.149451</v>
      </c>
      <c r="L62">
        <v>24.1158</v>
      </c>
      <c r="M62">
        <v>23.9664</v>
      </c>
      <c r="N62">
        <v>6.8942099999999996E-3</v>
      </c>
      <c r="O62">
        <v>0.16669500000000001</v>
      </c>
      <c r="P62">
        <v>24.345700000000001</v>
      </c>
      <c r="Q62">
        <v>24.178999999999998</v>
      </c>
      <c r="R62">
        <v>3815.93</v>
      </c>
      <c r="S62">
        <v>3815.93</v>
      </c>
      <c r="T62">
        <v>0.42899999999999999</v>
      </c>
      <c r="U62">
        <v>130.15199999999999</v>
      </c>
      <c r="V62">
        <f t="shared" si="11"/>
        <v>0.71555335642421236</v>
      </c>
      <c r="W62">
        <f t="shared" si="12"/>
        <v>7.0996999999999996E-3</v>
      </c>
      <c r="X62">
        <f t="shared" si="13"/>
        <v>7.2597599999999997E-3</v>
      </c>
      <c r="Y62">
        <f t="shared" si="14"/>
        <v>6.2358800000000001E-3</v>
      </c>
      <c r="Z62">
        <f t="shared" si="15"/>
        <v>6.8942099999999996E-3</v>
      </c>
      <c r="AA62">
        <f t="shared" si="5"/>
        <v>6.8723875000000004E-3</v>
      </c>
    </row>
    <row r="63" spans="1:27" x14ac:dyDescent="0.3">
      <c r="A63">
        <v>58</v>
      </c>
      <c r="B63">
        <v>7.2557899999999998E-3</v>
      </c>
      <c r="C63">
        <v>0.17341999999999999</v>
      </c>
      <c r="D63">
        <v>24.074400000000001</v>
      </c>
      <c r="E63">
        <v>23.901</v>
      </c>
      <c r="F63">
        <v>7.4091599999999997E-3</v>
      </c>
      <c r="G63">
        <v>0.182226</v>
      </c>
      <c r="H63">
        <v>24.776900000000001</v>
      </c>
      <c r="I63">
        <v>24.5946</v>
      </c>
      <c r="J63">
        <v>6.3353699999999999E-3</v>
      </c>
      <c r="K63">
        <v>0.151836</v>
      </c>
      <c r="L63">
        <v>24.118200000000002</v>
      </c>
      <c r="M63">
        <v>23.9664</v>
      </c>
      <c r="N63">
        <v>7.0503600000000003E-3</v>
      </c>
      <c r="O63">
        <v>0.17047100000000001</v>
      </c>
      <c r="P63">
        <v>24.349399999999999</v>
      </c>
      <c r="Q63">
        <v>24.178999999999998</v>
      </c>
      <c r="R63">
        <v>3816.61</v>
      </c>
      <c r="S63">
        <v>3816.61</v>
      </c>
      <c r="T63">
        <v>0.43090000000000001</v>
      </c>
      <c r="U63">
        <v>130.73400000000001</v>
      </c>
      <c r="V63">
        <f t="shared" si="11"/>
        <v>0.71875309252845132</v>
      </c>
      <c r="W63">
        <f t="shared" si="12"/>
        <v>7.2557899999999998E-3</v>
      </c>
      <c r="X63">
        <f t="shared" si="13"/>
        <v>7.4091599999999997E-3</v>
      </c>
      <c r="Y63">
        <f t="shared" si="14"/>
        <v>6.3353699999999999E-3</v>
      </c>
      <c r="Z63">
        <f t="shared" si="15"/>
        <v>7.0503600000000003E-3</v>
      </c>
      <c r="AA63">
        <f t="shared" si="5"/>
        <v>7.0126700000000004E-3</v>
      </c>
    </row>
    <row r="64" spans="1:27" x14ac:dyDescent="0.3">
      <c r="A64">
        <v>59</v>
      </c>
      <c r="B64">
        <v>7.8072200000000001E-3</v>
      </c>
      <c r="C64">
        <v>0.18659999999999999</v>
      </c>
      <c r="D64">
        <v>24.087599999999998</v>
      </c>
      <c r="E64">
        <v>23.901</v>
      </c>
      <c r="F64">
        <v>7.9885700000000004E-3</v>
      </c>
      <c r="G64">
        <v>0.19647600000000001</v>
      </c>
      <c r="H64">
        <v>24.7911</v>
      </c>
      <c r="I64">
        <v>24.5946</v>
      </c>
      <c r="J64">
        <v>6.7848300000000004E-3</v>
      </c>
      <c r="K64">
        <v>0.162608</v>
      </c>
      <c r="L64">
        <v>24.129000000000001</v>
      </c>
      <c r="M64">
        <v>23.9664</v>
      </c>
      <c r="N64">
        <v>7.5821200000000004E-3</v>
      </c>
      <c r="O64">
        <v>0.18332799999999999</v>
      </c>
      <c r="P64">
        <v>24.362300000000001</v>
      </c>
      <c r="Q64">
        <v>24.178999999999998</v>
      </c>
      <c r="R64">
        <v>3819.23</v>
      </c>
      <c r="S64">
        <v>3819.23</v>
      </c>
      <c r="T64">
        <v>0.44379999999999997</v>
      </c>
      <c r="U64">
        <v>134.61000000000001</v>
      </c>
      <c r="V64">
        <f t="shared" si="11"/>
        <v>0.74006267524327907</v>
      </c>
      <c r="W64">
        <f t="shared" si="12"/>
        <v>7.8072200000000001E-3</v>
      </c>
      <c r="X64">
        <f t="shared" si="13"/>
        <v>7.9885700000000004E-3</v>
      </c>
      <c r="Y64">
        <f t="shared" si="14"/>
        <v>6.7848300000000004E-3</v>
      </c>
      <c r="Z64">
        <f t="shared" si="15"/>
        <v>7.5821200000000004E-3</v>
      </c>
      <c r="AA64">
        <f t="shared" si="5"/>
        <v>7.540685000000001E-3</v>
      </c>
    </row>
    <row r="65" spans="1:27" x14ac:dyDescent="0.3">
      <c r="A65">
        <v>60</v>
      </c>
      <c r="B65">
        <v>8.0139600000000005E-3</v>
      </c>
      <c r="C65">
        <v>0.19154099999999999</v>
      </c>
      <c r="D65">
        <v>24.092500000000001</v>
      </c>
      <c r="E65">
        <v>23.901</v>
      </c>
      <c r="F65">
        <v>8.2092799999999994E-3</v>
      </c>
      <c r="G65">
        <v>0.201904</v>
      </c>
      <c r="H65">
        <v>24.796600000000002</v>
      </c>
      <c r="I65">
        <v>24.5946</v>
      </c>
      <c r="J65">
        <v>6.9520700000000003E-3</v>
      </c>
      <c r="K65">
        <v>0.16661599999999999</v>
      </c>
      <c r="L65">
        <v>24.132999999999999</v>
      </c>
      <c r="M65">
        <v>23.9664</v>
      </c>
      <c r="N65">
        <v>7.7682599999999999E-3</v>
      </c>
      <c r="O65">
        <v>0.187829</v>
      </c>
      <c r="P65">
        <v>24.366800000000001</v>
      </c>
      <c r="Q65">
        <v>24.178999999999998</v>
      </c>
      <c r="R65">
        <v>3820.05</v>
      </c>
      <c r="S65">
        <v>3820.05</v>
      </c>
      <c r="T65">
        <v>0.45090000000000002</v>
      </c>
      <c r="U65">
        <v>136.74199999999999</v>
      </c>
      <c r="V65">
        <f t="shared" si="11"/>
        <v>0.75178404530210563</v>
      </c>
      <c r="W65">
        <f t="shared" si="12"/>
        <v>8.0139600000000005E-3</v>
      </c>
      <c r="X65">
        <f t="shared" si="13"/>
        <v>8.2092799999999994E-3</v>
      </c>
      <c r="Y65">
        <f t="shared" si="14"/>
        <v>6.9520700000000003E-3</v>
      </c>
      <c r="Z65">
        <f t="shared" si="15"/>
        <v>7.7682599999999999E-3</v>
      </c>
      <c r="AA65">
        <f t="shared" si="5"/>
        <v>7.7358925E-3</v>
      </c>
    </row>
    <row r="66" spans="1:27" x14ac:dyDescent="0.3">
      <c r="A66">
        <v>61</v>
      </c>
      <c r="B66">
        <v>8.0944199999999997E-3</v>
      </c>
      <c r="C66">
        <v>0.193464</v>
      </c>
      <c r="D66">
        <v>24.0944</v>
      </c>
      <c r="E66">
        <v>23.901</v>
      </c>
      <c r="F66">
        <v>8.2958300000000006E-3</v>
      </c>
      <c r="G66">
        <v>0.20403299999999999</v>
      </c>
      <c r="H66">
        <v>24.7987</v>
      </c>
      <c r="I66">
        <v>24.5946</v>
      </c>
      <c r="J66">
        <v>7.0146100000000001E-3</v>
      </c>
      <c r="K66">
        <v>0.16811499999999999</v>
      </c>
      <c r="L66">
        <v>24.134499999999999</v>
      </c>
      <c r="M66">
        <v>23.9664</v>
      </c>
      <c r="N66">
        <v>7.8437100000000003E-3</v>
      </c>
      <c r="O66">
        <v>0.18965299999999999</v>
      </c>
      <c r="P66">
        <v>24.368600000000001</v>
      </c>
      <c r="Q66">
        <v>24.178999999999998</v>
      </c>
      <c r="R66">
        <v>3820.54</v>
      </c>
      <c r="S66">
        <v>3820.54</v>
      </c>
      <c r="T66">
        <v>0.4496</v>
      </c>
      <c r="U66">
        <v>136.35499999999999</v>
      </c>
      <c r="V66">
        <f t="shared" si="11"/>
        <v>0.74965638572763749</v>
      </c>
      <c r="W66">
        <f t="shared" si="12"/>
        <v>8.0944199999999997E-3</v>
      </c>
      <c r="X66">
        <f t="shared" si="13"/>
        <v>8.2958300000000006E-3</v>
      </c>
      <c r="Y66">
        <f t="shared" si="14"/>
        <v>7.0146100000000001E-3</v>
      </c>
      <c r="Z66">
        <f t="shared" si="15"/>
        <v>7.8437100000000003E-3</v>
      </c>
      <c r="AA66">
        <f t="shared" si="5"/>
        <v>7.8121425000000008E-3</v>
      </c>
    </row>
    <row r="67" spans="1:27" x14ac:dyDescent="0.3">
      <c r="A67">
        <v>62</v>
      </c>
      <c r="B67">
        <v>8.2345400000000003E-3</v>
      </c>
      <c r="C67">
        <v>0.19681299999999999</v>
      </c>
      <c r="D67">
        <v>24.097799999999999</v>
      </c>
      <c r="E67">
        <v>23.901</v>
      </c>
      <c r="F67">
        <v>8.4394499999999994E-3</v>
      </c>
      <c r="G67">
        <v>0.207565</v>
      </c>
      <c r="H67">
        <v>24.802199999999999</v>
      </c>
      <c r="I67">
        <v>24.5946</v>
      </c>
      <c r="J67">
        <v>7.1142100000000002E-3</v>
      </c>
      <c r="K67">
        <v>0.17050199999999999</v>
      </c>
      <c r="L67">
        <v>24.136900000000001</v>
      </c>
      <c r="M67">
        <v>23.9664</v>
      </c>
      <c r="N67">
        <v>7.9726599999999995E-3</v>
      </c>
      <c r="O67">
        <v>0.192771</v>
      </c>
      <c r="P67">
        <v>24.371700000000001</v>
      </c>
      <c r="Q67">
        <v>24.178999999999998</v>
      </c>
      <c r="R67">
        <v>3821.04</v>
      </c>
      <c r="S67">
        <v>3821.04</v>
      </c>
      <c r="T67">
        <v>0.4461</v>
      </c>
      <c r="U67">
        <v>135.28899999999999</v>
      </c>
      <c r="V67">
        <f t="shared" si="11"/>
        <v>0.74379570069822409</v>
      </c>
      <c r="W67">
        <f t="shared" si="12"/>
        <v>8.2345400000000003E-3</v>
      </c>
      <c r="X67">
        <f t="shared" si="13"/>
        <v>8.4394499999999994E-3</v>
      </c>
      <c r="Y67">
        <f t="shared" si="14"/>
        <v>7.1142100000000002E-3</v>
      </c>
      <c r="Z67">
        <f t="shared" si="15"/>
        <v>7.9726599999999995E-3</v>
      </c>
      <c r="AA67">
        <f t="shared" si="5"/>
        <v>7.9402150000000005E-3</v>
      </c>
    </row>
    <row r="68" spans="1:27" x14ac:dyDescent="0.3">
      <c r="A68">
        <v>63</v>
      </c>
      <c r="B68">
        <v>9.0441900000000006E-3</v>
      </c>
      <c r="C68">
        <v>0.216165</v>
      </c>
      <c r="D68">
        <v>24.117100000000001</v>
      </c>
      <c r="E68">
        <v>23.901</v>
      </c>
      <c r="F68">
        <v>9.2989500000000003E-3</v>
      </c>
      <c r="G68">
        <v>0.22870399999999999</v>
      </c>
      <c r="H68">
        <v>24.823399999999999</v>
      </c>
      <c r="I68">
        <v>24.5946</v>
      </c>
      <c r="J68">
        <v>7.7192800000000002E-3</v>
      </c>
      <c r="K68">
        <v>0.185003</v>
      </c>
      <c r="L68">
        <v>24.151399999999999</v>
      </c>
      <c r="M68">
        <v>23.9664</v>
      </c>
      <c r="N68">
        <v>8.7280699999999992E-3</v>
      </c>
      <c r="O68">
        <v>0.211036</v>
      </c>
      <c r="P68">
        <v>24.39</v>
      </c>
      <c r="Q68">
        <v>24.178999999999998</v>
      </c>
      <c r="R68">
        <v>3824.6</v>
      </c>
      <c r="S68">
        <v>3824.6</v>
      </c>
      <c r="T68">
        <v>0.46350000000000002</v>
      </c>
      <c r="U68">
        <v>140.52199999999999</v>
      </c>
      <c r="V68">
        <f t="shared" si="11"/>
        <v>0.77256583649458466</v>
      </c>
      <c r="W68">
        <f t="shared" si="12"/>
        <v>9.0441900000000006E-3</v>
      </c>
      <c r="X68">
        <f t="shared" si="13"/>
        <v>9.2989500000000003E-3</v>
      </c>
      <c r="Y68">
        <f t="shared" si="14"/>
        <v>7.7192800000000002E-3</v>
      </c>
      <c r="Z68">
        <f t="shared" si="15"/>
        <v>8.7280699999999992E-3</v>
      </c>
      <c r="AA68">
        <f t="shared" si="5"/>
        <v>8.6976225000000001E-3</v>
      </c>
    </row>
    <row r="69" spans="1:27" x14ac:dyDescent="0.3">
      <c r="A69">
        <v>64</v>
      </c>
      <c r="B69">
        <v>9.2014200000000001E-3</v>
      </c>
      <c r="C69">
        <v>0.21992300000000001</v>
      </c>
      <c r="D69">
        <v>24.120899999999999</v>
      </c>
      <c r="E69">
        <v>23.901</v>
      </c>
      <c r="F69">
        <v>9.4739300000000002E-3</v>
      </c>
      <c r="G69">
        <v>0.23300799999999999</v>
      </c>
      <c r="H69">
        <v>24.8277</v>
      </c>
      <c r="I69">
        <v>24.5946</v>
      </c>
      <c r="J69">
        <v>7.8576600000000007E-3</v>
      </c>
      <c r="K69">
        <v>0.18831899999999999</v>
      </c>
      <c r="L69">
        <v>24.154699999999998</v>
      </c>
      <c r="M69">
        <v>23.9664</v>
      </c>
      <c r="N69">
        <v>8.8803200000000006E-3</v>
      </c>
      <c r="O69">
        <v>0.21471699999999999</v>
      </c>
      <c r="P69">
        <v>24.393699999999999</v>
      </c>
      <c r="Q69">
        <v>24.178999999999998</v>
      </c>
      <c r="R69">
        <v>3825.47</v>
      </c>
      <c r="S69">
        <v>3825.47</v>
      </c>
      <c r="T69">
        <v>0.46729999999999999</v>
      </c>
      <c r="U69">
        <v>141.685</v>
      </c>
      <c r="V69">
        <f t="shared" si="11"/>
        <v>0.77895981087470445</v>
      </c>
      <c r="W69">
        <f t="shared" si="12"/>
        <v>9.2014200000000001E-3</v>
      </c>
      <c r="X69">
        <f t="shared" si="13"/>
        <v>9.4739300000000002E-3</v>
      </c>
      <c r="Y69">
        <f t="shared" si="14"/>
        <v>7.8576600000000007E-3</v>
      </c>
      <c r="Z69">
        <f t="shared" si="15"/>
        <v>8.8803200000000006E-3</v>
      </c>
      <c r="AA69">
        <f t="shared" si="5"/>
        <v>8.8533325000000017E-3</v>
      </c>
    </row>
    <row r="70" spans="1:27" x14ac:dyDescent="0.3">
      <c r="A70">
        <v>65</v>
      </c>
      <c r="B70">
        <v>9.2522899999999998E-3</v>
      </c>
      <c r="C70">
        <v>0.221139</v>
      </c>
      <c r="D70">
        <v>24.1221</v>
      </c>
      <c r="E70">
        <v>23.901</v>
      </c>
      <c r="F70">
        <v>9.5268999999999996E-3</v>
      </c>
      <c r="G70">
        <v>0.23431099999999999</v>
      </c>
      <c r="H70">
        <v>24.829000000000001</v>
      </c>
      <c r="I70">
        <v>24.5946</v>
      </c>
      <c r="J70">
        <v>7.8519799999999997E-3</v>
      </c>
      <c r="K70">
        <v>0.18818299999999999</v>
      </c>
      <c r="L70">
        <v>24.154499999999999</v>
      </c>
      <c r="M70">
        <v>23.9664</v>
      </c>
      <c r="N70">
        <v>8.9090599999999999E-3</v>
      </c>
      <c r="O70">
        <v>0.21541199999999999</v>
      </c>
      <c r="P70">
        <v>24.394400000000001</v>
      </c>
      <c r="Q70">
        <v>24.178999999999998</v>
      </c>
      <c r="R70">
        <v>3825.6</v>
      </c>
      <c r="S70">
        <v>3825.6</v>
      </c>
      <c r="T70">
        <v>0.47249999999999998</v>
      </c>
      <c r="U70">
        <v>143.23599999999999</v>
      </c>
      <c r="V70">
        <f t="shared" si="11"/>
        <v>0.78748694265765018</v>
      </c>
      <c r="W70">
        <f t="shared" si="12"/>
        <v>9.2522899999999998E-3</v>
      </c>
      <c r="X70">
        <f t="shared" si="13"/>
        <v>9.5268999999999996E-3</v>
      </c>
      <c r="Y70">
        <f t="shared" si="14"/>
        <v>7.8519799999999997E-3</v>
      </c>
      <c r="Z70">
        <f t="shared" si="15"/>
        <v>8.9090599999999999E-3</v>
      </c>
      <c r="AA70">
        <f t="shared" ref="AA70:AA133" si="16">AVERAGE(W70:Z70)</f>
        <v>8.8850575000000015E-3</v>
      </c>
    </row>
    <row r="71" spans="1:27" x14ac:dyDescent="0.3">
      <c r="A71">
        <v>66</v>
      </c>
      <c r="B71">
        <v>9.2867499999999999E-3</v>
      </c>
      <c r="C71">
        <v>0.22196199999999999</v>
      </c>
      <c r="D71">
        <v>24.122900000000001</v>
      </c>
      <c r="E71">
        <v>23.901</v>
      </c>
      <c r="F71">
        <v>9.56101E-3</v>
      </c>
      <c r="G71">
        <v>0.23515</v>
      </c>
      <c r="H71">
        <v>24.829799999999999</v>
      </c>
      <c r="I71">
        <v>24.5946</v>
      </c>
      <c r="J71">
        <v>7.8689599999999995E-3</v>
      </c>
      <c r="K71">
        <v>0.18859000000000001</v>
      </c>
      <c r="L71">
        <v>24.154900000000001</v>
      </c>
      <c r="M71">
        <v>23.9664</v>
      </c>
      <c r="N71">
        <v>8.9358300000000005E-3</v>
      </c>
      <c r="O71">
        <v>0.216059</v>
      </c>
      <c r="P71">
        <v>24.395</v>
      </c>
      <c r="Q71">
        <v>24.178999999999998</v>
      </c>
      <c r="R71">
        <v>3825.85</v>
      </c>
      <c r="S71">
        <v>3825.85</v>
      </c>
      <c r="T71">
        <v>0.4748</v>
      </c>
      <c r="U71">
        <v>143.91399999999999</v>
      </c>
      <c r="V71">
        <f t="shared" si="11"/>
        <v>0.79121447028423775</v>
      </c>
      <c r="W71">
        <f t="shared" si="12"/>
        <v>9.2867499999999999E-3</v>
      </c>
      <c r="X71">
        <f t="shared" si="13"/>
        <v>9.56101E-3</v>
      </c>
      <c r="Y71">
        <f t="shared" si="14"/>
        <v>7.8689599999999995E-3</v>
      </c>
      <c r="Z71">
        <f t="shared" si="15"/>
        <v>8.9358300000000005E-3</v>
      </c>
      <c r="AA71">
        <f t="shared" si="16"/>
        <v>8.9131374999999995E-3</v>
      </c>
    </row>
    <row r="72" spans="1:27" x14ac:dyDescent="0.3">
      <c r="A72">
        <v>67</v>
      </c>
      <c r="B72">
        <v>9.7774000000000003E-3</v>
      </c>
      <c r="C72">
        <v>0.23368900000000001</v>
      </c>
      <c r="D72">
        <v>24.134599999999999</v>
      </c>
      <c r="E72">
        <v>23.901</v>
      </c>
      <c r="F72">
        <v>1.02741E-2</v>
      </c>
      <c r="G72">
        <v>0.25268699999999999</v>
      </c>
      <c r="H72">
        <v>24.847300000000001</v>
      </c>
      <c r="I72">
        <v>24.5946</v>
      </c>
      <c r="N72">
        <v>9.2321699999999996E-3</v>
      </c>
      <c r="O72">
        <v>0.22322400000000001</v>
      </c>
      <c r="P72">
        <v>24.402200000000001</v>
      </c>
      <c r="Q72">
        <v>24.178999999999998</v>
      </c>
      <c r="R72">
        <v>3829.78</v>
      </c>
      <c r="S72">
        <v>3829.78</v>
      </c>
      <c r="T72">
        <v>0.45379999999999998</v>
      </c>
      <c r="U72">
        <v>137.61500000000001</v>
      </c>
      <c r="V72">
        <f t="shared" si="11"/>
        <v>0.7565836494584639</v>
      </c>
      <c r="W72">
        <f t="shared" si="12"/>
        <v>9.7774000000000003E-3</v>
      </c>
      <c r="X72">
        <f t="shared" si="13"/>
        <v>1.02741E-2</v>
      </c>
      <c r="Y72">
        <f t="shared" si="14"/>
        <v>0</v>
      </c>
      <c r="Z72">
        <f t="shared" si="15"/>
        <v>9.2321699999999996E-3</v>
      </c>
      <c r="AA72">
        <f t="shared" si="16"/>
        <v>7.3209174999999994E-3</v>
      </c>
    </row>
    <row r="73" spans="1:27" x14ac:dyDescent="0.3">
      <c r="A73">
        <v>68</v>
      </c>
      <c r="B73">
        <v>9.6669000000000008E-3</v>
      </c>
      <c r="C73">
        <v>0.231048</v>
      </c>
      <c r="D73">
        <v>24.132000000000001</v>
      </c>
      <c r="E73">
        <v>23.901</v>
      </c>
      <c r="F73">
        <v>1.0203200000000001E-2</v>
      </c>
      <c r="G73">
        <v>0.250944</v>
      </c>
      <c r="H73">
        <v>24.845600000000001</v>
      </c>
      <c r="I73">
        <v>24.5946</v>
      </c>
      <c r="N73">
        <v>9.0683599999999993E-3</v>
      </c>
      <c r="O73">
        <v>0.21926399999999999</v>
      </c>
      <c r="P73">
        <v>24.398199999999999</v>
      </c>
      <c r="Q73">
        <v>24.178999999999998</v>
      </c>
      <c r="R73">
        <v>3829.97</v>
      </c>
      <c r="S73">
        <v>3829.97</v>
      </c>
      <c r="T73">
        <v>0.44579999999999997</v>
      </c>
      <c r="U73">
        <v>135.19200000000001</v>
      </c>
      <c r="V73">
        <f t="shared" si="11"/>
        <v>0.7432624113475178</v>
      </c>
      <c r="W73">
        <f t="shared" si="12"/>
        <v>9.6669000000000008E-3</v>
      </c>
      <c r="X73">
        <f t="shared" si="13"/>
        <v>1.0203200000000001E-2</v>
      </c>
      <c r="Y73">
        <f t="shared" si="14"/>
        <v>0</v>
      </c>
      <c r="Z73">
        <f t="shared" si="15"/>
        <v>9.0683599999999993E-3</v>
      </c>
      <c r="AA73">
        <f t="shared" si="16"/>
        <v>7.2346149999999998E-3</v>
      </c>
    </row>
    <row r="74" spans="1:27" x14ac:dyDescent="0.3">
      <c r="A74">
        <v>69</v>
      </c>
      <c r="B74">
        <v>9.5302100000000008E-3</v>
      </c>
      <c r="C74">
        <v>0.22778100000000001</v>
      </c>
      <c r="D74">
        <v>24.128699999999998</v>
      </c>
      <c r="E74">
        <v>23.901</v>
      </c>
      <c r="F74">
        <v>1.0134000000000001E-2</v>
      </c>
      <c r="G74">
        <v>0.24924299999999999</v>
      </c>
      <c r="H74">
        <v>24.843900000000001</v>
      </c>
      <c r="I74">
        <v>24.5946</v>
      </c>
      <c r="N74">
        <v>8.8851399999999997E-3</v>
      </c>
      <c r="O74">
        <v>0.214834</v>
      </c>
      <c r="P74">
        <v>24.393799999999999</v>
      </c>
      <c r="Q74">
        <v>24.178999999999998</v>
      </c>
      <c r="R74">
        <v>3830.15</v>
      </c>
      <c r="S74">
        <v>3830.15</v>
      </c>
      <c r="T74">
        <v>0.43380000000000002</v>
      </c>
      <c r="U74">
        <v>131.60599999999999</v>
      </c>
      <c r="V74">
        <f t="shared" si="11"/>
        <v>0.72354719885645169</v>
      </c>
      <c r="W74">
        <f t="shared" si="12"/>
        <v>9.5302100000000008E-3</v>
      </c>
      <c r="X74">
        <f t="shared" si="13"/>
        <v>1.0134000000000001E-2</v>
      </c>
      <c r="Y74">
        <f t="shared" si="14"/>
        <v>0</v>
      </c>
      <c r="Z74">
        <f t="shared" si="15"/>
        <v>8.8851399999999997E-3</v>
      </c>
      <c r="AA74">
        <f t="shared" si="16"/>
        <v>7.1373375000000003E-3</v>
      </c>
    </row>
    <row r="75" spans="1:27" x14ac:dyDescent="0.3">
      <c r="A75">
        <v>70</v>
      </c>
      <c r="B75">
        <v>9.4600199999999995E-3</v>
      </c>
      <c r="C75">
        <v>0.226103</v>
      </c>
      <c r="D75">
        <v>24.127099999999999</v>
      </c>
      <c r="E75">
        <v>23.901</v>
      </c>
      <c r="F75">
        <v>1.00968E-2</v>
      </c>
      <c r="G75">
        <v>0.24832599999999999</v>
      </c>
      <c r="H75">
        <v>24.843</v>
      </c>
      <c r="I75">
        <v>24.5946</v>
      </c>
      <c r="N75">
        <v>8.7795000000000008E-3</v>
      </c>
      <c r="O75">
        <v>0.212279</v>
      </c>
      <c r="P75">
        <v>24.391300000000001</v>
      </c>
      <c r="Q75">
        <v>24.178999999999998</v>
      </c>
      <c r="R75">
        <v>3830.4</v>
      </c>
      <c r="S75">
        <v>3830.4</v>
      </c>
      <c r="T75">
        <v>0.41959999999999997</v>
      </c>
      <c r="U75">
        <v>127.342</v>
      </c>
      <c r="V75">
        <f t="shared" si="11"/>
        <v>0.70010445873879823</v>
      </c>
      <c r="W75">
        <f t="shared" si="12"/>
        <v>9.4600199999999995E-3</v>
      </c>
      <c r="X75">
        <f t="shared" si="13"/>
        <v>1.00968E-2</v>
      </c>
      <c r="Y75">
        <f t="shared" si="14"/>
        <v>0</v>
      </c>
      <c r="Z75">
        <f t="shared" si="15"/>
        <v>8.7795000000000008E-3</v>
      </c>
      <c r="AA75">
        <f t="shared" si="16"/>
        <v>7.0840799999999995E-3</v>
      </c>
    </row>
    <row r="76" spans="1:27" x14ac:dyDescent="0.3">
      <c r="A76">
        <v>71</v>
      </c>
      <c r="B76">
        <v>9.4204300000000005E-3</v>
      </c>
      <c r="C76">
        <v>0.225157</v>
      </c>
      <c r="D76">
        <v>24.126100000000001</v>
      </c>
      <c r="E76">
        <v>23.901</v>
      </c>
      <c r="F76">
        <v>1.00886E-2</v>
      </c>
      <c r="G76">
        <v>0.24812500000000001</v>
      </c>
      <c r="H76">
        <v>24.8428</v>
      </c>
      <c r="I76">
        <v>24.5946</v>
      </c>
      <c r="N76">
        <v>8.7150500000000002E-3</v>
      </c>
      <c r="O76">
        <v>0.21072099999999999</v>
      </c>
      <c r="P76">
        <v>24.389700000000001</v>
      </c>
      <c r="Q76">
        <v>24.178999999999998</v>
      </c>
      <c r="R76">
        <v>3830.53</v>
      </c>
      <c r="S76">
        <v>3830.53</v>
      </c>
      <c r="T76">
        <v>0.41639999999999999</v>
      </c>
      <c r="U76">
        <v>126.373</v>
      </c>
      <c r="V76">
        <f t="shared" si="11"/>
        <v>0.69477706306009124</v>
      </c>
      <c r="W76">
        <f t="shared" si="12"/>
        <v>9.4204300000000005E-3</v>
      </c>
      <c r="X76">
        <f t="shared" si="13"/>
        <v>1.00886E-2</v>
      </c>
      <c r="Y76">
        <f t="shared" si="14"/>
        <v>0</v>
      </c>
      <c r="Z76">
        <f t="shared" si="15"/>
        <v>8.7150500000000002E-3</v>
      </c>
      <c r="AA76">
        <f t="shared" si="16"/>
        <v>7.0560199999999997E-3</v>
      </c>
    </row>
    <row r="77" spans="1:27" x14ac:dyDescent="0.3">
      <c r="A77">
        <v>72</v>
      </c>
      <c r="B77">
        <v>9.3288299999999998E-3</v>
      </c>
      <c r="C77">
        <v>0.222968</v>
      </c>
      <c r="D77">
        <v>24.123899999999999</v>
      </c>
      <c r="E77">
        <v>23.901</v>
      </c>
      <c r="F77">
        <v>1.0095E-2</v>
      </c>
      <c r="G77">
        <v>0.248284</v>
      </c>
      <c r="H77">
        <v>24.8429</v>
      </c>
      <c r="I77">
        <v>24.5946</v>
      </c>
      <c r="N77">
        <v>8.5591399999999998E-3</v>
      </c>
      <c r="O77">
        <v>0.206951</v>
      </c>
      <c r="P77">
        <v>24.385899999999999</v>
      </c>
      <c r="Q77">
        <v>24.178999999999998</v>
      </c>
      <c r="R77">
        <v>3831.03</v>
      </c>
      <c r="S77">
        <v>3831.03</v>
      </c>
      <c r="T77">
        <v>0.40739999999999998</v>
      </c>
      <c r="U77">
        <v>123.65900000000001</v>
      </c>
      <c r="V77">
        <f t="shared" si="11"/>
        <v>0.67985595689702571</v>
      </c>
      <c r="W77">
        <f t="shared" si="12"/>
        <v>9.3288299999999998E-3</v>
      </c>
      <c r="X77">
        <f t="shared" si="13"/>
        <v>1.0095E-2</v>
      </c>
      <c r="Y77">
        <f t="shared" si="14"/>
        <v>0</v>
      </c>
      <c r="Z77">
        <f t="shared" si="15"/>
        <v>8.5591399999999998E-3</v>
      </c>
      <c r="AA77">
        <f t="shared" si="16"/>
        <v>6.9957424999999998E-3</v>
      </c>
    </row>
    <row r="78" spans="1:27" x14ac:dyDescent="0.3">
      <c r="A78">
        <v>73</v>
      </c>
      <c r="B78">
        <v>9.1943200000000006E-3</v>
      </c>
      <c r="C78">
        <v>0.219753</v>
      </c>
      <c r="D78">
        <v>24.120699999999999</v>
      </c>
      <c r="E78">
        <v>23.901</v>
      </c>
      <c r="F78">
        <v>1.0041100000000001E-2</v>
      </c>
      <c r="G78">
        <v>0.24695800000000001</v>
      </c>
      <c r="H78">
        <v>24.8416</v>
      </c>
      <c r="I78">
        <v>24.5946</v>
      </c>
      <c r="N78">
        <v>8.3714199999999992E-3</v>
      </c>
      <c r="O78">
        <v>0.20241200000000001</v>
      </c>
      <c r="P78">
        <v>24.381399999999999</v>
      </c>
      <c r="Q78">
        <v>24.178999999999998</v>
      </c>
      <c r="R78">
        <v>3831.47</v>
      </c>
      <c r="S78">
        <v>3831.47</v>
      </c>
      <c r="T78">
        <v>0.39229999999999998</v>
      </c>
      <c r="U78">
        <v>119.104</v>
      </c>
      <c r="V78">
        <f t="shared" si="11"/>
        <v>0.65481334872725272</v>
      </c>
      <c r="W78">
        <f t="shared" si="12"/>
        <v>9.1943200000000006E-3</v>
      </c>
      <c r="X78">
        <f t="shared" si="13"/>
        <v>1.0041100000000001E-2</v>
      </c>
      <c r="Y78">
        <f t="shared" si="14"/>
        <v>0</v>
      </c>
      <c r="Z78">
        <f t="shared" si="15"/>
        <v>8.3714199999999992E-3</v>
      </c>
      <c r="AA78">
        <f t="shared" si="16"/>
        <v>6.9017100000000001E-3</v>
      </c>
    </row>
    <row r="79" spans="1:27" x14ac:dyDescent="0.3">
      <c r="A79">
        <v>74</v>
      </c>
      <c r="B79">
        <v>9.1167599999999998E-3</v>
      </c>
      <c r="C79">
        <v>0.21789900000000001</v>
      </c>
      <c r="D79">
        <v>24.1189</v>
      </c>
      <c r="E79">
        <v>23.901</v>
      </c>
      <c r="F79">
        <v>1.0010099999999999E-2</v>
      </c>
      <c r="G79">
        <v>0.246195</v>
      </c>
      <c r="H79">
        <v>24.840800000000002</v>
      </c>
      <c r="I79">
        <v>24.5946</v>
      </c>
      <c r="N79">
        <v>8.2386999999999998E-3</v>
      </c>
      <c r="O79">
        <v>0.19920299999999999</v>
      </c>
      <c r="P79">
        <v>24.3782</v>
      </c>
      <c r="Q79">
        <v>24.178999999999998</v>
      </c>
      <c r="R79">
        <v>3831.71</v>
      </c>
      <c r="S79">
        <v>3831.72</v>
      </c>
      <c r="T79">
        <v>0.38650000000000001</v>
      </c>
      <c r="U79">
        <v>117.36</v>
      </c>
      <c r="V79">
        <f t="shared" si="11"/>
        <v>0.64522513607125187</v>
      </c>
      <c r="W79">
        <f t="shared" si="12"/>
        <v>9.1167599999999998E-3</v>
      </c>
      <c r="X79">
        <f t="shared" si="13"/>
        <v>1.0010099999999999E-2</v>
      </c>
      <c r="Y79">
        <f t="shared" si="14"/>
        <v>0</v>
      </c>
      <c r="Z79">
        <f t="shared" si="15"/>
        <v>8.2386999999999998E-3</v>
      </c>
      <c r="AA79">
        <f t="shared" si="16"/>
        <v>6.8413899999999993E-3</v>
      </c>
    </row>
    <row r="80" spans="1:27" x14ac:dyDescent="0.3">
      <c r="A80">
        <v>75</v>
      </c>
      <c r="B80">
        <v>9.0645499999999993E-3</v>
      </c>
      <c r="C80">
        <v>0.21665100000000001</v>
      </c>
      <c r="D80">
        <v>24.117599999999999</v>
      </c>
      <c r="E80">
        <v>23.901</v>
      </c>
      <c r="F80">
        <v>1.0022400000000001E-2</v>
      </c>
      <c r="G80">
        <v>0.24649799999999999</v>
      </c>
      <c r="H80">
        <v>24.841100000000001</v>
      </c>
      <c r="I80">
        <v>24.5946</v>
      </c>
      <c r="N80">
        <v>8.1495200000000004E-3</v>
      </c>
      <c r="O80">
        <v>0.197047</v>
      </c>
      <c r="P80">
        <v>24.376000000000001</v>
      </c>
      <c r="Q80">
        <v>24.178999999999998</v>
      </c>
      <c r="R80">
        <v>3832.53</v>
      </c>
      <c r="S80">
        <v>3832.53</v>
      </c>
      <c r="T80">
        <v>0.38059999999999999</v>
      </c>
      <c r="U80">
        <v>115.616</v>
      </c>
      <c r="V80">
        <f t="shared" si="11"/>
        <v>0.63563692341525091</v>
      </c>
      <c r="W80">
        <f t="shared" si="12"/>
        <v>9.0645499999999993E-3</v>
      </c>
      <c r="X80">
        <f t="shared" si="13"/>
        <v>1.0022400000000001E-2</v>
      </c>
      <c r="Y80">
        <f t="shared" si="14"/>
        <v>0</v>
      </c>
      <c r="Z80">
        <f t="shared" si="15"/>
        <v>8.1495200000000004E-3</v>
      </c>
      <c r="AA80">
        <f t="shared" si="16"/>
        <v>6.8091174999999997E-3</v>
      </c>
    </row>
    <row r="81" spans="1:27" x14ac:dyDescent="0.3">
      <c r="A81">
        <v>76</v>
      </c>
      <c r="B81">
        <v>9.1274000000000008E-3</v>
      </c>
      <c r="C81">
        <v>0.21815399999999999</v>
      </c>
      <c r="D81">
        <v>24.1191</v>
      </c>
      <c r="E81">
        <v>23.901</v>
      </c>
      <c r="F81">
        <v>1.0335199999999999E-2</v>
      </c>
      <c r="G81">
        <v>0.254191</v>
      </c>
      <c r="H81">
        <v>24.848800000000001</v>
      </c>
      <c r="I81">
        <v>24.5946</v>
      </c>
      <c r="J81">
        <v>1.57535E-2</v>
      </c>
      <c r="K81">
        <v>0.37755300000000003</v>
      </c>
      <c r="L81">
        <v>24.343900000000001</v>
      </c>
      <c r="M81">
        <v>23.9664</v>
      </c>
      <c r="N81">
        <v>8.0259200000000006E-3</v>
      </c>
      <c r="O81">
        <v>0.19405900000000001</v>
      </c>
      <c r="P81">
        <v>24.373000000000001</v>
      </c>
      <c r="Q81">
        <v>24.178999999999998</v>
      </c>
      <c r="R81">
        <v>3836.02</v>
      </c>
      <c r="S81">
        <v>3836.02</v>
      </c>
      <c r="T81">
        <v>0.37069999999999997</v>
      </c>
      <c r="U81">
        <v>112.611</v>
      </c>
      <c r="V81">
        <f t="shared" si="11"/>
        <v>0.61911594920006596</v>
      </c>
      <c r="W81">
        <f t="shared" si="12"/>
        <v>9.1274000000000008E-3</v>
      </c>
      <c r="X81">
        <f t="shared" si="13"/>
        <v>1.0335199999999999E-2</v>
      </c>
      <c r="Y81">
        <f t="shared" si="14"/>
        <v>1.57535E-2</v>
      </c>
      <c r="Z81">
        <f t="shared" si="15"/>
        <v>8.0259200000000006E-3</v>
      </c>
      <c r="AA81">
        <f t="shared" si="16"/>
        <v>1.0810505E-2</v>
      </c>
    </row>
    <row r="82" spans="1:27" x14ac:dyDescent="0.3">
      <c r="A82">
        <v>77</v>
      </c>
      <c r="B82">
        <v>9.1758299999999994E-3</v>
      </c>
      <c r="C82">
        <v>0.21931100000000001</v>
      </c>
      <c r="D82">
        <v>24.1203</v>
      </c>
      <c r="E82">
        <v>23.901</v>
      </c>
      <c r="F82">
        <v>1.0525100000000001E-2</v>
      </c>
      <c r="G82">
        <v>0.25886100000000001</v>
      </c>
      <c r="H82">
        <v>24.8535</v>
      </c>
      <c r="I82">
        <v>24.5946</v>
      </c>
      <c r="J82">
        <v>1.619E-2</v>
      </c>
      <c r="K82">
        <v>0.388015</v>
      </c>
      <c r="L82">
        <v>24.354399999999998</v>
      </c>
      <c r="M82">
        <v>23.9664</v>
      </c>
      <c r="N82">
        <v>8.0370100000000007E-3</v>
      </c>
      <c r="O82">
        <v>0.194327</v>
      </c>
      <c r="P82">
        <v>24.3733</v>
      </c>
      <c r="Q82">
        <v>24.178999999999998</v>
      </c>
      <c r="R82">
        <v>3837.58</v>
      </c>
      <c r="S82">
        <v>3837.58</v>
      </c>
      <c r="T82">
        <v>0.37230000000000002</v>
      </c>
      <c r="U82">
        <v>113.096</v>
      </c>
      <c r="V82">
        <f t="shared" si="11"/>
        <v>0.6217823959535983</v>
      </c>
      <c r="W82">
        <f t="shared" si="12"/>
        <v>9.1758299999999994E-3</v>
      </c>
      <c r="X82">
        <f t="shared" si="13"/>
        <v>1.0525100000000001E-2</v>
      </c>
      <c r="Y82">
        <f t="shared" si="14"/>
        <v>1.619E-2</v>
      </c>
      <c r="Z82">
        <f t="shared" si="15"/>
        <v>8.0370100000000007E-3</v>
      </c>
      <c r="AA82">
        <f t="shared" si="16"/>
        <v>1.0981985E-2</v>
      </c>
    </row>
    <row r="83" spans="1:27" x14ac:dyDescent="0.3">
      <c r="A83">
        <v>78</v>
      </c>
      <c r="B83">
        <v>9.2303400000000001E-3</v>
      </c>
      <c r="C83">
        <v>0.220614</v>
      </c>
      <c r="D83">
        <v>24.121600000000001</v>
      </c>
      <c r="E83">
        <v>23.901</v>
      </c>
      <c r="F83">
        <v>1.06383E-2</v>
      </c>
      <c r="G83">
        <v>0.26164599999999999</v>
      </c>
      <c r="H83">
        <v>24.856300000000001</v>
      </c>
      <c r="I83">
        <v>24.5946</v>
      </c>
      <c r="J83">
        <v>1.6020099999999999E-2</v>
      </c>
      <c r="K83">
        <v>0.38394400000000001</v>
      </c>
      <c r="L83">
        <v>24.350300000000001</v>
      </c>
      <c r="M83">
        <v>23.9664</v>
      </c>
      <c r="N83">
        <v>8.0664900000000008E-3</v>
      </c>
      <c r="O83">
        <v>0.19503899999999999</v>
      </c>
      <c r="P83">
        <v>24.373999999999999</v>
      </c>
      <c r="Q83">
        <v>24.178999999999998</v>
      </c>
      <c r="R83">
        <v>3837.96</v>
      </c>
      <c r="S83">
        <v>3837.96</v>
      </c>
      <c r="T83">
        <v>0.37580000000000002</v>
      </c>
      <c r="U83">
        <v>114.16200000000001</v>
      </c>
      <c r="V83">
        <f t="shared" si="11"/>
        <v>0.62764308098301169</v>
      </c>
      <c r="W83">
        <f t="shared" si="12"/>
        <v>9.2303400000000001E-3</v>
      </c>
      <c r="X83">
        <f t="shared" si="13"/>
        <v>1.06383E-2</v>
      </c>
      <c r="Y83">
        <f t="shared" si="14"/>
        <v>1.6020099999999999E-2</v>
      </c>
      <c r="Z83">
        <f t="shared" si="15"/>
        <v>8.0664900000000008E-3</v>
      </c>
      <c r="AA83">
        <f t="shared" si="16"/>
        <v>1.0988807500000001E-2</v>
      </c>
    </row>
    <row r="84" spans="1:27" x14ac:dyDescent="0.3">
      <c r="A84">
        <v>79</v>
      </c>
      <c r="B84">
        <v>9.2563899999999998E-3</v>
      </c>
      <c r="C84">
        <v>0.22123699999999999</v>
      </c>
      <c r="D84">
        <v>24.122199999999999</v>
      </c>
      <c r="E84">
        <v>23.901</v>
      </c>
      <c r="F84">
        <v>1.0825899999999999E-2</v>
      </c>
      <c r="G84">
        <v>0.26625900000000002</v>
      </c>
      <c r="H84">
        <v>24.860900000000001</v>
      </c>
      <c r="I84">
        <v>24.5946</v>
      </c>
      <c r="J84">
        <v>1.63914E-2</v>
      </c>
      <c r="K84">
        <v>0.392843</v>
      </c>
      <c r="L84">
        <v>24.359200000000001</v>
      </c>
      <c r="M84">
        <v>23.9664</v>
      </c>
      <c r="N84">
        <v>8.05202E-3</v>
      </c>
      <c r="O84">
        <v>0.19469</v>
      </c>
      <c r="P84">
        <v>24.373699999999999</v>
      </c>
      <c r="Q84">
        <v>24.178999999999998</v>
      </c>
      <c r="R84">
        <v>3838.95</v>
      </c>
      <c r="S84">
        <v>3838.95</v>
      </c>
      <c r="T84">
        <v>0.36840000000000001</v>
      </c>
      <c r="U84">
        <v>111.93300000000001</v>
      </c>
      <c r="V84">
        <f t="shared" si="11"/>
        <v>0.61538842157347862</v>
      </c>
      <c r="W84">
        <f t="shared" si="12"/>
        <v>9.2563899999999998E-3</v>
      </c>
      <c r="X84">
        <f t="shared" si="13"/>
        <v>1.0825899999999999E-2</v>
      </c>
      <c r="Y84">
        <f t="shared" si="14"/>
        <v>1.63914E-2</v>
      </c>
      <c r="Z84">
        <f t="shared" si="15"/>
        <v>8.05202E-3</v>
      </c>
      <c r="AA84">
        <f t="shared" si="16"/>
        <v>1.1131427500000001E-2</v>
      </c>
    </row>
    <row r="85" spans="1:27" x14ac:dyDescent="0.3">
      <c r="A85">
        <v>80</v>
      </c>
      <c r="B85">
        <v>9.2586000000000005E-3</v>
      </c>
      <c r="C85">
        <v>0.22128900000000001</v>
      </c>
      <c r="D85">
        <v>24.122199999999999</v>
      </c>
      <c r="E85">
        <v>23.901</v>
      </c>
      <c r="F85">
        <v>1.0816599999999999E-2</v>
      </c>
      <c r="G85">
        <v>0.26603100000000002</v>
      </c>
      <c r="H85">
        <v>24.860700000000001</v>
      </c>
      <c r="I85">
        <v>24.5946</v>
      </c>
      <c r="J85">
        <v>1.6310499999999999E-2</v>
      </c>
      <c r="K85">
        <v>0.390903</v>
      </c>
      <c r="L85">
        <v>24.357299999999999</v>
      </c>
      <c r="M85">
        <v>23.9664</v>
      </c>
      <c r="N85">
        <v>8.1131599999999995E-3</v>
      </c>
      <c r="O85">
        <v>0.19616800000000001</v>
      </c>
      <c r="P85">
        <v>24.3751</v>
      </c>
      <c r="Q85">
        <v>24.178999999999998</v>
      </c>
      <c r="R85">
        <v>3839.33</v>
      </c>
      <c r="S85">
        <v>3839.33</v>
      </c>
      <c r="T85">
        <v>0.36780000000000002</v>
      </c>
      <c r="U85">
        <v>111.739</v>
      </c>
      <c r="V85">
        <f t="shared" si="11"/>
        <v>0.61432184287206548</v>
      </c>
      <c r="W85">
        <f t="shared" si="12"/>
        <v>9.2586000000000005E-3</v>
      </c>
      <c r="X85">
        <f t="shared" si="13"/>
        <v>1.0816599999999999E-2</v>
      </c>
      <c r="Y85">
        <f t="shared" si="14"/>
        <v>1.6310499999999999E-2</v>
      </c>
      <c r="Z85">
        <f t="shared" si="15"/>
        <v>8.1131599999999995E-3</v>
      </c>
      <c r="AA85">
        <f t="shared" si="16"/>
        <v>1.1124715E-2</v>
      </c>
    </row>
    <row r="86" spans="1:27" x14ac:dyDescent="0.3">
      <c r="A86">
        <v>81</v>
      </c>
      <c r="B86">
        <v>9.2745199999999996E-3</v>
      </c>
      <c r="C86">
        <v>0.22167000000000001</v>
      </c>
      <c r="D86">
        <v>24.122599999999998</v>
      </c>
      <c r="E86">
        <v>23.901</v>
      </c>
      <c r="J86">
        <v>1.6366499999999999E-2</v>
      </c>
      <c r="K86">
        <v>0.39224500000000001</v>
      </c>
      <c r="L86">
        <v>24.358599999999999</v>
      </c>
      <c r="M86">
        <v>23.9664</v>
      </c>
      <c r="N86">
        <v>8.0269999999999994E-3</v>
      </c>
      <c r="O86">
        <v>0.19408500000000001</v>
      </c>
      <c r="P86">
        <v>24.373100000000001</v>
      </c>
      <c r="Q86">
        <v>24.178999999999998</v>
      </c>
      <c r="R86">
        <v>3839.95</v>
      </c>
      <c r="S86">
        <v>3839.95</v>
      </c>
      <c r="T86">
        <v>0.37</v>
      </c>
      <c r="U86">
        <v>112.41800000000001</v>
      </c>
      <c r="V86">
        <f t="shared" si="11"/>
        <v>0.61805486832701084</v>
      </c>
      <c r="W86">
        <f t="shared" si="12"/>
        <v>9.2745199999999996E-3</v>
      </c>
      <c r="X86">
        <f t="shared" si="13"/>
        <v>0</v>
      </c>
      <c r="Y86">
        <f t="shared" si="14"/>
        <v>1.6366499999999999E-2</v>
      </c>
      <c r="Z86">
        <f t="shared" si="15"/>
        <v>8.0269999999999994E-3</v>
      </c>
      <c r="AA86">
        <f t="shared" si="16"/>
        <v>8.417005E-3</v>
      </c>
    </row>
    <row r="87" spans="1:27" x14ac:dyDescent="0.3">
      <c r="A87">
        <v>82</v>
      </c>
      <c r="B87">
        <v>9.2961999999999993E-3</v>
      </c>
      <c r="C87">
        <v>0.222188</v>
      </c>
      <c r="D87">
        <v>24.123100000000001</v>
      </c>
      <c r="E87">
        <v>23.901</v>
      </c>
      <c r="J87">
        <v>1.66421E-2</v>
      </c>
      <c r="K87">
        <v>0.39885100000000001</v>
      </c>
      <c r="L87">
        <v>24.365200000000002</v>
      </c>
      <c r="M87">
        <v>23.9664</v>
      </c>
      <c r="N87">
        <v>8.0121399999999992E-3</v>
      </c>
      <c r="O87">
        <v>0.19372500000000001</v>
      </c>
      <c r="P87">
        <v>24.372699999999998</v>
      </c>
      <c r="Q87">
        <v>24.178999999999998</v>
      </c>
      <c r="R87">
        <v>3841.32</v>
      </c>
      <c r="S87">
        <v>3841.32</v>
      </c>
      <c r="T87">
        <v>0.36549999999999999</v>
      </c>
      <c r="U87">
        <v>111.06100000000001</v>
      </c>
      <c r="V87">
        <f t="shared" si="11"/>
        <v>0.61059431524547814</v>
      </c>
      <c r="W87">
        <f t="shared" si="12"/>
        <v>9.2961999999999993E-3</v>
      </c>
      <c r="X87">
        <f t="shared" si="13"/>
        <v>0</v>
      </c>
      <c r="Y87">
        <f t="shared" si="14"/>
        <v>1.66421E-2</v>
      </c>
      <c r="Z87">
        <f t="shared" si="15"/>
        <v>8.0121399999999992E-3</v>
      </c>
      <c r="AA87">
        <f t="shared" si="16"/>
        <v>8.4876099999999996E-3</v>
      </c>
    </row>
    <row r="88" spans="1:27" x14ac:dyDescent="0.3">
      <c r="A88">
        <v>83</v>
      </c>
      <c r="B88">
        <v>9.3525499999999994E-3</v>
      </c>
      <c r="C88">
        <v>0.22353500000000001</v>
      </c>
      <c r="D88">
        <v>24.124500000000001</v>
      </c>
      <c r="E88">
        <v>23.901</v>
      </c>
      <c r="J88">
        <v>1.6781999999999998E-2</v>
      </c>
      <c r="K88">
        <v>0.40220299999999998</v>
      </c>
      <c r="L88">
        <v>24.368600000000001</v>
      </c>
      <c r="M88">
        <v>23.9664</v>
      </c>
      <c r="N88">
        <v>8.0374799999999996E-3</v>
      </c>
      <c r="O88">
        <v>0.19433800000000001</v>
      </c>
      <c r="P88">
        <v>24.3733</v>
      </c>
      <c r="Q88">
        <v>24.178999999999998</v>
      </c>
      <c r="R88">
        <v>3841.89</v>
      </c>
      <c r="S88">
        <v>3841.89</v>
      </c>
      <c r="T88">
        <v>0.35809999999999997</v>
      </c>
      <c r="U88">
        <v>108.83199999999999</v>
      </c>
      <c r="V88">
        <f t="shared" si="11"/>
        <v>0.59833965583594473</v>
      </c>
      <c r="W88">
        <f t="shared" si="12"/>
        <v>9.3525499999999994E-3</v>
      </c>
      <c r="X88">
        <f t="shared" si="13"/>
        <v>0</v>
      </c>
      <c r="Y88">
        <f t="shared" si="14"/>
        <v>1.6781999999999998E-2</v>
      </c>
      <c r="Z88">
        <f t="shared" si="15"/>
        <v>8.0374799999999996E-3</v>
      </c>
      <c r="AA88">
        <f t="shared" si="16"/>
        <v>8.5430074999999998E-3</v>
      </c>
    </row>
    <row r="89" spans="1:27" x14ac:dyDescent="0.3">
      <c r="A89">
        <v>84</v>
      </c>
      <c r="B89">
        <v>9.2666899999999993E-3</v>
      </c>
      <c r="C89">
        <v>0.22148300000000001</v>
      </c>
      <c r="D89">
        <v>24.122399999999999</v>
      </c>
      <c r="E89">
        <v>23.901</v>
      </c>
      <c r="J89">
        <v>1.68383E-2</v>
      </c>
      <c r="K89">
        <v>0.40355200000000002</v>
      </c>
      <c r="L89">
        <v>24.369900000000001</v>
      </c>
      <c r="M89">
        <v>23.9664</v>
      </c>
      <c r="N89">
        <v>7.9163399999999991E-3</v>
      </c>
      <c r="O89">
        <v>0.191409</v>
      </c>
      <c r="P89">
        <v>24.3704</v>
      </c>
      <c r="Q89">
        <v>24.178999999999998</v>
      </c>
      <c r="R89">
        <v>3842.38</v>
      </c>
      <c r="S89">
        <v>3842.38</v>
      </c>
      <c r="T89">
        <v>0.3523</v>
      </c>
      <c r="U89">
        <v>107.087</v>
      </c>
      <c r="V89">
        <f t="shared" si="11"/>
        <v>0.58874594535158609</v>
      </c>
      <c r="W89">
        <f t="shared" si="12"/>
        <v>9.2666899999999993E-3</v>
      </c>
      <c r="X89">
        <f t="shared" si="13"/>
        <v>0</v>
      </c>
      <c r="Y89">
        <f t="shared" si="14"/>
        <v>1.68383E-2</v>
      </c>
      <c r="Z89">
        <f t="shared" si="15"/>
        <v>7.9163399999999991E-3</v>
      </c>
      <c r="AA89">
        <f t="shared" si="16"/>
        <v>8.5053325000000006E-3</v>
      </c>
    </row>
    <row r="90" spans="1:27" x14ac:dyDescent="0.3">
      <c r="A90">
        <v>85</v>
      </c>
      <c r="B90">
        <v>9.1906899999999996E-3</v>
      </c>
      <c r="C90">
        <v>0.219666</v>
      </c>
      <c r="D90">
        <v>24.1206</v>
      </c>
      <c r="E90">
        <v>23.901</v>
      </c>
      <c r="N90">
        <v>7.7547099999999997E-3</v>
      </c>
      <c r="O90">
        <v>0.187501</v>
      </c>
      <c r="P90">
        <v>24.366499999999998</v>
      </c>
      <c r="Q90">
        <v>24.178999999999998</v>
      </c>
      <c r="R90">
        <v>3843.13</v>
      </c>
      <c r="S90">
        <v>3843.13</v>
      </c>
      <c r="T90">
        <v>0.33810000000000001</v>
      </c>
      <c r="U90">
        <v>102.82299999999999</v>
      </c>
      <c r="V90">
        <f t="shared" si="11"/>
        <v>0.56530320523393252</v>
      </c>
      <c r="W90">
        <f t="shared" si="12"/>
        <v>9.1906899999999996E-3</v>
      </c>
      <c r="X90">
        <f t="shared" si="13"/>
        <v>0</v>
      </c>
      <c r="Y90">
        <f t="shared" si="14"/>
        <v>0</v>
      </c>
      <c r="Z90">
        <f t="shared" si="15"/>
        <v>7.7547099999999997E-3</v>
      </c>
      <c r="AA90">
        <f t="shared" si="16"/>
        <v>4.2363499999999998E-3</v>
      </c>
    </row>
    <row r="91" spans="1:27" x14ac:dyDescent="0.3">
      <c r="A91">
        <v>86</v>
      </c>
      <c r="B91">
        <v>9.2431600000000003E-3</v>
      </c>
      <c r="C91">
        <v>0.22092000000000001</v>
      </c>
      <c r="D91">
        <v>24.1219</v>
      </c>
      <c r="E91">
        <v>23.901</v>
      </c>
      <c r="N91">
        <v>7.7714400000000001E-3</v>
      </c>
      <c r="O91">
        <v>0.18790499999999999</v>
      </c>
      <c r="P91">
        <v>24.366900000000001</v>
      </c>
      <c r="Q91">
        <v>24.178999999999998</v>
      </c>
      <c r="R91">
        <v>3843.95</v>
      </c>
      <c r="S91">
        <v>3843.95</v>
      </c>
      <c r="T91">
        <v>0.32590000000000002</v>
      </c>
      <c r="U91">
        <v>99.140699999999995</v>
      </c>
      <c r="V91">
        <f t="shared" si="11"/>
        <v>0.54505855187201058</v>
      </c>
      <c r="W91">
        <f t="shared" si="12"/>
        <v>9.2431600000000003E-3</v>
      </c>
      <c r="X91">
        <f t="shared" si="13"/>
        <v>0</v>
      </c>
      <c r="Y91">
        <f t="shared" si="14"/>
        <v>0</v>
      </c>
      <c r="Z91">
        <f t="shared" si="15"/>
        <v>7.7714400000000001E-3</v>
      </c>
      <c r="AA91">
        <f t="shared" si="16"/>
        <v>4.2536500000000003E-3</v>
      </c>
    </row>
    <row r="92" spans="1:27" x14ac:dyDescent="0.3">
      <c r="A92">
        <v>87</v>
      </c>
      <c r="B92">
        <v>9.2931899999999998E-3</v>
      </c>
      <c r="C92">
        <v>0.22211600000000001</v>
      </c>
      <c r="D92">
        <v>24.123100000000001</v>
      </c>
      <c r="E92">
        <v>23.901</v>
      </c>
      <c r="F92">
        <v>1.3472700000000001E-2</v>
      </c>
      <c r="G92">
        <v>0.33135700000000001</v>
      </c>
      <c r="H92">
        <v>24.925999999999998</v>
      </c>
      <c r="I92">
        <v>24.5946</v>
      </c>
      <c r="N92">
        <v>7.7764899999999996E-3</v>
      </c>
      <c r="O92">
        <v>0.188028</v>
      </c>
      <c r="P92">
        <v>24.367000000000001</v>
      </c>
      <c r="Q92">
        <v>24.178999999999998</v>
      </c>
      <c r="R92">
        <v>3845.32</v>
      </c>
      <c r="S92">
        <v>3845.32</v>
      </c>
      <c r="T92">
        <v>0.33779999999999999</v>
      </c>
      <c r="U92">
        <v>102.726</v>
      </c>
      <c r="V92">
        <f t="shared" si="11"/>
        <v>0.56476991588322611</v>
      </c>
      <c r="W92">
        <f t="shared" si="12"/>
        <v>9.2931899999999998E-3</v>
      </c>
      <c r="X92">
        <f t="shared" si="13"/>
        <v>1.3472700000000001E-2</v>
      </c>
      <c r="Y92">
        <f t="shared" si="14"/>
        <v>0</v>
      </c>
      <c r="Z92">
        <f t="shared" si="15"/>
        <v>7.7764899999999996E-3</v>
      </c>
      <c r="AA92">
        <f t="shared" si="16"/>
        <v>7.6355950000000002E-3</v>
      </c>
    </row>
    <row r="93" spans="1:27" x14ac:dyDescent="0.3">
      <c r="A93">
        <v>88</v>
      </c>
      <c r="B93">
        <v>9.4443600000000006E-3</v>
      </c>
      <c r="C93">
        <v>0.22572900000000001</v>
      </c>
      <c r="D93">
        <v>24.1267</v>
      </c>
      <c r="E93">
        <v>23.901</v>
      </c>
      <c r="F93">
        <v>1.40156E-2</v>
      </c>
      <c r="G93">
        <v>0.34470899999999999</v>
      </c>
      <c r="H93">
        <v>24.939399999999999</v>
      </c>
      <c r="I93">
        <v>24.5946</v>
      </c>
      <c r="N93">
        <v>7.8907200000000004E-3</v>
      </c>
      <c r="O93">
        <v>0.19078899999999999</v>
      </c>
      <c r="P93">
        <v>24.369800000000001</v>
      </c>
      <c r="Q93">
        <v>24.178999999999998</v>
      </c>
      <c r="R93">
        <v>3847.81</v>
      </c>
      <c r="S93">
        <v>3847.81</v>
      </c>
      <c r="T93">
        <v>0.32419999999999999</v>
      </c>
      <c r="U93">
        <v>98.656099999999995</v>
      </c>
      <c r="V93">
        <f t="shared" si="11"/>
        <v>0.54239430424982127</v>
      </c>
      <c r="W93">
        <f t="shared" si="12"/>
        <v>9.4443600000000006E-3</v>
      </c>
      <c r="X93">
        <f t="shared" si="13"/>
        <v>1.40156E-2</v>
      </c>
      <c r="Y93">
        <f t="shared" si="14"/>
        <v>0</v>
      </c>
      <c r="Z93">
        <f t="shared" si="15"/>
        <v>7.8907200000000004E-3</v>
      </c>
      <c r="AA93">
        <f t="shared" si="16"/>
        <v>7.8376700000000014E-3</v>
      </c>
    </row>
    <row r="94" spans="1:27" x14ac:dyDescent="0.3">
      <c r="A94">
        <v>89</v>
      </c>
      <c r="B94">
        <v>9.4128500000000004E-3</v>
      </c>
      <c r="C94">
        <v>0.22497600000000001</v>
      </c>
      <c r="D94">
        <v>24.125900000000001</v>
      </c>
      <c r="E94">
        <v>23.901</v>
      </c>
      <c r="F94">
        <v>1.3974E-2</v>
      </c>
      <c r="G94">
        <v>0.34368500000000002</v>
      </c>
      <c r="H94">
        <v>24.938300000000002</v>
      </c>
      <c r="I94">
        <v>24.5946</v>
      </c>
      <c r="N94">
        <v>7.8441599999999993E-3</v>
      </c>
      <c r="O94">
        <v>0.189664</v>
      </c>
      <c r="P94">
        <v>24.368600000000001</v>
      </c>
      <c r="Q94">
        <v>24.178999999999998</v>
      </c>
      <c r="R94">
        <v>3848</v>
      </c>
      <c r="S94">
        <v>3848</v>
      </c>
      <c r="T94">
        <v>0.31390000000000001</v>
      </c>
      <c r="U94">
        <v>95.554900000000004</v>
      </c>
      <c r="V94">
        <f t="shared" si="11"/>
        <v>0.52534443894661609</v>
      </c>
      <c r="W94">
        <f t="shared" si="12"/>
        <v>9.4128500000000004E-3</v>
      </c>
      <c r="X94">
        <f t="shared" si="13"/>
        <v>1.3974E-2</v>
      </c>
      <c r="Y94">
        <f t="shared" si="14"/>
        <v>0</v>
      </c>
      <c r="Z94">
        <f t="shared" si="15"/>
        <v>7.8441599999999993E-3</v>
      </c>
      <c r="AA94">
        <f t="shared" si="16"/>
        <v>7.8077525E-3</v>
      </c>
    </row>
    <row r="95" spans="1:27" x14ac:dyDescent="0.3">
      <c r="A95">
        <v>90</v>
      </c>
      <c r="B95">
        <v>9.4405400000000007E-3</v>
      </c>
      <c r="C95">
        <v>0.22563800000000001</v>
      </c>
      <c r="D95">
        <v>24.1266</v>
      </c>
      <c r="E95">
        <v>23.901</v>
      </c>
      <c r="F95">
        <v>1.4024200000000001E-2</v>
      </c>
      <c r="G95">
        <v>0.34492</v>
      </c>
      <c r="H95">
        <v>24.939599999999999</v>
      </c>
      <c r="I95">
        <v>24.5946</v>
      </c>
      <c r="N95">
        <v>7.8379000000000001E-3</v>
      </c>
      <c r="O95">
        <v>0.18951200000000001</v>
      </c>
      <c r="P95">
        <v>24.368500000000001</v>
      </c>
      <c r="Q95">
        <v>24.178999999999998</v>
      </c>
      <c r="R95">
        <v>3848.38</v>
      </c>
      <c r="S95">
        <v>3848.38</v>
      </c>
      <c r="T95">
        <v>0.312</v>
      </c>
      <c r="U95">
        <v>94.973500000000001</v>
      </c>
      <c r="V95">
        <f t="shared" si="11"/>
        <v>0.522148001539392</v>
      </c>
      <c r="W95">
        <f t="shared" si="12"/>
        <v>9.4405400000000007E-3</v>
      </c>
      <c r="X95">
        <f t="shared" si="13"/>
        <v>1.4024200000000001E-2</v>
      </c>
      <c r="Y95">
        <f t="shared" si="14"/>
        <v>0</v>
      </c>
      <c r="Z95">
        <f t="shared" si="15"/>
        <v>7.8379000000000001E-3</v>
      </c>
      <c r="AA95">
        <f t="shared" si="16"/>
        <v>7.8256599999999999E-3</v>
      </c>
    </row>
    <row r="96" spans="1:27" x14ac:dyDescent="0.3">
      <c r="A96">
        <v>91</v>
      </c>
      <c r="B96">
        <v>9.5061799999999995E-3</v>
      </c>
      <c r="C96">
        <v>0.22720699999999999</v>
      </c>
      <c r="D96">
        <v>24.1282</v>
      </c>
      <c r="E96">
        <v>23.901</v>
      </c>
      <c r="F96">
        <v>1.44172E-2</v>
      </c>
      <c r="G96">
        <v>0.35458499999999998</v>
      </c>
      <c r="H96">
        <v>24.949200000000001</v>
      </c>
      <c r="I96">
        <v>24.5946</v>
      </c>
      <c r="N96">
        <v>7.8958899999999992E-3</v>
      </c>
      <c r="O96">
        <v>0.190914</v>
      </c>
      <c r="P96">
        <v>24.369900000000001</v>
      </c>
      <c r="Q96">
        <v>24.178999999999998</v>
      </c>
      <c r="R96">
        <v>3850.74</v>
      </c>
      <c r="S96">
        <v>3850.74</v>
      </c>
      <c r="T96">
        <v>0.31230000000000002</v>
      </c>
      <c r="U96">
        <v>95.070400000000006</v>
      </c>
      <c r="V96">
        <f t="shared" si="11"/>
        <v>0.5226807411072627</v>
      </c>
      <c r="W96">
        <f t="shared" si="12"/>
        <v>9.5061799999999995E-3</v>
      </c>
      <c r="X96">
        <f t="shared" si="13"/>
        <v>1.44172E-2</v>
      </c>
      <c r="Y96">
        <f t="shared" si="14"/>
        <v>0</v>
      </c>
      <c r="Z96">
        <f t="shared" si="15"/>
        <v>7.8958899999999992E-3</v>
      </c>
      <c r="AA96">
        <f t="shared" si="16"/>
        <v>7.9548174999999992E-3</v>
      </c>
    </row>
    <row r="97" spans="1:27" x14ac:dyDescent="0.3">
      <c r="A97">
        <v>92</v>
      </c>
      <c r="B97">
        <v>9.6486000000000002E-3</v>
      </c>
      <c r="C97">
        <v>0.23061100000000001</v>
      </c>
      <c r="D97">
        <v>24.131599999999999</v>
      </c>
      <c r="E97">
        <v>23.901</v>
      </c>
      <c r="F97">
        <v>1.46047E-2</v>
      </c>
      <c r="G97">
        <v>0.35919600000000002</v>
      </c>
      <c r="H97">
        <v>24.953800000000001</v>
      </c>
      <c r="I97">
        <v>24.5946</v>
      </c>
      <c r="N97">
        <v>8.0101700000000005E-3</v>
      </c>
      <c r="O97">
        <v>0.19367799999999999</v>
      </c>
      <c r="P97">
        <v>24.372699999999998</v>
      </c>
      <c r="Q97">
        <v>24.178999999999998</v>
      </c>
      <c r="R97">
        <v>3851</v>
      </c>
      <c r="S97">
        <v>3851</v>
      </c>
      <c r="T97">
        <v>0.31619999999999998</v>
      </c>
      <c r="U97">
        <v>96.2333</v>
      </c>
      <c r="V97">
        <f t="shared" si="11"/>
        <v>0.52907416570454668</v>
      </c>
      <c r="W97">
        <f t="shared" si="12"/>
        <v>9.6486000000000002E-3</v>
      </c>
      <c r="X97">
        <f t="shared" si="13"/>
        <v>1.46047E-2</v>
      </c>
      <c r="Y97">
        <f t="shared" si="14"/>
        <v>0</v>
      </c>
      <c r="Z97">
        <f t="shared" si="15"/>
        <v>8.0101700000000005E-3</v>
      </c>
      <c r="AA97">
        <f t="shared" si="16"/>
        <v>8.0658675000000006E-3</v>
      </c>
    </row>
    <row r="98" spans="1:27" x14ac:dyDescent="0.3">
      <c r="A98">
        <v>93</v>
      </c>
      <c r="B98">
        <v>9.6424100000000006E-3</v>
      </c>
      <c r="C98">
        <v>0.230463</v>
      </c>
      <c r="D98">
        <v>24.131399999999999</v>
      </c>
      <c r="E98">
        <v>23.901</v>
      </c>
      <c r="F98">
        <v>1.46505E-2</v>
      </c>
      <c r="G98">
        <v>0.36032399999999998</v>
      </c>
      <c r="H98">
        <v>24.954999999999998</v>
      </c>
      <c r="I98">
        <v>24.5946</v>
      </c>
      <c r="N98">
        <v>7.9871300000000003E-3</v>
      </c>
      <c r="O98">
        <v>0.19312099999999999</v>
      </c>
      <c r="P98">
        <v>24.3721</v>
      </c>
      <c r="Q98">
        <v>24.178999999999998</v>
      </c>
      <c r="R98">
        <v>3851.25</v>
      </c>
      <c r="S98">
        <v>3851.25</v>
      </c>
      <c r="T98">
        <v>0.3201</v>
      </c>
      <c r="U98">
        <v>97.396299999999997</v>
      </c>
      <c r="V98">
        <f t="shared" si="11"/>
        <v>0.53546814008466648</v>
      </c>
      <c r="W98">
        <f t="shared" si="12"/>
        <v>9.6424100000000006E-3</v>
      </c>
      <c r="X98">
        <f t="shared" si="13"/>
        <v>1.46505E-2</v>
      </c>
      <c r="Y98">
        <f t="shared" si="14"/>
        <v>0</v>
      </c>
      <c r="Z98">
        <f t="shared" si="15"/>
        <v>7.9871300000000003E-3</v>
      </c>
      <c r="AA98">
        <f t="shared" si="16"/>
        <v>8.0700100000000007E-3</v>
      </c>
    </row>
    <row r="99" spans="1:27" x14ac:dyDescent="0.3">
      <c r="A99">
        <v>94</v>
      </c>
      <c r="B99">
        <v>9.9823900000000007E-3</v>
      </c>
      <c r="C99">
        <v>0.238589</v>
      </c>
      <c r="D99">
        <v>24.139500000000002</v>
      </c>
      <c r="E99">
        <v>23.901</v>
      </c>
      <c r="F99">
        <v>1.5637700000000001E-2</v>
      </c>
      <c r="G99">
        <v>0.38460299999999997</v>
      </c>
      <c r="H99">
        <v>24.979199999999999</v>
      </c>
      <c r="I99">
        <v>24.5946</v>
      </c>
      <c r="N99">
        <v>8.2578100000000008E-3</v>
      </c>
      <c r="O99">
        <v>0.19966500000000001</v>
      </c>
      <c r="P99">
        <v>24.378599999999999</v>
      </c>
      <c r="Q99">
        <v>24.178999999999998</v>
      </c>
      <c r="R99">
        <v>3856.3</v>
      </c>
      <c r="S99">
        <v>3856.3</v>
      </c>
      <c r="T99">
        <v>0.31909999999999999</v>
      </c>
      <c r="U99">
        <v>97.105500000000006</v>
      </c>
      <c r="V99">
        <f t="shared" si="11"/>
        <v>0.53386937159821879</v>
      </c>
      <c r="W99">
        <f t="shared" si="12"/>
        <v>9.9823900000000007E-3</v>
      </c>
      <c r="X99">
        <f t="shared" si="13"/>
        <v>1.5637700000000001E-2</v>
      </c>
      <c r="Y99">
        <f t="shared" si="14"/>
        <v>0</v>
      </c>
      <c r="Z99">
        <f t="shared" si="15"/>
        <v>8.2578100000000008E-3</v>
      </c>
      <c r="AA99">
        <f t="shared" si="16"/>
        <v>8.4694750000000006E-3</v>
      </c>
    </row>
    <row r="100" spans="1:27" x14ac:dyDescent="0.3">
      <c r="A100">
        <v>95</v>
      </c>
      <c r="B100">
        <v>1.0040800000000001E-2</v>
      </c>
      <c r="C100">
        <v>0.239985</v>
      </c>
      <c r="D100">
        <v>24.140899999999998</v>
      </c>
      <c r="E100">
        <v>23.901</v>
      </c>
      <c r="F100">
        <v>1.5931500000000001E-2</v>
      </c>
      <c r="G100">
        <v>0.39183000000000001</v>
      </c>
      <c r="H100">
        <v>24.986499999999999</v>
      </c>
      <c r="I100">
        <v>24.5946</v>
      </c>
      <c r="N100">
        <v>8.3001299999999993E-3</v>
      </c>
      <c r="O100">
        <v>0.20068900000000001</v>
      </c>
      <c r="P100">
        <v>24.3797</v>
      </c>
      <c r="Q100">
        <v>24.178999999999998</v>
      </c>
      <c r="R100">
        <v>3858.05</v>
      </c>
      <c r="S100">
        <v>3858.05</v>
      </c>
      <c r="T100">
        <v>0.32040000000000002</v>
      </c>
      <c r="U100">
        <v>97.493200000000002</v>
      </c>
      <c r="V100">
        <f t="shared" si="11"/>
        <v>0.53600087965253718</v>
      </c>
      <c r="W100">
        <f t="shared" si="12"/>
        <v>1.0040800000000001E-2</v>
      </c>
      <c r="X100">
        <f t="shared" si="13"/>
        <v>1.5931500000000001E-2</v>
      </c>
      <c r="Y100">
        <f t="shared" si="14"/>
        <v>0</v>
      </c>
      <c r="Z100">
        <f t="shared" si="15"/>
        <v>8.3001299999999993E-3</v>
      </c>
      <c r="AA100">
        <f t="shared" si="16"/>
        <v>8.5681075000000016E-3</v>
      </c>
    </row>
    <row r="101" spans="1:27" x14ac:dyDescent="0.3">
      <c r="A101">
        <v>96</v>
      </c>
      <c r="B101">
        <v>1.01139E-2</v>
      </c>
      <c r="C101">
        <v>0.241732</v>
      </c>
      <c r="D101">
        <v>24.142700000000001</v>
      </c>
      <c r="E101">
        <v>23.901</v>
      </c>
      <c r="F101">
        <v>1.6030699999999998E-2</v>
      </c>
      <c r="G101">
        <v>0.39426899999999998</v>
      </c>
      <c r="H101">
        <v>24.988900000000001</v>
      </c>
      <c r="I101">
        <v>24.5946</v>
      </c>
      <c r="N101">
        <v>8.3710899999999994E-3</v>
      </c>
      <c r="O101">
        <v>0.202404</v>
      </c>
      <c r="P101">
        <v>24.381399999999999</v>
      </c>
      <c r="Q101">
        <v>24.178999999999998</v>
      </c>
      <c r="R101">
        <v>3858.49</v>
      </c>
      <c r="S101">
        <v>3858.49</v>
      </c>
      <c r="T101">
        <v>0.31940000000000002</v>
      </c>
      <c r="U101">
        <v>97.202399999999997</v>
      </c>
      <c r="V101">
        <f t="shared" si="11"/>
        <v>0.53440211116608938</v>
      </c>
      <c r="W101">
        <f t="shared" si="12"/>
        <v>1.01139E-2</v>
      </c>
      <c r="X101">
        <f t="shared" si="13"/>
        <v>1.6030699999999998E-2</v>
      </c>
      <c r="Y101">
        <f t="shared" si="14"/>
        <v>0</v>
      </c>
      <c r="Z101">
        <f t="shared" si="15"/>
        <v>8.3710899999999994E-3</v>
      </c>
      <c r="AA101">
        <f t="shared" si="16"/>
        <v>8.6289224999999987E-3</v>
      </c>
    </row>
    <row r="102" spans="1:27" x14ac:dyDescent="0.3">
      <c r="A102">
        <v>97</v>
      </c>
      <c r="B102">
        <v>1.03759E-2</v>
      </c>
      <c r="C102">
        <v>0.24799299999999999</v>
      </c>
      <c r="D102">
        <v>24.148900000000001</v>
      </c>
      <c r="E102">
        <v>23.901</v>
      </c>
      <c r="F102">
        <v>1.6911700000000002E-2</v>
      </c>
      <c r="G102">
        <v>0.41593799999999997</v>
      </c>
      <c r="H102">
        <v>25.0106</v>
      </c>
      <c r="I102">
        <v>24.5946</v>
      </c>
      <c r="N102">
        <v>8.6027800000000008E-3</v>
      </c>
      <c r="O102">
        <v>0.208006</v>
      </c>
      <c r="P102">
        <v>24.387</v>
      </c>
      <c r="Q102">
        <v>24.178999999999998</v>
      </c>
      <c r="R102">
        <v>3863.54</v>
      </c>
      <c r="S102">
        <v>3863.54</v>
      </c>
      <c r="T102">
        <v>0.32590000000000002</v>
      </c>
      <c r="U102">
        <v>99.140699999999995</v>
      </c>
      <c r="V102">
        <f t="shared" si="11"/>
        <v>0.54505855187201058</v>
      </c>
      <c r="W102">
        <f t="shared" si="12"/>
        <v>1.03759E-2</v>
      </c>
      <c r="X102">
        <f t="shared" si="13"/>
        <v>1.6911700000000002E-2</v>
      </c>
      <c r="Y102">
        <f t="shared" si="14"/>
        <v>0</v>
      </c>
      <c r="Z102">
        <f t="shared" si="15"/>
        <v>8.6027800000000008E-3</v>
      </c>
      <c r="AA102">
        <f t="shared" si="16"/>
        <v>8.9725949999999999E-3</v>
      </c>
    </row>
    <row r="103" spans="1:27" x14ac:dyDescent="0.3">
      <c r="A103">
        <v>98</v>
      </c>
      <c r="B103">
        <v>1.0450600000000001E-2</v>
      </c>
      <c r="C103">
        <v>0.249779</v>
      </c>
      <c r="D103">
        <v>24.150700000000001</v>
      </c>
      <c r="E103">
        <v>23.901</v>
      </c>
      <c r="F103">
        <v>1.7080399999999999E-2</v>
      </c>
      <c r="G103">
        <v>0.42008699999999999</v>
      </c>
      <c r="H103">
        <v>25.014700000000001</v>
      </c>
      <c r="I103">
        <v>24.5946</v>
      </c>
      <c r="N103">
        <v>8.6788300000000002E-3</v>
      </c>
      <c r="O103">
        <v>0.209845</v>
      </c>
      <c r="P103">
        <v>24.3888</v>
      </c>
      <c r="Q103">
        <v>24.178999999999998</v>
      </c>
      <c r="R103">
        <v>3864.23</v>
      </c>
      <c r="S103">
        <v>3864.23</v>
      </c>
      <c r="T103">
        <v>0.3246</v>
      </c>
      <c r="U103">
        <v>98.753</v>
      </c>
      <c r="V103">
        <f t="shared" si="11"/>
        <v>0.54292704381769197</v>
      </c>
      <c r="W103">
        <f t="shared" si="12"/>
        <v>1.0450600000000001E-2</v>
      </c>
      <c r="X103">
        <f t="shared" si="13"/>
        <v>1.7080399999999999E-2</v>
      </c>
      <c r="Y103">
        <f t="shared" si="14"/>
        <v>0</v>
      </c>
      <c r="Z103">
        <f t="shared" si="15"/>
        <v>8.6788300000000002E-3</v>
      </c>
      <c r="AA103">
        <f t="shared" si="16"/>
        <v>9.0524574999999996E-3</v>
      </c>
    </row>
    <row r="104" spans="1:27" x14ac:dyDescent="0.3">
      <c r="A104">
        <v>99</v>
      </c>
      <c r="B104">
        <v>1.05048E-2</v>
      </c>
      <c r="C104">
        <v>0.25107600000000002</v>
      </c>
      <c r="D104">
        <v>24.152000000000001</v>
      </c>
      <c r="E104">
        <v>23.901</v>
      </c>
      <c r="F104">
        <v>1.7236499999999998E-2</v>
      </c>
      <c r="G104">
        <v>0.423927</v>
      </c>
      <c r="H104">
        <v>25.018599999999999</v>
      </c>
      <c r="I104">
        <v>24.5946</v>
      </c>
      <c r="N104">
        <v>8.76095E-3</v>
      </c>
      <c r="O104">
        <v>0.21183099999999999</v>
      </c>
      <c r="P104">
        <v>24.390799999999999</v>
      </c>
      <c r="Q104">
        <v>24.178999999999998</v>
      </c>
      <c r="R104">
        <v>3865.72</v>
      </c>
      <c r="S104">
        <v>3865.72</v>
      </c>
      <c r="T104">
        <v>0.32229999999999998</v>
      </c>
      <c r="U104">
        <v>98.074700000000007</v>
      </c>
      <c r="V104">
        <f t="shared" si="11"/>
        <v>0.53919786684259718</v>
      </c>
      <c r="W104">
        <f t="shared" si="12"/>
        <v>1.05048E-2</v>
      </c>
      <c r="X104">
        <f t="shared" si="13"/>
        <v>1.7236499999999998E-2</v>
      </c>
      <c r="Y104">
        <f t="shared" si="14"/>
        <v>0</v>
      </c>
      <c r="Z104">
        <f t="shared" si="15"/>
        <v>8.76095E-3</v>
      </c>
      <c r="AA104">
        <f t="shared" si="16"/>
        <v>9.1255625E-3</v>
      </c>
    </row>
    <row r="105" spans="1:27" x14ac:dyDescent="0.3">
      <c r="A105">
        <v>100</v>
      </c>
      <c r="B105">
        <v>1.0546399999999999E-2</v>
      </c>
      <c r="C105">
        <v>0.25206899999999999</v>
      </c>
      <c r="D105">
        <v>24.152999999999999</v>
      </c>
      <c r="E105">
        <v>23.901</v>
      </c>
      <c r="F105">
        <v>1.7296499999999999E-2</v>
      </c>
      <c r="G105">
        <v>0.425402</v>
      </c>
      <c r="H105">
        <v>25.020099999999999</v>
      </c>
      <c r="I105">
        <v>24.5946</v>
      </c>
      <c r="N105">
        <v>8.81294E-3</v>
      </c>
      <c r="O105">
        <v>0.213088</v>
      </c>
      <c r="P105">
        <v>24.392099999999999</v>
      </c>
      <c r="Q105">
        <v>24.178999999999998</v>
      </c>
      <c r="R105">
        <v>3866.1</v>
      </c>
      <c r="S105">
        <v>3866.1</v>
      </c>
      <c r="T105">
        <v>0.31390000000000001</v>
      </c>
      <c r="U105">
        <v>95.554900000000004</v>
      </c>
      <c r="V105">
        <f t="shared" si="11"/>
        <v>0.52534443894661609</v>
      </c>
      <c r="W105">
        <f t="shared" si="12"/>
        <v>1.0546399999999999E-2</v>
      </c>
      <c r="X105">
        <f t="shared" si="13"/>
        <v>1.7296499999999999E-2</v>
      </c>
      <c r="Y105">
        <f t="shared" si="14"/>
        <v>0</v>
      </c>
      <c r="Z105">
        <f t="shared" si="15"/>
        <v>8.81294E-3</v>
      </c>
      <c r="AA105">
        <f t="shared" si="16"/>
        <v>9.1639599999999988E-3</v>
      </c>
    </row>
    <row r="106" spans="1:27" x14ac:dyDescent="0.3">
      <c r="A106">
        <v>101</v>
      </c>
      <c r="B106">
        <v>1.06263E-2</v>
      </c>
      <c r="C106">
        <v>0.25397900000000001</v>
      </c>
      <c r="D106">
        <v>24.154900000000001</v>
      </c>
      <c r="E106">
        <v>23.901</v>
      </c>
      <c r="F106">
        <v>1.7493600000000002E-2</v>
      </c>
      <c r="G106">
        <v>0.43024800000000002</v>
      </c>
      <c r="H106">
        <v>25.024899999999999</v>
      </c>
      <c r="I106">
        <v>24.5946</v>
      </c>
      <c r="N106">
        <v>8.9354699999999992E-3</v>
      </c>
      <c r="O106">
        <v>0.21605099999999999</v>
      </c>
      <c r="P106">
        <v>24.395</v>
      </c>
      <c r="Q106">
        <v>24.178999999999998</v>
      </c>
      <c r="R106">
        <v>3868.03</v>
      </c>
      <c r="S106">
        <v>3868.03</v>
      </c>
      <c r="T106">
        <v>0.30969999999999998</v>
      </c>
      <c r="U106">
        <v>94.295100000000005</v>
      </c>
      <c r="V106">
        <f t="shared" si="11"/>
        <v>0.5184182747814613</v>
      </c>
      <c r="W106">
        <f t="shared" si="12"/>
        <v>1.06263E-2</v>
      </c>
      <c r="X106">
        <f t="shared" si="13"/>
        <v>1.7493600000000002E-2</v>
      </c>
      <c r="Y106">
        <f t="shared" si="14"/>
        <v>0</v>
      </c>
      <c r="Z106">
        <f t="shared" si="15"/>
        <v>8.9354699999999992E-3</v>
      </c>
      <c r="AA106">
        <f t="shared" si="16"/>
        <v>9.263842500000001E-3</v>
      </c>
    </row>
    <row r="107" spans="1:27" x14ac:dyDescent="0.3">
      <c r="A107">
        <v>102</v>
      </c>
      <c r="B107">
        <v>1.06246E-2</v>
      </c>
      <c r="C107">
        <v>0.25393900000000003</v>
      </c>
      <c r="D107">
        <v>24.154900000000001</v>
      </c>
      <c r="E107">
        <v>23.901</v>
      </c>
      <c r="F107">
        <v>1.75225E-2</v>
      </c>
      <c r="G107">
        <v>0.43095899999999998</v>
      </c>
      <c r="H107">
        <v>25.025600000000001</v>
      </c>
      <c r="I107">
        <v>24.5946</v>
      </c>
      <c r="N107">
        <v>8.9387700000000004E-3</v>
      </c>
      <c r="O107">
        <v>0.21612999999999999</v>
      </c>
      <c r="P107">
        <v>24.395099999999999</v>
      </c>
      <c r="Q107">
        <v>24.178999999999998</v>
      </c>
      <c r="R107">
        <v>3868.34</v>
      </c>
      <c r="S107">
        <v>3868.34</v>
      </c>
      <c r="T107">
        <v>0.312</v>
      </c>
      <c r="U107">
        <v>94.973500000000001</v>
      </c>
      <c r="V107">
        <f t="shared" si="11"/>
        <v>0.522148001539392</v>
      </c>
      <c r="W107">
        <f t="shared" si="12"/>
        <v>1.06246E-2</v>
      </c>
      <c r="X107">
        <f t="shared" si="13"/>
        <v>1.75225E-2</v>
      </c>
      <c r="Y107">
        <f t="shared" si="14"/>
        <v>0</v>
      </c>
      <c r="Z107">
        <f t="shared" si="15"/>
        <v>8.9387700000000004E-3</v>
      </c>
      <c r="AA107">
        <f t="shared" si="16"/>
        <v>9.2714675E-3</v>
      </c>
    </row>
    <row r="108" spans="1:27" x14ac:dyDescent="0.3">
      <c r="A108">
        <v>103</v>
      </c>
      <c r="B108">
        <v>1.07749E-2</v>
      </c>
      <c r="C108">
        <v>0.25752999999999998</v>
      </c>
      <c r="D108">
        <v>24.1585</v>
      </c>
      <c r="E108">
        <v>23.901</v>
      </c>
      <c r="F108">
        <v>1.7959699999999999E-2</v>
      </c>
      <c r="G108">
        <v>0.44171199999999999</v>
      </c>
      <c r="H108">
        <v>25.0364</v>
      </c>
      <c r="I108">
        <v>24.5946</v>
      </c>
      <c r="N108">
        <v>9.1306800000000004E-3</v>
      </c>
      <c r="O108">
        <v>0.22076999999999999</v>
      </c>
      <c r="P108">
        <v>24.399699999999999</v>
      </c>
      <c r="Q108">
        <v>24.178999999999998</v>
      </c>
      <c r="R108">
        <v>3871.15</v>
      </c>
      <c r="S108">
        <v>3871.15</v>
      </c>
      <c r="T108">
        <v>0.31230000000000002</v>
      </c>
      <c r="U108">
        <v>95.070400000000006</v>
      </c>
      <c r="V108">
        <f t="shared" si="11"/>
        <v>0.5226807411072627</v>
      </c>
      <c r="W108">
        <f t="shared" si="12"/>
        <v>1.07749E-2</v>
      </c>
      <c r="X108">
        <f t="shared" si="13"/>
        <v>1.7959699999999999E-2</v>
      </c>
      <c r="Y108">
        <f t="shared" si="14"/>
        <v>0</v>
      </c>
      <c r="Z108">
        <f t="shared" si="15"/>
        <v>9.1306800000000004E-3</v>
      </c>
      <c r="AA108">
        <f t="shared" si="16"/>
        <v>9.4663200000000003E-3</v>
      </c>
    </row>
    <row r="109" spans="1:27" x14ac:dyDescent="0.3">
      <c r="A109">
        <v>104</v>
      </c>
      <c r="B109">
        <v>1.0677799999999999E-2</v>
      </c>
      <c r="C109">
        <v>0.25520999999999999</v>
      </c>
      <c r="D109">
        <v>24.156199999999998</v>
      </c>
      <c r="E109">
        <v>23.901</v>
      </c>
      <c r="F109">
        <v>1.79448E-2</v>
      </c>
      <c r="G109">
        <v>0.44134499999999999</v>
      </c>
      <c r="H109">
        <v>25.036000000000001</v>
      </c>
      <c r="I109">
        <v>24.5946</v>
      </c>
      <c r="N109">
        <v>9.0395800000000002E-3</v>
      </c>
      <c r="O109">
        <v>0.21856800000000001</v>
      </c>
      <c r="P109">
        <v>24.397500000000001</v>
      </c>
      <c r="Q109">
        <v>24.178999999999998</v>
      </c>
      <c r="R109">
        <v>3871.52</v>
      </c>
      <c r="S109">
        <v>3871.52</v>
      </c>
      <c r="T109">
        <v>0.31069999999999998</v>
      </c>
      <c r="U109">
        <v>94.585800000000006</v>
      </c>
      <c r="V109">
        <f t="shared" si="11"/>
        <v>0.52001649348507339</v>
      </c>
      <c r="W109">
        <f t="shared" si="12"/>
        <v>1.0677799999999999E-2</v>
      </c>
      <c r="X109">
        <f t="shared" si="13"/>
        <v>1.79448E-2</v>
      </c>
      <c r="Y109">
        <f t="shared" si="14"/>
        <v>0</v>
      </c>
      <c r="Z109">
        <f t="shared" si="15"/>
        <v>9.0395800000000002E-3</v>
      </c>
      <c r="AA109">
        <f t="shared" si="16"/>
        <v>9.4155449999999991E-3</v>
      </c>
    </row>
    <row r="110" spans="1:27" x14ac:dyDescent="0.3">
      <c r="A110">
        <v>105</v>
      </c>
      <c r="B110">
        <v>1.0751399999999999E-2</v>
      </c>
      <c r="C110">
        <v>0.25696999999999998</v>
      </c>
      <c r="D110">
        <v>24.157900000000001</v>
      </c>
      <c r="E110">
        <v>23.901</v>
      </c>
      <c r="F110">
        <v>1.8015199999999999E-2</v>
      </c>
      <c r="G110">
        <v>0.443077</v>
      </c>
      <c r="H110">
        <v>25.037700000000001</v>
      </c>
      <c r="I110">
        <v>24.5946</v>
      </c>
      <c r="N110">
        <v>9.1416499999999994E-3</v>
      </c>
      <c r="O110">
        <v>0.22103600000000001</v>
      </c>
      <c r="P110">
        <v>24.4</v>
      </c>
      <c r="Q110">
        <v>24.178999999999998</v>
      </c>
      <c r="R110">
        <v>3872.15</v>
      </c>
      <c r="S110">
        <v>3872.15</v>
      </c>
      <c r="T110">
        <v>0.31359999999999999</v>
      </c>
      <c r="U110">
        <v>95.457999999999998</v>
      </c>
      <c r="V110">
        <f t="shared" si="11"/>
        <v>0.52481169937874539</v>
      </c>
      <c r="W110">
        <f t="shared" si="12"/>
        <v>1.0751399999999999E-2</v>
      </c>
      <c r="X110">
        <f t="shared" si="13"/>
        <v>1.8015199999999999E-2</v>
      </c>
      <c r="Y110">
        <f t="shared" si="14"/>
        <v>0</v>
      </c>
      <c r="Z110">
        <f t="shared" si="15"/>
        <v>9.1416499999999994E-3</v>
      </c>
      <c r="AA110">
        <f t="shared" si="16"/>
        <v>9.4770624999999994E-3</v>
      </c>
    </row>
    <row r="111" spans="1:27" x14ac:dyDescent="0.3">
      <c r="A111">
        <v>106</v>
      </c>
      <c r="B111">
        <v>9.5522200000000002E-3</v>
      </c>
      <c r="C111">
        <v>0.22830700000000001</v>
      </c>
      <c r="D111">
        <v>24.129300000000001</v>
      </c>
      <c r="E111">
        <v>23.901</v>
      </c>
      <c r="F111">
        <v>1.6155699999999999E-2</v>
      </c>
      <c r="G111">
        <v>0.397343</v>
      </c>
      <c r="H111">
        <v>24.992000000000001</v>
      </c>
      <c r="I111">
        <v>24.5946</v>
      </c>
      <c r="N111">
        <v>8.3039099999999994E-3</v>
      </c>
      <c r="O111">
        <v>0.20077999999999999</v>
      </c>
      <c r="P111">
        <v>24.379799999999999</v>
      </c>
      <c r="Q111">
        <v>24.178999999999998</v>
      </c>
      <c r="R111">
        <v>3873.9</v>
      </c>
      <c r="S111">
        <v>3873.9</v>
      </c>
      <c r="T111">
        <v>0.24979999999999999</v>
      </c>
      <c r="U111">
        <v>76.269499999999994</v>
      </c>
      <c r="V111">
        <f t="shared" si="11"/>
        <v>0.41931661993512559</v>
      </c>
      <c r="W111">
        <f t="shared" si="12"/>
        <v>9.5522200000000002E-3</v>
      </c>
      <c r="X111">
        <f t="shared" si="13"/>
        <v>1.6155699999999999E-2</v>
      </c>
      <c r="Y111">
        <f t="shared" si="14"/>
        <v>0</v>
      </c>
      <c r="Z111">
        <f t="shared" si="15"/>
        <v>8.3039099999999994E-3</v>
      </c>
      <c r="AA111">
        <f t="shared" si="16"/>
        <v>8.5029575E-3</v>
      </c>
    </row>
    <row r="112" spans="1:27" x14ac:dyDescent="0.3">
      <c r="A112">
        <v>107</v>
      </c>
      <c r="B112">
        <v>9.5226200000000007E-3</v>
      </c>
      <c r="C112">
        <v>0.2276</v>
      </c>
      <c r="D112">
        <v>24.128599999999999</v>
      </c>
      <c r="E112">
        <v>23.901</v>
      </c>
      <c r="F112">
        <v>1.6101899999999999E-2</v>
      </c>
      <c r="G112">
        <v>0.39601999999999998</v>
      </c>
      <c r="H112">
        <v>24.9907</v>
      </c>
      <c r="I112">
        <v>24.5946</v>
      </c>
      <c r="N112">
        <v>8.28892E-3</v>
      </c>
      <c r="O112">
        <v>0.20041800000000001</v>
      </c>
      <c r="P112">
        <v>24.3794</v>
      </c>
      <c r="Q112">
        <v>24.178999999999998</v>
      </c>
      <c r="R112">
        <v>3874.02</v>
      </c>
      <c r="S112">
        <v>3874.02</v>
      </c>
      <c r="T112">
        <v>0.20760000000000001</v>
      </c>
      <c r="U112">
        <v>63.574100000000001</v>
      </c>
      <c r="V112">
        <f t="shared" si="11"/>
        <v>0.34951948980152836</v>
      </c>
      <c r="W112">
        <f t="shared" si="12"/>
        <v>9.5226200000000007E-3</v>
      </c>
      <c r="X112">
        <f t="shared" si="13"/>
        <v>1.6101899999999999E-2</v>
      </c>
      <c r="Y112">
        <f t="shared" si="14"/>
        <v>0</v>
      </c>
      <c r="Z112">
        <f t="shared" si="15"/>
        <v>8.28892E-3</v>
      </c>
      <c r="AA112">
        <f t="shared" si="16"/>
        <v>8.478359999999999E-3</v>
      </c>
    </row>
    <row r="113" spans="1:27" x14ac:dyDescent="0.3">
      <c r="A113">
        <v>108</v>
      </c>
      <c r="B113">
        <v>9.4606900000000008E-3</v>
      </c>
      <c r="C113">
        <v>0.22611999999999999</v>
      </c>
      <c r="D113">
        <v>24.127099999999999</v>
      </c>
      <c r="E113">
        <v>23.901</v>
      </c>
      <c r="F113">
        <v>1.60083E-2</v>
      </c>
      <c r="G113">
        <v>0.39371899999999999</v>
      </c>
      <c r="H113">
        <v>24.988399999999999</v>
      </c>
      <c r="I113">
        <v>24.5946</v>
      </c>
      <c r="N113">
        <v>8.2302699999999996E-3</v>
      </c>
      <c r="O113">
        <v>0.19899900000000001</v>
      </c>
      <c r="P113">
        <v>24.378</v>
      </c>
      <c r="Q113">
        <v>24.178999999999998</v>
      </c>
      <c r="R113">
        <v>3874.21</v>
      </c>
      <c r="S113">
        <v>3874.21</v>
      </c>
      <c r="T113">
        <v>0.1973</v>
      </c>
      <c r="U113">
        <v>60.472900000000003</v>
      </c>
      <c r="V113">
        <f t="shared" si="11"/>
        <v>0.33246962449832318</v>
      </c>
      <c r="W113">
        <f t="shared" si="12"/>
        <v>9.4606900000000008E-3</v>
      </c>
      <c r="X113">
        <f t="shared" si="13"/>
        <v>1.60083E-2</v>
      </c>
      <c r="Y113">
        <f t="shared" si="14"/>
        <v>0</v>
      </c>
      <c r="Z113">
        <f t="shared" si="15"/>
        <v>8.2302699999999996E-3</v>
      </c>
      <c r="AA113">
        <f t="shared" si="16"/>
        <v>8.4248150000000004E-3</v>
      </c>
    </row>
    <row r="114" spans="1:27" x14ac:dyDescent="0.3">
      <c r="A114">
        <v>109</v>
      </c>
      <c r="B114">
        <v>9.4353400000000004E-3</v>
      </c>
      <c r="C114">
        <v>0.22551399999999999</v>
      </c>
      <c r="D114">
        <v>24.1265</v>
      </c>
      <c r="E114">
        <v>23.901</v>
      </c>
      <c r="F114">
        <v>1.5959299999999999E-2</v>
      </c>
      <c r="G114">
        <v>0.39251399999999997</v>
      </c>
      <c r="H114">
        <v>24.987200000000001</v>
      </c>
      <c r="I114">
        <v>24.5946</v>
      </c>
      <c r="N114">
        <v>8.2280900000000004E-3</v>
      </c>
      <c r="O114">
        <v>0.19894700000000001</v>
      </c>
      <c r="P114">
        <v>24.3779</v>
      </c>
      <c r="Q114">
        <v>24.178999999999998</v>
      </c>
      <c r="R114">
        <v>3874.33</v>
      </c>
      <c r="S114">
        <v>3874.33</v>
      </c>
      <c r="T114">
        <v>0.18410000000000001</v>
      </c>
      <c r="U114">
        <v>56.499499999999998</v>
      </c>
      <c r="V114">
        <f t="shared" si="11"/>
        <v>0.31062455330144589</v>
      </c>
      <c r="W114">
        <f t="shared" si="12"/>
        <v>9.4353400000000004E-3</v>
      </c>
      <c r="X114">
        <f t="shared" si="13"/>
        <v>1.5959299999999999E-2</v>
      </c>
      <c r="Y114">
        <f t="shared" si="14"/>
        <v>0</v>
      </c>
      <c r="Z114">
        <f t="shared" si="15"/>
        <v>8.2280900000000004E-3</v>
      </c>
      <c r="AA114">
        <f t="shared" si="16"/>
        <v>8.4056825000000009E-3</v>
      </c>
    </row>
    <row r="115" spans="1:27" x14ac:dyDescent="0.3">
      <c r="A115">
        <v>110</v>
      </c>
      <c r="B115">
        <v>9.4388000000000007E-3</v>
      </c>
      <c r="C115">
        <v>0.22559599999999999</v>
      </c>
      <c r="D115">
        <v>24.1266</v>
      </c>
      <c r="E115">
        <v>23.901</v>
      </c>
      <c r="F115">
        <v>1.59639E-2</v>
      </c>
      <c r="G115">
        <v>0.392627</v>
      </c>
      <c r="H115">
        <v>24.987300000000001</v>
      </c>
      <c r="I115">
        <v>24.5946</v>
      </c>
      <c r="N115">
        <v>8.2299699999999996E-3</v>
      </c>
      <c r="O115">
        <v>0.198992</v>
      </c>
      <c r="P115">
        <v>24.378</v>
      </c>
      <c r="Q115">
        <v>24.178999999999998</v>
      </c>
      <c r="R115">
        <v>3874.46</v>
      </c>
      <c r="S115">
        <v>3874.46</v>
      </c>
      <c r="T115">
        <v>0.18310000000000001</v>
      </c>
      <c r="U115">
        <v>56.208799999999997</v>
      </c>
      <c r="V115">
        <f t="shared" si="11"/>
        <v>0.30902633459783385</v>
      </c>
      <c r="W115">
        <f t="shared" si="12"/>
        <v>9.4388000000000007E-3</v>
      </c>
      <c r="X115">
        <f t="shared" si="13"/>
        <v>1.59639E-2</v>
      </c>
      <c r="Y115">
        <f t="shared" si="14"/>
        <v>0</v>
      </c>
      <c r="Z115">
        <f t="shared" si="15"/>
        <v>8.2299699999999996E-3</v>
      </c>
      <c r="AA115">
        <f t="shared" si="16"/>
        <v>8.4081675000000008E-3</v>
      </c>
    </row>
    <row r="116" spans="1:27" x14ac:dyDescent="0.3">
      <c r="A116">
        <v>111</v>
      </c>
      <c r="B116">
        <v>9.3636799999999992E-3</v>
      </c>
      <c r="C116">
        <v>0.223801</v>
      </c>
      <c r="D116">
        <v>24.1248</v>
      </c>
      <c r="E116">
        <v>23.901</v>
      </c>
      <c r="F116">
        <v>1.5896400000000002E-2</v>
      </c>
      <c r="G116">
        <v>0.39096599999999998</v>
      </c>
      <c r="H116">
        <v>24.985600000000002</v>
      </c>
      <c r="I116">
        <v>24.5946</v>
      </c>
      <c r="N116">
        <v>8.1650200000000003E-3</v>
      </c>
      <c r="O116">
        <v>0.19742199999999999</v>
      </c>
      <c r="P116">
        <v>24.3764</v>
      </c>
      <c r="Q116">
        <v>24.178999999999998</v>
      </c>
      <c r="R116">
        <v>3878.51</v>
      </c>
      <c r="S116">
        <v>3878.52</v>
      </c>
      <c r="T116">
        <v>0.18920000000000001</v>
      </c>
      <c r="U116">
        <v>58.0501</v>
      </c>
      <c r="V116">
        <f t="shared" si="11"/>
        <v>0.31914948595304854</v>
      </c>
      <c r="W116">
        <f t="shared" si="12"/>
        <v>9.3636799999999992E-3</v>
      </c>
      <c r="X116">
        <f t="shared" si="13"/>
        <v>1.5896400000000002E-2</v>
      </c>
      <c r="Y116">
        <f t="shared" si="14"/>
        <v>0</v>
      </c>
      <c r="Z116">
        <f t="shared" si="15"/>
        <v>8.1650200000000003E-3</v>
      </c>
      <c r="AA116">
        <f t="shared" si="16"/>
        <v>8.3562749999999998E-3</v>
      </c>
    </row>
    <row r="117" spans="1:27" x14ac:dyDescent="0.3">
      <c r="A117">
        <v>112</v>
      </c>
      <c r="B117">
        <v>7.5655399999999999E-3</v>
      </c>
      <c r="C117">
        <v>0.18082400000000001</v>
      </c>
      <c r="D117">
        <v>24.081800000000001</v>
      </c>
      <c r="E117">
        <v>23.901</v>
      </c>
      <c r="F117">
        <v>1.2645200000000001E-2</v>
      </c>
      <c r="G117">
        <v>0.311004</v>
      </c>
      <c r="H117">
        <v>24.9057</v>
      </c>
      <c r="I117">
        <v>24.5946</v>
      </c>
      <c r="N117">
        <v>6.79234E-3</v>
      </c>
      <c r="O117">
        <v>0.16423199999999999</v>
      </c>
      <c r="P117">
        <v>24.3432</v>
      </c>
      <c r="Q117">
        <v>24.178999999999998</v>
      </c>
      <c r="R117">
        <v>3881.82</v>
      </c>
      <c r="S117">
        <v>3881.82</v>
      </c>
      <c r="T117">
        <v>0.1431</v>
      </c>
      <c r="U117">
        <v>44.191699999999997</v>
      </c>
      <c r="V117">
        <f t="shared" si="11"/>
        <v>0.24295838143933146</v>
      </c>
      <c r="W117">
        <f t="shared" si="12"/>
        <v>7.5655399999999999E-3</v>
      </c>
      <c r="X117">
        <f t="shared" si="13"/>
        <v>1.2645200000000001E-2</v>
      </c>
      <c r="Y117">
        <f t="shared" si="14"/>
        <v>0</v>
      </c>
      <c r="Z117">
        <f t="shared" si="15"/>
        <v>6.79234E-3</v>
      </c>
      <c r="AA117">
        <f t="shared" si="16"/>
        <v>6.7507700000000006E-3</v>
      </c>
    </row>
    <row r="118" spans="1:27" x14ac:dyDescent="0.3">
      <c r="A118">
        <v>113</v>
      </c>
      <c r="B118">
        <v>7.3998400000000004E-3</v>
      </c>
      <c r="C118">
        <v>0.17686299999999999</v>
      </c>
      <c r="D118">
        <v>24.0778</v>
      </c>
      <c r="E118">
        <v>23.901</v>
      </c>
      <c r="F118">
        <v>1.2263100000000001E-2</v>
      </c>
      <c r="G118">
        <v>0.30160700000000001</v>
      </c>
      <c r="H118">
        <v>24.8963</v>
      </c>
      <c r="I118">
        <v>24.5946</v>
      </c>
      <c r="N118">
        <v>6.6543399999999999E-3</v>
      </c>
      <c r="O118">
        <v>0.16089500000000001</v>
      </c>
      <c r="P118">
        <v>24.3399</v>
      </c>
      <c r="Q118">
        <v>24.178999999999998</v>
      </c>
      <c r="R118">
        <v>3881.95</v>
      </c>
      <c r="S118">
        <v>3881.95</v>
      </c>
      <c r="T118">
        <v>9.9599999999999994E-2</v>
      </c>
      <c r="U118">
        <v>31.108699999999999</v>
      </c>
      <c r="V118">
        <f t="shared" si="11"/>
        <v>0.17103029303425146</v>
      </c>
      <c r="W118">
        <f t="shared" si="12"/>
        <v>7.3998400000000004E-3</v>
      </c>
      <c r="X118">
        <f t="shared" si="13"/>
        <v>1.2263100000000001E-2</v>
      </c>
      <c r="Y118">
        <f t="shared" si="14"/>
        <v>0</v>
      </c>
      <c r="Z118">
        <f t="shared" si="15"/>
        <v>6.6543399999999999E-3</v>
      </c>
      <c r="AA118">
        <f t="shared" si="16"/>
        <v>6.5793199999999996E-3</v>
      </c>
    </row>
    <row r="119" spans="1:27" x14ac:dyDescent="0.3">
      <c r="A119">
        <v>114</v>
      </c>
      <c r="B119">
        <v>7.3542900000000003E-3</v>
      </c>
      <c r="C119">
        <v>0.17577499999999999</v>
      </c>
      <c r="D119">
        <v>24.076699999999999</v>
      </c>
      <c r="E119">
        <v>23.901</v>
      </c>
      <c r="F119">
        <v>1.20108E-2</v>
      </c>
      <c r="G119">
        <v>0.295402</v>
      </c>
      <c r="H119">
        <v>24.89</v>
      </c>
      <c r="I119">
        <v>24.5946</v>
      </c>
      <c r="N119">
        <v>6.6139199999999997E-3</v>
      </c>
      <c r="O119">
        <v>0.159918</v>
      </c>
      <c r="P119">
        <v>24.338899999999999</v>
      </c>
      <c r="Q119">
        <v>24.178999999999998</v>
      </c>
      <c r="R119">
        <v>3882.07</v>
      </c>
      <c r="S119">
        <v>3882.07</v>
      </c>
      <c r="T119">
        <v>8.1600000000000006E-2</v>
      </c>
      <c r="U119">
        <v>25.6816</v>
      </c>
      <c r="V119">
        <f t="shared" si="11"/>
        <v>0.14119302875364231</v>
      </c>
      <c r="W119">
        <f t="shared" si="12"/>
        <v>7.3542900000000003E-3</v>
      </c>
      <c r="X119">
        <f t="shared" si="13"/>
        <v>1.20108E-2</v>
      </c>
      <c r="Y119">
        <f t="shared" si="14"/>
        <v>0</v>
      </c>
      <c r="Z119">
        <f t="shared" si="15"/>
        <v>6.6139199999999997E-3</v>
      </c>
      <c r="AA119">
        <f t="shared" si="16"/>
        <v>6.4947525000000001E-3</v>
      </c>
    </row>
    <row r="120" spans="1:27" x14ac:dyDescent="0.3">
      <c r="A120">
        <v>115</v>
      </c>
      <c r="B120">
        <v>7.2732700000000001E-3</v>
      </c>
      <c r="C120">
        <v>0.17383799999999999</v>
      </c>
      <c r="D120">
        <v>24.0748</v>
      </c>
      <c r="E120">
        <v>23.901</v>
      </c>
      <c r="F120">
        <v>1.19326E-2</v>
      </c>
      <c r="G120">
        <v>0.29347800000000002</v>
      </c>
      <c r="H120">
        <v>24.888100000000001</v>
      </c>
      <c r="I120">
        <v>24.5946</v>
      </c>
      <c r="N120">
        <v>6.5527299999999997E-3</v>
      </c>
      <c r="O120">
        <v>0.158438</v>
      </c>
      <c r="P120">
        <v>24.337399999999999</v>
      </c>
      <c r="Q120">
        <v>24.178999999999998</v>
      </c>
      <c r="R120">
        <v>3882.45</v>
      </c>
      <c r="S120">
        <v>3882.45</v>
      </c>
      <c r="T120">
        <v>6.7699999999999996E-2</v>
      </c>
      <c r="U120">
        <v>21.514399999999998</v>
      </c>
      <c r="V120">
        <f t="shared" si="11"/>
        <v>0.11828247842102368</v>
      </c>
      <c r="W120">
        <f t="shared" si="12"/>
        <v>7.2732700000000001E-3</v>
      </c>
      <c r="X120">
        <f t="shared" si="13"/>
        <v>1.19326E-2</v>
      </c>
      <c r="Y120">
        <f t="shared" si="14"/>
        <v>0</v>
      </c>
      <c r="Z120">
        <f t="shared" si="15"/>
        <v>6.5527299999999997E-3</v>
      </c>
      <c r="AA120">
        <f t="shared" si="16"/>
        <v>6.4396499999999999E-3</v>
      </c>
    </row>
    <row r="121" spans="1:27" x14ac:dyDescent="0.3">
      <c r="A121">
        <v>116</v>
      </c>
      <c r="B121">
        <v>6.9451000000000001E-3</v>
      </c>
      <c r="C121">
        <v>0.165994</v>
      </c>
      <c r="D121">
        <v>24.0669</v>
      </c>
      <c r="E121">
        <v>23.901</v>
      </c>
      <c r="F121">
        <v>1.13531E-2</v>
      </c>
      <c r="G121">
        <v>0.279225</v>
      </c>
      <c r="H121">
        <v>24.873899999999999</v>
      </c>
      <c r="I121">
        <v>24.5946</v>
      </c>
      <c r="N121">
        <v>6.3200599999999997E-3</v>
      </c>
      <c r="O121">
        <v>0.152813</v>
      </c>
      <c r="P121">
        <v>24.331800000000001</v>
      </c>
      <c r="Q121">
        <v>24.178999999999998</v>
      </c>
      <c r="R121">
        <v>3887.5</v>
      </c>
      <c r="S121">
        <v>3887.5</v>
      </c>
      <c r="T121">
        <v>7.0300000000000001E-2</v>
      </c>
      <c r="U121">
        <v>22.2897</v>
      </c>
      <c r="V121">
        <f t="shared" si="11"/>
        <v>0.12254494474682499</v>
      </c>
      <c r="W121">
        <f t="shared" si="12"/>
        <v>6.9451000000000001E-3</v>
      </c>
      <c r="X121">
        <f t="shared" si="13"/>
        <v>1.13531E-2</v>
      </c>
      <c r="Y121">
        <f t="shared" si="14"/>
        <v>0</v>
      </c>
      <c r="Z121">
        <f t="shared" si="15"/>
        <v>6.3200599999999997E-3</v>
      </c>
      <c r="AA121">
        <f t="shared" si="16"/>
        <v>6.1545649999999999E-3</v>
      </c>
    </row>
    <row r="122" spans="1:27" x14ac:dyDescent="0.3">
      <c r="A122">
        <v>117</v>
      </c>
      <c r="B122">
        <v>6.9385899999999997E-3</v>
      </c>
      <c r="C122">
        <v>0.16583899999999999</v>
      </c>
      <c r="D122">
        <v>24.066800000000001</v>
      </c>
      <c r="E122">
        <v>23.901</v>
      </c>
      <c r="F122">
        <v>1.1317499999999999E-2</v>
      </c>
      <c r="G122">
        <v>0.27834999999999999</v>
      </c>
      <c r="H122">
        <v>24.873000000000001</v>
      </c>
      <c r="I122">
        <v>24.5946</v>
      </c>
      <c r="N122">
        <v>6.3178899999999996E-3</v>
      </c>
      <c r="O122">
        <v>0.15276000000000001</v>
      </c>
      <c r="P122">
        <v>24.331700000000001</v>
      </c>
      <c r="Q122">
        <v>24.178999999999998</v>
      </c>
      <c r="R122">
        <v>3887.94</v>
      </c>
      <c r="S122">
        <v>3887.94</v>
      </c>
      <c r="T122">
        <v>7.5399999999999995E-2</v>
      </c>
      <c r="U122">
        <v>23.840299999999999</v>
      </c>
      <c r="V122">
        <f t="shared" si="11"/>
        <v>0.13106987739842763</v>
      </c>
      <c r="W122">
        <f t="shared" si="12"/>
        <v>6.9385899999999997E-3</v>
      </c>
      <c r="X122">
        <f t="shared" si="13"/>
        <v>1.1317499999999999E-2</v>
      </c>
      <c r="Y122">
        <f t="shared" si="14"/>
        <v>0</v>
      </c>
      <c r="Z122">
        <f t="shared" si="15"/>
        <v>6.3178899999999996E-3</v>
      </c>
      <c r="AA122">
        <f t="shared" si="16"/>
        <v>6.1434949999999997E-3</v>
      </c>
    </row>
    <row r="123" spans="1:27" x14ac:dyDescent="0.3">
      <c r="A123">
        <v>118</v>
      </c>
      <c r="B123">
        <v>6.8835800000000003E-3</v>
      </c>
      <c r="C123">
        <v>0.164524</v>
      </c>
      <c r="D123">
        <v>24.0655</v>
      </c>
      <c r="E123">
        <v>23.901</v>
      </c>
      <c r="F123">
        <v>1.12633E-2</v>
      </c>
      <c r="G123">
        <v>0.27701599999999998</v>
      </c>
      <c r="H123">
        <v>24.871700000000001</v>
      </c>
      <c r="I123">
        <v>24.5946</v>
      </c>
      <c r="N123">
        <v>6.2729300000000003E-3</v>
      </c>
      <c r="O123">
        <v>0.151673</v>
      </c>
      <c r="P123">
        <v>24.3307</v>
      </c>
      <c r="Q123">
        <v>24.178999999999998</v>
      </c>
      <c r="R123">
        <v>3892.99</v>
      </c>
      <c r="S123">
        <v>3892.99</v>
      </c>
      <c r="T123">
        <v>8.09E-2</v>
      </c>
      <c r="U123">
        <v>25.4878</v>
      </c>
      <c r="V123">
        <f t="shared" si="11"/>
        <v>0.14012754961790092</v>
      </c>
      <c r="W123">
        <f t="shared" si="12"/>
        <v>6.8835800000000003E-3</v>
      </c>
      <c r="X123">
        <f t="shared" si="13"/>
        <v>1.12633E-2</v>
      </c>
      <c r="Y123">
        <f t="shared" si="14"/>
        <v>0</v>
      </c>
      <c r="Z123">
        <f t="shared" si="15"/>
        <v>6.2729300000000003E-3</v>
      </c>
      <c r="AA123">
        <f t="shared" si="16"/>
        <v>6.1049525E-3</v>
      </c>
    </row>
    <row r="124" spans="1:27" x14ac:dyDescent="0.3">
      <c r="A124">
        <v>119</v>
      </c>
      <c r="B124">
        <v>6.9852899999999999E-3</v>
      </c>
      <c r="C124">
        <v>0.16695499999999999</v>
      </c>
      <c r="D124">
        <v>24.067900000000002</v>
      </c>
      <c r="E124">
        <v>23.901</v>
      </c>
      <c r="F124">
        <v>1.1474399999999999E-2</v>
      </c>
      <c r="G124">
        <v>0.28220899999999999</v>
      </c>
      <c r="H124">
        <v>24.876899999999999</v>
      </c>
      <c r="I124">
        <v>24.5946</v>
      </c>
      <c r="N124">
        <v>6.3666299999999999E-3</v>
      </c>
      <c r="O124">
        <v>0.15393899999999999</v>
      </c>
      <c r="P124">
        <v>24.332899999999999</v>
      </c>
      <c r="Q124">
        <v>24.178999999999998</v>
      </c>
      <c r="R124">
        <v>3894.49</v>
      </c>
      <c r="S124">
        <v>3894.49</v>
      </c>
      <c r="T124">
        <v>8.4500000000000006E-2</v>
      </c>
      <c r="U124">
        <v>26.553799999999999</v>
      </c>
      <c r="V124">
        <f t="shared" si="11"/>
        <v>0.14598823464731431</v>
      </c>
      <c r="W124">
        <f t="shared" si="12"/>
        <v>6.9852899999999999E-3</v>
      </c>
      <c r="X124">
        <f t="shared" si="13"/>
        <v>1.1474399999999999E-2</v>
      </c>
      <c r="Y124">
        <f t="shared" si="14"/>
        <v>0</v>
      </c>
      <c r="Z124">
        <f t="shared" si="15"/>
        <v>6.3666299999999999E-3</v>
      </c>
      <c r="AA124">
        <f t="shared" si="16"/>
        <v>6.2065799999999997E-3</v>
      </c>
    </row>
    <row r="125" spans="1:27" x14ac:dyDescent="0.3">
      <c r="A125">
        <v>120</v>
      </c>
      <c r="AA125" t="e">
        <f t="shared" si="16"/>
        <v>#DIV/0!</v>
      </c>
    </row>
    <row r="126" spans="1:27" x14ac:dyDescent="0.3">
      <c r="A126">
        <v>121</v>
      </c>
      <c r="AA126" t="e">
        <f t="shared" si="16"/>
        <v>#DIV/0!</v>
      </c>
    </row>
    <row r="127" spans="1:27" x14ac:dyDescent="0.3">
      <c r="A127">
        <v>122</v>
      </c>
      <c r="AA127" t="e">
        <f t="shared" si="16"/>
        <v>#DIV/0!</v>
      </c>
    </row>
    <row r="128" spans="1:27" x14ac:dyDescent="0.3">
      <c r="A128">
        <v>123</v>
      </c>
      <c r="AA128" t="e">
        <f t="shared" si="16"/>
        <v>#DIV/0!</v>
      </c>
    </row>
    <row r="129" spans="1:27" x14ac:dyDescent="0.3">
      <c r="A129">
        <v>124</v>
      </c>
      <c r="AA129" t="e">
        <f t="shared" si="16"/>
        <v>#DIV/0!</v>
      </c>
    </row>
    <row r="130" spans="1:27" x14ac:dyDescent="0.3">
      <c r="A130">
        <v>125</v>
      </c>
      <c r="AA130" t="e">
        <f t="shared" si="16"/>
        <v>#DIV/0!</v>
      </c>
    </row>
    <row r="131" spans="1:27" x14ac:dyDescent="0.3">
      <c r="A131">
        <v>126</v>
      </c>
      <c r="AA131" t="e">
        <f t="shared" si="16"/>
        <v>#DIV/0!</v>
      </c>
    </row>
    <row r="132" spans="1:27" x14ac:dyDescent="0.3">
      <c r="A132">
        <v>127</v>
      </c>
      <c r="AA132" t="e">
        <f t="shared" si="16"/>
        <v>#DIV/0!</v>
      </c>
    </row>
    <row r="133" spans="1:27" x14ac:dyDescent="0.3">
      <c r="A133">
        <v>128</v>
      </c>
      <c r="AA133" t="e">
        <f t="shared" si="16"/>
        <v>#DIV/0!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F47D-BC34-4F99-9659-EA34DEEEE98A}">
  <dimension ref="A1:AA232"/>
  <sheetViews>
    <sheetView topLeftCell="T10" workbookViewId="0">
      <selection activeCell="AK6" sqref="AK6"/>
    </sheetView>
  </sheetViews>
  <sheetFormatPr defaultRowHeight="14.4" x14ac:dyDescent="0.3"/>
  <sheetData>
    <row r="1" spans="1:27" x14ac:dyDescent="0.3">
      <c r="A1" t="s">
        <v>15</v>
      </c>
      <c r="B1" t="s">
        <v>16</v>
      </c>
      <c r="W1" s="2">
        <f>MATCH(V3,V5:V1048576,0)-1</f>
        <v>181</v>
      </c>
    </row>
    <row r="2" spans="1:27" x14ac:dyDescent="0.3">
      <c r="A2">
        <v>26.4</v>
      </c>
      <c r="B2">
        <v>6.95</v>
      </c>
      <c r="V2" t="s">
        <v>17</v>
      </c>
      <c r="W2" t="s">
        <v>18</v>
      </c>
      <c r="Y2" t="s">
        <v>19</v>
      </c>
      <c r="Z2" s="3"/>
    </row>
    <row r="3" spans="1:27" x14ac:dyDescent="0.3">
      <c r="A3" t="s">
        <v>0</v>
      </c>
      <c r="B3" t="s">
        <v>4</v>
      </c>
      <c r="F3" t="s">
        <v>1</v>
      </c>
      <c r="J3" t="s">
        <v>2</v>
      </c>
      <c r="N3" t="s">
        <v>3</v>
      </c>
      <c r="R3" t="s">
        <v>5</v>
      </c>
      <c r="V3" s="4">
        <f>MAX(V5:V1048576)</f>
        <v>0.86849247874427726</v>
      </c>
      <c r="W3" s="5">
        <f>INDEX(W5:W1048576,MATCH(V3,V5:V1048576,0))</f>
        <v>8.4111299999999993E-3</v>
      </c>
      <c r="X3" s="6">
        <f>INDEX(X5:X1048576,MATCH(V3,V5:V1048576,0))</f>
        <v>8.2689600000000005E-3</v>
      </c>
      <c r="Y3" s="2">
        <f>INDEX(LINEST(V25:V130,AA25:AA130),1)</f>
        <v>182.24909399589203</v>
      </c>
      <c r="Z3" s="7"/>
    </row>
    <row r="4" spans="1:27" ht="15.6" x14ac:dyDescent="0.3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7</v>
      </c>
      <c r="G4" t="s">
        <v>8</v>
      </c>
      <c r="H4" t="s">
        <v>9</v>
      </c>
      <c r="I4" t="s">
        <v>10</v>
      </c>
      <c r="J4" t="s">
        <v>7</v>
      </c>
      <c r="K4" t="s">
        <v>8</v>
      </c>
      <c r="L4" t="s">
        <v>9</v>
      </c>
      <c r="M4" t="s">
        <v>10</v>
      </c>
      <c r="N4" t="s">
        <v>7</v>
      </c>
      <c r="O4" t="s">
        <v>8</v>
      </c>
      <c r="P4" t="s">
        <v>9</v>
      </c>
      <c r="Q4" t="s">
        <v>10</v>
      </c>
      <c r="R4" t="s">
        <v>11</v>
      </c>
      <c r="S4" t="s">
        <v>12</v>
      </c>
      <c r="T4" t="s">
        <v>13</v>
      </c>
      <c r="U4" t="s">
        <v>14</v>
      </c>
      <c r="V4" t="s">
        <v>20</v>
      </c>
      <c r="W4" t="s">
        <v>22</v>
      </c>
      <c r="X4" t="s">
        <v>23</v>
      </c>
      <c r="Y4" t="s">
        <v>24</v>
      </c>
      <c r="Z4" t="s">
        <v>25</v>
      </c>
      <c r="AA4" t="s">
        <v>21</v>
      </c>
    </row>
    <row r="5" spans="1:27" x14ac:dyDescent="0.3">
      <c r="A5">
        <v>0</v>
      </c>
      <c r="B5">
        <v>0</v>
      </c>
      <c r="C5">
        <v>0</v>
      </c>
      <c r="D5">
        <v>57.298000000000002</v>
      </c>
      <c r="E5">
        <v>57.298000000000002</v>
      </c>
      <c r="F5">
        <v>0</v>
      </c>
      <c r="G5">
        <v>0</v>
      </c>
      <c r="H5">
        <v>57.265300000000003</v>
      </c>
      <c r="I5">
        <v>57.265300000000003</v>
      </c>
      <c r="J5">
        <v>0</v>
      </c>
      <c r="K5">
        <v>0</v>
      </c>
      <c r="L5">
        <v>57.031799999999997</v>
      </c>
      <c r="M5">
        <v>57.031799999999997</v>
      </c>
      <c r="N5">
        <v>0</v>
      </c>
      <c r="O5">
        <v>0</v>
      </c>
      <c r="P5">
        <v>56.2104</v>
      </c>
      <c r="Q5">
        <v>56.2104</v>
      </c>
      <c r="R5">
        <v>0</v>
      </c>
      <c r="S5">
        <v>3.0000000000000001E-3</v>
      </c>
      <c r="T5">
        <v>-0.2046</v>
      </c>
      <c r="U5">
        <v>-20.159400000000002</v>
      </c>
      <c r="V5">
        <f>U5/$A$2/$B$2</f>
        <v>-0.10987246566383257</v>
      </c>
      <c r="W5">
        <f>B5</f>
        <v>0</v>
      </c>
      <c r="X5">
        <f>F5</f>
        <v>0</v>
      </c>
      <c r="Y5">
        <f>J5</f>
        <v>0</v>
      </c>
      <c r="Z5">
        <f>N5</f>
        <v>0</v>
      </c>
      <c r="AA5">
        <f>AVERAGE(W5:Z5)</f>
        <v>0</v>
      </c>
    </row>
    <row r="6" spans="1:27" x14ac:dyDescent="0.3">
      <c r="A6">
        <v>1</v>
      </c>
      <c r="B6" s="1">
        <v>-9.7777800000000001E-6</v>
      </c>
      <c r="C6">
        <v>-5.6024700000000005E-4</v>
      </c>
      <c r="D6">
        <v>57.297499999999999</v>
      </c>
      <c r="E6">
        <v>57.298000000000002</v>
      </c>
      <c r="F6" s="1">
        <v>4.0520299999999999E-6</v>
      </c>
      <c r="G6">
        <v>2.32041E-4</v>
      </c>
      <c r="H6">
        <v>57.265500000000003</v>
      </c>
      <c r="I6">
        <v>57.265300000000003</v>
      </c>
      <c r="J6" s="1">
        <v>1.55369E-5</v>
      </c>
      <c r="K6">
        <v>8.8609799999999999E-4</v>
      </c>
      <c r="L6">
        <v>57.032699999999998</v>
      </c>
      <c r="M6">
        <v>57.031799999999997</v>
      </c>
      <c r="N6" s="1">
        <v>2.5915299999999999E-5</v>
      </c>
      <c r="O6">
        <v>1.4567099999999999E-3</v>
      </c>
      <c r="P6">
        <v>56.2119</v>
      </c>
      <c r="Q6">
        <v>56.2104</v>
      </c>
      <c r="R6">
        <v>4.6950000000000003</v>
      </c>
      <c r="S6">
        <v>4.6950000000000003</v>
      </c>
      <c r="T6">
        <v>-0.20300000000000001</v>
      </c>
      <c r="U6">
        <v>-19.997900000000001</v>
      </c>
      <c r="V6">
        <f t="shared" ref="V6:V69" si="0">U6/$A$2/$B$2</f>
        <v>-0.10899226073686506</v>
      </c>
      <c r="W6">
        <f t="shared" ref="W6:W69" si="1">B6</f>
        <v>-9.7777800000000001E-6</v>
      </c>
      <c r="X6">
        <f t="shared" ref="X6:X69" si="2">F6</f>
        <v>4.0520299999999999E-6</v>
      </c>
      <c r="Y6">
        <f t="shared" ref="Y6:Y69" si="3">J6</f>
        <v>1.55369E-5</v>
      </c>
      <c r="Z6">
        <f t="shared" ref="Z6:Z69" si="4">N6</f>
        <v>2.5915299999999999E-5</v>
      </c>
      <c r="AA6">
        <f t="shared" ref="AA6:AA69" si="5">AVERAGE(W6:Z6)</f>
        <v>8.9316125000000002E-6</v>
      </c>
    </row>
    <row r="7" spans="1:27" x14ac:dyDescent="0.3">
      <c r="A7">
        <v>2</v>
      </c>
      <c r="B7" s="1">
        <v>-3.5837999999999998E-5</v>
      </c>
      <c r="C7">
        <v>-2.0534400000000001E-3</v>
      </c>
      <c r="D7">
        <v>57.295999999999999</v>
      </c>
      <c r="E7">
        <v>57.298000000000002</v>
      </c>
      <c r="F7" s="1">
        <v>-2.2286400000000001E-5</v>
      </c>
      <c r="G7">
        <v>-1.2762400000000001E-3</v>
      </c>
      <c r="H7">
        <v>57.264000000000003</v>
      </c>
      <c r="I7">
        <v>57.265300000000003</v>
      </c>
      <c r="J7" s="1">
        <v>-9.7796899999999999E-6</v>
      </c>
      <c r="K7">
        <v>-5.5775300000000002E-4</v>
      </c>
      <c r="L7">
        <v>57.031199999999998</v>
      </c>
      <c r="M7">
        <v>57.031799999999997</v>
      </c>
      <c r="N7" s="1">
        <v>-5.2665299999999999E-6</v>
      </c>
      <c r="O7">
        <v>-2.9603399999999998E-4</v>
      </c>
      <c r="P7">
        <v>56.210099999999997</v>
      </c>
      <c r="Q7">
        <v>56.2104</v>
      </c>
      <c r="R7">
        <v>16.068000000000001</v>
      </c>
      <c r="S7">
        <v>16.071999999999999</v>
      </c>
      <c r="T7">
        <v>-0.2072</v>
      </c>
      <c r="U7">
        <v>-20.417899999999999</v>
      </c>
      <c r="V7">
        <f t="shared" si="0"/>
        <v>-0.11128133856551123</v>
      </c>
      <c r="W7">
        <f t="shared" si="1"/>
        <v>-3.5837999999999998E-5</v>
      </c>
      <c r="X7">
        <f t="shared" si="2"/>
        <v>-2.2286400000000001E-5</v>
      </c>
      <c r="Y7">
        <f t="shared" si="3"/>
        <v>-9.7796899999999999E-6</v>
      </c>
      <c r="Z7">
        <f t="shared" si="4"/>
        <v>-5.2665299999999999E-6</v>
      </c>
      <c r="AA7">
        <f t="shared" si="5"/>
        <v>-1.8292654999999999E-5</v>
      </c>
    </row>
    <row r="8" spans="1:27" x14ac:dyDescent="0.3">
      <c r="A8">
        <v>3</v>
      </c>
      <c r="B8" s="1">
        <v>-3.9972899999999998E-5</v>
      </c>
      <c r="C8">
        <v>-2.2903699999999999E-3</v>
      </c>
      <c r="D8">
        <v>57.295699999999997</v>
      </c>
      <c r="E8">
        <v>57.298000000000002</v>
      </c>
      <c r="F8" s="1">
        <v>-2.87343E-5</v>
      </c>
      <c r="G8">
        <v>-1.6454799999999999E-3</v>
      </c>
      <c r="H8">
        <v>57.2637</v>
      </c>
      <c r="I8">
        <v>57.265300000000003</v>
      </c>
      <c r="J8" s="1">
        <v>-2.2451800000000001E-5</v>
      </c>
      <c r="K8">
        <v>-1.2804699999999999E-3</v>
      </c>
      <c r="L8">
        <v>57.030500000000004</v>
      </c>
      <c r="M8">
        <v>57.031799999999997</v>
      </c>
      <c r="N8" s="1">
        <v>-1.6381399999999999E-5</v>
      </c>
      <c r="O8">
        <v>-9.2080500000000002E-4</v>
      </c>
      <c r="P8">
        <v>56.209499999999998</v>
      </c>
      <c r="Q8">
        <v>56.2104</v>
      </c>
      <c r="R8">
        <v>18.483000000000001</v>
      </c>
      <c r="S8">
        <v>18.483000000000001</v>
      </c>
      <c r="T8">
        <v>-0.20169999999999999</v>
      </c>
      <c r="U8">
        <v>-19.868600000000001</v>
      </c>
      <c r="V8">
        <f t="shared" si="0"/>
        <v>-0.10828755177676042</v>
      </c>
      <c r="W8">
        <f t="shared" si="1"/>
        <v>-3.9972899999999998E-5</v>
      </c>
      <c r="X8">
        <f t="shared" si="2"/>
        <v>-2.87343E-5</v>
      </c>
      <c r="Y8">
        <f t="shared" si="3"/>
        <v>-2.2451800000000001E-5</v>
      </c>
      <c r="Z8">
        <f t="shared" si="4"/>
        <v>-1.6381399999999999E-5</v>
      </c>
      <c r="AA8">
        <f t="shared" si="5"/>
        <v>-2.6885099999999998E-5</v>
      </c>
    </row>
    <row r="9" spans="1:27" x14ac:dyDescent="0.3">
      <c r="A9">
        <v>4</v>
      </c>
      <c r="B9" s="1">
        <v>-8.1706899999999997E-7</v>
      </c>
      <c r="C9" s="1">
        <v>-4.6816400000000001E-5</v>
      </c>
      <c r="D9">
        <v>57.298000000000002</v>
      </c>
      <c r="E9">
        <v>57.298000000000002</v>
      </c>
      <c r="F9" s="1">
        <v>1.52588E-5</v>
      </c>
      <c r="G9">
        <v>8.7379799999999996E-4</v>
      </c>
      <c r="H9">
        <v>57.266199999999998</v>
      </c>
      <c r="I9">
        <v>57.265300000000003</v>
      </c>
      <c r="J9" s="1">
        <v>2.24454E-5</v>
      </c>
      <c r="K9">
        <v>1.2800999999999999E-3</v>
      </c>
      <c r="L9">
        <v>57.033099999999997</v>
      </c>
      <c r="M9">
        <v>57.031799999999997</v>
      </c>
      <c r="N9" s="1">
        <v>2.6679800000000002E-5</v>
      </c>
      <c r="O9">
        <v>1.49968E-3</v>
      </c>
      <c r="P9">
        <v>56.2119</v>
      </c>
      <c r="Q9">
        <v>56.2104</v>
      </c>
      <c r="R9">
        <v>18.795999999999999</v>
      </c>
      <c r="S9">
        <v>18.795999999999999</v>
      </c>
      <c r="T9">
        <v>-0.19950000000000001</v>
      </c>
      <c r="U9">
        <v>-19.642499999999998</v>
      </c>
      <c r="V9">
        <f t="shared" si="0"/>
        <v>-0.10705526487900588</v>
      </c>
      <c r="W9">
        <f t="shared" si="1"/>
        <v>-8.1706899999999997E-7</v>
      </c>
      <c r="X9">
        <f t="shared" si="2"/>
        <v>1.52588E-5</v>
      </c>
      <c r="Y9">
        <f t="shared" si="3"/>
        <v>2.24454E-5</v>
      </c>
      <c r="Z9">
        <f t="shared" si="4"/>
        <v>2.6679800000000002E-5</v>
      </c>
      <c r="AA9">
        <f t="shared" si="5"/>
        <v>1.589173275E-5</v>
      </c>
    </row>
    <row r="10" spans="1:27" x14ac:dyDescent="0.3">
      <c r="A10">
        <v>5</v>
      </c>
      <c r="B10" s="1">
        <v>-5.8629799999999999E-5</v>
      </c>
      <c r="C10">
        <v>-3.35937E-3</v>
      </c>
      <c r="D10">
        <v>57.294699999999999</v>
      </c>
      <c r="E10">
        <v>57.298000000000002</v>
      </c>
      <c r="F10" s="1">
        <v>-5.4456000000000002E-5</v>
      </c>
      <c r="G10">
        <v>-3.1184400000000001E-3</v>
      </c>
      <c r="H10">
        <v>57.2622</v>
      </c>
      <c r="I10">
        <v>57.265300000000003</v>
      </c>
      <c r="J10" s="1">
        <v>-4.2423199999999997E-5</v>
      </c>
      <c r="K10">
        <v>-2.41947E-3</v>
      </c>
      <c r="L10">
        <v>57.029400000000003</v>
      </c>
      <c r="M10">
        <v>57.031799999999997</v>
      </c>
      <c r="N10" s="1">
        <v>-3.37157E-5</v>
      </c>
      <c r="O10">
        <v>-1.8951700000000001E-3</v>
      </c>
      <c r="P10">
        <v>56.208500000000001</v>
      </c>
      <c r="Q10">
        <v>56.2104</v>
      </c>
      <c r="R10">
        <v>19.483000000000001</v>
      </c>
      <c r="S10">
        <v>19.483000000000001</v>
      </c>
      <c r="T10">
        <v>-0.2001</v>
      </c>
      <c r="U10">
        <v>-19.707100000000001</v>
      </c>
      <c r="V10">
        <f t="shared" si="0"/>
        <v>-0.1074073468497929</v>
      </c>
      <c r="W10">
        <f t="shared" si="1"/>
        <v>-5.8629799999999999E-5</v>
      </c>
      <c r="X10">
        <f t="shared" si="2"/>
        <v>-5.4456000000000002E-5</v>
      </c>
      <c r="Y10">
        <f t="shared" si="3"/>
        <v>-4.2423199999999997E-5</v>
      </c>
      <c r="Z10">
        <f t="shared" si="4"/>
        <v>-3.37157E-5</v>
      </c>
      <c r="AA10">
        <f t="shared" si="5"/>
        <v>-4.7306174999999996E-5</v>
      </c>
    </row>
    <row r="11" spans="1:27" x14ac:dyDescent="0.3">
      <c r="A11">
        <v>6</v>
      </c>
      <c r="B11" s="1">
        <v>-3.5213000000000003E-5</v>
      </c>
      <c r="C11">
        <v>-2.0176399999999998E-3</v>
      </c>
      <c r="D11">
        <v>57.295999999999999</v>
      </c>
      <c r="E11">
        <v>57.298000000000002</v>
      </c>
      <c r="F11" s="1">
        <v>-1.83242E-5</v>
      </c>
      <c r="G11">
        <v>-1.04934E-3</v>
      </c>
      <c r="H11">
        <v>57.264299999999999</v>
      </c>
      <c r="I11">
        <v>57.265300000000003</v>
      </c>
      <c r="J11" s="1">
        <v>-1.5316799999999999E-5</v>
      </c>
      <c r="K11">
        <v>-8.7354200000000005E-4</v>
      </c>
      <c r="L11">
        <v>57.030900000000003</v>
      </c>
      <c r="M11">
        <v>57.031799999999997</v>
      </c>
      <c r="N11" s="1">
        <v>-9.17203E-6</v>
      </c>
      <c r="O11">
        <v>-5.1556300000000002E-4</v>
      </c>
      <c r="P11">
        <v>56.209899999999998</v>
      </c>
      <c r="Q11">
        <v>56.2104</v>
      </c>
      <c r="R11">
        <v>21.042999999999999</v>
      </c>
      <c r="S11">
        <v>21.042999999999999</v>
      </c>
      <c r="T11">
        <v>-0.1895</v>
      </c>
      <c r="U11">
        <v>-18.640899999999998</v>
      </c>
      <c r="V11">
        <f t="shared" si="0"/>
        <v>-0.10159635927621538</v>
      </c>
      <c r="W11">
        <f t="shared" si="1"/>
        <v>-3.5213000000000003E-5</v>
      </c>
      <c r="X11">
        <f t="shared" si="2"/>
        <v>-1.83242E-5</v>
      </c>
      <c r="Y11">
        <f t="shared" si="3"/>
        <v>-1.5316799999999999E-5</v>
      </c>
      <c r="Z11">
        <f t="shared" si="4"/>
        <v>-9.17203E-6</v>
      </c>
      <c r="AA11">
        <f t="shared" si="5"/>
        <v>-1.9506507500000001E-5</v>
      </c>
    </row>
    <row r="12" spans="1:27" x14ac:dyDescent="0.3">
      <c r="A12">
        <v>7</v>
      </c>
      <c r="B12" s="1">
        <v>1.4436799999999999E-6</v>
      </c>
      <c r="C12" s="1">
        <v>8.2719999999999994E-5</v>
      </c>
      <c r="D12">
        <v>57.298099999999998</v>
      </c>
      <c r="E12">
        <v>57.298000000000002</v>
      </c>
      <c r="F12" s="1">
        <v>1.07791E-5</v>
      </c>
      <c r="G12">
        <v>6.1727099999999997E-4</v>
      </c>
      <c r="H12">
        <v>57.265900000000002</v>
      </c>
      <c r="I12">
        <v>57.265300000000003</v>
      </c>
      <c r="J12" s="1">
        <v>1.37729E-5</v>
      </c>
      <c r="K12">
        <v>7.8549200000000005E-4</v>
      </c>
      <c r="L12">
        <v>57.032600000000002</v>
      </c>
      <c r="M12">
        <v>57.031799999999997</v>
      </c>
      <c r="N12" s="1">
        <v>1.71916E-5</v>
      </c>
      <c r="O12">
        <v>9.6634800000000001E-4</v>
      </c>
      <c r="P12">
        <v>56.211399999999998</v>
      </c>
      <c r="Q12">
        <v>56.2104</v>
      </c>
      <c r="R12">
        <v>21.166</v>
      </c>
      <c r="S12">
        <v>21.167000000000002</v>
      </c>
      <c r="T12">
        <v>-0.17530000000000001</v>
      </c>
      <c r="U12">
        <v>-17.2193</v>
      </c>
      <c r="V12">
        <f t="shared" si="0"/>
        <v>-9.3848375844778717E-2</v>
      </c>
      <c r="W12">
        <f t="shared" si="1"/>
        <v>1.4436799999999999E-6</v>
      </c>
      <c r="X12">
        <f t="shared" si="2"/>
        <v>1.07791E-5</v>
      </c>
      <c r="Y12">
        <f t="shared" si="3"/>
        <v>1.37729E-5</v>
      </c>
      <c r="Z12">
        <f t="shared" si="4"/>
        <v>1.71916E-5</v>
      </c>
      <c r="AA12">
        <f t="shared" si="5"/>
        <v>1.0796819999999999E-5</v>
      </c>
    </row>
    <row r="13" spans="1:27" x14ac:dyDescent="0.3">
      <c r="A13">
        <v>8</v>
      </c>
      <c r="B13" s="1">
        <v>1.04486E-5</v>
      </c>
      <c r="C13">
        <v>5.9868300000000003E-4</v>
      </c>
      <c r="D13">
        <v>57.2986</v>
      </c>
      <c r="E13">
        <v>57.298000000000002</v>
      </c>
      <c r="F13" s="1">
        <v>2.2166699999999999E-5</v>
      </c>
      <c r="G13">
        <v>1.2693800000000001E-3</v>
      </c>
      <c r="H13">
        <v>57.266599999999997</v>
      </c>
      <c r="I13">
        <v>57.265300000000003</v>
      </c>
      <c r="J13" s="1">
        <v>2.7054199999999999E-5</v>
      </c>
      <c r="K13">
        <v>1.54295E-3</v>
      </c>
      <c r="L13">
        <v>57.033299999999997</v>
      </c>
      <c r="M13">
        <v>57.031799999999997</v>
      </c>
      <c r="N13" s="1">
        <v>3.7534299999999997E-5</v>
      </c>
      <c r="O13">
        <v>2.1098200000000001E-3</v>
      </c>
      <c r="P13">
        <v>56.212499999999999</v>
      </c>
      <c r="Q13">
        <v>56.2104</v>
      </c>
      <c r="R13">
        <v>21.291</v>
      </c>
      <c r="S13">
        <v>21.291</v>
      </c>
      <c r="T13">
        <v>-0.17050000000000001</v>
      </c>
      <c r="U13">
        <v>-16.7346</v>
      </c>
      <c r="V13">
        <f t="shared" si="0"/>
        <v>-9.1206671026814914E-2</v>
      </c>
      <c r="W13">
        <f t="shared" si="1"/>
        <v>1.04486E-5</v>
      </c>
      <c r="X13">
        <f t="shared" si="2"/>
        <v>2.2166699999999999E-5</v>
      </c>
      <c r="Y13">
        <f t="shared" si="3"/>
        <v>2.7054199999999999E-5</v>
      </c>
      <c r="Z13">
        <f t="shared" si="4"/>
        <v>3.7534299999999997E-5</v>
      </c>
      <c r="AA13">
        <f t="shared" si="5"/>
        <v>2.430095E-5</v>
      </c>
    </row>
    <row r="14" spans="1:27" x14ac:dyDescent="0.3">
      <c r="A14">
        <v>9</v>
      </c>
      <c r="B14" s="1">
        <v>1.15131E-5</v>
      </c>
      <c r="C14">
        <v>6.5967599999999999E-4</v>
      </c>
      <c r="D14">
        <v>57.298699999999997</v>
      </c>
      <c r="E14">
        <v>57.298000000000002</v>
      </c>
      <c r="F14" s="1">
        <v>3.2533500000000003E-5</v>
      </c>
      <c r="G14">
        <v>1.8630400000000001E-3</v>
      </c>
      <c r="H14">
        <v>57.267200000000003</v>
      </c>
      <c r="I14">
        <v>57.265300000000003</v>
      </c>
      <c r="J14" s="1">
        <v>3.5305100000000002E-5</v>
      </c>
      <c r="K14">
        <v>2.01351E-3</v>
      </c>
      <c r="L14">
        <v>57.033799999999999</v>
      </c>
      <c r="M14">
        <v>57.031799999999997</v>
      </c>
      <c r="N14" s="1">
        <v>3.9700599999999997E-5</v>
      </c>
      <c r="O14">
        <v>2.2315899999999999E-3</v>
      </c>
      <c r="P14">
        <v>56.212600000000002</v>
      </c>
      <c r="Q14">
        <v>56.2104</v>
      </c>
      <c r="R14">
        <v>21.478999999999999</v>
      </c>
      <c r="S14">
        <v>21.478999999999999</v>
      </c>
      <c r="T14">
        <v>-0.1547</v>
      </c>
      <c r="U14">
        <v>-15.1515</v>
      </c>
      <c r="V14">
        <f t="shared" si="0"/>
        <v>-8.2578482668410724E-2</v>
      </c>
      <c r="W14">
        <f t="shared" si="1"/>
        <v>1.15131E-5</v>
      </c>
      <c r="X14">
        <f t="shared" si="2"/>
        <v>3.2533500000000003E-5</v>
      </c>
      <c r="Y14">
        <f t="shared" si="3"/>
        <v>3.5305100000000002E-5</v>
      </c>
      <c r="Z14">
        <f t="shared" si="4"/>
        <v>3.9700599999999997E-5</v>
      </c>
      <c r="AA14">
        <f t="shared" si="5"/>
        <v>2.9763075000000005E-5</v>
      </c>
    </row>
    <row r="15" spans="1:27" x14ac:dyDescent="0.3">
      <c r="A15">
        <v>10</v>
      </c>
      <c r="B15" s="1">
        <v>1.08574E-5</v>
      </c>
      <c r="C15">
        <v>6.2210499999999997E-4</v>
      </c>
      <c r="D15">
        <v>57.2986</v>
      </c>
      <c r="E15">
        <v>57.298000000000002</v>
      </c>
      <c r="F15" s="1">
        <v>2.85474E-5</v>
      </c>
      <c r="G15">
        <v>1.63477E-3</v>
      </c>
      <c r="H15">
        <v>57.2669</v>
      </c>
      <c r="I15">
        <v>57.265300000000003</v>
      </c>
      <c r="J15" s="1">
        <v>3.6502299999999998E-5</v>
      </c>
      <c r="K15">
        <v>2.08179E-3</v>
      </c>
      <c r="L15">
        <v>57.033900000000003</v>
      </c>
      <c r="M15">
        <v>57.031799999999997</v>
      </c>
      <c r="N15" s="1">
        <v>4.9518200000000003E-5</v>
      </c>
      <c r="O15">
        <v>2.7834399999999999E-3</v>
      </c>
      <c r="P15">
        <v>56.213200000000001</v>
      </c>
      <c r="Q15">
        <v>56.2104</v>
      </c>
      <c r="R15">
        <v>21.603999999999999</v>
      </c>
      <c r="S15">
        <v>21.603999999999999</v>
      </c>
      <c r="T15">
        <v>-0.1469</v>
      </c>
      <c r="U15">
        <v>-14.375999999999999</v>
      </c>
      <c r="V15">
        <f t="shared" si="0"/>
        <v>-7.8351863963374749E-2</v>
      </c>
      <c r="W15">
        <f t="shared" si="1"/>
        <v>1.08574E-5</v>
      </c>
      <c r="X15">
        <f t="shared" si="2"/>
        <v>2.85474E-5</v>
      </c>
      <c r="Y15">
        <f t="shared" si="3"/>
        <v>3.6502299999999998E-5</v>
      </c>
      <c r="Z15">
        <f t="shared" si="4"/>
        <v>4.9518200000000003E-5</v>
      </c>
      <c r="AA15">
        <f t="shared" si="5"/>
        <v>3.1356324999999998E-5</v>
      </c>
    </row>
    <row r="16" spans="1:27" x14ac:dyDescent="0.3">
      <c r="A16">
        <v>11</v>
      </c>
      <c r="B16" s="1">
        <v>4.1956100000000003E-5</v>
      </c>
      <c r="C16">
        <v>2.4039999999999999E-3</v>
      </c>
      <c r="D16">
        <v>57.300400000000003</v>
      </c>
      <c r="E16">
        <v>57.298000000000002</v>
      </c>
      <c r="F16" s="1">
        <v>5.66183E-5</v>
      </c>
      <c r="G16">
        <v>3.2422599999999998E-3</v>
      </c>
      <c r="H16">
        <v>57.268500000000003</v>
      </c>
      <c r="I16">
        <v>57.265300000000003</v>
      </c>
      <c r="J16" s="1">
        <v>6.5941700000000006E-5</v>
      </c>
      <c r="K16">
        <v>3.7607700000000001E-3</v>
      </c>
      <c r="L16">
        <v>57.035499999999999</v>
      </c>
      <c r="M16">
        <v>57.031799999999997</v>
      </c>
      <c r="N16" s="1">
        <v>7.8694499999999997E-5</v>
      </c>
      <c r="O16">
        <v>4.4234499999999998E-3</v>
      </c>
      <c r="P16">
        <v>56.214799999999997</v>
      </c>
      <c r="Q16">
        <v>56.2104</v>
      </c>
      <c r="R16">
        <v>21.795999999999999</v>
      </c>
      <c r="S16">
        <v>21.795999999999999</v>
      </c>
      <c r="T16">
        <v>-0.13150000000000001</v>
      </c>
      <c r="U16">
        <v>-12.825200000000001</v>
      </c>
      <c r="V16">
        <f t="shared" si="0"/>
        <v>-6.9899716590364078E-2</v>
      </c>
      <c r="W16">
        <f t="shared" si="1"/>
        <v>4.1956100000000003E-5</v>
      </c>
      <c r="X16">
        <f t="shared" si="2"/>
        <v>5.66183E-5</v>
      </c>
      <c r="Y16">
        <f t="shared" si="3"/>
        <v>6.5941700000000006E-5</v>
      </c>
      <c r="Z16">
        <f t="shared" si="4"/>
        <v>7.8694499999999997E-5</v>
      </c>
      <c r="AA16">
        <f t="shared" si="5"/>
        <v>6.0802649999999996E-5</v>
      </c>
    </row>
    <row r="17" spans="1:27" x14ac:dyDescent="0.3">
      <c r="A17">
        <v>12</v>
      </c>
      <c r="B17">
        <v>1.0655E-4</v>
      </c>
      <c r="C17">
        <v>6.1051100000000004E-3</v>
      </c>
      <c r="D17">
        <v>57.304099999999998</v>
      </c>
      <c r="E17">
        <v>57.298000000000002</v>
      </c>
      <c r="F17">
        <v>1.2427099999999999E-4</v>
      </c>
      <c r="G17">
        <v>7.1164399999999999E-3</v>
      </c>
      <c r="H17">
        <v>57.272399999999998</v>
      </c>
      <c r="I17">
        <v>57.265300000000003</v>
      </c>
      <c r="J17">
        <v>1.33263E-4</v>
      </c>
      <c r="K17">
        <v>7.6002400000000003E-3</v>
      </c>
      <c r="L17">
        <v>57.039400000000001</v>
      </c>
      <c r="M17">
        <v>57.031799999999997</v>
      </c>
      <c r="N17">
        <v>1.3676300000000001E-4</v>
      </c>
      <c r="O17">
        <v>7.6874999999999999E-3</v>
      </c>
      <c r="P17">
        <v>56.2181</v>
      </c>
      <c r="Q17">
        <v>56.2104</v>
      </c>
      <c r="R17">
        <v>22.041</v>
      </c>
      <c r="S17">
        <v>22.041</v>
      </c>
      <c r="T17">
        <v>-0.12280000000000001</v>
      </c>
      <c r="U17">
        <v>-11.9528</v>
      </c>
      <c r="V17">
        <f t="shared" si="0"/>
        <v>-6.51449749291476E-2</v>
      </c>
      <c r="W17">
        <f t="shared" si="1"/>
        <v>1.0655E-4</v>
      </c>
      <c r="X17">
        <f t="shared" si="2"/>
        <v>1.2427099999999999E-4</v>
      </c>
      <c r="Y17">
        <f t="shared" si="3"/>
        <v>1.33263E-4</v>
      </c>
      <c r="Z17">
        <f t="shared" si="4"/>
        <v>1.3676300000000001E-4</v>
      </c>
      <c r="AA17">
        <f t="shared" si="5"/>
        <v>1.2521175E-4</v>
      </c>
    </row>
    <row r="18" spans="1:27" x14ac:dyDescent="0.3">
      <c r="A18">
        <v>13</v>
      </c>
      <c r="B18" s="1">
        <v>8.9824600000000001E-5</v>
      </c>
      <c r="C18">
        <v>5.1467700000000002E-3</v>
      </c>
      <c r="D18">
        <v>57.303199999999997</v>
      </c>
      <c r="E18">
        <v>57.298000000000002</v>
      </c>
      <c r="F18">
        <v>1.04318E-4</v>
      </c>
      <c r="G18">
        <v>5.9737999999999996E-3</v>
      </c>
      <c r="H18">
        <v>57.271299999999997</v>
      </c>
      <c r="I18">
        <v>57.265300000000003</v>
      </c>
      <c r="J18">
        <v>1.0922899999999999E-4</v>
      </c>
      <c r="K18">
        <v>6.2294999999999998E-3</v>
      </c>
      <c r="L18">
        <v>57.037999999999997</v>
      </c>
      <c r="M18">
        <v>57.031799999999997</v>
      </c>
      <c r="N18">
        <v>1.12419E-4</v>
      </c>
      <c r="O18">
        <v>6.31914E-3</v>
      </c>
      <c r="P18">
        <v>56.216700000000003</v>
      </c>
      <c r="Q18">
        <v>56.2104</v>
      </c>
      <c r="R18">
        <v>22.167000000000002</v>
      </c>
      <c r="S18">
        <v>22.167000000000002</v>
      </c>
      <c r="T18">
        <v>-0.1115</v>
      </c>
      <c r="U18">
        <v>-10.821999999999999</v>
      </c>
      <c r="V18">
        <f t="shared" si="0"/>
        <v>-5.8981905384783082E-2</v>
      </c>
      <c r="W18">
        <f t="shared" si="1"/>
        <v>8.9824600000000001E-5</v>
      </c>
      <c r="X18">
        <f t="shared" si="2"/>
        <v>1.04318E-4</v>
      </c>
      <c r="Y18">
        <f t="shared" si="3"/>
        <v>1.0922899999999999E-4</v>
      </c>
      <c r="Z18">
        <f t="shared" si="4"/>
        <v>1.12419E-4</v>
      </c>
      <c r="AA18">
        <f t="shared" si="5"/>
        <v>1.0394764999999999E-4</v>
      </c>
    </row>
    <row r="19" spans="1:27" x14ac:dyDescent="0.3">
      <c r="A19">
        <v>14</v>
      </c>
      <c r="B19">
        <v>1.20399E-4</v>
      </c>
      <c r="C19">
        <v>6.8986400000000002E-3</v>
      </c>
      <c r="D19">
        <v>57.304900000000004</v>
      </c>
      <c r="E19">
        <v>57.298000000000002</v>
      </c>
      <c r="F19">
        <v>1.2688599999999999E-4</v>
      </c>
      <c r="G19">
        <v>7.2661399999999999E-3</v>
      </c>
      <c r="H19">
        <v>57.272599999999997</v>
      </c>
      <c r="I19">
        <v>57.265300000000003</v>
      </c>
      <c r="J19">
        <v>1.3270099999999999E-4</v>
      </c>
      <c r="K19">
        <v>7.5681699999999999E-3</v>
      </c>
      <c r="L19">
        <v>57.039299999999997</v>
      </c>
      <c r="M19">
        <v>57.031799999999997</v>
      </c>
      <c r="N19">
        <v>1.3126899999999999E-4</v>
      </c>
      <c r="O19">
        <v>7.3786900000000002E-3</v>
      </c>
      <c r="P19">
        <v>56.217799999999997</v>
      </c>
      <c r="Q19">
        <v>56.2104</v>
      </c>
      <c r="R19">
        <v>22.416</v>
      </c>
      <c r="S19">
        <v>22.416</v>
      </c>
      <c r="T19">
        <v>-8.7599999999999997E-2</v>
      </c>
      <c r="U19">
        <v>-8.4311000000000007</v>
      </c>
      <c r="V19">
        <f t="shared" si="0"/>
        <v>-4.5951057335949431E-2</v>
      </c>
      <c r="W19">
        <f t="shared" si="1"/>
        <v>1.20399E-4</v>
      </c>
      <c r="X19">
        <f t="shared" si="2"/>
        <v>1.2688599999999999E-4</v>
      </c>
      <c r="Y19">
        <f t="shared" si="3"/>
        <v>1.3270099999999999E-4</v>
      </c>
      <c r="Z19">
        <f t="shared" si="4"/>
        <v>1.3126899999999999E-4</v>
      </c>
      <c r="AA19">
        <f t="shared" si="5"/>
        <v>1.2781374999999999E-4</v>
      </c>
    </row>
    <row r="20" spans="1:27" x14ac:dyDescent="0.3">
      <c r="A20">
        <v>15</v>
      </c>
      <c r="B20">
        <v>1.40304E-4</v>
      </c>
      <c r="C20">
        <v>8.0391500000000001E-3</v>
      </c>
      <c r="D20">
        <v>57.306100000000001</v>
      </c>
      <c r="E20">
        <v>57.298000000000002</v>
      </c>
      <c r="F20">
        <v>1.5448600000000001E-4</v>
      </c>
      <c r="G20">
        <v>8.8466699999999992E-3</v>
      </c>
      <c r="H20">
        <v>57.2742</v>
      </c>
      <c r="I20">
        <v>57.265300000000003</v>
      </c>
      <c r="J20">
        <v>1.67193E-4</v>
      </c>
      <c r="K20">
        <v>9.5352900000000001E-3</v>
      </c>
      <c r="L20">
        <v>57.0413</v>
      </c>
      <c r="M20">
        <v>57.031799999999997</v>
      </c>
      <c r="N20">
        <v>1.65701E-4</v>
      </c>
      <c r="O20">
        <v>9.3140900000000006E-3</v>
      </c>
      <c r="P20">
        <v>56.219700000000003</v>
      </c>
      <c r="Q20">
        <v>56.2104</v>
      </c>
      <c r="R20">
        <v>22.664000000000001</v>
      </c>
      <c r="S20">
        <v>22.664000000000001</v>
      </c>
      <c r="T20">
        <v>-7.6700000000000004E-2</v>
      </c>
      <c r="U20">
        <v>-7.3326000000000002</v>
      </c>
      <c r="V20">
        <f t="shared" si="0"/>
        <v>-3.9964028776978418E-2</v>
      </c>
      <c r="W20">
        <f t="shared" si="1"/>
        <v>1.40304E-4</v>
      </c>
      <c r="X20">
        <f t="shared" si="2"/>
        <v>1.5448600000000001E-4</v>
      </c>
      <c r="Y20">
        <f t="shared" si="3"/>
        <v>1.67193E-4</v>
      </c>
      <c r="Z20">
        <f t="shared" si="4"/>
        <v>1.65701E-4</v>
      </c>
      <c r="AA20">
        <f t="shared" si="5"/>
        <v>1.56921E-4</v>
      </c>
    </row>
    <row r="21" spans="1:27" x14ac:dyDescent="0.3">
      <c r="A21">
        <v>16</v>
      </c>
      <c r="B21">
        <v>1.7138099999999999E-4</v>
      </c>
      <c r="C21">
        <v>9.8197800000000002E-3</v>
      </c>
      <c r="D21">
        <v>57.3078</v>
      </c>
      <c r="E21">
        <v>57.298000000000002</v>
      </c>
      <c r="F21">
        <v>1.7512300000000001E-4</v>
      </c>
      <c r="G21">
        <v>1.0028499999999999E-2</v>
      </c>
      <c r="H21">
        <v>57.275300000000001</v>
      </c>
      <c r="I21">
        <v>57.265300000000003</v>
      </c>
      <c r="J21">
        <v>1.8230699999999999E-4</v>
      </c>
      <c r="K21">
        <v>1.03973E-2</v>
      </c>
      <c r="L21">
        <v>57.042200000000001</v>
      </c>
      <c r="M21">
        <v>57.031799999999997</v>
      </c>
      <c r="N21">
        <v>1.80371E-4</v>
      </c>
      <c r="O21">
        <v>1.01387E-2</v>
      </c>
      <c r="P21">
        <v>56.220500000000001</v>
      </c>
      <c r="Q21">
        <v>56.2104</v>
      </c>
      <c r="R21">
        <v>22.850999999999999</v>
      </c>
      <c r="S21">
        <v>22.850999999999999</v>
      </c>
      <c r="T21">
        <v>-6.1199999999999997E-2</v>
      </c>
      <c r="U21">
        <v>-5.7817999999999996</v>
      </c>
      <c r="V21">
        <f t="shared" si="0"/>
        <v>-3.1511881403967733E-2</v>
      </c>
      <c r="W21">
        <f t="shared" si="1"/>
        <v>1.7138099999999999E-4</v>
      </c>
      <c r="X21">
        <f t="shared" si="2"/>
        <v>1.7512300000000001E-4</v>
      </c>
      <c r="Y21">
        <f t="shared" si="3"/>
        <v>1.8230699999999999E-4</v>
      </c>
      <c r="Z21">
        <f t="shared" si="4"/>
        <v>1.80371E-4</v>
      </c>
      <c r="AA21">
        <f t="shared" si="5"/>
        <v>1.7729549999999998E-4</v>
      </c>
    </row>
    <row r="22" spans="1:27" x14ac:dyDescent="0.3">
      <c r="A22">
        <v>17</v>
      </c>
      <c r="B22">
        <v>2.3204200000000001E-4</v>
      </c>
      <c r="C22">
        <v>1.32955E-2</v>
      </c>
      <c r="D22">
        <v>57.311300000000003</v>
      </c>
      <c r="E22">
        <v>57.298000000000002</v>
      </c>
      <c r="F22">
        <v>2.44677E-4</v>
      </c>
      <c r="G22">
        <v>1.40115E-2</v>
      </c>
      <c r="H22">
        <v>57.279299999999999</v>
      </c>
      <c r="I22">
        <v>57.265300000000003</v>
      </c>
      <c r="J22">
        <v>2.4693000000000002E-4</v>
      </c>
      <c r="K22">
        <v>1.4082900000000001E-2</v>
      </c>
      <c r="L22">
        <v>57.045900000000003</v>
      </c>
      <c r="M22">
        <v>57.031799999999997</v>
      </c>
      <c r="N22">
        <v>2.43265E-4</v>
      </c>
      <c r="O22">
        <v>1.3674E-2</v>
      </c>
      <c r="P22">
        <v>56.2241</v>
      </c>
      <c r="Q22">
        <v>56.2104</v>
      </c>
      <c r="R22">
        <v>23.228000000000002</v>
      </c>
      <c r="S22">
        <v>23.228000000000002</v>
      </c>
      <c r="T22">
        <v>-3.7699999999999997E-2</v>
      </c>
      <c r="U22">
        <v>-3.4232</v>
      </c>
      <c r="V22">
        <f t="shared" si="0"/>
        <v>-1.8657074340527581E-2</v>
      </c>
      <c r="W22">
        <f t="shared" si="1"/>
        <v>2.3204200000000001E-4</v>
      </c>
      <c r="X22">
        <f t="shared" si="2"/>
        <v>2.44677E-4</v>
      </c>
      <c r="Y22">
        <f t="shared" si="3"/>
        <v>2.4693000000000002E-4</v>
      </c>
      <c r="Z22">
        <f t="shared" si="4"/>
        <v>2.43265E-4</v>
      </c>
      <c r="AA22">
        <f t="shared" si="5"/>
        <v>2.4172850000000001E-4</v>
      </c>
    </row>
    <row r="23" spans="1:27" x14ac:dyDescent="0.3">
      <c r="A23">
        <v>18</v>
      </c>
      <c r="B23">
        <v>2.6904000000000001E-4</v>
      </c>
      <c r="C23">
        <v>1.54155E-2</v>
      </c>
      <c r="D23">
        <v>57.313400000000001</v>
      </c>
      <c r="E23">
        <v>57.298000000000002</v>
      </c>
      <c r="F23">
        <v>2.8203100000000002E-4</v>
      </c>
      <c r="G23">
        <v>1.6150600000000001E-2</v>
      </c>
      <c r="H23">
        <v>57.281500000000001</v>
      </c>
      <c r="I23">
        <v>57.265300000000003</v>
      </c>
      <c r="J23">
        <v>2.92317E-4</v>
      </c>
      <c r="K23">
        <v>1.66713E-2</v>
      </c>
      <c r="L23">
        <v>57.048499999999997</v>
      </c>
      <c r="M23">
        <v>57.031799999999997</v>
      </c>
      <c r="N23">
        <v>2.9493800000000001E-4</v>
      </c>
      <c r="O23">
        <v>1.6578599999999999E-2</v>
      </c>
      <c r="P23">
        <v>56.226999999999997</v>
      </c>
      <c r="Q23">
        <v>56.2104</v>
      </c>
      <c r="R23">
        <v>23.663</v>
      </c>
      <c r="S23">
        <v>23.663</v>
      </c>
      <c r="T23">
        <v>-1.61E-2</v>
      </c>
      <c r="U23">
        <v>-1.2585</v>
      </c>
      <c r="V23">
        <f t="shared" si="0"/>
        <v>-6.8590582079790709E-3</v>
      </c>
      <c r="W23">
        <f t="shared" si="1"/>
        <v>2.6904000000000001E-4</v>
      </c>
      <c r="X23">
        <f t="shared" si="2"/>
        <v>2.8203100000000002E-4</v>
      </c>
      <c r="Y23">
        <f t="shared" si="3"/>
        <v>2.92317E-4</v>
      </c>
      <c r="Z23">
        <f t="shared" si="4"/>
        <v>2.9493800000000001E-4</v>
      </c>
      <c r="AA23">
        <f t="shared" si="5"/>
        <v>2.8458150000000001E-4</v>
      </c>
    </row>
    <row r="24" spans="1:27" x14ac:dyDescent="0.3">
      <c r="A24">
        <v>19</v>
      </c>
      <c r="B24">
        <v>2.7865499999999999E-4</v>
      </c>
      <c r="C24">
        <v>1.5966399999999999E-2</v>
      </c>
      <c r="D24">
        <v>57.314</v>
      </c>
      <c r="E24">
        <v>57.298000000000002</v>
      </c>
      <c r="F24">
        <v>2.8513200000000001E-4</v>
      </c>
      <c r="G24">
        <v>1.6328200000000001E-2</v>
      </c>
      <c r="H24">
        <v>57.281599999999997</v>
      </c>
      <c r="I24">
        <v>57.265300000000003</v>
      </c>
      <c r="J24">
        <v>2.9671199999999997E-4</v>
      </c>
      <c r="K24">
        <v>1.6922E-2</v>
      </c>
      <c r="L24">
        <v>57.048699999999997</v>
      </c>
      <c r="M24">
        <v>57.031799999999997</v>
      </c>
      <c r="N24">
        <v>2.9008400000000002E-4</v>
      </c>
      <c r="O24">
        <v>1.6305699999999999E-2</v>
      </c>
      <c r="P24">
        <v>56.226700000000001</v>
      </c>
      <c r="Q24">
        <v>56.2104</v>
      </c>
      <c r="R24">
        <v>23.789000000000001</v>
      </c>
      <c r="S24">
        <v>23.789000000000001</v>
      </c>
      <c r="T24">
        <v>-8.6999999999999994E-3</v>
      </c>
      <c r="U24">
        <v>-0.51539999999999997</v>
      </c>
      <c r="V24">
        <f t="shared" si="0"/>
        <v>-2.8090255068672332E-3</v>
      </c>
      <c r="W24">
        <f t="shared" si="1"/>
        <v>2.7865499999999999E-4</v>
      </c>
      <c r="X24">
        <f t="shared" si="2"/>
        <v>2.8513200000000001E-4</v>
      </c>
      <c r="Y24">
        <f t="shared" si="3"/>
        <v>2.9671199999999997E-4</v>
      </c>
      <c r="Z24">
        <f t="shared" si="4"/>
        <v>2.9008400000000002E-4</v>
      </c>
      <c r="AA24">
        <f t="shared" si="5"/>
        <v>2.8764575000000004E-4</v>
      </c>
    </row>
    <row r="25" spans="1:27" x14ac:dyDescent="0.3">
      <c r="A25">
        <v>20</v>
      </c>
      <c r="B25">
        <v>2.94989E-4</v>
      </c>
      <c r="C25">
        <v>1.6902299999999999E-2</v>
      </c>
      <c r="D25">
        <v>57.314900000000002</v>
      </c>
      <c r="E25">
        <v>57.298000000000002</v>
      </c>
      <c r="F25">
        <v>3.0669999999999997E-4</v>
      </c>
      <c r="G25">
        <v>1.75633E-2</v>
      </c>
      <c r="H25">
        <v>57.282899999999998</v>
      </c>
      <c r="I25">
        <v>57.265300000000003</v>
      </c>
      <c r="J25">
        <v>3.0872799999999998E-4</v>
      </c>
      <c r="K25">
        <v>1.7607299999999999E-2</v>
      </c>
      <c r="L25">
        <v>57.049399999999999</v>
      </c>
      <c r="M25">
        <v>57.031799999999997</v>
      </c>
      <c r="N25">
        <v>3.07955E-4</v>
      </c>
      <c r="O25">
        <v>1.7310300000000001E-2</v>
      </c>
      <c r="P25">
        <v>56.227699999999999</v>
      </c>
      <c r="Q25">
        <v>56.2104</v>
      </c>
      <c r="R25">
        <v>24.164000000000001</v>
      </c>
      <c r="S25">
        <v>24.164000000000001</v>
      </c>
      <c r="T25">
        <v>1.4500000000000001E-2</v>
      </c>
      <c r="U25">
        <v>1.8109</v>
      </c>
      <c r="V25">
        <f t="shared" si="0"/>
        <v>9.8697405711794198E-3</v>
      </c>
      <c r="W25">
        <f t="shared" si="1"/>
        <v>2.94989E-4</v>
      </c>
      <c r="X25">
        <f t="shared" si="2"/>
        <v>3.0669999999999997E-4</v>
      </c>
      <c r="Y25">
        <f t="shared" si="3"/>
        <v>3.0872799999999998E-4</v>
      </c>
      <c r="Z25">
        <f t="shared" si="4"/>
        <v>3.07955E-4</v>
      </c>
      <c r="AA25">
        <f t="shared" si="5"/>
        <v>3.0459299999999998E-4</v>
      </c>
    </row>
    <row r="26" spans="1:27" x14ac:dyDescent="0.3">
      <c r="A26">
        <v>21</v>
      </c>
      <c r="B26">
        <v>2.9994700000000001E-4</v>
      </c>
      <c r="C26">
        <v>1.7186400000000001E-2</v>
      </c>
      <c r="D26">
        <v>57.315199999999997</v>
      </c>
      <c r="E26">
        <v>57.298000000000002</v>
      </c>
      <c r="F26">
        <v>3.0566099999999999E-4</v>
      </c>
      <c r="G26">
        <v>1.75038E-2</v>
      </c>
      <c r="H26">
        <v>57.282800000000002</v>
      </c>
      <c r="I26">
        <v>57.265300000000003</v>
      </c>
      <c r="J26">
        <v>3.0750299999999999E-4</v>
      </c>
      <c r="K26">
        <v>1.7537500000000001E-2</v>
      </c>
      <c r="L26">
        <v>57.049300000000002</v>
      </c>
      <c r="M26">
        <v>57.031799999999997</v>
      </c>
      <c r="N26">
        <v>3.1022500000000002E-4</v>
      </c>
      <c r="O26">
        <v>1.7437899999999999E-2</v>
      </c>
      <c r="P26">
        <v>56.227800000000002</v>
      </c>
      <c r="Q26">
        <v>56.2104</v>
      </c>
      <c r="R26">
        <v>24.35</v>
      </c>
      <c r="S26">
        <v>24.35</v>
      </c>
      <c r="T26">
        <v>2.0299999999999999E-2</v>
      </c>
      <c r="U26">
        <v>2.3925000000000001</v>
      </c>
      <c r="V26">
        <f t="shared" si="0"/>
        <v>1.3039568345323741E-2</v>
      </c>
      <c r="W26">
        <f t="shared" si="1"/>
        <v>2.9994700000000001E-4</v>
      </c>
      <c r="X26">
        <f t="shared" si="2"/>
        <v>3.0566099999999999E-4</v>
      </c>
      <c r="Y26">
        <f t="shared" si="3"/>
        <v>3.0750299999999999E-4</v>
      </c>
      <c r="Z26">
        <f t="shared" si="4"/>
        <v>3.1022500000000002E-4</v>
      </c>
      <c r="AA26">
        <f t="shared" si="5"/>
        <v>3.05834E-4</v>
      </c>
    </row>
    <row r="27" spans="1:27" x14ac:dyDescent="0.3">
      <c r="A27">
        <v>22</v>
      </c>
      <c r="B27">
        <v>3.2367399999999998E-4</v>
      </c>
      <c r="C27">
        <v>1.8545900000000001E-2</v>
      </c>
      <c r="D27">
        <v>57.316600000000001</v>
      </c>
      <c r="E27">
        <v>57.298000000000002</v>
      </c>
      <c r="F27">
        <v>3.3570099999999999E-4</v>
      </c>
      <c r="G27">
        <v>1.9224000000000002E-2</v>
      </c>
      <c r="H27">
        <v>57.284500000000001</v>
      </c>
      <c r="I27">
        <v>57.265300000000003</v>
      </c>
      <c r="J27">
        <v>3.3795100000000002E-4</v>
      </c>
      <c r="K27">
        <v>1.92739E-2</v>
      </c>
      <c r="L27">
        <v>57.051099999999998</v>
      </c>
      <c r="M27">
        <v>57.031799999999997</v>
      </c>
      <c r="N27">
        <v>3.3896000000000002E-4</v>
      </c>
      <c r="O27">
        <v>1.90531E-2</v>
      </c>
      <c r="P27">
        <v>56.229500000000002</v>
      </c>
      <c r="Q27">
        <v>56.2104</v>
      </c>
      <c r="R27">
        <v>24.475999999999999</v>
      </c>
      <c r="S27">
        <v>24.475999999999999</v>
      </c>
      <c r="T27">
        <v>2.87E-2</v>
      </c>
      <c r="U27">
        <v>3.2324999999999999</v>
      </c>
      <c r="V27">
        <f t="shared" si="0"/>
        <v>1.7617724002616089E-2</v>
      </c>
      <c r="W27">
        <f t="shared" si="1"/>
        <v>3.2367399999999998E-4</v>
      </c>
      <c r="X27">
        <f t="shared" si="2"/>
        <v>3.3570099999999999E-4</v>
      </c>
      <c r="Y27">
        <f t="shared" si="3"/>
        <v>3.3795100000000002E-4</v>
      </c>
      <c r="Z27">
        <f t="shared" si="4"/>
        <v>3.3896000000000002E-4</v>
      </c>
      <c r="AA27">
        <f t="shared" si="5"/>
        <v>3.3407149999999997E-4</v>
      </c>
    </row>
    <row r="28" spans="1:27" x14ac:dyDescent="0.3">
      <c r="A28">
        <v>23</v>
      </c>
      <c r="B28">
        <v>3.2749199999999997E-4</v>
      </c>
      <c r="C28">
        <v>1.8764599999999999E-2</v>
      </c>
      <c r="D28">
        <v>57.316800000000001</v>
      </c>
      <c r="E28">
        <v>57.298000000000002</v>
      </c>
      <c r="F28">
        <v>3.3544500000000002E-4</v>
      </c>
      <c r="G28">
        <v>1.9209400000000001E-2</v>
      </c>
      <c r="H28">
        <v>57.284500000000001</v>
      </c>
      <c r="I28">
        <v>57.265300000000003</v>
      </c>
      <c r="J28">
        <v>3.4021399999999998E-4</v>
      </c>
      <c r="K28">
        <v>1.9403E-2</v>
      </c>
      <c r="L28">
        <v>57.051200000000001</v>
      </c>
      <c r="M28">
        <v>57.031799999999997</v>
      </c>
      <c r="N28">
        <v>3.3037000000000002E-4</v>
      </c>
      <c r="O28">
        <v>1.8570199999999999E-2</v>
      </c>
      <c r="P28">
        <v>56.228999999999999</v>
      </c>
      <c r="Q28">
        <v>56.2104</v>
      </c>
      <c r="R28">
        <v>24.788</v>
      </c>
      <c r="S28">
        <v>24.788</v>
      </c>
      <c r="T28">
        <v>4.2900000000000001E-2</v>
      </c>
      <c r="U28">
        <v>4.6540999999999997</v>
      </c>
      <c r="V28">
        <f t="shared" si="0"/>
        <v>2.5365707434052757E-2</v>
      </c>
      <c r="W28">
        <f t="shared" si="1"/>
        <v>3.2749199999999997E-4</v>
      </c>
      <c r="X28">
        <f t="shared" si="2"/>
        <v>3.3544500000000002E-4</v>
      </c>
      <c r="Y28">
        <f t="shared" si="3"/>
        <v>3.4021399999999998E-4</v>
      </c>
      <c r="Z28">
        <f t="shared" si="4"/>
        <v>3.3037000000000002E-4</v>
      </c>
      <c r="AA28">
        <f t="shared" si="5"/>
        <v>3.3338024999999996E-4</v>
      </c>
    </row>
    <row r="29" spans="1:27" x14ac:dyDescent="0.3">
      <c r="A29">
        <v>24</v>
      </c>
      <c r="B29">
        <v>3.5201999999999998E-4</v>
      </c>
      <c r="C29">
        <v>2.017E-2</v>
      </c>
      <c r="D29">
        <v>57.318199999999997</v>
      </c>
      <c r="E29">
        <v>57.298000000000002</v>
      </c>
      <c r="F29">
        <v>3.6512799999999999E-4</v>
      </c>
      <c r="G29">
        <v>2.09091E-2</v>
      </c>
      <c r="H29">
        <v>57.286200000000001</v>
      </c>
      <c r="I29">
        <v>57.265300000000003</v>
      </c>
      <c r="J29">
        <v>3.6929500000000001E-4</v>
      </c>
      <c r="K29">
        <v>2.10616E-2</v>
      </c>
      <c r="L29">
        <v>57.052799999999998</v>
      </c>
      <c r="M29">
        <v>57.031799999999997</v>
      </c>
      <c r="N29">
        <v>3.7193600000000001E-4</v>
      </c>
      <c r="O29">
        <v>2.09067E-2</v>
      </c>
      <c r="P29">
        <v>56.231299999999997</v>
      </c>
      <c r="Q29">
        <v>56.2104</v>
      </c>
      <c r="R29">
        <v>24.975000000000001</v>
      </c>
      <c r="S29">
        <v>24.975000000000001</v>
      </c>
      <c r="T29">
        <v>6.0299999999999999E-2</v>
      </c>
      <c r="U29">
        <v>6.3987999999999996</v>
      </c>
      <c r="V29">
        <f t="shared" si="0"/>
        <v>3.4874645737955089E-2</v>
      </c>
      <c r="W29">
        <f t="shared" si="1"/>
        <v>3.5201999999999998E-4</v>
      </c>
      <c r="X29">
        <f t="shared" si="2"/>
        <v>3.6512799999999999E-4</v>
      </c>
      <c r="Y29">
        <f t="shared" si="3"/>
        <v>3.6929500000000001E-4</v>
      </c>
      <c r="Z29">
        <f t="shared" si="4"/>
        <v>3.7193600000000001E-4</v>
      </c>
      <c r="AA29">
        <f t="shared" si="5"/>
        <v>3.6459474999999997E-4</v>
      </c>
    </row>
    <row r="30" spans="1:27" x14ac:dyDescent="0.3">
      <c r="A30">
        <v>25</v>
      </c>
      <c r="B30">
        <v>3.87697E-4</v>
      </c>
      <c r="C30">
        <v>2.2214299999999999E-2</v>
      </c>
      <c r="D30">
        <v>57.3202</v>
      </c>
      <c r="E30">
        <v>57.298000000000002</v>
      </c>
      <c r="F30">
        <v>3.9883600000000001E-4</v>
      </c>
      <c r="G30">
        <v>2.2839499999999999E-2</v>
      </c>
      <c r="H30">
        <v>57.2881</v>
      </c>
      <c r="I30">
        <v>57.265300000000003</v>
      </c>
      <c r="J30">
        <v>3.9869599999999998E-4</v>
      </c>
      <c r="K30">
        <v>2.2738299999999999E-2</v>
      </c>
      <c r="L30">
        <v>57.054499999999997</v>
      </c>
      <c r="M30">
        <v>57.031799999999997</v>
      </c>
      <c r="N30">
        <v>3.9376500000000002E-4</v>
      </c>
      <c r="O30">
        <v>2.2133699999999999E-2</v>
      </c>
      <c r="P30">
        <v>56.232500000000002</v>
      </c>
      <c r="Q30">
        <v>56.2104</v>
      </c>
      <c r="R30">
        <v>25.347000000000001</v>
      </c>
      <c r="S30">
        <v>25.347000000000001</v>
      </c>
      <c r="T30">
        <v>7.4800000000000005E-2</v>
      </c>
      <c r="U30">
        <v>7.8526999999999996</v>
      </c>
      <c r="V30">
        <f t="shared" si="0"/>
        <v>4.2798670154785258E-2</v>
      </c>
      <c r="W30">
        <f t="shared" si="1"/>
        <v>3.87697E-4</v>
      </c>
      <c r="X30">
        <f t="shared" si="2"/>
        <v>3.9883600000000001E-4</v>
      </c>
      <c r="Y30">
        <f t="shared" si="3"/>
        <v>3.9869599999999998E-4</v>
      </c>
      <c r="Z30">
        <f t="shared" si="4"/>
        <v>3.9376500000000002E-4</v>
      </c>
      <c r="AA30">
        <f t="shared" si="5"/>
        <v>3.9474850000000006E-4</v>
      </c>
    </row>
    <row r="31" spans="1:27" x14ac:dyDescent="0.3">
      <c r="A31">
        <v>26</v>
      </c>
      <c r="B31">
        <v>4.1896300000000001E-4</v>
      </c>
      <c r="C31">
        <v>2.4005800000000001E-2</v>
      </c>
      <c r="D31">
        <v>57.322000000000003</v>
      </c>
      <c r="E31">
        <v>57.298000000000002</v>
      </c>
      <c r="F31">
        <v>4.1988699999999997E-4</v>
      </c>
      <c r="G31">
        <v>2.4044900000000001E-2</v>
      </c>
      <c r="H31">
        <v>57.289299999999997</v>
      </c>
      <c r="I31">
        <v>57.265300000000003</v>
      </c>
      <c r="J31">
        <v>4.2793600000000002E-4</v>
      </c>
      <c r="K31">
        <v>2.4405900000000001E-2</v>
      </c>
      <c r="L31">
        <v>57.056199999999997</v>
      </c>
      <c r="M31">
        <v>57.031799999999997</v>
      </c>
      <c r="N31">
        <v>4.2094099999999998E-4</v>
      </c>
      <c r="O31">
        <v>2.36613E-2</v>
      </c>
      <c r="P31">
        <v>56.234099999999998</v>
      </c>
      <c r="Q31">
        <v>56.2104</v>
      </c>
      <c r="R31">
        <v>25.533999999999999</v>
      </c>
      <c r="S31">
        <v>25.533999999999999</v>
      </c>
      <c r="T31">
        <v>8.3199999999999996E-2</v>
      </c>
      <c r="U31">
        <v>8.6928000000000001</v>
      </c>
      <c r="V31">
        <f t="shared" si="0"/>
        <v>4.7377370830608237E-2</v>
      </c>
      <c r="W31">
        <f t="shared" si="1"/>
        <v>4.1896300000000001E-4</v>
      </c>
      <c r="X31">
        <f t="shared" si="2"/>
        <v>4.1988699999999997E-4</v>
      </c>
      <c r="Y31">
        <f t="shared" si="3"/>
        <v>4.2793600000000002E-4</v>
      </c>
      <c r="Z31">
        <f t="shared" si="4"/>
        <v>4.2094099999999998E-4</v>
      </c>
      <c r="AA31">
        <f t="shared" si="5"/>
        <v>4.2193174999999999E-4</v>
      </c>
    </row>
    <row r="32" spans="1:27" x14ac:dyDescent="0.3">
      <c r="A32">
        <v>27</v>
      </c>
      <c r="B32">
        <v>4.5638500000000002E-4</v>
      </c>
      <c r="C32">
        <v>2.61499E-2</v>
      </c>
      <c r="D32">
        <v>57.324199999999998</v>
      </c>
      <c r="E32">
        <v>57.298000000000002</v>
      </c>
      <c r="F32">
        <v>4.5932900000000002E-4</v>
      </c>
      <c r="G32">
        <v>2.63036E-2</v>
      </c>
      <c r="H32">
        <v>57.291600000000003</v>
      </c>
      <c r="I32">
        <v>57.265300000000003</v>
      </c>
      <c r="J32">
        <v>4.55496E-4</v>
      </c>
      <c r="K32">
        <v>2.5977699999999999E-2</v>
      </c>
      <c r="L32">
        <v>57.0578</v>
      </c>
      <c r="M32">
        <v>57.031799999999997</v>
      </c>
      <c r="N32">
        <v>4.50221E-4</v>
      </c>
      <c r="O32">
        <v>2.5307099999999999E-2</v>
      </c>
      <c r="P32">
        <v>56.235700000000001</v>
      </c>
      <c r="Q32">
        <v>56.2104</v>
      </c>
      <c r="R32">
        <v>25.783999999999999</v>
      </c>
      <c r="S32">
        <v>25.783999999999999</v>
      </c>
      <c r="T32">
        <v>0.1003</v>
      </c>
      <c r="U32">
        <v>10.405200000000001</v>
      </c>
      <c r="V32">
        <f t="shared" si="0"/>
        <v>5.6710268149117074E-2</v>
      </c>
      <c r="W32">
        <f t="shared" si="1"/>
        <v>4.5638500000000002E-4</v>
      </c>
      <c r="X32">
        <f t="shared" si="2"/>
        <v>4.5932900000000002E-4</v>
      </c>
      <c r="Y32">
        <f t="shared" si="3"/>
        <v>4.55496E-4</v>
      </c>
      <c r="Z32">
        <f t="shared" si="4"/>
        <v>4.50221E-4</v>
      </c>
      <c r="AA32">
        <f t="shared" si="5"/>
        <v>4.5535774999999997E-4</v>
      </c>
    </row>
    <row r="33" spans="1:27" x14ac:dyDescent="0.3">
      <c r="A33">
        <v>28</v>
      </c>
      <c r="B33">
        <v>4.9589299999999996E-4</v>
      </c>
      <c r="C33">
        <v>2.84137E-2</v>
      </c>
      <c r="D33">
        <v>57.3264</v>
      </c>
      <c r="E33">
        <v>57.298000000000002</v>
      </c>
      <c r="F33">
        <v>5.0475400000000005E-4</v>
      </c>
      <c r="G33">
        <v>2.8904900000000001E-2</v>
      </c>
      <c r="H33">
        <v>57.294199999999996</v>
      </c>
      <c r="I33">
        <v>57.265300000000003</v>
      </c>
      <c r="J33">
        <v>5.0159399999999995E-4</v>
      </c>
      <c r="K33">
        <v>2.8606800000000002E-2</v>
      </c>
      <c r="L33">
        <v>57.060400000000001</v>
      </c>
      <c r="M33">
        <v>57.031799999999997</v>
      </c>
      <c r="N33">
        <v>4.8904999999999999E-4</v>
      </c>
      <c r="O33">
        <v>2.7489699999999999E-2</v>
      </c>
      <c r="P33">
        <v>56.237900000000003</v>
      </c>
      <c r="Q33">
        <v>56.2104</v>
      </c>
      <c r="R33">
        <v>25.971</v>
      </c>
      <c r="S33">
        <v>25.971</v>
      </c>
      <c r="T33">
        <v>0.1051</v>
      </c>
      <c r="U33">
        <v>10.889799999999999</v>
      </c>
      <c r="V33">
        <f t="shared" si="0"/>
        <v>5.9351427948550244E-2</v>
      </c>
      <c r="W33">
        <f t="shared" si="1"/>
        <v>4.9589299999999996E-4</v>
      </c>
      <c r="X33">
        <f t="shared" si="2"/>
        <v>5.0475400000000005E-4</v>
      </c>
      <c r="Y33">
        <f t="shared" si="3"/>
        <v>5.0159399999999995E-4</v>
      </c>
      <c r="Z33">
        <f t="shared" si="4"/>
        <v>4.8904999999999999E-4</v>
      </c>
      <c r="AA33">
        <f t="shared" si="5"/>
        <v>4.9782275000000002E-4</v>
      </c>
    </row>
    <row r="34" spans="1:27" x14ac:dyDescent="0.3">
      <c r="A34">
        <v>29</v>
      </c>
      <c r="B34">
        <v>5.0699899999999995E-4</v>
      </c>
      <c r="C34">
        <v>2.9049999999999999E-2</v>
      </c>
      <c r="D34">
        <v>57.327100000000002</v>
      </c>
      <c r="E34">
        <v>57.298000000000002</v>
      </c>
      <c r="F34">
        <v>5.1903799999999999E-4</v>
      </c>
      <c r="G34">
        <v>2.97229E-2</v>
      </c>
      <c r="H34">
        <v>57.295000000000002</v>
      </c>
      <c r="I34">
        <v>57.265300000000003</v>
      </c>
      <c r="J34">
        <v>5.18963E-4</v>
      </c>
      <c r="K34">
        <v>2.9597399999999999E-2</v>
      </c>
      <c r="L34">
        <v>57.061399999999999</v>
      </c>
      <c r="M34">
        <v>57.031799999999997</v>
      </c>
      <c r="N34">
        <v>5.0370700000000005E-4</v>
      </c>
      <c r="O34">
        <v>2.8313600000000001E-2</v>
      </c>
      <c r="P34">
        <v>56.238700000000001</v>
      </c>
      <c r="Q34">
        <v>56.2104</v>
      </c>
      <c r="R34">
        <v>26.158000000000001</v>
      </c>
      <c r="S34">
        <v>26.158000000000001</v>
      </c>
      <c r="T34">
        <v>0.1138</v>
      </c>
      <c r="U34">
        <v>11.7622</v>
      </c>
      <c r="V34">
        <f t="shared" si="0"/>
        <v>6.4106169609766728E-2</v>
      </c>
      <c r="W34">
        <f t="shared" si="1"/>
        <v>5.0699899999999995E-4</v>
      </c>
      <c r="X34">
        <f t="shared" si="2"/>
        <v>5.1903799999999999E-4</v>
      </c>
      <c r="Y34">
        <f t="shared" si="3"/>
        <v>5.18963E-4</v>
      </c>
      <c r="Z34">
        <f t="shared" si="4"/>
        <v>5.0370700000000005E-4</v>
      </c>
      <c r="AA34">
        <f t="shared" si="5"/>
        <v>5.1217674999999997E-4</v>
      </c>
    </row>
    <row r="35" spans="1:27" x14ac:dyDescent="0.3">
      <c r="A35">
        <v>30</v>
      </c>
      <c r="B35">
        <v>5.2937800000000005E-4</v>
      </c>
      <c r="C35">
        <v>3.03323E-2</v>
      </c>
      <c r="D35">
        <v>57.328400000000002</v>
      </c>
      <c r="E35">
        <v>57.298000000000002</v>
      </c>
      <c r="F35">
        <v>5.3770700000000001E-4</v>
      </c>
      <c r="G35">
        <v>3.0792E-2</v>
      </c>
      <c r="H35">
        <v>57.296100000000003</v>
      </c>
      <c r="I35">
        <v>57.265300000000003</v>
      </c>
      <c r="J35">
        <v>5.4567099999999996E-4</v>
      </c>
      <c r="K35">
        <v>3.1120599999999998E-2</v>
      </c>
      <c r="L35">
        <v>57.062899999999999</v>
      </c>
      <c r="M35">
        <v>57.031799999999997</v>
      </c>
      <c r="N35">
        <v>5.29726E-4</v>
      </c>
      <c r="O35">
        <v>2.97761E-2</v>
      </c>
      <c r="P35">
        <v>56.240200000000002</v>
      </c>
      <c r="Q35">
        <v>56.2104</v>
      </c>
      <c r="R35">
        <v>26.344999999999999</v>
      </c>
      <c r="S35">
        <v>26.344999999999999</v>
      </c>
      <c r="T35">
        <v>0.1241</v>
      </c>
      <c r="U35">
        <v>12.796099999999999</v>
      </c>
      <c r="V35">
        <f t="shared" si="0"/>
        <v>6.9741116197950731E-2</v>
      </c>
      <c r="W35">
        <f t="shared" si="1"/>
        <v>5.2937800000000005E-4</v>
      </c>
      <c r="X35">
        <f t="shared" si="2"/>
        <v>5.3770700000000001E-4</v>
      </c>
      <c r="Y35">
        <f t="shared" si="3"/>
        <v>5.4567099999999996E-4</v>
      </c>
      <c r="Z35">
        <f t="shared" si="4"/>
        <v>5.29726E-4</v>
      </c>
      <c r="AA35">
        <f t="shared" si="5"/>
        <v>5.3562050000000006E-4</v>
      </c>
    </row>
    <row r="36" spans="1:27" x14ac:dyDescent="0.3">
      <c r="A36">
        <v>31</v>
      </c>
      <c r="B36">
        <v>5.79263E-4</v>
      </c>
      <c r="C36">
        <v>3.3190600000000001E-2</v>
      </c>
      <c r="D36">
        <v>57.331200000000003</v>
      </c>
      <c r="E36">
        <v>57.298000000000002</v>
      </c>
      <c r="F36">
        <v>5.8840699999999999E-4</v>
      </c>
      <c r="G36">
        <v>3.3695299999999997E-2</v>
      </c>
      <c r="H36">
        <v>57.298999999999999</v>
      </c>
      <c r="I36">
        <v>57.265300000000003</v>
      </c>
      <c r="J36">
        <v>6.0018099999999998E-4</v>
      </c>
      <c r="K36">
        <v>3.42294E-2</v>
      </c>
      <c r="L36">
        <v>57.066000000000003</v>
      </c>
      <c r="M36">
        <v>57.031799999999997</v>
      </c>
      <c r="N36">
        <v>5.8148599999999998E-4</v>
      </c>
      <c r="O36">
        <v>3.2685600000000002E-2</v>
      </c>
      <c r="P36">
        <v>56.243099999999998</v>
      </c>
      <c r="Q36">
        <v>56.2104</v>
      </c>
      <c r="R36">
        <v>26.535</v>
      </c>
      <c r="S36">
        <v>26.535</v>
      </c>
      <c r="T36">
        <v>0.13089999999999999</v>
      </c>
      <c r="U36">
        <v>13.474600000000001</v>
      </c>
      <c r="V36">
        <f t="shared" si="0"/>
        <v>7.3439066928275565E-2</v>
      </c>
      <c r="W36">
        <f t="shared" si="1"/>
        <v>5.79263E-4</v>
      </c>
      <c r="X36">
        <f t="shared" si="2"/>
        <v>5.8840699999999999E-4</v>
      </c>
      <c r="Y36">
        <f t="shared" si="3"/>
        <v>6.0018099999999998E-4</v>
      </c>
      <c r="Z36">
        <f t="shared" si="4"/>
        <v>5.8148599999999998E-4</v>
      </c>
      <c r="AA36">
        <f t="shared" si="5"/>
        <v>5.8733424999999999E-4</v>
      </c>
    </row>
    <row r="37" spans="1:27" x14ac:dyDescent="0.3">
      <c r="A37">
        <v>32</v>
      </c>
      <c r="B37">
        <v>5.5719799999999996E-4</v>
      </c>
      <c r="C37">
        <v>3.1926400000000001E-2</v>
      </c>
      <c r="D37">
        <v>57.329900000000002</v>
      </c>
      <c r="E37">
        <v>57.298000000000002</v>
      </c>
      <c r="F37">
        <v>5.6695400000000005E-4</v>
      </c>
      <c r="G37">
        <v>3.2466799999999997E-2</v>
      </c>
      <c r="H37">
        <v>57.297800000000002</v>
      </c>
      <c r="I37">
        <v>57.265300000000003</v>
      </c>
      <c r="J37">
        <v>5.6999600000000002E-4</v>
      </c>
      <c r="K37">
        <v>3.2507899999999999E-2</v>
      </c>
      <c r="L37">
        <v>57.064300000000003</v>
      </c>
      <c r="M37">
        <v>57.031799999999997</v>
      </c>
      <c r="N37">
        <v>5.5708699999999995E-4</v>
      </c>
      <c r="O37">
        <v>3.1314099999999997E-2</v>
      </c>
      <c r="P37">
        <v>56.241700000000002</v>
      </c>
      <c r="Q37">
        <v>56.2104</v>
      </c>
      <c r="R37">
        <v>26.722000000000001</v>
      </c>
      <c r="S37">
        <v>26.722000000000001</v>
      </c>
      <c r="T37">
        <v>0.1396</v>
      </c>
      <c r="U37">
        <v>14.3469</v>
      </c>
      <c r="V37">
        <f t="shared" si="0"/>
        <v>7.8193263570961416E-2</v>
      </c>
      <c r="W37">
        <f t="shared" si="1"/>
        <v>5.5719799999999996E-4</v>
      </c>
      <c r="X37">
        <f t="shared" si="2"/>
        <v>5.6695400000000005E-4</v>
      </c>
      <c r="Y37">
        <f t="shared" si="3"/>
        <v>5.6999600000000002E-4</v>
      </c>
      <c r="Z37">
        <f t="shared" si="4"/>
        <v>5.5708699999999995E-4</v>
      </c>
      <c r="AA37">
        <f t="shared" si="5"/>
        <v>5.6280874999999997E-4</v>
      </c>
    </row>
    <row r="38" spans="1:27" x14ac:dyDescent="0.3">
      <c r="A38">
        <v>33</v>
      </c>
      <c r="B38">
        <v>5.3392200000000004E-4</v>
      </c>
      <c r="C38">
        <v>3.05927E-2</v>
      </c>
      <c r="D38">
        <v>57.328600000000002</v>
      </c>
      <c r="E38">
        <v>57.298000000000002</v>
      </c>
      <c r="F38">
        <v>5.4713699999999995E-4</v>
      </c>
      <c r="G38">
        <v>3.1331999999999999E-2</v>
      </c>
      <c r="H38">
        <v>57.296599999999998</v>
      </c>
      <c r="I38">
        <v>57.265300000000003</v>
      </c>
      <c r="J38">
        <v>5.5490100000000001E-4</v>
      </c>
      <c r="K38">
        <v>3.1647000000000002E-2</v>
      </c>
      <c r="L38">
        <v>57.063400000000001</v>
      </c>
      <c r="M38">
        <v>57.031799999999997</v>
      </c>
      <c r="N38">
        <v>5.5227100000000001E-4</v>
      </c>
      <c r="O38">
        <v>3.1043399999999999E-2</v>
      </c>
      <c r="P38">
        <v>56.241399999999999</v>
      </c>
      <c r="Q38">
        <v>56.2104</v>
      </c>
      <c r="R38">
        <v>26.907</v>
      </c>
      <c r="S38">
        <v>26.907</v>
      </c>
      <c r="T38">
        <v>0.15409999999999999</v>
      </c>
      <c r="U38">
        <v>15.800800000000001</v>
      </c>
      <c r="V38">
        <f t="shared" si="0"/>
        <v>8.6117287987791585E-2</v>
      </c>
      <c r="W38">
        <f t="shared" si="1"/>
        <v>5.3392200000000004E-4</v>
      </c>
      <c r="X38">
        <f t="shared" si="2"/>
        <v>5.4713699999999995E-4</v>
      </c>
      <c r="Y38">
        <f t="shared" si="3"/>
        <v>5.5490100000000001E-4</v>
      </c>
      <c r="Z38">
        <f t="shared" si="4"/>
        <v>5.5227100000000001E-4</v>
      </c>
      <c r="AA38">
        <f t="shared" si="5"/>
        <v>5.4705775000000003E-4</v>
      </c>
    </row>
    <row r="39" spans="1:27" x14ac:dyDescent="0.3">
      <c r="A39">
        <v>34</v>
      </c>
      <c r="B39">
        <v>5.3002300000000002E-4</v>
      </c>
      <c r="C39">
        <v>3.0369299999999998E-2</v>
      </c>
      <c r="D39">
        <v>57.328400000000002</v>
      </c>
      <c r="E39">
        <v>57.298000000000002</v>
      </c>
      <c r="F39">
        <v>5.3941000000000004E-4</v>
      </c>
      <c r="G39">
        <v>3.08895E-2</v>
      </c>
      <c r="H39">
        <v>57.296199999999999</v>
      </c>
      <c r="I39">
        <v>57.265300000000003</v>
      </c>
      <c r="J39">
        <v>5.5495900000000005E-4</v>
      </c>
      <c r="K39">
        <v>3.1650299999999999E-2</v>
      </c>
      <c r="L39">
        <v>57.063400000000001</v>
      </c>
      <c r="M39">
        <v>57.031799999999997</v>
      </c>
      <c r="N39">
        <v>5.4600999999999998E-4</v>
      </c>
      <c r="O39">
        <v>3.06915E-2</v>
      </c>
      <c r="P39">
        <v>56.241100000000003</v>
      </c>
      <c r="Q39">
        <v>56.2104</v>
      </c>
      <c r="R39">
        <v>27.035</v>
      </c>
      <c r="S39">
        <v>27.035</v>
      </c>
      <c r="T39">
        <v>0.1583</v>
      </c>
      <c r="U39">
        <v>16.220800000000001</v>
      </c>
      <c r="V39">
        <f t="shared" si="0"/>
        <v>8.8406365816437751E-2</v>
      </c>
      <c r="W39">
        <f t="shared" si="1"/>
        <v>5.3002300000000002E-4</v>
      </c>
      <c r="X39">
        <f t="shared" si="2"/>
        <v>5.3941000000000004E-4</v>
      </c>
      <c r="Y39">
        <f t="shared" si="3"/>
        <v>5.5495900000000005E-4</v>
      </c>
      <c r="Z39">
        <f t="shared" si="4"/>
        <v>5.4600999999999998E-4</v>
      </c>
      <c r="AA39">
        <f t="shared" si="5"/>
        <v>5.4260050000000002E-4</v>
      </c>
    </row>
    <row r="40" spans="1:27" x14ac:dyDescent="0.3">
      <c r="A40">
        <v>35</v>
      </c>
      <c r="B40">
        <v>5.8831900000000002E-4</v>
      </c>
      <c r="C40">
        <v>3.3709500000000003E-2</v>
      </c>
      <c r="D40">
        <v>57.331699999999998</v>
      </c>
      <c r="E40">
        <v>57.298000000000002</v>
      </c>
      <c r="F40">
        <v>5.8990900000000001E-4</v>
      </c>
      <c r="G40">
        <v>3.37813E-2</v>
      </c>
      <c r="H40">
        <v>57.299100000000003</v>
      </c>
      <c r="I40">
        <v>57.265300000000003</v>
      </c>
      <c r="J40">
        <v>5.9588000000000002E-4</v>
      </c>
      <c r="K40">
        <v>3.3984100000000003E-2</v>
      </c>
      <c r="L40">
        <v>57.065800000000003</v>
      </c>
      <c r="M40">
        <v>57.031799999999997</v>
      </c>
      <c r="N40">
        <v>5.8124900000000005E-4</v>
      </c>
      <c r="O40">
        <v>3.2672300000000001E-2</v>
      </c>
      <c r="P40">
        <v>56.243099999999998</v>
      </c>
      <c r="Q40">
        <v>56.2104</v>
      </c>
      <c r="R40">
        <v>27.405999999999999</v>
      </c>
      <c r="S40">
        <v>27.405999999999999</v>
      </c>
      <c r="T40">
        <v>0.1799</v>
      </c>
      <c r="U40">
        <v>18.3856</v>
      </c>
      <c r="V40">
        <f t="shared" si="0"/>
        <v>0.1002049269675169</v>
      </c>
      <c r="W40">
        <f t="shared" si="1"/>
        <v>5.8831900000000002E-4</v>
      </c>
      <c r="X40">
        <f t="shared" si="2"/>
        <v>5.8990900000000001E-4</v>
      </c>
      <c r="Y40">
        <f t="shared" si="3"/>
        <v>5.9588000000000002E-4</v>
      </c>
      <c r="Z40">
        <f t="shared" si="4"/>
        <v>5.8124900000000005E-4</v>
      </c>
      <c r="AA40">
        <f t="shared" si="5"/>
        <v>5.8883924999999994E-4</v>
      </c>
    </row>
    <row r="41" spans="1:27" x14ac:dyDescent="0.3">
      <c r="A41">
        <v>36</v>
      </c>
      <c r="B41">
        <v>6.1847900000000001E-4</v>
      </c>
      <c r="C41">
        <v>3.54376E-2</v>
      </c>
      <c r="D41">
        <v>57.333500000000001</v>
      </c>
      <c r="E41">
        <v>57.298000000000002</v>
      </c>
      <c r="F41">
        <v>6.2610200000000002E-4</v>
      </c>
      <c r="G41">
        <v>3.5853900000000001E-2</v>
      </c>
      <c r="H41">
        <v>57.301200000000001</v>
      </c>
      <c r="I41">
        <v>57.265300000000003</v>
      </c>
      <c r="J41">
        <v>6.3211099999999998E-4</v>
      </c>
      <c r="K41">
        <v>3.6050400000000003E-2</v>
      </c>
      <c r="L41">
        <v>57.067799999999998</v>
      </c>
      <c r="M41">
        <v>57.031799999999997</v>
      </c>
      <c r="N41">
        <v>6.1720500000000001E-4</v>
      </c>
      <c r="O41">
        <v>3.4693399999999999E-2</v>
      </c>
      <c r="P41">
        <v>56.245100000000001</v>
      </c>
      <c r="Q41">
        <v>56.2104</v>
      </c>
      <c r="R41">
        <v>27.718</v>
      </c>
      <c r="S41">
        <v>27.718</v>
      </c>
      <c r="T41">
        <v>0.187</v>
      </c>
      <c r="U41">
        <v>19.096399999999999</v>
      </c>
      <c r="V41">
        <f t="shared" si="0"/>
        <v>0.10407891868323524</v>
      </c>
      <c r="W41">
        <f t="shared" si="1"/>
        <v>6.1847900000000001E-4</v>
      </c>
      <c r="X41">
        <f t="shared" si="2"/>
        <v>6.2610200000000002E-4</v>
      </c>
      <c r="Y41">
        <f t="shared" si="3"/>
        <v>6.3211099999999998E-4</v>
      </c>
      <c r="Z41">
        <f t="shared" si="4"/>
        <v>6.1720500000000001E-4</v>
      </c>
      <c r="AA41">
        <f t="shared" si="5"/>
        <v>6.2347425000000003E-4</v>
      </c>
    </row>
    <row r="42" spans="1:27" x14ac:dyDescent="0.3">
      <c r="A42">
        <v>37</v>
      </c>
      <c r="B42">
        <v>6.4000600000000004E-4</v>
      </c>
      <c r="C42">
        <v>3.6671099999999998E-2</v>
      </c>
      <c r="D42">
        <v>57.334699999999998</v>
      </c>
      <c r="E42">
        <v>57.298000000000002</v>
      </c>
      <c r="F42">
        <v>6.4650299999999999E-4</v>
      </c>
      <c r="G42">
        <v>3.7022199999999998E-2</v>
      </c>
      <c r="H42">
        <v>57.302300000000002</v>
      </c>
      <c r="I42">
        <v>57.265300000000003</v>
      </c>
      <c r="J42">
        <v>6.5165100000000005E-4</v>
      </c>
      <c r="K42">
        <v>3.7164799999999998E-2</v>
      </c>
      <c r="L42">
        <v>57.068899999999999</v>
      </c>
      <c r="M42">
        <v>57.031799999999997</v>
      </c>
      <c r="N42">
        <v>6.44039E-4</v>
      </c>
      <c r="O42">
        <v>3.6201700000000003E-2</v>
      </c>
      <c r="P42">
        <v>56.246600000000001</v>
      </c>
      <c r="Q42">
        <v>56.2104</v>
      </c>
      <c r="R42">
        <v>27.97</v>
      </c>
      <c r="S42">
        <v>27.97</v>
      </c>
      <c r="T42">
        <v>0.2069</v>
      </c>
      <c r="U42">
        <v>21.099499999999999</v>
      </c>
      <c r="V42">
        <f t="shared" si="0"/>
        <v>0.11499618487028558</v>
      </c>
      <c r="W42">
        <f t="shared" si="1"/>
        <v>6.4000600000000004E-4</v>
      </c>
      <c r="X42">
        <f t="shared" si="2"/>
        <v>6.4650299999999999E-4</v>
      </c>
      <c r="Y42">
        <f t="shared" si="3"/>
        <v>6.5165100000000005E-4</v>
      </c>
      <c r="Z42">
        <f t="shared" si="4"/>
        <v>6.44039E-4</v>
      </c>
      <c r="AA42">
        <f t="shared" si="5"/>
        <v>6.4554974999999997E-4</v>
      </c>
    </row>
    <row r="43" spans="1:27" x14ac:dyDescent="0.3">
      <c r="A43">
        <v>38</v>
      </c>
      <c r="B43">
        <v>6.6378800000000001E-4</v>
      </c>
      <c r="C43">
        <v>3.8033699999999997E-2</v>
      </c>
      <c r="D43">
        <v>57.336100000000002</v>
      </c>
      <c r="E43">
        <v>57.298000000000002</v>
      </c>
      <c r="F43">
        <v>6.6527299999999997E-4</v>
      </c>
      <c r="G43">
        <v>3.8097100000000002E-2</v>
      </c>
      <c r="H43">
        <v>57.303400000000003</v>
      </c>
      <c r="I43">
        <v>57.265300000000003</v>
      </c>
      <c r="J43">
        <v>6.7128000000000001E-4</v>
      </c>
      <c r="K43">
        <v>3.82843E-2</v>
      </c>
      <c r="L43">
        <v>57.070099999999996</v>
      </c>
      <c r="M43">
        <v>57.031799999999997</v>
      </c>
      <c r="N43">
        <v>6.5283599999999995E-4</v>
      </c>
      <c r="O43">
        <v>3.6696199999999998E-2</v>
      </c>
      <c r="P43">
        <v>56.247100000000003</v>
      </c>
      <c r="Q43">
        <v>56.2104</v>
      </c>
      <c r="R43">
        <v>28.218</v>
      </c>
      <c r="S43">
        <v>28.218</v>
      </c>
      <c r="T43">
        <v>0.2114</v>
      </c>
      <c r="U43">
        <v>21.5519</v>
      </c>
      <c r="V43">
        <f t="shared" si="0"/>
        <v>0.11746184870285591</v>
      </c>
      <c r="W43">
        <f t="shared" si="1"/>
        <v>6.6378800000000001E-4</v>
      </c>
      <c r="X43">
        <f t="shared" si="2"/>
        <v>6.6527299999999997E-4</v>
      </c>
      <c r="Y43">
        <f t="shared" si="3"/>
        <v>6.7128000000000001E-4</v>
      </c>
      <c r="Z43">
        <f t="shared" si="4"/>
        <v>6.5283599999999995E-4</v>
      </c>
      <c r="AA43">
        <f t="shared" si="5"/>
        <v>6.6329425000000001E-4</v>
      </c>
    </row>
    <row r="44" spans="1:27" x14ac:dyDescent="0.3">
      <c r="A44">
        <v>39</v>
      </c>
      <c r="B44">
        <v>6.9208599999999996E-4</v>
      </c>
      <c r="C44">
        <v>3.9655200000000002E-2</v>
      </c>
      <c r="D44">
        <v>57.337699999999998</v>
      </c>
      <c r="E44">
        <v>57.298000000000002</v>
      </c>
      <c r="F44">
        <v>6.9286800000000002E-4</v>
      </c>
      <c r="G44">
        <v>3.9677299999999999E-2</v>
      </c>
      <c r="H44">
        <v>57.305</v>
      </c>
      <c r="I44">
        <v>57.265300000000003</v>
      </c>
      <c r="J44">
        <v>6.9163799999999995E-4</v>
      </c>
      <c r="K44">
        <v>3.9445300000000003E-2</v>
      </c>
      <c r="L44">
        <v>57.071199999999997</v>
      </c>
      <c r="M44">
        <v>57.031799999999997</v>
      </c>
      <c r="N44">
        <v>6.78489E-4</v>
      </c>
      <c r="O44">
        <v>3.8138100000000001E-2</v>
      </c>
      <c r="P44">
        <v>56.2485</v>
      </c>
      <c r="Q44">
        <v>56.2104</v>
      </c>
      <c r="R44">
        <v>28.407</v>
      </c>
      <c r="S44">
        <v>28.407</v>
      </c>
      <c r="T44">
        <v>0.224</v>
      </c>
      <c r="U44">
        <v>22.811900000000001</v>
      </c>
      <c r="V44">
        <f t="shared" si="0"/>
        <v>0.12432908218879443</v>
      </c>
      <c r="W44">
        <f t="shared" si="1"/>
        <v>6.9208599999999996E-4</v>
      </c>
      <c r="X44">
        <f t="shared" si="2"/>
        <v>6.9286800000000002E-4</v>
      </c>
      <c r="Y44">
        <f t="shared" si="3"/>
        <v>6.9163799999999995E-4</v>
      </c>
      <c r="Z44">
        <f t="shared" si="4"/>
        <v>6.78489E-4</v>
      </c>
      <c r="AA44">
        <f t="shared" si="5"/>
        <v>6.8877024999999998E-4</v>
      </c>
    </row>
    <row r="45" spans="1:27" x14ac:dyDescent="0.3">
      <c r="A45">
        <v>40</v>
      </c>
      <c r="B45">
        <v>7.1893300000000005E-4</v>
      </c>
      <c r="C45">
        <v>4.1193500000000001E-2</v>
      </c>
      <c r="D45">
        <v>57.339199999999998</v>
      </c>
      <c r="E45">
        <v>57.298000000000002</v>
      </c>
      <c r="F45">
        <v>7.2626899999999998E-4</v>
      </c>
      <c r="G45">
        <v>4.1590000000000002E-2</v>
      </c>
      <c r="H45">
        <v>57.306899999999999</v>
      </c>
      <c r="I45">
        <v>57.265300000000003</v>
      </c>
      <c r="J45">
        <v>7.3239599999999996E-4</v>
      </c>
      <c r="K45">
        <v>4.1769899999999999E-2</v>
      </c>
      <c r="L45">
        <v>57.073599999999999</v>
      </c>
      <c r="M45">
        <v>57.031799999999997</v>
      </c>
      <c r="N45">
        <v>7.1228000000000003E-4</v>
      </c>
      <c r="O45">
        <v>4.0037499999999997E-2</v>
      </c>
      <c r="P45">
        <v>56.250399999999999</v>
      </c>
      <c r="Q45">
        <v>56.2104</v>
      </c>
      <c r="R45">
        <v>28.718</v>
      </c>
      <c r="S45">
        <v>28.718</v>
      </c>
      <c r="T45">
        <v>0.23719999999999999</v>
      </c>
      <c r="U45">
        <v>24.136600000000001</v>
      </c>
      <c r="V45">
        <f t="shared" si="0"/>
        <v>0.13154894266405059</v>
      </c>
      <c r="W45">
        <f t="shared" si="1"/>
        <v>7.1893300000000005E-4</v>
      </c>
      <c r="X45">
        <f t="shared" si="2"/>
        <v>7.2626899999999998E-4</v>
      </c>
      <c r="Y45">
        <f t="shared" si="3"/>
        <v>7.3239599999999996E-4</v>
      </c>
      <c r="Z45">
        <f t="shared" si="4"/>
        <v>7.1228000000000003E-4</v>
      </c>
      <c r="AA45">
        <f t="shared" si="5"/>
        <v>7.2246950000000006E-4</v>
      </c>
    </row>
    <row r="46" spans="1:27" x14ac:dyDescent="0.3">
      <c r="A46">
        <v>41</v>
      </c>
      <c r="B46">
        <v>7.5984399999999997E-4</v>
      </c>
      <c r="C46">
        <v>4.35375E-2</v>
      </c>
      <c r="D46">
        <v>57.3416</v>
      </c>
      <c r="E46">
        <v>57.298000000000002</v>
      </c>
      <c r="F46">
        <v>7.6617299999999998E-4</v>
      </c>
      <c r="G46">
        <v>4.38751E-2</v>
      </c>
      <c r="H46">
        <v>57.309199999999997</v>
      </c>
      <c r="I46">
        <v>57.265300000000003</v>
      </c>
      <c r="J46">
        <v>7.6673699999999997E-4</v>
      </c>
      <c r="K46">
        <v>4.3728299999999998E-2</v>
      </c>
      <c r="L46">
        <v>57.075499999999998</v>
      </c>
      <c r="M46">
        <v>57.031799999999997</v>
      </c>
      <c r="N46">
        <v>7.4109399999999998E-4</v>
      </c>
      <c r="O46">
        <v>4.1657199999999998E-2</v>
      </c>
      <c r="P46">
        <v>56.252099999999999</v>
      </c>
      <c r="Q46">
        <v>56.2104</v>
      </c>
      <c r="R46">
        <v>28.843</v>
      </c>
      <c r="S46">
        <v>28.843</v>
      </c>
      <c r="T46">
        <v>0.2437</v>
      </c>
      <c r="U46">
        <v>24.782800000000002</v>
      </c>
      <c r="V46">
        <f t="shared" si="0"/>
        <v>0.13507085240898192</v>
      </c>
      <c r="W46">
        <f t="shared" si="1"/>
        <v>7.5984399999999997E-4</v>
      </c>
      <c r="X46">
        <f t="shared" si="2"/>
        <v>7.6617299999999998E-4</v>
      </c>
      <c r="Y46">
        <f t="shared" si="3"/>
        <v>7.6673699999999997E-4</v>
      </c>
      <c r="Z46">
        <f t="shared" si="4"/>
        <v>7.4109399999999998E-4</v>
      </c>
      <c r="AA46">
        <f t="shared" si="5"/>
        <v>7.58462E-4</v>
      </c>
    </row>
    <row r="47" spans="1:27" x14ac:dyDescent="0.3">
      <c r="A47">
        <v>42</v>
      </c>
      <c r="B47">
        <v>7.9763000000000002E-4</v>
      </c>
      <c r="C47">
        <v>4.5702600000000003E-2</v>
      </c>
      <c r="D47">
        <v>57.343699999999998</v>
      </c>
      <c r="E47">
        <v>57.298000000000002</v>
      </c>
      <c r="F47">
        <v>8.1259699999999997E-4</v>
      </c>
      <c r="G47">
        <v>4.6533600000000001E-2</v>
      </c>
      <c r="H47">
        <v>57.311799999999998</v>
      </c>
      <c r="I47">
        <v>57.265300000000003</v>
      </c>
      <c r="J47">
        <v>8.1597600000000005E-4</v>
      </c>
      <c r="K47">
        <v>4.6536599999999997E-2</v>
      </c>
      <c r="L47">
        <v>57.078299999999999</v>
      </c>
      <c r="M47">
        <v>57.031799999999997</v>
      </c>
      <c r="N47">
        <v>8.0292700000000005E-4</v>
      </c>
      <c r="O47">
        <v>4.5132800000000001E-2</v>
      </c>
      <c r="P47">
        <v>56.255499999999998</v>
      </c>
      <c r="Q47">
        <v>56.2104</v>
      </c>
      <c r="R47">
        <v>29.155000000000001</v>
      </c>
      <c r="S47">
        <v>29.155000000000001</v>
      </c>
      <c r="T47">
        <v>0.25590000000000002</v>
      </c>
      <c r="U47">
        <v>26.0105</v>
      </c>
      <c r="V47">
        <f t="shared" si="0"/>
        <v>0.14176204490952693</v>
      </c>
      <c r="W47">
        <f t="shared" si="1"/>
        <v>7.9763000000000002E-4</v>
      </c>
      <c r="X47">
        <f t="shared" si="2"/>
        <v>8.1259699999999997E-4</v>
      </c>
      <c r="Y47">
        <f t="shared" si="3"/>
        <v>8.1597600000000005E-4</v>
      </c>
      <c r="Z47">
        <f t="shared" si="4"/>
        <v>8.0292700000000005E-4</v>
      </c>
      <c r="AA47">
        <f t="shared" si="5"/>
        <v>8.0728250000000005E-4</v>
      </c>
    </row>
    <row r="48" spans="1:27" x14ac:dyDescent="0.3">
      <c r="A48">
        <v>43</v>
      </c>
      <c r="B48">
        <v>7.9005399999999999E-4</v>
      </c>
      <c r="C48">
        <v>4.5268500000000003E-2</v>
      </c>
      <c r="D48">
        <v>57.343299999999999</v>
      </c>
      <c r="E48">
        <v>57.298000000000002</v>
      </c>
      <c r="F48">
        <v>7.9865999999999997E-4</v>
      </c>
      <c r="G48">
        <v>4.5735499999999998E-2</v>
      </c>
      <c r="H48">
        <v>57.311</v>
      </c>
      <c r="I48">
        <v>57.265300000000003</v>
      </c>
      <c r="J48">
        <v>8.1625000000000003E-4</v>
      </c>
      <c r="K48">
        <v>4.6552200000000002E-2</v>
      </c>
      <c r="L48">
        <v>57.078299999999999</v>
      </c>
      <c r="M48">
        <v>57.031799999999997</v>
      </c>
      <c r="N48">
        <v>7.9113299999999996E-4</v>
      </c>
      <c r="O48">
        <v>4.44699E-2</v>
      </c>
      <c r="P48">
        <v>56.254899999999999</v>
      </c>
      <c r="Q48">
        <v>56.2104</v>
      </c>
      <c r="R48">
        <v>29.28</v>
      </c>
      <c r="S48">
        <v>29.28</v>
      </c>
      <c r="T48">
        <v>0.25590000000000002</v>
      </c>
      <c r="U48">
        <v>26.0105</v>
      </c>
      <c r="V48">
        <f t="shared" si="0"/>
        <v>0.14176204490952693</v>
      </c>
      <c r="W48">
        <f t="shared" si="1"/>
        <v>7.9005399999999999E-4</v>
      </c>
      <c r="X48">
        <f t="shared" si="2"/>
        <v>7.9865999999999997E-4</v>
      </c>
      <c r="Y48">
        <f t="shared" si="3"/>
        <v>8.1625000000000003E-4</v>
      </c>
      <c r="Z48">
        <f t="shared" si="4"/>
        <v>7.9113299999999996E-4</v>
      </c>
      <c r="AA48">
        <f t="shared" si="5"/>
        <v>7.9902424999999994E-4</v>
      </c>
    </row>
    <row r="49" spans="1:27" x14ac:dyDescent="0.3">
      <c r="A49">
        <v>44</v>
      </c>
      <c r="B49">
        <v>8.0351800000000003E-4</v>
      </c>
      <c r="C49">
        <v>4.6039999999999998E-2</v>
      </c>
      <c r="D49">
        <v>57.344099999999997</v>
      </c>
      <c r="E49">
        <v>57.298000000000002</v>
      </c>
      <c r="F49">
        <v>8.1028000000000003E-4</v>
      </c>
      <c r="G49">
        <v>4.6400900000000002E-2</v>
      </c>
      <c r="H49">
        <v>57.311700000000002</v>
      </c>
      <c r="I49">
        <v>57.265300000000003</v>
      </c>
      <c r="J49">
        <v>8.0909199999999997E-4</v>
      </c>
      <c r="K49">
        <v>4.6143900000000002E-2</v>
      </c>
      <c r="L49">
        <v>57.0779</v>
      </c>
      <c r="M49">
        <v>57.031799999999997</v>
      </c>
      <c r="N49">
        <v>7.8830899999999995E-4</v>
      </c>
      <c r="O49">
        <v>4.4311099999999999E-2</v>
      </c>
      <c r="P49">
        <v>56.2547</v>
      </c>
      <c r="Q49">
        <v>56.2104</v>
      </c>
      <c r="R49">
        <v>29.466999999999999</v>
      </c>
      <c r="S49">
        <v>29.466999999999999</v>
      </c>
      <c r="T49">
        <v>0.26910000000000001</v>
      </c>
      <c r="U49">
        <v>27.3352</v>
      </c>
      <c r="V49">
        <f t="shared" si="0"/>
        <v>0.14898190538478309</v>
      </c>
      <c r="W49">
        <f t="shared" si="1"/>
        <v>8.0351800000000003E-4</v>
      </c>
      <c r="X49">
        <f t="shared" si="2"/>
        <v>8.1028000000000003E-4</v>
      </c>
      <c r="Y49">
        <f t="shared" si="3"/>
        <v>8.0909199999999997E-4</v>
      </c>
      <c r="Z49">
        <f t="shared" si="4"/>
        <v>7.8830899999999995E-4</v>
      </c>
      <c r="AA49">
        <f t="shared" si="5"/>
        <v>8.0279975000000002E-4</v>
      </c>
    </row>
    <row r="50" spans="1:27" x14ac:dyDescent="0.3">
      <c r="A50">
        <v>45</v>
      </c>
      <c r="B50">
        <v>8.3438499999999999E-4</v>
      </c>
      <c r="C50">
        <v>4.78086E-2</v>
      </c>
      <c r="D50">
        <v>57.345799999999997</v>
      </c>
      <c r="E50">
        <v>57.298000000000002</v>
      </c>
      <c r="F50">
        <v>8.3801299999999997E-4</v>
      </c>
      <c r="G50">
        <v>4.79891E-2</v>
      </c>
      <c r="H50">
        <v>57.313299999999998</v>
      </c>
      <c r="I50">
        <v>57.265300000000003</v>
      </c>
      <c r="J50">
        <v>8.3464599999999998E-4</v>
      </c>
      <c r="K50">
        <v>4.7601400000000002E-2</v>
      </c>
      <c r="L50">
        <v>57.0794</v>
      </c>
      <c r="M50">
        <v>57.031799999999997</v>
      </c>
      <c r="N50">
        <v>8.1781200000000001E-4</v>
      </c>
      <c r="O50">
        <v>4.5969500000000003E-2</v>
      </c>
      <c r="P50">
        <v>56.256399999999999</v>
      </c>
      <c r="Q50">
        <v>56.2104</v>
      </c>
      <c r="R50">
        <v>29.59</v>
      </c>
      <c r="S50">
        <v>29.59</v>
      </c>
      <c r="T50">
        <v>0.2762</v>
      </c>
      <c r="U50">
        <v>28.045999999999999</v>
      </c>
      <c r="V50">
        <f t="shared" si="0"/>
        <v>0.15285589710050143</v>
      </c>
      <c r="W50">
        <f t="shared" si="1"/>
        <v>8.3438499999999999E-4</v>
      </c>
      <c r="X50">
        <f t="shared" si="2"/>
        <v>8.3801299999999997E-4</v>
      </c>
      <c r="Y50">
        <f t="shared" si="3"/>
        <v>8.3464599999999998E-4</v>
      </c>
      <c r="Z50">
        <f t="shared" si="4"/>
        <v>8.1781200000000001E-4</v>
      </c>
      <c r="AA50">
        <f t="shared" si="5"/>
        <v>8.3121400000000004E-4</v>
      </c>
    </row>
    <row r="51" spans="1:27" x14ac:dyDescent="0.3">
      <c r="A51">
        <v>46</v>
      </c>
      <c r="B51">
        <v>8.8997800000000004E-4</v>
      </c>
      <c r="C51">
        <v>5.0993999999999998E-2</v>
      </c>
      <c r="D51">
        <v>57.348999999999997</v>
      </c>
      <c r="E51">
        <v>57.298000000000002</v>
      </c>
      <c r="F51">
        <v>8.9463900000000002E-4</v>
      </c>
      <c r="G51">
        <v>5.1231800000000001E-2</v>
      </c>
      <c r="H51">
        <v>57.316499999999998</v>
      </c>
      <c r="I51">
        <v>57.265300000000003</v>
      </c>
      <c r="J51">
        <v>9.0272799999999999E-4</v>
      </c>
      <c r="K51">
        <v>5.1484200000000001E-2</v>
      </c>
      <c r="L51">
        <v>57.083300000000001</v>
      </c>
      <c r="M51">
        <v>57.031799999999997</v>
      </c>
      <c r="N51">
        <v>8.8365000000000004E-4</v>
      </c>
      <c r="O51">
        <v>4.9670300000000001E-2</v>
      </c>
      <c r="P51">
        <v>56.260100000000001</v>
      </c>
      <c r="Q51">
        <v>56.2104</v>
      </c>
      <c r="R51">
        <v>30.027000000000001</v>
      </c>
      <c r="S51">
        <v>30.027000000000001</v>
      </c>
      <c r="T51">
        <v>0.29299999999999998</v>
      </c>
      <c r="U51">
        <v>29.726099999999999</v>
      </c>
      <c r="V51">
        <f t="shared" si="0"/>
        <v>0.16201275343361676</v>
      </c>
      <c r="W51">
        <f t="shared" si="1"/>
        <v>8.8997800000000004E-4</v>
      </c>
      <c r="X51">
        <f t="shared" si="2"/>
        <v>8.9463900000000002E-4</v>
      </c>
      <c r="Y51">
        <f t="shared" si="3"/>
        <v>9.0272799999999999E-4</v>
      </c>
      <c r="Z51">
        <f t="shared" si="4"/>
        <v>8.8365000000000004E-4</v>
      </c>
      <c r="AA51">
        <f t="shared" si="5"/>
        <v>8.9274875E-4</v>
      </c>
    </row>
    <row r="52" spans="1:27" x14ac:dyDescent="0.3">
      <c r="A52">
        <v>47</v>
      </c>
      <c r="B52">
        <v>9.3422000000000004E-4</v>
      </c>
      <c r="C52">
        <v>5.3529E-2</v>
      </c>
      <c r="D52">
        <v>57.351599999999998</v>
      </c>
      <c r="E52">
        <v>57.298000000000002</v>
      </c>
      <c r="F52">
        <v>9.3418600000000004E-4</v>
      </c>
      <c r="G52">
        <v>5.34964E-2</v>
      </c>
      <c r="H52">
        <v>57.318800000000003</v>
      </c>
      <c r="I52">
        <v>57.265300000000003</v>
      </c>
      <c r="J52">
        <v>9.3198499999999997E-4</v>
      </c>
      <c r="K52">
        <v>5.31528E-2</v>
      </c>
      <c r="L52">
        <v>57.084899999999998</v>
      </c>
      <c r="M52">
        <v>57.031799999999997</v>
      </c>
      <c r="N52">
        <v>9.09552E-4</v>
      </c>
      <c r="O52">
        <v>5.11263E-2</v>
      </c>
      <c r="P52">
        <v>56.261499999999998</v>
      </c>
      <c r="Q52">
        <v>56.2104</v>
      </c>
      <c r="R52">
        <v>30.277999999999999</v>
      </c>
      <c r="S52">
        <v>30.277999999999999</v>
      </c>
      <c r="T52">
        <v>0.30459999999999998</v>
      </c>
      <c r="U52">
        <v>30.889199999999999</v>
      </c>
      <c r="V52">
        <f t="shared" si="0"/>
        <v>0.16835186396337476</v>
      </c>
      <c r="W52">
        <f t="shared" si="1"/>
        <v>9.3422000000000004E-4</v>
      </c>
      <c r="X52">
        <f t="shared" si="2"/>
        <v>9.3418600000000004E-4</v>
      </c>
      <c r="Y52">
        <f t="shared" si="3"/>
        <v>9.3198499999999997E-4</v>
      </c>
      <c r="Z52">
        <f t="shared" si="4"/>
        <v>9.09552E-4</v>
      </c>
      <c r="AA52">
        <f t="shared" si="5"/>
        <v>9.2748575000000007E-4</v>
      </c>
    </row>
    <row r="53" spans="1:27" x14ac:dyDescent="0.3">
      <c r="A53">
        <v>48</v>
      </c>
      <c r="B53">
        <v>9.4941999999999997E-4</v>
      </c>
      <c r="C53">
        <v>5.4399900000000001E-2</v>
      </c>
      <c r="D53">
        <v>57.352400000000003</v>
      </c>
      <c r="E53">
        <v>57.298000000000002</v>
      </c>
      <c r="F53">
        <v>9.6100999999999999E-4</v>
      </c>
      <c r="G53">
        <v>5.5032600000000001E-2</v>
      </c>
      <c r="H53">
        <v>57.320300000000003</v>
      </c>
      <c r="I53">
        <v>57.265300000000003</v>
      </c>
      <c r="J53">
        <v>9.6471700000000003E-4</v>
      </c>
      <c r="K53">
        <v>5.5019499999999999E-2</v>
      </c>
      <c r="L53">
        <v>57.086799999999997</v>
      </c>
      <c r="M53">
        <v>57.031799999999997</v>
      </c>
      <c r="N53">
        <v>9.4677400000000005E-4</v>
      </c>
      <c r="O53">
        <v>5.3218500000000002E-2</v>
      </c>
      <c r="P53">
        <v>56.263599999999997</v>
      </c>
      <c r="Q53">
        <v>56.2104</v>
      </c>
      <c r="R53">
        <v>30.463999999999999</v>
      </c>
      <c r="S53">
        <v>30.465</v>
      </c>
      <c r="T53">
        <v>0.31330000000000002</v>
      </c>
      <c r="U53">
        <v>31.761600000000001</v>
      </c>
      <c r="V53">
        <f t="shared" si="0"/>
        <v>0.17310660562459124</v>
      </c>
      <c r="W53">
        <f t="shared" si="1"/>
        <v>9.4941999999999997E-4</v>
      </c>
      <c r="X53">
        <f t="shared" si="2"/>
        <v>9.6100999999999999E-4</v>
      </c>
      <c r="Y53">
        <f t="shared" si="3"/>
        <v>9.6471700000000003E-4</v>
      </c>
      <c r="Z53">
        <f t="shared" si="4"/>
        <v>9.4677400000000005E-4</v>
      </c>
      <c r="AA53">
        <f t="shared" si="5"/>
        <v>9.5548024999999996E-4</v>
      </c>
    </row>
    <row r="54" spans="1:27" x14ac:dyDescent="0.3">
      <c r="A54">
        <v>49</v>
      </c>
      <c r="B54">
        <v>9.7126000000000005E-4</v>
      </c>
      <c r="C54">
        <v>5.5651300000000001E-2</v>
      </c>
      <c r="D54">
        <v>57.353700000000003</v>
      </c>
      <c r="E54">
        <v>57.298000000000002</v>
      </c>
      <c r="F54">
        <v>9.7406900000000004E-4</v>
      </c>
      <c r="G54">
        <v>5.5780299999999998E-2</v>
      </c>
      <c r="H54">
        <v>57.321100000000001</v>
      </c>
      <c r="I54">
        <v>57.265300000000003</v>
      </c>
      <c r="J54">
        <v>9.7900099999999996E-4</v>
      </c>
      <c r="K54">
        <v>5.58342E-2</v>
      </c>
      <c r="L54">
        <v>57.087600000000002</v>
      </c>
      <c r="M54">
        <v>57.031799999999997</v>
      </c>
      <c r="N54">
        <v>9.6097800000000003E-4</v>
      </c>
      <c r="O54">
        <v>5.4017000000000003E-2</v>
      </c>
      <c r="P54">
        <v>56.264400000000002</v>
      </c>
      <c r="Q54">
        <v>56.2104</v>
      </c>
      <c r="R54">
        <v>30.716000000000001</v>
      </c>
      <c r="S54">
        <v>30.716999999999999</v>
      </c>
      <c r="T54">
        <v>0.32390000000000002</v>
      </c>
      <c r="U54">
        <v>32.827800000000003</v>
      </c>
      <c r="V54">
        <f t="shared" si="0"/>
        <v>0.17891759319816877</v>
      </c>
      <c r="W54">
        <f t="shared" si="1"/>
        <v>9.7126000000000005E-4</v>
      </c>
      <c r="X54">
        <f t="shared" si="2"/>
        <v>9.7406900000000004E-4</v>
      </c>
      <c r="Y54">
        <f t="shared" si="3"/>
        <v>9.7900099999999996E-4</v>
      </c>
      <c r="Z54">
        <f t="shared" si="4"/>
        <v>9.6097800000000003E-4</v>
      </c>
      <c r="AA54">
        <f t="shared" si="5"/>
        <v>9.7132700000000002E-4</v>
      </c>
    </row>
    <row r="55" spans="1:27" x14ac:dyDescent="0.3">
      <c r="A55">
        <v>50</v>
      </c>
      <c r="B55">
        <v>9.69322E-4</v>
      </c>
      <c r="C55">
        <v>5.5540199999999998E-2</v>
      </c>
      <c r="D55">
        <v>57.3536</v>
      </c>
      <c r="E55">
        <v>57.298000000000002</v>
      </c>
      <c r="F55">
        <v>9.6745000000000002E-4</v>
      </c>
      <c r="G55">
        <v>5.5401300000000001E-2</v>
      </c>
      <c r="H55">
        <v>57.320700000000002</v>
      </c>
      <c r="I55">
        <v>57.265300000000003</v>
      </c>
      <c r="J55">
        <v>9.73674E-4</v>
      </c>
      <c r="K55">
        <v>5.5530400000000001E-2</v>
      </c>
      <c r="L55">
        <v>57.087299999999999</v>
      </c>
      <c r="M55">
        <v>57.031799999999997</v>
      </c>
      <c r="N55">
        <v>9.5423899999999996E-4</v>
      </c>
      <c r="O55">
        <v>5.3638100000000001E-2</v>
      </c>
      <c r="P55">
        <v>56.264000000000003</v>
      </c>
      <c r="Q55">
        <v>56.2104</v>
      </c>
      <c r="R55">
        <v>30.838999999999999</v>
      </c>
      <c r="S55">
        <v>30.838999999999999</v>
      </c>
      <c r="T55">
        <v>0.32750000000000001</v>
      </c>
      <c r="U55">
        <v>33.183199999999999</v>
      </c>
      <c r="V55">
        <f t="shared" si="0"/>
        <v>0.18085458905602791</v>
      </c>
      <c r="W55">
        <f t="shared" si="1"/>
        <v>9.69322E-4</v>
      </c>
      <c r="X55">
        <f t="shared" si="2"/>
        <v>9.6745000000000002E-4</v>
      </c>
      <c r="Y55">
        <f t="shared" si="3"/>
        <v>9.73674E-4</v>
      </c>
      <c r="Z55">
        <f t="shared" si="4"/>
        <v>9.5423899999999996E-4</v>
      </c>
      <c r="AA55">
        <f t="shared" si="5"/>
        <v>9.6617125000000002E-4</v>
      </c>
    </row>
    <row r="56" spans="1:27" x14ac:dyDescent="0.3">
      <c r="A56">
        <v>51</v>
      </c>
      <c r="B56">
        <v>1.0041099999999999E-3</v>
      </c>
      <c r="C56">
        <v>5.7533800000000003E-2</v>
      </c>
      <c r="D56">
        <v>57.355600000000003</v>
      </c>
      <c r="E56">
        <v>57.298000000000002</v>
      </c>
      <c r="F56">
        <v>1.0091E-3</v>
      </c>
      <c r="G56">
        <v>5.7786200000000003E-2</v>
      </c>
      <c r="H56">
        <v>57.323099999999997</v>
      </c>
      <c r="I56">
        <v>57.265300000000003</v>
      </c>
      <c r="J56">
        <v>1.00698E-3</v>
      </c>
      <c r="K56">
        <v>5.7429800000000003E-2</v>
      </c>
      <c r="L56">
        <v>57.089199999999998</v>
      </c>
      <c r="M56">
        <v>57.031799999999997</v>
      </c>
      <c r="N56">
        <v>9.84705E-4</v>
      </c>
      <c r="O56">
        <v>5.5350700000000003E-2</v>
      </c>
      <c r="P56">
        <v>56.265799999999999</v>
      </c>
      <c r="Q56">
        <v>56.2104</v>
      </c>
      <c r="R56">
        <v>31.212</v>
      </c>
      <c r="S56">
        <v>31.212</v>
      </c>
      <c r="T56">
        <v>0.34389999999999998</v>
      </c>
      <c r="U56">
        <v>34.831000000000003</v>
      </c>
      <c r="V56">
        <f t="shared" si="0"/>
        <v>0.18983540440374974</v>
      </c>
      <c r="W56">
        <f t="shared" si="1"/>
        <v>1.0041099999999999E-3</v>
      </c>
      <c r="X56">
        <f t="shared" si="2"/>
        <v>1.0091E-3</v>
      </c>
      <c r="Y56">
        <f t="shared" si="3"/>
        <v>1.00698E-3</v>
      </c>
      <c r="Z56">
        <f t="shared" si="4"/>
        <v>9.84705E-4</v>
      </c>
      <c r="AA56">
        <f t="shared" si="5"/>
        <v>1.0012237499999999E-3</v>
      </c>
    </row>
    <row r="57" spans="1:27" x14ac:dyDescent="0.3">
      <c r="A57">
        <v>52</v>
      </c>
      <c r="B57">
        <v>1.0242300000000001E-3</v>
      </c>
      <c r="C57">
        <v>5.8686599999999998E-2</v>
      </c>
      <c r="D57">
        <v>57.356699999999996</v>
      </c>
      <c r="E57">
        <v>57.298000000000002</v>
      </c>
      <c r="F57">
        <v>1.0227700000000001E-3</v>
      </c>
      <c r="G57">
        <v>5.8569200000000002E-2</v>
      </c>
      <c r="H57">
        <v>57.323900000000002</v>
      </c>
      <c r="I57">
        <v>57.265300000000003</v>
      </c>
      <c r="J57">
        <v>1.0295E-3</v>
      </c>
      <c r="K57">
        <v>5.87144E-2</v>
      </c>
      <c r="L57">
        <v>57.090499999999999</v>
      </c>
      <c r="M57">
        <v>57.031799999999997</v>
      </c>
      <c r="N57">
        <v>1.0065E-3</v>
      </c>
      <c r="O57">
        <v>5.6576000000000001E-2</v>
      </c>
      <c r="P57">
        <v>56.267000000000003</v>
      </c>
      <c r="Q57">
        <v>56.2104</v>
      </c>
      <c r="R57">
        <v>31.4</v>
      </c>
      <c r="S57">
        <v>31.4</v>
      </c>
      <c r="T57">
        <v>0.35289999999999999</v>
      </c>
      <c r="U57">
        <v>35.735599999999998</v>
      </c>
      <c r="V57">
        <f t="shared" si="0"/>
        <v>0.19476564203182908</v>
      </c>
      <c r="W57">
        <f t="shared" si="1"/>
        <v>1.0242300000000001E-3</v>
      </c>
      <c r="X57">
        <f t="shared" si="2"/>
        <v>1.0227700000000001E-3</v>
      </c>
      <c r="Y57">
        <f t="shared" si="3"/>
        <v>1.0295E-3</v>
      </c>
      <c r="Z57">
        <f t="shared" si="4"/>
        <v>1.0065E-3</v>
      </c>
      <c r="AA57">
        <f t="shared" si="5"/>
        <v>1.02075E-3</v>
      </c>
    </row>
    <row r="58" spans="1:27" x14ac:dyDescent="0.3">
      <c r="A58">
        <v>53</v>
      </c>
      <c r="B58">
        <v>1.0154599999999999E-3</v>
      </c>
      <c r="C58">
        <v>5.8183600000000002E-2</v>
      </c>
      <c r="D58">
        <v>57.356200000000001</v>
      </c>
      <c r="E58">
        <v>57.298000000000002</v>
      </c>
      <c r="F58">
        <v>1.0200299999999999E-3</v>
      </c>
      <c r="G58">
        <v>5.8412100000000002E-2</v>
      </c>
      <c r="H58">
        <v>57.323700000000002</v>
      </c>
      <c r="I58">
        <v>57.265300000000003</v>
      </c>
      <c r="J58">
        <v>1.01796E-3</v>
      </c>
      <c r="K58">
        <v>5.8056299999999998E-2</v>
      </c>
      <c r="L58">
        <v>57.089799999999997</v>
      </c>
      <c r="M58">
        <v>57.031799999999997</v>
      </c>
      <c r="N58">
        <v>9.9810999999999997E-4</v>
      </c>
      <c r="O58">
        <v>5.61042E-2</v>
      </c>
      <c r="P58">
        <v>56.266500000000001</v>
      </c>
      <c r="Q58">
        <v>56.2104</v>
      </c>
      <c r="R58">
        <v>31.774999999999999</v>
      </c>
      <c r="S58">
        <v>31.776</v>
      </c>
      <c r="T58">
        <v>0.36709999999999998</v>
      </c>
      <c r="U58">
        <v>37.157200000000003</v>
      </c>
      <c r="V58">
        <f t="shared" si="0"/>
        <v>0.20251362546326576</v>
      </c>
      <c r="W58">
        <f t="shared" si="1"/>
        <v>1.0154599999999999E-3</v>
      </c>
      <c r="X58">
        <f t="shared" si="2"/>
        <v>1.0200299999999999E-3</v>
      </c>
      <c r="Y58">
        <f t="shared" si="3"/>
        <v>1.01796E-3</v>
      </c>
      <c r="Z58">
        <f t="shared" si="4"/>
        <v>9.9810999999999997E-4</v>
      </c>
      <c r="AA58">
        <f t="shared" si="5"/>
        <v>1.01289E-3</v>
      </c>
    </row>
    <row r="59" spans="1:27" x14ac:dyDescent="0.3">
      <c r="A59">
        <v>54</v>
      </c>
      <c r="B59">
        <v>1.0839300000000001E-3</v>
      </c>
      <c r="C59">
        <v>6.2107200000000001E-2</v>
      </c>
      <c r="D59">
        <v>57.360100000000003</v>
      </c>
      <c r="E59">
        <v>57.298000000000002</v>
      </c>
      <c r="F59">
        <v>1.0824700000000001E-3</v>
      </c>
      <c r="G59">
        <v>6.1988000000000001E-2</v>
      </c>
      <c r="H59">
        <v>57.327300000000001</v>
      </c>
      <c r="I59">
        <v>57.265300000000003</v>
      </c>
      <c r="J59">
        <v>1.0875699999999999E-3</v>
      </c>
      <c r="K59">
        <v>6.2026299999999999E-2</v>
      </c>
      <c r="L59">
        <v>57.093800000000002</v>
      </c>
      <c r="M59">
        <v>57.031799999999997</v>
      </c>
      <c r="N59">
        <v>1.0588399999999999E-3</v>
      </c>
      <c r="O59">
        <v>5.95177E-2</v>
      </c>
      <c r="P59">
        <v>56.2699</v>
      </c>
      <c r="Q59">
        <v>56.2104</v>
      </c>
      <c r="R59">
        <v>32.15</v>
      </c>
      <c r="S59">
        <v>32.15</v>
      </c>
      <c r="T59">
        <v>0.3765</v>
      </c>
      <c r="U59">
        <v>38.094200000000001</v>
      </c>
      <c r="V59">
        <f t="shared" si="0"/>
        <v>0.20762044909526925</v>
      </c>
      <c r="W59">
        <f t="shared" si="1"/>
        <v>1.0839300000000001E-3</v>
      </c>
      <c r="X59">
        <f t="shared" si="2"/>
        <v>1.0824700000000001E-3</v>
      </c>
      <c r="Y59">
        <f t="shared" si="3"/>
        <v>1.0875699999999999E-3</v>
      </c>
      <c r="Z59">
        <f t="shared" si="4"/>
        <v>1.0588399999999999E-3</v>
      </c>
      <c r="AA59">
        <f t="shared" si="5"/>
        <v>1.0782025000000001E-3</v>
      </c>
    </row>
    <row r="60" spans="1:27" x14ac:dyDescent="0.3">
      <c r="A60">
        <v>55</v>
      </c>
      <c r="B60">
        <v>1.12962E-3</v>
      </c>
      <c r="C60">
        <v>6.4725000000000005E-2</v>
      </c>
      <c r="D60">
        <v>57.362699999999997</v>
      </c>
      <c r="E60">
        <v>57.298000000000002</v>
      </c>
      <c r="F60">
        <v>1.1324099999999999E-3</v>
      </c>
      <c r="G60">
        <v>6.4848000000000003E-2</v>
      </c>
      <c r="H60">
        <v>57.330199999999998</v>
      </c>
      <c r="I60">
        <v>57.265300000000003</v>
      </c>
      <c r="J60">
        <v>1.1304900000000001E-3</v>
      </c>
      <c r="K60">
        <v>6.4474000000000004E-2</v>
      </c>
      <c r="L60">
        <v>57.096299999999999</v>
      </c>
      <c r="M60">
        <v>57.031799999999997</v>
      </c>
      <c r="N60">
        <v>1.10771E-3</v>
      </c>
      <c r="O60">
        <v>6.2264699999999999E-2</v>
      </c>
      <c r="P60">
        <v>56.2727</v>
      </c>
      <c r="Q60">
        <v>56.2104</v>
      </c>
      <c r="R60">
        <v>32.46</v>
      </c>
      <c r="S60">
        <v>32.46</v>
      </c>
      <c r="T60">
        <v>0.39319999999999999</v>
      </c>
      <c r="U60">
        <v>39.774299999999997</v>
      </c>
      <c r="V60">
        <f t="shared" si="0"/>
        <v>0.21677730542838455</v>
      </c>
      <c r="W60">
        <f t="shared" si="1"/>
        <v>1.12962E-3</v>
      </c>
      <c r="X60">
        <f t="shared" si="2"/>
        <v>1.1324099999999999E-3</v>
      </c>
      <c r="Y60">
        <f t="shared" si="3"/>
        <v>1.1304900000000001E-3</v>
      </c>
      <c r="Z60">
        <f t="shared" si="4"/>
        <v>1.10771E-3</v>
      </c>
      <c r="AA60">
        <f t="shared" si="5"/>
        <v>1.1250575E-3</v>
      </c>
    </row>
    <row r="61" spans="1:27" x14ac:dyDescent="0.3">
      <c r="A61">
        <v>56</v>
      </c>
      <c r="B61">
        <v>1.15632E-3</v>
      </c>
      <c r="C61">
        <v>6.62547E-2</v>
      </c>
      <c r="D61">
        <v>57.3643</v>
      </c>
      <c r="E61">
        <v>57.298000000000002</v>
      </c>
      <c r="F61">
        <v>1.15197E-3</v>
      </c>
      <c r="G61">
        <v>6.5968100000000002E-2</v>
      </c>
      <c r="H61">
        <v>57.331299999999999</v>
      </c>
      <c r="I61">
        <v>57.265300000000003</v>
      </c>
      <c r="J61">
        <v>1.16164E-3</v>
      </c>
      <c r="K61">
        <v>6.6250500000000004E-2</v>
      </c>
      <c r="L61">
        <v>57.097999999999999</v>
      </c>
      <c r="M61">
        <v>57.031799999999997</v>
      </c>
      <c r="N61">
        <v>1.1218199999999999E-3</v>
      </c>
      <c r="O61">
        <v>6.3058000000000003E-2</v>
      </c>
      <c r="P61">
        <v>56.273499999999999</v>
      </c>
      <c r="Q61">
        <v>56.2104</v>
      </c>
      <c r="R61">
        <v>32.712000000000003</v>
      </c>
      <c r="S61">
        <v>32.712000000000003</v>
      </c>
      <c r="T61">
        <v>0.40510000000000002</v>
      </c>
      <c r="U61">
        <v>40.969700000000003</v>
      </c>
      <c r="V61">
        <f t="shared" si="0"/>
        <v>0.22329245694353611</v>
      </c>
      <c r="W61">
        <f t="shared" si="1"/>
        <v>1.15632E-3</v>
      </c>
      <c r="X61">
        <f t="shared" si="2"/>
        <v>1.15197E-3</v>
      </c>
      <c r="Y61">
        <f t="shared" si="3"/>
        <v>1.16164E-3</v>
      </c>
      <c r="Z61">
        <f t="shared" si="4"/>
        <v>1.1218199999999999E-3</v>
      </c>
      <c r="AA61">
        <f t="shared" si="5"/>
        <v>1.1479375000000001E-3</v>
      </c>
    </row>
    <row r="62" spans="1:27" x14ac:dyDescent="0.3">
      <c r="A62">
        <v>57</v>
      </c>
      <c r="B62">
        <v>1.15697E-3</v>
      </c>
      <c r="C62">
        <v>6.6292000000000004E-2</v>
      </c>
      <c r="D62">
        <v>57.3643</v>
      </c>
      <c r="E62">
        <v>57.298000000000002</v>
      </c>
      <c r="F62">
        <v>1.1594400000000001E-3</v>
      </c>
      <c r="G62">
        <v>6.6395599999999999E-2</v>
      </c>
      <c r="H62">
        <v>57.331699999999998</v>
      </c>
      <c r="I62">
        <v>57.265300000000003</v>
      </c>
      <c r="J62">
        <v>1.16654E-3</v>
      </c>
      <c r="K62">
        <v>6.65298E-2</v>
      </c>
      <c r="L62">
        <v>57.098300000000002</v>
      </c>
      <c r="M62">
        <v>57.031799999999997</v>
      </c>
      <c r="N62">
        <v>1.13838E-3</v>
      </c>
      <c r="O62">
        <v>6.3988600000000007E-2</v>
      </c>
      <c r="P62">
        <v>56.2744</v>
      </c>
      <c r="Q62">
        <v>56.2104</v>
      </c>
      <c r="R62">
        <v>32.898000000000003</v>
      </c>
      <c r="S62">
        <v>32.899000000000001</v>
      </c>
      <c r="T62">
        <v>0.41089999999999999</v>
      </c>
      <c r="U62">
        <v>41.551299999999998</v>
      </c>
      <c r="V62">
        <f t="shared" si="0"/>
        <v>0.2264622847176804</v>
      </c>
      <c r="W62">
        <f t="shared" si="1"/>
        <v>1.15697E-3</v>
      </c>
      <c r="X62">
        <f t="shared" si="2"/>
        <v>1.1594400000000001E-3</v>
      </c>
      <c r="Y62">
        <f t="shared" si="3"/>
        <v>1.16654E-3</v>
      </c>
      <c r="Z62">
        <f t="shared" si="4"/>
        <v>1.13838E-3</v>
      </c>
      <c r="AA62">
        <f t="shared" si="5"/>
        <v>1.1553325E-3</v>
      </c>
    </row>
    <row r="63" spans="1:27" x14ac:dyDescent="0.3">
      <c r="A63">
        <v>58</v>
      </c>
      <c r="B63">
        <v>1.16058E-3</v>
      </c>
      <c r="C63">
        <v>6.6499100000000005E-2</v>
      </c>
      <c r="D63">
        <v>57.3645</v>
      </c>
      <c r="E63">
        <v>57.298000000000002</v>
      </c>
      <c r="F63">
        <v>1.15967E-3</v>
      </c>
      <c r="G63">
        <v>6.6408700000000001E-2</v>
      </c>
      <c r="H63">
        <v>57.331699999999998</v>
      </c>
      <c r="I63">
        <v>57.265300000000003</v>
      </c>
      <c r="J63">
        <v>1.1765199999999999E-3</v>
      </c>
      <c r="K63">
        <v>6.7098900000000003E-2</v>
      </c>
      <c r="L63">
        <v>57.0989</v>
      </c>
      <c r="M63">
        <v>57.031799999999997</v>
      </c>
      <c r="N63">
        <v>1.15139E-3</v>
      </c>
      <c r="O63">
        <v>6.4720100000000003E-2</v>
      </c>
      <c r="P63">
        <v>56.275100000000002</v>
      </c>
      <c r="Q63">
        <v>56.2104</v>
      </c>
      <c r="R63">
        <v>33.210999999999999</v>
      </c>
      <c r="S63">
        <v>33.210999999999999</v>
      </c>
      <c r="T63">
        <v>0.4264</v>
      </c>
      <c r="U63">
        <v>43.102200000000003</v>
      </c>
      <c r="V63">
        <f t="shared" si="0"/>
        <v>0.23491497710922174</v>
      </c>
      <c r="W63">
        <f t="shared" si="1"/>
        <v>1.16058E-3</v>
      </c>
      <c r="X63">
        <f t="shared" si="2"/>
        <v>1.15967E-3</v>
      </c>
      <c r="Y63">
        <f t="shared" si="3"/>
        <v>1.1765199999999999E-3</v>
      </c>
      <c r="Z63">
        <f t="shared" si="4"/>
        <v>1.15139E-3</v>
      </c>
      <c r="AA63">
        <f t="shared" si="5"/>
        <v>1.16204E-3</v>
      </c>
    </row>
    <row r="64" spans="1:27" x14ac:dyDescent="0.3">
      <c r="A64">
        <v>59</v>
      </c>
      <c r="B64">
        <v>1.23515E-3</v>
      </c>
      <c r="C64">
        <v>7.0771399999999998E-2</v>
      </c>
      <c r="D64">
        <v>57.3688</v>
      </c>
      <c r="E64">
        <v>57.298000000000002</v>
      </c>
      <c r="F64">
        <v>1.2316499999999999E-3</v>
      </c>
      <c r="G64">
        <v>7.0530599999999999E-2</v>
      </c>
      <c r="H64">
        <v>57.335799999999999</v>
      </c>
      <c r="I64">
        <v>57.265300000000003</v>
      </c>
      <c r="J64">
        <v>1.24186E-3</v>
      </c>
      <c r="K64">
        <v>7.08255E-2</v>
      </c>
      <c r="L64">
        <v>57.102600000000002</v>
      </c>
      <c r="M64">
        <v>57.031799999999997</v>
      </c>
      <c r="N64">
        <v>1.21177E-3</v>
      </c>
      <c r="O64">
        <v>6.81142E-2</v>
      </c>
      <c r="P64">
        <v>56.278500000000001</v>
      </c>
      <c r="Q64">
        <v>56.2104</v>
      </c>
      <c r="R64">
        <v>33.707999999999998</v>
      </c>
      <c r="S64">
        <v>33.707999999999998</v>
      </c>
      <c r="T64">
        <v>0.44219999999999998</v>
      </c>
      <c r="U64">
        <v>44.685299999999998</v>
      </c>
      <c r="V64">
        <f t="shared" si="0"/>
        <v>0.24354316546762589</v>
      </c>
      <c r="W64">
        <f t="shared" si="1"/>
        <v>1.23515E-3</v>
      </c>
      <c r="X64">
        <f t="shared" si="2"/>
        <v>1.2316499999999999E-3</v>
      </c>
      <c r="Y64">
        <f t="shared" si="3"/>
        <v>1.24186E-3</v>
      </c>
      <c r="Z64">
        <f t="shared" si="4"/>
        <v>1.21177E-3</v>
      </c>
      <c r="AA64">
        <f t="shared" si="5"/>
        <v>1.2301075E-3</v>
      </c>
    </row>
    <row r="65" spans="1:27" x14ac:dyDescent="0.3">
      <c r="A65">
        <v>60</v>
      </c>
      <c r="B65">
        <v>1.31478E-3</v>
      </c>
      <c r="C65">
        <v>7.5334499999999999E-2</v>
      </c>
      <c r="D65">
        <v>57.373399999999997</v>
      </c>
      <c r="E65">
        <v>57.298000000000002</v>
      </c>
      <c r="F65">
        <v>1.31069E-3</v>
      </c>
      <c r="G65">
        <v>7.5056899999999996E-2</v>
      </c>
      <c r="H65">
        <v>57.340400000000002</v>
      </c>
      <c r="I65">
        <v>57.265300000000003</v>
      </c>
      <c r="J65">
        <v>1.3063300000000001E-3</v>
      </c>
      <c r="K65">
        <v>7.4502399999999996E-2</v>
      </c>
      <c r="L65">
        <v>57.106299999999997</v>
      </c>
      <c r="M65">
        <v>57.031799999999997</v>
      </c>
      <c r="N65">
        <v>1.28096E-3</v>
      </c>
      <c r="O65">
        <v>7.20031E-2</v>
      </c>
      <c r="P65">
        <v>56.282400000000003</v>
      </c>
      <c r="Q65">
        <v>56.2104</v>
      </c>
      <c r="R65">
        <v>34.020000000000003</v>
      </c>
      <c r="S65">
        <v>34.021000000000001</v>
      </c>
      <c r="T65">
        <v>0.4541</v>
      </c>
      <c r="U65">
        <v>45.880800000000001</v>
      </c>
      <c r="V65">
        <f t="shared" si="0"/>
        <v>0.25005886200130806</v>
      </c>
      <c r="W65">
        <f t="shared" si="1"/>
        <v>1.31478E-3</v>
      </c>
      <c r="X65">
        <f t="shared" si="2"/>
        <v>1.31069E-3</v>
      </c>
      <c r="Y65">
        <f t="shared" si="3"/>
        <v>1.3063300000000001E-3</v>
      </c>
      <c r="Z65">
        <f t="shared" si="4"/>
        <v>1.28096E-3</v>
      </c>
      <c r="AA65">
        <f t="shared" si="5"/>
        <v>1.3031900000000001E-3</v>
      </c>
    </row>
    <row r="66" spans="1:27" x14ac:dyDescent="0.3">
      <c r="A66">
        <v>61</v>
      </c>
      <c r="B66">
        <v>1.33902E-3</v>
      </c>
      <c r="C66">
        <v>7.6722899999999997E-2</v>
      </c>
      <c r="D66">
        <v>57.374699999999997</v>
      </c>
      <c r="E66">
        <v>57.298000000000002</v>
      </c>
      <c r="F66">
        <v>1.33399E-3</v>
      </c>
      <c r="G66">
        <v>7.6391299999999995E-2</v>
      </c>
      <c r="H66">
        <v>57.341700000000003</v>
      </c>
      <c r="I66">
        <v>57.265300000000003</v>
      </c>
      <c r="J66">
        <v>1.3406500000000001E-3</v>
      </c>
      <c r="K66">
        <v>7.6459700000000005E-2</v>
      </c>
      <c r="L66">
        <v>57.108199999999997</v>
      </c>
      <c r="M66">
        <v>57.031799999999997</v>
      </c>
      <c r="N66">
        <v>1.30455E-3</v>
      </c>
      <c r="O66">
        <v>7.3329599999999995E-2</v>
      </c>
      <c r="P66">
        <v>56.283700000000003</v>
      </c>
      <c r="Q66">
        <v>56.2104</v>
      </c>
      <c r="R66">
        <v>34.145000000000003</v>
      </c>
      <c r="S66">
        <v>34.146000000000001</v>
      </c>
      <c r="T66">
        <v>0.45739999999999997</v>
      </c>
      <c r="U66">
        <v>46.203800000000001</v>
      </c>
      <c r="V66">
        <f t="shared" si="0"/>
        <v>0.25181927185524311</v>
      </c>
      <c r="W66">
        <f t="shared" si="1"/>
        <v>1.33902E-3</v>
      </c>
      <c r="X66">
        <f t="shared" si="2"/>
        <v>1.33399E-3</v>
      </c>
      <c r="Y66">
        <f t="shared" si="3"/>
        <v>1.3406500000000001E-3</v>
      </c>
      <c r="Z66">
        <f t="shared" si="4"/>
        <v>1.30455E-3</v>
      </c>
      <c r="AA66">
        <f t="shared" si="5"/>
        <v>1.3295525000000001E-3</v>
      </c>
    </row>
    <row r="67" spans="1:27" x14ac:dyDescent="0.3">
      <c r="A67">
        <v>62</v>
      </c>
      <c r="B67">
        <v>1.34077E-3</v>
      </c>
      <c r="C67">
        <v>7.68234E-2</v>
      </c>
      <c r="D67">
        <v>57.3748</v>
      </c>
      <c r="E67">
        <v>57.298000000000002</v>
      </c>
      <c r="F67">
        <v>1.33892E-3</v>
      </c>
      <c r="G67">
        <v>7.6673599999999995E-2</v>
      </c>
      <c r="H67">
        <v>57.341999999999999</v>
      </c>
      <c r="I67">
        <v>57.265300000000003</v>
      </c>
      <c r="J67">
        <v>1.33942E-3</v>
      </c>
      <c r="K67">
        <v>7.6389499999999999E-2</v>
      </c>
      <c r="L67">
        <v>57.108199999999997</v>
      </c>
      <c r="M67">
        <v>57.031799999999997</v>
      </c>
      <c r="N67">
        <v>1.3068000000000001E-3</v>
      </c>
      <c r="O67">
        <v>7.3455999999999994E-2</v>
      </c>
      <c r="P67">
        <v>56.283900000000003</v>
      </c>
      <c r="Q67">
        <v>56.2104</v>
      </c>
      <c r="R67">
        <v>34.396000000000001</v>
      </c>
      <c r="S67">
        <v>34.396999999999998</v>
      </c>
      <c r="T67">
        <v>0.47020000000000001</v>
      </c>
      <c r="U67">
        <v>47.496200000000002</v>
      </c>
      <c r="V67">
        <f t="shared" si="0"/>
        <v>0.25886309134510577</v>
      </c>
      <c r="W67">
        <f t="shared" si="1"/>
        <v>1.34077E-3</v>
      </c>
      <c r="X67">
        <f t="shared" si="2"/>
        <v>1.33892E-3</v>
      </c>
      <c r="Y67">
        <f t="shared" si="3"/>
        <v>1.33942E-3</v>
      </c>
      <c r="Z67">
        <f t="shared" si="4"/>
        <v>1.3068000000000001E-3</v>
      </c>
      <c r="AA67">
        <f t="shared" si="5"/>
        <v>1.3314775000000001E-3</v>
      </c>
    </row>
    <row r="68" spans="1:27" x14ac:dyDescent="0.3">
      <c r="A68">
        <v>63</v>
      </c>
      <c r="B68">
        <v>1.4061900000000001E-3</v>
      </c>
      <c r="C68">
        <v>8.0572000000000005E-2</v>
      </c>
      <c r="D68">
        <v>57.378599999999999</v>
      </c>
      <c r="E68">
        <v>57.298000000000002</v>
      </c>
      <c r="F68">
        <v>1.39711E-3</v>
      </c>
      <c r="G68">
        <v>8.00062E-2</v>
      </c>
      <c r="H68">
        <v>57.345300000000002</v>
      </c>
      <c r="I68">
        <v>57.265300000000003</v>
      </c>
      <c r="J68">
        <v>1.39795E-3</v>
      </c>
      <c r="K68">
        <v>7.9727599999999996E-2</v>
      </c>
      <c r="L68">
        <v>57.111499999999999</v>
      </c>
      <c r="M68">
        <v>57.031799999999997</v>
      </c>
      <c r="N68">
        <v>1.36491E-3</v>
      </c>
      <c r="O68">
        <v>7.6722100000000001E-2</v>
      </c>
      <c r="P68">
        <v>56.287100000000002</v>
      </c>
      <c r="Q68">
        <v>56.2104</v>
      </c>
      <c r="R68">
        <v>34.771999999999998</v>
      </c>
      <c r="S68">
        <v>34.773000000000003</v>
      </c>
      <c r="T68">
        <v>0.48349999999999999</v>
      </c>
      <c r="U68">
        <v>48.820900000000002</v>
      </c>
      <c r="V68">
        <f t="shared" si="0"/>
        <v>0.2660829518203619</v>
      </c>
      <c r="W68">
        <f t="shared" si="1"/>
        <v>1.4061900000000001E-3</v>
      </c>
      <c r="X68">
        <f t="shared" si="2"/>
        <v>1.39711E-3</v>
      </c>
      <c r="Y68">
        <f t="shared" si="3"/>
        <v>1.39795E-3</v>
      </c>
      <c r="Z68">
        <f t="shared" si="4"/>
        <v>1.36491E-3</v>
      </c>
      <c r="AA68">
        <f t="shared" si="5"/>
        <v>1.3915400000000001E-3</v>
      </c>
    </row>
    <row r="69" spans="1:27" x14ac:dyDescent="0.3">
      <c r="A69">
        <v>64</v>
      </c>
      <c r="B69">
        <v>1.40004E-3</v>
      </c>
      <c r="C69">
        <v>8.0219600000000002E-2</v>
      </c>
      <c r="D69">
        <v>57.3782</v>
      </c>
      <c r="E69">
        <v>57.298000000000002</v>
      </c>
      <c r="F69">
        <v>1.3962099999999999E-3</v>
      </c>
      <c r="G69">
        <v>7.9954200000000003E-2</v>
      </c>
      <c r="H69">
        <v>57.345300000000002</v>
      </c>
      <c r="I69">
        <v>57.265300000000003</v>
      </c>
      <c r="J69">
        <v>1.39712E-3</v>
      </c>
      <c r="K69">
        <v>7.9680500000000001E-2</v>
      </c>
      <c r="L69">
        <v>57.111499999999999</v>
      </c>
      <c r="M69">
        <v>57.031799999999997</v>
      </c>
      <c r="N69">
        <v>1.3652099999999999E-3</v>
      </c>
      <c r="O69">
        <v>7.6739100000000005E-2</v>
      </c>
      <c r="P69">
        <v>56.287100000000002</v>
      </c>
      <c r="Q69">
        <v>56.2104</v>
      </c>
      <c r="R69">
        <v>34.896000000000001</v>
      </c>
      <c r="S69">
        <v>34.896000000000001</v>
      </c>
      <c r="T69">
        <v>0.48570000000000002</v>
      </c>
      <c r="U69">
        <v>49.0471</v>
      </c>
      <c r="V69">
        <f t="shared" si="0"/>
        <v>0.26731578373664705</v>
      </c>
      <c r="W69">
        <f t="shared" si="1"/>
        <v>1.40004E-3</v>
      </c>
      <c r="X69">
        <f t="shared" si="2"/>
        <v>1.3962099999999999E-3</v>
      </c>
      <c r="Y69">
        <f t="shared" si="3"/>
        <v>1.39712E-3</v>
      </c>
      <c r="Z69">
        <f t="shared" si="4"/>
        <v>1.3652099999999999E-3</v>
      </c>
      <c r="AA69">
        <f t="shared" si="5"/>
        <v>1.3896450000000001E-3</v>
      </c>
    </row>
    <row r="70" spans="1:27" x14ac:dyDescent="0.3">
      <c r="A70">
        <v>65</v>
      </c>
      <c r="B70">
        <v>1.3767499999999999E-3</v>
      </c>
      <c r="C70">
        <v>7.8885200000000003E-2</v>
      </c>
      <c r="D70">
        <v>57.376899999999999</v>
      </c>
      <c r="E70">
        <v>57.298000000000002</v>
      </c>
      <c r="F70">
        <v>1.36991E-3</v>
      </c>
      <c r="G70">
        <v>7.8448500000000004E-2</v>
      </c>
      <c r="H70">
        <v>57.343800000000002</v>
      </c>
      <c r="I70">
        <v>57.265300000000003</v>
      </c>
      <c r="J70">
        <v>1.3754399999999999E-3</v>
      </c>
      <c r="K70">
        <v>7.8444E-2</v>
      </c>
      <c r="L70">
        <v>57.110199999999999</v>
      </c>
      <c r="M70">
        <v>57.031799999999997</v>
      </c>
      <c r="N70">
        <v>1.3507599999999999E-3</v>
      </c>
      <c r="O70">
        <v>7.59267E-2</v>
      </c>
      <c r="P70">
        <v>56.286299999999997</v>
      </c>
      <c r="Q70">
        <v>56.2104</v>
      </c>
      <c r="R70">
        <v>35.332999999999998</v>
      </c>
      <c r="S70">
        <v>35.332999999999998</v>
      </c>
      <c r="T70">
        <v>0.50180000000000002</v>
      </c>
      <c r="U70">
        <v>50.662500000000001</v>
      </c>
      <c r="V70">
        <f t="shared" ref="V70:V133" si="6">U70/$A$2/$B$2</f>
        <v>0.27612001308044476</v>
      </c>
      <c r="W70">
        <f t="shared" ref="W70:W133" si="7">B70</f>
        <v>1.3767499999999999E-3</v>
      </c>
      <c r="X70">
        <f t="shared" ref="X70:X133" si="8">F70</f>
        <v>1.36991E-3</v>
      </c>
      <c r="Y70">
        <f t="shared" ref="Y70:Y133" si="9">J70</f>
        <v>1.3754399999999999E-3</v>
      </c>
      <c r="Z70">
        <f t="shared" ref="Z70:Z133" si="10">N70</f>
        <v>1.3507599999999999E-3</v>
      </c>
      <c r="AA70">
        <f t="shared" ref="AA70:AA133" si="11">AVERAGE(W70:Z70)</f>
        <v>1.3682149999999999E-3</v>
      </c>
    </row>
    <row r="71" spans="1:27" x14ac:dyDescent="0.3">
      <c r="A71">
        <v>66</v>
      </c>
      <c r="B71">
        <v>1.3758799999999999E-3</v>
      </c>
      <c r="C71">
        <v>7.8835000000000002E-2</v>
      </c>
      <c r="D71">
        <v>57.376899999999999</v>
      </c>
      <c r="E71">
        <v>57.298000000000002</v>
      </c>
      <c r="F71">
        <v>1.36341E-3</v>
      </c>
      <c r="G71">
        <v>7.8076099999999996E-2</v>
      </c>
      <c r="H71">
        <v>57.343400000000003</v>
      </c>
      <c r="I71">
        <v>57.265300000000003</v>
      </c>
      <c r="J71">
        <v>1.36593E-3</v>
      </c>
      <c r="K71">
        <v>7.7901700000000004E-2</v>
      </c>
      <c r="L71">
        <v>57.109699999999997</v>
      </c>
      <c r="M71">
        <v>57.031799999999997</v>
      </c>
      <c r="N71">
        <v>1.33478E-3</v>
      </c>
      <c r="O71">
        <v>7.5028499999999998E-2</v>
      </c>
      <c r="P71">
        <v>56.285400000000003</v>
      </c>
      <c r="Q71">
        <v>56.2104</v>
      </c>
      <c r="R71">
        <v>35.585999999999999</v>
      </c>
      <c r="S71">
        <v>35.585999999999999</v>
      </c>
      <c r="T71">
        <v>0.51180000000000003</v>
      </c>
      <c r="U71">
        <v>51.664099999999998</v>
      </c>
      <c r="V71">
        <f t="shared" si="6"/>
        <v>0.2815789186832352</v>
      </c>
      <c r="W71">
        <f t="shared" si="7"/>
        <v>1.3758799999999999E-3</v>
      </c>
      <c r="X71">
        <f t="shared" si="8"/>
        <v>1.36341E-3</v>
      </c>
      <c r="Y71">
        <f t="shared" si="9"/>
        <v>1.36593E-3</v>
      </c>
      <c r="Z71">
        <f t="shared" si="10"/>
        <v>1.33478E-3</v>
      </c>
      <c r="AA71">
        <f t="shared" si="11"/>
        <v>1.3599999999999999E-3</v>
      </c>
    </row>
    <row r="72" spans="1:27" x14ac:dyDescent="0.3">
      <c r="A72">
        <v>67</v>
      </c>
      <c r="B72">
        <v>1.38251E-3</v>
      </c>
      <c r="C72">
        <v>7.9214900000000005E-2</v>
      </c>
      <c r="D72">
        <v>57.377200000000002</v>
      </c>
      <c r="E72">
        <v>57.298000000000002</v>
      </c>
      <c r="F72">
        <v>1.37908E-3</v>
      </c>
      <c r="G72">
        <v>7.8973199999999993E-2</v>
      </c>
      <c r="H72">
        <v>57.344299999999997</v>
      </c>
      <c r="I72">
        <v>57.265300000000003</v>
      </c>
      <c r="J72">
        <v>1.38736E-3</v>
      </c>
      <c r="K72">
        <v>7.9123700000000005E-2</v>
      </c>
      <c r="L72">
        <v>57.110900000000001</v>
      </c>
      <c r="M72">
        <v>57.031799999999997</v>
      </c>
      <c r="N72">
        <v>1.3565199999999999E-3</v>
      </c>
      <c r="O72">
        <v>7.6250499999999999E-2</v>
      </c>
      <c r="P72">
        <v>56.286700000000003</v>
      </c>
      <c r="Q72">
        <v>56.2104</v>
      </c>
      <c r="R72">
        <v>35.956000000000003</v>
      </c>
      <c r="S72">
        <v>35.957000000000001</v>
      </c>
      <c r="T72">
        <v>0.52439999999999998</v>
      </c>
      <c r="U72">
        <v>52.924199999999999</v>
      </c>
      <c r="V72">
        <f t="shared" si="6"/>
        <v>0.28844669718770438</v>
      </c>
      <c r="W72">
        <f t="shared" si="7"/>
        <v>1.38251E-3</v>
      </c>
      <c r="X72">
        <f t="shared" si="8"/>
        <v>1.37908E-3</v>
      </c>
      <c r="Y72">
        <f t="shared" si="9"/>
        <v>1.38736E-3</v>
      </c>
      <c r="Z72">
        <f t="shared" si="10"/>
        <v>1.3565199999999999E-3</v>
      </c>
      <c r="AA72">
        <f t="shared" si="11"/>
        <v>1.3763675E-3</v>
      </c>
    </row>
    <row r="73" spans="1:27" x14ac:dyDescent="0.3">
      <c r="A73">
        <v>68</v>
      </c>
      <c r="B73">
        <v>1.39459E-3</v>
      </c>
      <c r="C73">
        <v>7.9907500000000006E-2</v>
      </c>
      <c r="D73">
        <v>57.377899999999997</v>
      </c>
      <c r="E73">
        <v>57.298000000000002</v>
      </c>
      <c r="F73">
        <v>1.3915100000000001E-3</v>
      </c>
      <c r="G73">
        <v>7.9685000000000006E-2</v>
      </c>
      <c r="H73">
        <v>57.344999999999999</v>
      </c>
      <c r="I73">
        <v>57.265300000000003</v>
      </c>
      <c r="J73">
        <v>1.40503E-3</v>
      </c>
      <c r="K73">
        <v>8.0131099999999997E-2</v>
      </c>
      <c r="L73">
        <v>57.111899999999999</v>
      </c>
      <c r="M73">
        <v>57.031799999999997</v>
      </c>
      <c r="N73">
        <v>1.37364E-3</v>
      </c>
      <c r="O73">
        <v>7.7213100000000007E-2</v>
      </c>
      <c r="P73">
        <v>56.287599999999998</v>
      </c>
      <c r="Q73">
        <v>56.2104</v>
      </c>
      <c r="R73">
        <v>36.08</v>
      </c>
      <c r="S73">
        <v>36.08</v>
      </c>
      <c r="T73">
        <v>0.52080000000000004</v>
      </c>
      <c r="U73">
        <v>52.568800000000003</v>
      </c>
      <c r="V73">
        <f t="shared" si="6"/>
        <v>0.28650970132984527</v>
      </c>
      <c r="W73">
        <f t="shared" si="7"/>
        <v>1.39459E-3</v>
      </c>
      <c r="X73">
        <f t="shared" si="8"/>
        <v>1.3915100000000001E-3</v>
      </c>
      <c r="Y73">
        <f t="shared" si="9"/>
        <v>1.40503E-3</v>
      </c>
      <c r="Z73">
        <f t="shared" si="10"/>
        <v>1.37364E-3</v>
      </c>
      <c r="AA73">
        <f t="shared" si="11"/>
        <v>1.3911925E-3</v>
      </c>
    </row>
    <row r="74" spans="1:27" x14ac:dyDescent="0.3">
      <c r="A74">
        <v>69</v>
      </c>
      <c r="B74">
        <v>1.4999499999999999E-3</v>
      </c>
      <c r="C74">
        <v>8.5944300000000001E-2</v>
      </c>
      <c r="D74">
        <v>57.384</v>
      </c>
      <c r="E74">
        <v>57.298000000000002</v>
      </c>
      <c r="F74">
        <v>1.4857500000000001E-3</v>
      </c>
      <c r="G74">
        <v>8.5081799999999999E-2</v>
      </c>
      <c r="H74">
        <v>57.3504</v>
      </c>
      <c r="I74">
        <v>57.265300000000003</v>
      </c>
      <c r="J74">
        <v>1.48112E-3</v>
      </c>
      <c r="K74">
        <v>8.4470799999999999E-2</v>
      </c>
      <c r="L74">
        <v>57.116199999999999</v>
      </c>
      <c r="M74">
        <v>57.031799999999997</v>
      </c>
      <c r="N74">
        <v>1.4432500000000001E-3</v>
      </c>
      <c r="O74">
        <v>8.1125900000000001E-2</v>
      </c>
      <c r="P74">
        <v>56.291499999999999</v>
      </c>
      <c r="Q74">
        <v>56.2104</v>
      </c>
      <c r="R74">
        <v>36.456000000000003</v>
      </c>
      <c r="S74">
        <v>36.456000000000003</v>
      </c>
      <c r="T74">
        <v>0.54179999999999995</v>
      </c>
      <c r="U74">
        <v>54.668900000000001</v>
      </c>
      <c r="V74">
        <f t="shared" si="6"/>
        <v>0.2979556354916067</v>
      </c>
      <c r="W74">
        <f t="shared" si="7"/>
        <v>1.4999499999999999E-3</v>
      </c>
      <c r="X74">
        <f t="shared" si="8"/>
        <v>1.4857500000000001E-3</v>
      </c>
      <c r="Y74">
        <f t="shared" si="9"/>
        <v>1.48112E-3</v>
      </c>
      <c r="Z74">
        <f t="shared" si="10"/>
        <v>1.4432500000000001E-3</v>
      </c>
      <c r="AA74">
        <f t="shared" si="11"/>
        <v>1.4775175E-3</v>
      </c>
    </row>
    <row r="75" spans="1:27" x14ac:dyDescent="0.3">
      <c r="A75">
        <v>70</v>
      </c>
      <c r="B75">
        <v>1.50756E-3</v>
      </c>
      <c r="C75">
        <v>8.6380100000000001E-2</v>
      </c>
      <c r="D75">
        <v>57.384399999999999</v>
      </c>
      <c r="E75">
        <v>57.298000000000002</v>
      </c>
      <c r="F75">
        <v>1.5001400000000001E-3</v>
      </c>
      <c r="G75">
        <v>8.5906200000000002E-2</v>
      </c>
      <c r="H75">
        <v>57.351199999999999</v>
      </c>
      <c r="I75">
        <v>57.265300000000003</v>
      </c>
      <c r="J75">
        <v>1.5041900000000001E-3</v>
      </c>
      <c r="K75">
        <v>8.5786500000000002E-2</v>
      </c>
      <c r="L75">
        <v>57.117600000000003</v>
      </c>
      <c r="M75">
        <v>57.031799999999997</v>
      </c>
      <c r="N75">
        <v>1.4768100000000001E-3</v>
      </c>
      <c r="O75">
        <v>8.3012299999999997E-2</v>
      </c>
      <c r="P75">
        <v>56.293399999999998</v>
      </c>
      <c r="Q75">
        <v>56.2104</v>
      </c>
      <c r="R75">
        <v>36.767000000000003</v>
      </c>
      <c r="S75">
        <v>36.767000000000003</v>
      </c>
      <c r="T75">
        <v>0.55310000000000004</v>
      </c>
      <c r="U75">
        <v>55.799700000000001</v>
      </c>
      <c r="V75">
        <f t="shared" si="6"/>
        <v>0.30411870503597127</v>
      </c>
      <c r="W75">
        <f t="shared" si="7"/>
        <v>1.50756E-3</v>
      </c>
      <c r="X75">
        <f t="shared" si="8"/>
        <v>1.5001400000000001E-3</v>
      </c>
      <c r="Y75">
        <f t="shared" si="9"/>
        <v>1.5041900000000001E-3</v>
      </c>
      <c r="Z75">
        <f t="shared" si="10"/>
        <v>1.4768100000000001E-3</v>
      </c>
      <c r="AA75">
        <f t="shared" si="11"/>
        <v>1.4971750000000001E-3</v>
      </c>
    </row>
    <row r="76" spans="1:27" x14ac:dyDescent="0.3">
      <c r="A76">
        <v>71</v>
      </c>
      <c r="B76">
        <v>1.5661200000000001E-3</v>
      </c>
      <c r="C76">
        <v>8.9735899999999993E-2</v>
      </c>
      <c r="D76">
        <v>57.387799999999999</v>
      </c>
      <c r="E76">
        <v>57.298000000000002</v>
      </c>
      <c r="F76">
        <v>1.5599500000000001E-3</v>
      </c>
      <c r="G76">
        <v>8.9331099999999997E-2</v>
      </c>
      <c r="H76">
        <v>57.354599999999998</v>
      </c>
      <c r="I76">
        <v>57.265300000000003</v>
      </c>
      <c r="J76">
        <v>1.57099E-3</v>
      </c>
      <c r="K76">
        <v>8.9596499999999996E-2</v>
      </c>
      <c r="L76">
        <v>57.121400000000001</v>
      </c>
      <c r="M76">
        <v>57.031799999999997</v>
      </c>
      <c r="N76">
        <v>1.5315699999999999E-3</v>
      </c>
      <c r="O76">
        <v>8.6090299999999995E-2</v>
      </c>
      <c r="P76">
        <v>56.296500000000002</v>
      </c>
      <c r="Q76">
        <v>56.2104</v>
      </c>
      <c r="R76">
        <v>37.08</v>
      </c>
      <c r="S76">
        <v>37.081000000000003</v>
      </c>
      <c r="T76">
        <v>0.56399999999999995</v>
      </c>
      <c r="U76">
        <v>56.898200000000003</v>
      </c>
      <c r="V76">
        <f t="shared" si="6"/>
        <v>0.31010573359494226</v>
      </c>
      <c r="W76">
        <f t="shared" si="7"/>
        <v>1.5661200000000001E-3</v>
      </c>
      <c r="X76">
        <f t="shared" si="8"/>
        <v>1.5599500000000001E-3</v>
      </c>
      <c r="Y76">
        <f t="shared" si="9"/>
        <v>1.57099E-3</v>
      </c>
      <c r="Z76">
        <f t="shared" si="10"/>
        <v>1.5315699999999999E-3</v>
      </c>
      <c r="AA76">
        <f t="shared" si="11"/>
        <v>1.5571574999999997E-3</v>
      </c>
    </row>
    <row r="77" spans="1:27" x14ac:dyDescent="0.3">
      <c r="A77">
        <v>72</v>
      </c>
      <c r="B77">
        <v>1.5950000000000001E-3</v>
      </c>
      <c r="C77">
        <v>9.1390299999999994E-2</v>
      </c>
      <c r="D77">
        <v>57.389400000000002</v>
      </c>
      <c r="E77">
        <v>57.298000000000002</v>
      </c>
      <c r="F77">
        <v>1.5854599999999999E-3</v>
      </c>
      <c r="G77">
        <v>9.0791999999999998E-2</v>
      </c>
      <c r="H77">
        <v>57.356099999999998</v>
      </c>
      <c r="I77">
        <v>57.265300000000003</v>
      </c>
      <c r="J77">
        <v>1.59096E-3</v>
      </c>
      <c r="K77">
        <v>9.0735399999999994E-2</v>
      </c>
      <c r="L77">
        <v>57.122500000000002</v>
      </c>
      <c r="M77">
        <v>57.031799999999997</v>
      </c>
      <c r="N77">
        <v>1.5575999999999999E-3</v>
      </c>
      <c r="O77">
        <v>8.7553599999999995E-2</v>
      </c>
      <c r="P77">
        <v>56.298000000000002</v>
      </c>
      <c r="Q77">
        <v>56.2104</v>
      </c>
      <c r="R77">
        <v>37.265999999999998</v>
      </c>
      <c r="S77">
        <v>37.265999999999998</v>
      </c>
      <c r="T77">
        <v>0.57179999999999997</v>
      </c>
      <c r="U77">
        <v>57.6736</v>
      </c>
      <c r="V77">
        <f t="shared" si="6"/>
        <v>0.31433180728144755</v>
      </c>
      <c r="W77">
        <f t="shared" si="7"/>
        <v>1.5950000000000001E-3</v>
      </c>
      <c r="X77">
        <f t="shared" si="8"/>
        <v>1.5854599999999999E-3</v>
      </c>
      <c r="Y77">
        <f t="shared" si="9"/>
        <v>1.59096E-3</v>
      </c>
      <c r="Z77">
        <f t="shared" si="10"/>
        <v>1.5575999999999999E-3</v>
      </c>
      <c r="AA77">
        <f t="shared" si="11"/>
        <v>1.5822550000000001E-3</v>
      </c>
    </row>
    <row r="78" spans="1:27" x14ac:dyDescent="0.3">
      <c r="A78">
        <v>73</v>
      </c>
      <c r="B78">
        <v>1.6256899999999999E-3</v>
      </c>
      <c r="C78">
        <v>9.3148599999999998E-2</v>
      </c>
      <c r="D78">
        <v>57.391199999999998</v>
      </c>
      <c r="E78">
        <v>57.298000000000002</v>
      </c>
      <c r="F78">
        <v>1.6179600000000001E-3</v>
      </c>
      <c r="G78">
        <v>9.2652899999999996E-2</v>
      </c>
      <c r="H78">
        <v>57.357999999999997</v>
      </c>
      <c r="I78">
        <v>57.265300000000003</v>
      </c>
      <c r="J78">
        <v>1.6253299999999999E-3</v>
      </c>
      <c r="K78">
        <v>9.2695399999999997E-2</v>
      </c>
      <c r="L78">
        <v>57.124499999999998</v>
      </c>
      <c r="M78">
        <v>57.031799999999997</v>
      </c>
      <c r="N78">
        <v>1.5937600000000001E-3</v>
      </c>
      <c r="O78">
        <v>8.9586200000000005E-2</v>
      </c>
      <c r="P78">
        <v>56.3</v>
      </c>
      <c r="Q78">
        <v>56.2104</v>
      </c>
      <c r="R78">
        <v>37.58</v>
      </c>
      <c r="S78">
        <v>37.58</v>
      </c>
      <c r="T78">
        <v>0.58009999999999995</v>
      </c>
      <c r="U78">
        <v>58.5137</v>
      </c>
      <c r="V78">
        <f t="shared" si="6"/>
        <v>0.31891050795727055</v>
      </c>
      <c r="W78">
        <f t="shared" si="7"/>
        <v>1.6256899999999999E-3</v>
      </c>
      <c r="X78">
        <f t="shared" si="8"/>
        <v>1.6179600000000001E-3</v>
      </c>
      <c r="Y78">
        <f t="shared" si="9"/>
        <v>1.6253299999999999E-3</v>
      </c>
      <c r="Z78">
        <f t="shared" si="10"/>
        <v>1.5937600000000001E-3</v>
      </c>
      <c r="AA78">
        <f t="shared" si="11"/>
        <v>1.615685E-3</v>
      </c>
    </row>
    <row r="79" spans="1:27" x14ac:dyDescent="0.3">
      <c r="A79">
        <v>74</v>
      </c>
      <c r="B79">
        <v>1.62554E-3</v>
      </c>
      <c r="C79">
        <v>9.3140100000000003E-2</v>
      </c>
      <c r="D79">
        <v>57.391199999999998</v>
      </c>
      <c r="E79">
        <v>57.298000000000002</v>
      </c>
      <c r="F79">
        <v>1.6168599999999999E-3</v>
      </c>
      <c r="G79">
        <v>9.2590099999999995E-2</v>
      </c>
      <c r="H79">
        <v>57.357900000000001</v>
      </c>
      <c r="I79">
        <v>57.265300000000003</v>
      </c>
      <c r="J79">
        <v>1.6239399999999999E-3</v>
      </c>
      <c r="K79">
        <v>9.2616199999999996E-2</v>
      </c>
      <c r="L79">
        <v>57.124400000000001</v>
      </c>
      <c r="M79">
        <v>57.031799999999997</v>
      </c>
      <c r="N79">
        <v>1.59932E-3</v>
      </c>
      <c r="O79">
        <v>8.9898400000000003E-2</v>
      </c>
      <c r="P79">
        <v>56.3003</v>
      </c>
      <c r="Q79">
        <v>56.2104</v>
      </c>
      <c r="R79">
        <v>37.765999999999998</v>
      </c>
      <c r="S79">
        <v>37.765999999999998</v>
      </c>
      <c r="T79">
        <v>0.58760000000000001</v>
      </c>
      <c r="U79">
        <v>59.256799999999998</v>
      </c>
      <c r="V79">
        <f t="shared" si="6"/>
        <v>0.32296054065838237</v>
      </c>
      <c r="W79">
        <f t="shared" si="7"/>
        <v>1.62554E-3</v>
      </c>
      <c r="X79">
        <f t="shared" si="8"/>
        <v>1.6168599999999999E-3</v>
      </c>
      <c r="Y79">
        <f t="shared" si="9"/>
        <v>1.6239399999999999E-3</v>
      </c>
      <c r="Z79">
        <f t="shared" si="10"/>
        <v>1.59932E-3</v>
      </c>
      <c r="AA79">
        <f t="shared" si="11"/>
        <v>1.616415E-3</v>
      </c>
    </row>
    <row r="80" spans="1:27" x14ac:dyDescent="0.3">
      <c r="A80">
        <v>75</v>
      </c>
      <c r="B80">
        <v>1.6552800000000001E-3</v>
      </c>
      <c r="C80">
        <v>9.4844300000000006E-2</v>
      </c>
      <c r="D80">
        <v>57.392899999999997</v>
      </c>
      <c r="E80">
        <v>57.298000000000002</v>
      </c>
      <c r="F80">
        <v>1.65146E-3</v>
      </c>
      <c r="G80">
        <v>9.45714E-2</v>
      </c>
      <c r="H80">
        <v>57.359900000000003</v>
      </c>
      <c r="I80">
        <v>57.265300000000003</v>
      </c>
      <c r="J80">
        <v>1.6586400000000001E-3</v>
      </c>
      <c r="K80">
        <v>9.4595200000000004E-2</v>
      </c>
      <c r="L80">
        <v>57.126399999999997</v>
      </c>
      <c r="M80">
        <v>57.031799999999997</v>
      </c>
      <c r="N80">
        <v>1.6239E-3</v>
      </c>
      <c r="O80">
        <v>9.1280200000000006E-2</v>
      </c>
      <c r="P80">
        <v>56.301699999999997</v>
      </c>
      <c r="Q80">
        <v>56.2104</v>
      </c>
      <c r="R80">
        <v>38.204000000000001</v>
      </c>
      <c r="S80">
        <v>38.204000000000001</v>
      </c>
      <c r="T80">
        <v>0.59950000000000003</v>
      </c>
      <c r="U80">
        <v>60.452199999999998</v>
      </c>
      <c r="V80">
        <f t="shared" si="6"/>
        <v>0.3294756921735339</v>
      </c>
      <c r="W80">
        <f t="shared" si="7"/>
        <v>1.6552800000000001E-3</v>
      </c>
      <c r="X80">
        <f t="shared" si="8"/>
        <v>1.65146E-3</v>
      </c>
      <c r="Y80">
        <f t="shared" si="9"/>
        <v>1.6586400000000001E-3</v>
      </c>
      <c r="Z80">
        <f t="shared" si="10"/>
        <v>1.6239E-3</v>
      </c>
      <c r="AA80">
        <f t="shared" si="11"/>
        <v>1.6473200000000001E-3</v>
      </c>
    </row>
    <row r="81" spans="1:27" x14ac:dyDescent="0.3">
      <c r="A81">
        <v>76</v>
      </c>
      <c r="B81">
        <v>1.68081E-3</v>
      </c>
      <c r="C81">
        <v>9.6307400000000001E-2</v>
      </c>
      <c r="D81">
        <v>57.394300000000001</v>
      </c>
      <c r="E81">
        <v>57.298000000000002</v>
      </c>
      <c r="F81">
        <v>1.6757499999999999E-3</v>
      </c>
      <c r="G81">
        <v>9.5962199999999998E-2</v>
      </c>
      <c r="H81">
        <v>57.3613</v>
      </c>
      <c r="I81">
        <v>57.265300000000003</v>
      </c>
      <c r="J81">
        <v>1.6882799999999999E-3</v>
      </c>
      <c r="K81">
        <v>9.6285700000000002E-2</v>
      </c>
      <c r="L81">
        <v>57.128100000000003</v>
      </c>
      <c r="M81">
        <v>57.031799999999997</v>
      </c>
      <c r="N81">
        <v>1.65698E-3</v>
      </c>
      <c r="O81">
        <v>9.3139600000000003E-2</v>
      </c>
      <c r="P81">
        <v>56.3035</v>
      </c>
      <c r="Q81">
        <v>56.2104</v>
      </c>
      <c r="R81">
        <v>38.39</v>
      </c>
      <c r="S81">
        <v>38.39</v>
      </c>
      <c r="T81">
        <v>0.60529999999999995</v>
      </c>
      <c r="U81">
        <v>61.033799999999999</v>
      </c>
      <c r="V81">
        <f t="shared" si="6"/>
        <v>0.33264551994767821</v>
      </c>
      <c r="W81">
        <f t="shared" si="7"/>
        <v>1.68081E-3</v>
      </c>
      <c r="X81">
        <f t="shared" si="8"/>
        <v>1.6757499999999999E-3</v>
      </c>
      <c r="Y81">
        <f t="shared" si="9"/>
        <v>1.6882799999999999E-3</v>
      </c>
      <c r="Z81">
        <f t="shared" si="10"/>
        <v>1.65698E-3</v>
      </c>
      <c r="AA81">
        <f t="shared" si="11"/>
        <v>1.675455E-3</v>
      </c>
    </row>
    <row r="82" spans="1:27" x14ac:dyDescent="0.3">
      <c r="A82">
        <v>77</v>
      </c>
      <c r="B82">
        <v>1.74726E-3</v>
      </c>
      <c r="C82">
        <v>0.10011399999999999</v>
      </c>
      <c r="D82">
        <v>57.398099999999999</v>
      </c>
      <c r="E82">
        <v>57.298000000000002</v>
      </c>
      <c r="F82">
        <v>1.7474299999999999E-3</v>
      </c>
      <c r="G82">
        <v>0.100067</v>
      </c>
      <c r="H82">
        <v>57.365400000000001</v>
      </c>
      <c r="I82">
        <v>57.265300000000003</v>
      </c>
      <c r="J82">
        <v>1.76542E-3</v>
      </c>
      <c r="K82">
        <v>0.100685</v>
      </c>
      <c r="L82">
        <v>57.1325</v>
      </c>
      <c r="M82">
        <v>57.031799999999997</v>
      </c>
      <c r="N82">
        <v>1.7330399999999999E-3</v>
      </c>
      <c r="O82">
        <v>9.7415100000000004E-2</v>
      </c>
      <c r="P82">
        <v>56.3078</v>
      </c>
      <c r="Q82">
        <v>56.2104</v>
      </c>
      <c r="R82">
        <v>38.762999999999998</v>
      </c>
      <c r="S82">
        <v>38.762999999999998</v>
      </c>
      <c r="T82">
        <v>0.61460000000000004</v>
      </c>
      <c r="U82">
        <v>61.970799999999997</v>
      </c>
      <c r="V82">
        <f t="shared" si="6"/>
        <v>0.3377523435796817</v>
      </c>
      <c r="W82">
        <f t="shared" si="7"/>
        <v>1.74726E-3</v>
      </c>
      <c r="X82">
        <f t="shared" si="8"/>
        <v>1.7474299999999999E-3</v>
      </c>
      <c r="Y82">
        <f t="shared" si="9"/>
        <v>1.76542E-3</v>
      </c>
      <c r="Z82">
        <f t="shared" si="10"/>
        <v>1.7330399999999999E-3</v>
      </c>
      <c r="AA82">
        <f t="shared" si="11"/>
        <v>1.7482875E-3</v>
      </c>
    </row>
    <row r="83" spans="1:27" x14ac:dyDescent="0.3">
      <c r="A83">
        <v>78</v>
      </c>
      <c r="B83">
        <v>1.78119E-3</v>
      </c>
      <c r="C83">
        <v>0.102059</v>
      </c>
      <c r="D83">
        <v>57.400100000000002</v>
      </c>
      <c r="E83">
        <v>57.298000000000002</v>
      </c>
      <c r="F83">
        <v>1.7681699999999999E-3</v>
      </c>
      <c r="G83">
        <v>0.101255</v>
      </c>
      <c r="H83">
        <v>57.366599999999998</v>
      </c>
      <c r="I83">
        <v>57.265300000000003</v>
      </c>
      <c r="J83">
        <v>1.7706E-3</v>
      </c>
      <c r="K83">
        <v>0.100981</v>
      </c>
      <c r="L83">
        <v>57.132800000000003</v>
      </c>
      <c r="M83">
        <v>57.031799999999997</v>
      </c>
      <c r="N83">
        <v>1.7309700000000001E-3</v>
      </c>
      <c r="O83">
        <v>9.7298800000000005E-2</v>
      </c>
      <c r="P83">
        <v>56.307699999999997</v>
      </c>
      <c r="Q83">
        <v>56.2104</v>
      </c>
      <c r="R83">
        <v>39.14</v>
      </c>
      <c r="S83">
        <v>39.14</v>
      </c>
      <c r="T83">
        <v>0.63239999999999996</v>
      </c>
      <c r="U83">
        <v>63.747799999999998</v>
      </c>
      <c r="V83">
        <f t="shared" si="6"/>
        <v>0.34743732286897755</v>
      </c>
      <c r="W83">
        <f t="shared" si="7"/>
        <v>1.78119E-3</v>
      </c>
      <c r="X83">
        <f t="shared" si="8"/>
        <v>1.7681699999999999E-3</v>
      </c>
      <c r="Y83">
        <f t="shared" si="9"/>
        <v>1.7706E-3</v>
      </c>
      <c r="Z83">
        <f t="shared" si="10"/>
        <v>1.7309700000000001E-3</v>
      </c>
      <c r="AA83">
        <f t="shared" si="11"/>
        <v>1.7627324999999999E-3</v>
      </c>
    </row>
    <row r="84" spans="1:27" x14ac:dyDescent="0.3">
      <c r="A84">
        <v>79</v>
      </c>
      <c r="B84">
        <v>1.76772E-3</v>
      </c>
      <c r="C84">
        <v>0.101287</v>
      </c>
      <c r="D84">
        <v>57.399299999999997</v>
      </c>
      <c r="E84">
        <v>57.298000000000002</v>
      </c>
      <c r="F84">
        <v>1.7569300000000001E-3</v>
      </c>
      <c r="G84">
        <v>0.10061100000000001</v>
      </c>
      <c r="H84">
        <v>57.365900000000003</v>
      </c>
      <c r="I84">
        <v>57.265300000000003</v>
      </c>
      <c r="J84">
        <v>1.7704699999999999E-3</v>
      </c>
      <c r="K84">
        <v>0.10097299999999999</v>
      </c>
      <c r="L84">
        <v>57.132800000000003</v>
      </c>
      <c r="M84">
        <v>57.031799999999997</v>
      </c>
      <c r="N84">
        <v>1.7354E-3</v>
      </c>
      <c r="O84">
        <v>9.7547800000000004E-2</v>
      </c>
      <c r="P84">
        <v>56.308</v>
      </c>
      <c r="Q84">
        <v>56.2104</v>
      </c>
      <c r="R84">
        <v>39.451000000000001</v>
      </c>
      <c r="S84">
        <v>39.451999999999998</v>
      </c>
      <c r="T84">
        <v>0.64170000000000005</v>
      </c>
      <c r="U84">
        <v>64.684799999999996</v>
      </c>
      <c r="V84">
        <f t="shared" si="6"/>
        <v>0.35254414650098098</v>
      </c>
      <c r="W84">
        <f t="shared" si="7"/>
        <v>1.76772E-3</v>
      </c>
      <c r="X84">
        <f t="shared" si="8"/>
        <v>1.7569300000000001E-3</v>
      </c>
      <c r="Y84">
        <f t="shared" si="9"/>
        <v>1.7704699999999999E-3</v>
      </c>
      <c r="Z84">
        <f t="shared" si="10"/>
        <v>1.7354E-3</v>
      </c>
      <c r="AA84">
        <f t="shared" si="11"/>
        <v>1.7576299999999998E-3</v>
      </c>
    </row>
    <row r="85" spans="1:27" x14ac:dyDescent="0.3">
      <c r="A85">
        <v>80</v>
      </c>
      <c r="B85">
        <v>1.8304300000000001E-3</v>
      </c>
      <c r="C85">
        <v>0.10488</v>
      </c>
      <c r="D85">
        <v>57.402900000000002</v>
      </c>
      <c r="E85">
        <v>57.298000000000002</v>
      </c>
      <c r="F85">
        <v>1.81212E-3</v>
      </c>
      <c r="G85">
        <v>0.103771</v>
      </c>
      <c r="H85">
        <v>57.369100000000003</v>
      </c>
      <c r="I85">
        <v>57.265300000000003</v>
      </c>
      <c r="J85">
        <v>1.8173600000000001E-3</v>
      </c>
      <c r="K85">
        <v>0.103647</v>
      </c>
      <c r="L85">
        <v>57.135399999999997</v>
      </c>
      <c r="M85">
        <v>57.031799999999997</v>
      </c>
      <c r="N85">
        <v>1.7790499999999999E-3</v>
      </c>
      <c r="O85">
        <v>0.10000100000000001</v>
      </c>
      <c r="P85">
        <v>56.310400000000001</v>
      </c>
      <c r="Q85">
        <v>56.2104</v>
      </c>
      <c r="R85">
        <v>39.642000000000003</v>
      </c>
      <c r="S85">
        <v>39.642000000000003</v>
      </c>
      <c r="T85">
        <v>0.64690000000000003</v>
      </c>
      <c r="U85">
        <v>65.201700000000002</v>
      </c>
      <c r="V85">
        <f t="shared" si="6"/>
        <v>0.3553613472858077</v>
      </c>
      <c r="W85">
        <f t="shared" si="7"/>
        <v>1.8304300000000001E-3</v>
      </c>
      <c r="X85">
        <f t="shared" si="8"/>
        <v>1.81212E-3</v>
      </c>
      <c r="Y85">
        <f t="shared" si="9"/>
        <v>1.8173600000000001E-3</v>
      </c>
      <c r="Z85">
        <f t="shared" si="10"/>
        <v>1.7790499999999999E-3</v>
      </c>
      <c r="AA85">
        <f t="shared" si="11"/>
        <v>1.80974E-3</v>
      </c>
    </row>
    <row r="86" spans="1:27" x14ac:dyDescent="0.3">
      <c r="A86">
        <v>81</v>
      </c>
      <c r="B86">
        <v>1.8836599999999999E-3</v>
      </c>
      <c r="C86">
        <v>0.10793</v>
      </c>
      <c r="D86">
        <v>57.405999999999999</v>
      </c>
      <c r="E86">
        <v>57.298000000000002</v>
      </c>
      <c r="F86">
        <v>1.8675199999999999E-3</v>
      </c>
      <c r="G86">
        <v>0.106944</v>
      </c>
      <c r="H86">
        <v>57.372199999999999</v>
      </c>
      <c r="I86">
        <v>57.265300000000003</v>
      </c>
      <c r="J86">
        <v>1.8746399999999999E-3</v>
      </c>
      <c r="K86">
        <v>0.106914</v>
      </c>
      <c r="L86">
        <v>57.1387</v>
      </c>
      <c r="M86">
        <v>57.031799999999997</v>
      </c>
      <c r="N86">
        <v>1.82734E-3</v>
      </c>
      <c r="O86">
        <v>0.102716</v>
      </c>
      <c r="P86">
        <v>56.313099999999999</v>
      </c>
      <c r="Q86">
        <v>56.2104</v>
      </c>
      <c r="R86">
        <v>40.076000000000001</v>
      </c>
      <c r="S86">
        <v>40.076000000000001</v>
      </c>
      <c r="T86">
        <v>0.66010000000000002</v>
      </c>
      <c r="U86">
        <v>66.526399999999995</v>
      </c>
      <c r="V86">
        <f t="shared" si="6"/>
        <v>0.36258120776106384</v>
      </c>
      <c r="W86">
        <f t="shared" si="7"/>
        <v>1.8836599999999999E-3</v>
      </c>
      <c r="X86">
        <f t="shared" si="8"/>
        <v>1.8675199999999999E-3</v>
      </c>
      <c r="Y86">
        <f t="shared" si="9"/>
        <v>1.8746399999999999E-3</v>
      </c>
      <c r="Z86">
        <f t="shared" si="10"/>
        <v>1.82734E-3</v>
      </c>
      <c r="AA86">
        <f t="shared" si="11"/>
        <v>1.8632900000000001E-3</v>
      </c>
    </row>
    <row r="87" spans="1:27" x14ac:dyDescent="0.3">
      <c r="A87">
        <v>82</v>
      </c>
      <c r="B87">
        <v>1.91803E-3</v>
      </c>
      <c r="C87">
        <v>0.109899</v>
      </c>
      <c r="D87">
        <v>57.407899999999998</v>
      </c>
      <c r="E87">
        <v>57.298000000000002</v>
      </c>
      <c r="F87">
        <v>1.89942E-3</v>
      </c>
      <c r="G87">
        <v>0.10877100000000001</v>
      </c>
      <c r="H87">
        <v>57.374099999999999</v>
      </c>
      <c r="I87">
        <v>57.265300000000003</v>
      </c>
      <c r="J87">
        <v>1.9012499999999999E-3</v>
      </c>
      <c r="K87">
        <v>0.108432</v>
      </c>
      <c r="L87">
        <v>57.1402</v>
      </c>
      <c r="M87">
        <v>57.031799999999997</v>
      </c>
      <c r="N87">
        <v>1.8597799999999999E-3</v>
      </c>
      <c r="O87">
        <v>0.10453900000000001</v>
      </c>
      <c r="P87">
        <v>56.314900000000002</v>
      </c>
      <c r="Q87">
        <v>56.2104</v>
      </c>
      <c r="R87">
        <v>40.387</v>
      </c>
      <c r="S87">
        <v>40.387</v>
      </c>
      <c r="T87">
        <v>0.6714</v>
      </c>
      <c r="U87">
        <v>67.657200000000003</v>
      </c>
      <c r="V87">
        <f t="shared" si="6"/>
        <v>0.36874427730542841</v>
      </c>
      <c r="W87">
        <f t="shared" si="7"/>
        <v>1.91803E-3</v>
      </c>
      <c r="X87">
        <f t="shared" si="8"/>
        <v>1.89942E-3</v>
      </c>
      <c r="Y87">
        <f t="shared" si="9"/>
        <v>1.9012499999999999E-3</v>
      </c>
      <c r="Z87">
        <f t="shared" si="10"/>
        <v>1.8597799999999999E-3</v>
      </c>
      <c r="AA87">
        <f t="shared" si="11"/>
        <v>1.8946200000000001E-3</v>
      </c>
    </row>
    <row r="88" spans="1:27" x14ac:dyDescent="0.3">
      <c r="A88">
        <v>83</v>
      </c>
      <c r="B88">
        <v>1.9594199999999999E-3</v>
      </c>
      <c r="C88">
        <v>0.112271</v>
      </c>
      <c r="D88">
        <v>57.410299999999999</v>
      </c>
      <c r="E88">
        <v>57.298000000000002</v>
      </c>
      <c r="F88">
        <v>1.93951E-3</v>
      </c>
      <c r="G88">
        <v>0.111067</v>
      </c>
      <c r="H88">
        <v>57.376399999999997</v>
      </c>
      <c r="I88">
        <v>57.265300000000003</v>
      </c>
      <c r="J88">
        <v>1.94976E-3</v>
      </c>
      <c r="K88">
        <v>0.11119800000000001</v>
      </c>
      <c r="L88">
        <v>57.143000000000001</v>
      </c>
      <c r="M88">
        <v>57.031799999999997</v>
      </c>
      <c r="N88">
        <v>1.9146300000000001E-3</v>
      </c>
      <c r="O88">
        <v>0.107622</v>
      </c>
      <c r="P88">
        <v>56.317999999999998</v>
      </c>
      <c r="Q88">
        <v>56.2104</v>
      </c>
      <c r="R88">
        <v>40.947000000000003</v>
      </c>
      <c r="S88">
        <v>40.947000000000003</v>
      </c>
      <c r="T88">
        <v>0.69169999999999998</v>
      </c>
      <c r="U88">
        <v>69.692700000000002</v>
      </c>
      <c r="V88">
        <f t="shared" si="6"/>
        <v>0.37983812949640294</v>
      </c>
      <c r="W88">
        <f t="shared" si="7"/>
        <v>1.9594199999999999E-3</v>
      </c>
      <c r="X88">
        <f t="shared" si="8"/>
        <v>1.93951E-3</v>
      </c>
      <c r="Y88">
        <f t="shared" si="9"/>
        <v>1.94976E-3</v>
      </c>
      <c r="Z88">
        <f t="shared" si="10"/>
        <v>1.9146300000000001E-3</v>
      </c>
      <c r="AA88">
        <f t="shared" si="11"/>
        <v>1.9408300000000002E-3</v>
      </c>
    </row>
    <row r="89" spans="1:27" x14ac:dyDescent="0.3">
      <c r="A89">
        <v>84</v>
      </c>
      <c r="B89">
        <v>2.0007800000000002E-3</v>
      </c>
      <c r="C89">
        <v>0.11464100000000001</v>
      </c>
      <c r="D89">
        <v>57.412700000000001</v>
      </c>
      <c r="E89">
        <v>57.298000000000002</v>
      </c>
      <c r="F89">
        <v>1.9880000000000002E-3</v>
      </c>
      <c r="G89">
        <v>0.113843</v>
      </c>
      <c r="H89">
        <v>57.379199999999997</v>
      </c>
      <c r="I89">
        <v>57.265300000000003</v>
      </c>
      <c r="J89">
        <v>1.9975599999999998E-3</v>
      </c>
      <c r="K89">
        <v>0.113924</v>
      </c>
      <c r="L89">
        <v>57.145699999999998</v>
      </c>
      <c r="M89">
        <v>57.031799999999997</v>
      </c>
      <c r="N89">
        <v>1.9586500000000001E-3</v>
      </c>
      <c r="O89">
        <v>0.110097</v>
      </c>
      <c r="P89">
        <v>56.320500000000003</v>
      </c>
      <c r="Q89">
        <v>56.2104</v>
      </c>
      <c r="R89">
        <v>41.384</v>
      </c>
      <c r="S89">
        <v>41.384</v>
      </c>
      <c r="T89">
        <v>0.7016</v>
      </c>
      <c r="U89">
        <v>70.694299999999998</v>
      </c>
      <c r="V89">
        <f t="shared" si="6"/>
        <v>0.38529703509919339</v>
      </c>
      <c r="W89">
        <f t="shared" si="7"/>
        <v>2.0007800000000002E-3</v>
      </c>
      <c r="X89">
        <f t="shared" si="8"/>
        <v>1.9880000000000002E-3</v>
      </c>
      <c r="Y89">
        <f t="shared" si="9"/>
        <v>1.9975599999999998E-3</v>
      </c>
      <c r="Z89">
        <f t="shared" si="10"/>
        <v>1.9586500000000001E-3</v>
      </c>
      <c r="AA89">
        <f t="shared" si="11"/>
        <v>1.9862475000000002E-3</v>
      </c>
    </row>
    <row r="90" spans="1:27" x14ac:dyDescent="0.3">
      <c r="A90">
        <v>85</v>
      </c>
      <c r="B90">
        <v>2.05982E-3</v>
      </c>
      <c r="C90">
        <v>0.118024</v>
      </c>
      <c r="D90">
        <v>57.415999999999997</v>
      </c>
      <c r="E90">
        <v>57.298000000000002</v>
      </c>
      <c r="F90">
        <v>2.03783E-3</v>
      </c>
      <c r="G90">
        <v>0.116697</v>
      </c>
      <c r="H90">
        <v>57.381999999999998</v>
      </c>
      <c r="I90">
        <v>57.265300000000003</v>
      </c>
      <c r="J90">
        <v>2.0354399999999999E-3</v>
      </c>
      <c r="K90">
        <v>0.11608499999999999</v>
      </c>
      <c r="L90">
        <v>57.1479</v>
      </c>
      <c r="M90">
        <v>57.031799999999997</v>
      </c>
      <c r="N90">
        <v>2.0029399999999999E-3</v>
      </c>
      <c r="O90">
        <v>0.11258600000000001</v>
      </c>
      <c r="P90">
        <v>56.323</v>
      </c>
      <c r="Q90">
        <v>56.2104</v>
      </c>
      <c r="R90">
        <v>41.697000000000003</v>
      </c>
      <c r="S90">
        <v>41.697000000000003</v>
      </c>
      <c r="T90">
        <v>0.7107</v>
      </c>
      <c r="U90">
        <v>71.5989</v>
      </c>
      <c r="V90">
        <f t="shared" si="6"/>
        <v>0.39022727272727276</v>
      </c>
      <c r="W90">
        <f t="shared" si="7"/>
        <v>2.05982E-3</v>
      </c>
      <c r="X90">
        <f t="shared" si="8"/>
        <v>2.03783E-3</v>
      </c>
      <c r="Y90">
        <f t="shared" si="9"/>
        <v>2.0354399999999999E-3</v>
      </c>
      <c r="Z90">
        <f t="shared" si="10"/>
        <v>2.0029399999999999E-3</v>
      </c>
      <c r="AA90">
        <f t="shared" si="11"/>
        <v>2.0340074999999997E-3</v>
      </c>
    </row>
    <row r="91" spans="1:27" x14ac:dyDescent="0.3">
      <c r="A91">
        <v>86</v>
      </c>
      <c r="B91">
        <v>2.0600499999999999E-3</v>
      </c>
      <c r="C91">
        <v>0.118037</v>
      </c>
      <c r="D91">
        <v>57.4161</v>
      </c>
      <c r="E91">
        <v>57.298000000000002</v>
      </c>
      <c r="F91">
        <v>2.04704E-3</v>
      </c>
      <c r="G91">
        <v>0.11722399999999999</v>
      </c>
      <c r="H91">
        <v>57.3825</v>
      </c>
      <c r="I91">
        <v>57.265300000000003</v>
      </c>
      <c r="J91">
        <v>2.0632799999999998E-3</v>
      </c>
      <c r="K91">
        <v>0.117673</v>
      </c>
      <c r="L91">
        <v>57.149500000000003</v>
      </c>
      <c r="M91">
        <v>57.031799999999997</v>
      </c>
      <c r="N91">
        <v>2.0245300000000001E-3</v>
      </c>
      <c r="O91">
        <v>0.1138</v>
      </c>
      <c r="P91">
        <v>56.324199999999998</v>
      </c>
      <c r="Q91">
        <v>56.2104</v>
      </c>
      <c r="R91">
        <v>41.883000000000003</v>
      </c>
      <c r="S91">
        <v>41.883000000000003</v>
      </c>
      <c r="T91">
        <v>0.73160000000000003</v>
      </c>
      <c r="U91">
        <v>73.698999999999998</v>
      </c>
      <c r="V91">
        <f t="shared" si="6"/>
        <v>0.40167320688903418</v>
      </c>
      <c r="W91">
        <f t="shared" si="7"/>
        <v>2.0600499999999999E-3</v>
      </c>
      <c r="X91">
        <f t="shared" si="8"/>
        <v>2.04704E-3</v>
      </c>
      <c r="Y91">
        <f t="shared" si="9"/>
        <v>2.0632799999999998E-3</v>
      </c>
      <c r="Z91">
        <f t="shared" si="10"/>
        <v>2.0245300000000001E-3</v>
      </c>
      <c r="AA91">
        <f t="shared" si="11"/>
        <v>2.0487249999999999E-3</v>
      </c>
    </row>
    <row r="92" spans="1:27" x14ac:dyDescent="0.3">
      <c r="A92">
        <v>87</v>
      </c>
      <c r="B92">
        <v>2.1160699999999998E-3</v>
      </c>
      <c r="C92">
        <v>0.12124699999999999</v>
      </c>
      <c r="D92">
        <v>57.4193</v>
      </c>
      <c r="E92">
        <v>57.298000000000002</v>
      </c>
      <c r="F92">
        <v>2.0954200000000002E-3</v>
      </c>
      <c r="G92">
        <v>0.119995</v>
      </c>
      <c r="H92">
        <v>57.385300000000001</v>
      </c>
      <c r="I92">
        <v>57.265300000000003</v>
      </c>
      <c r="J92">
        <v>2.1055800000000001E-3</v>
      </c>
      <c r="K92">
        <v>0.120085</v>
      </c>
      <c r="L92">
        <v>57.151899999999998</v>
      </c>
      <c r="M92">
        <v>57.031799999999997</v>
      </c>
      <c r="N92">
        <v>2.0630700000000002E-3</v>
      </c>
      <c r="O92">
        <v>0.115966</v>
      </c>
      <c r="P92">
        <v>56.3264</v>
      </c>
      <c r="Q92">
        <v>56.2104</v>
      </c>
      <c r="R92">
        <v>42.445</v>
      </c>
      <c r="S92">
        <v>42.445</v>
      </c>
      <c r="T92">
        <v>0.73680000000000001</v>
      </c>
      <c r="U92">
        <v>74.215999999999994</v>
      </c>
      <c r="V92">
        <f t="shared" si="6"/>
        <v>0.40449095269239149</v>
      </c>
      <c r="W92">
        <f t="shared" si="7"/>
        <v>2.1160699999999998E-3</v>
      </c>
      <c r="X92">
        <f t="shared" si="8"/>
        <v>2.0954200000000002E-3</v>
      </c>
      <c r="Y92">
        <f t="shared" si="9"/>
        <v>2.1055800000000001E-3</v>
      </c>
      <c r="Z92">
        <f t="shared" si="10"/>
        <v>2.0630700000000002E-3</v>
      </c>
      <c r="AA92">
        <f t="shared" si="11"/>
        <v>2.0950350000000003E-3</v>
      </c>
    </row>
    <row r="93" spans="1:27" x14ac:dyDescent="0.3">
      <c r="A93">
        <v>88</v>
      </c>
      <c r="B93">
        <v>2.1423900000000001E-3</v>
      </c>
      <c r="C93">
        <v>0.122754</v>
      </c>
      <c r="D93">
        <v>57.4208</v>
      </c>
      <c r="E93">
        <v>57.298000000000002</v>
      </c>
      <c r="F93">
        <v>2.1201800000000002E-3</v>
      </c>
      <c r="G93">
        <v>0.12141299999999999</v>
      </c>
      <c r="H93">
        <v>57.386699999999998</v>
      </c>
      <c r="I93">
        <v>57.265300000000003</v>
      </c>
      <c r="J93">
        <v>2.1316899999999999E-3</v>
      </c>
      <c r="K93">
        <v>0.121574</v>
      </c>
      <c r="L93">
        <v>57.153399999999998</v>
      </c>
      <c r="M93">
        <v>57.031799999999997</v>
      </c>
      <c r="N93">
        <v>2.08976E-3</v>
      </c>
      <c r="O93">
        <v>0.117467</v>
      </c>
      <c r="P93">
        <v>56.3279</v>
      </c>
      <c r="Q93">
        <v>56.2104</v>
      </c>
      <c r="R93">
        <v>42.695</v>
      </c>
      <c r="S93">
        <v>42.695</v>
      </c>
      <c r="T93">
        <v>0.7419</v>
      </c>
      <c r="U93">
        <v>74.732900000000001</v>
      </c>
      <c r="V93">
        <f t="shared" si="6"/>
        <v>0.40730815347721822</v>
      </c>
      <c r="W93">
        <f t="shared" si="7"/>
        <v>2.1423900000000001E-3</v>
      </c>
      <c r="X93">
        <f t="shared" si="8"/>
        <v>2.1201800000000002E-3</v>
      </c>
      <c r="Y93">
        <f t="shared" si="9"/>
        <v>2.1316899999999999E-3</v>
      </c>
      <c r="Z93">
        <f t="shared" si="10"/>
        <v>2.08976E-3</v>
      </c>
      <c r="AA93">
        <f t="shared" si="11"/>
        <v>2.121005E-3</v>
      </c>
    </row>
    <row r="94" spans="1:27" x14ac:dyDescent="0.3">
      <c r="A94">
        <v>89</v>
      </c>
      <c r="B94">
        <v>2.1755099999999999E-3</v>
      </c>
      <c r="C94">
        <v>0.124652</v>
      </c>
      <c r="D94">
        <v>57.422699999999999</v>
      </c>
      <c r="E94">
        <v>57.298000000000002</v>
      </c>
      <c r="F94">
        <v>2.1495300000000002E-3</v>
      </c>
      <c r="G94">
        <v>0.123094</v>
      </c>
      <c r="H94">
        <v>57.388399999999997</v>
      </c>
      <c r="I94">
        <v>57.265300000000003</v>
      </c>
      <c r="J94">
        <v>2.1544400000000001E-3</v>
      </c>
      <c r="K94">
        <v>0.12287099999999999</v>
      </c>
      <c r="L94">
        <v>57.154699999999998</v>
      </c>
      <c r="M94">
        <v>57.031799999999997</v>
      </c>
      <c r="N94">
        <v>2.1083899999999999E-3</v>
      </c>
      <c r="O94">
        <v>0.11851299999999999</v>
      </c>
      <c r="P94">
        <v>56.328899999999997</v>
      </c>
      <c r="Q94">
        <v>56.2104</v>
      </c>
      <c r="R94">
        <v>43.006999999999998</v>
      </c>
      <c r="S94">
        <v>43.006999999999998</v>
      </c>
      <c r="T94">
        <v>0.74770000000000003</v>
      </c>
      <c r="U94">
        <v>75.314499999999995</v>
      </c>
      <c r="V94">
        <f t="shared" si="6"/>
        <v>0.41047798125136259</v>
      </c>
      <c r="W94">
        <f t="shared" si="7"/>
        <v>2.1755099999999999E-3</v>
      </c>
      <c r="X94">
        <f t="shared" si="8"/>
        <v>2.1495300000000002E-3</v>
      </c>
      <c r="Y94">
        <f t="shared" si="9"/>
        <v>2.1544400000000001E-3</v>
      </c>
      <c r="Z94">
        <f t="shared" si="10"/>
        <v>2.1083899999999999E-3</v>
      </c>
      <c r="AA94">
        <f t="shared" si="11"/>
        <v>2.1469675000000002E-3</v>
      </c>
    </row>
    <row r="95" spans="1:27" x14ac:dyDescent="0.3">
      <c r="A95">
        <v>90</v>
      </c>
      <c r="B95">
        <v>2.2063199999999999E-3</v>
      </c>
      <c r="C95">
        <v>0.126418</v>
      </c>
      <c r="D95">
        <v>57.424399999999999</v>
      </c>
      <c r="E95">
        <v>57.298000000000002</v>
      </c>
      <c r="F95">
        <v>2.1879400000000002E-3</v>
      </c>
      <c r="G95">
        <v>0.12529299999999999</v>
      </c>
      <c r="H95">
        <v>57.390599999999999</v>
      </c>
      <c r="I95">
        <v>57.265300000000003</v>
      </c>
      <c r="J95">
        <v>2.1896799999999998E-3</v>
      </c>
      <c r="K95">
        <v>0.12488100000000001</v>
      </c>
      <c r="L95">
        <v>57.156700000000001</v>
      </c>
      <c r="M95">
        <v>57.031799999999997</v>
      </c>
      <c r="N95">
        <v>2.1605999999999999E-3</v>
      </c>
      <c r="O95">
        <v>0.121448</v>
      </c>
      <c r="P95">
        <v>56.331899999999997</v>
      </c>
      <c r="Q95">
        <v>56.2104</v>
      </c>
      <c r="R95">
        <v>43.384</v>
      </c>
      <c r="S95">
        <v>43.384</v>
      </c>
      <c r="T95">
        <v>0.76129999999999998</v>
      </c>
      <c r="U95">
        <v>76.671499999999995</v>
      </c>
      <c r="V95">
        <f t="shared" si="6"/>
        <v>0.4178738827120122</v>
      </c>
      <c r="W95">
        <f t="shared" si="7"/>
        <v>2.2063199999999999E-3</v>
      </c>
      <c r="X95">
        <f t="shared" si="8"/>
        <v>2.1879400000000002E-3</v>
      </c>
      <c r="Y95">
        <f t="shared" si="9"/>
        <v>2.1896799999999998E-3</v>
      </c>
      <c r="Z95">
        <f t="shared" si="10"/>
        <v>2.1605999999999999E-3</v>
      </c>
      <c r="AA95">
        <f t="shared" si="11"/>
        <v>2.1861350000000001E-3</v>
      </c>
    </row>
    <row r="96" spans="1:27" x14ac:dyDescent="0.3">
      <c r="A96">
        <v>91</v>
      </c>
      <c r="B96">
        <v>2.23048E-3</v>
      </c>
      <c r="C96">
        <v>0.127802</v>
      </c>
      <c r="D96">
        <v>57.425800000000002</v>
      </c>
      <c r="E96">
        <v>57.298000000000002</v>
      </c>
      <c r="F96">
        <v>2.2034300000000001E-3</v>
      </c>
      <c r="G96">
        <v>0.12617999999999999</v>
      </c>
      <c r="H96">
        <v>57.391500000000001</v>
      </c>
      <c r="I96">
        <v>57.265300000000003</v>
      </c>
      <c r="J96">
        <v>2.2097499999999999E-3</v>
      </c>
      <c r="K96">
        <v>0.126026</v>
      </c>
      <c r="L96">
        <v>57.157800000000002</v>
      </c>
      <c r="M96">
        <v>57.031799999999997</v>
      </c>
      <c r="N96">
        <v>2.1700600000000001E-3</v>
      </c>
      <c r="O96">
        <v>0.12198000000000001</v>
      </c>
      <c r="P96">
        <v>56.3324</v>
      </c>
      <c r="Q96">
        <v>56.2104</v>
      </c>
      <c r="R96">
        <v>43.755000000000003</v>
      </c>
      <c r="S96">
        <v>43.755000000000003</v>
      </c>
      <c r="T96">
        <v>0.77290000000000003</v>
      </c>
      <c r="U96">
        <v>77.834599999999995</v>
      </c>
      <c r="V96">
        <f t="shared" si="6"/>
        <v>0.4242129932417702</v>
      </c>
      <c r="W96">
        <f t="shared" si="7"/>
        <v>2.23048E-3</v>
      </c>
      <c r="X96">
        <f t="shared" si="8"/>
        <v>2.2034300000000001E-3</v>
      </c>
      <c r="Y96">
        <f t="shared" si="9"/>
        <v>2.2097499999999999E-3</v>
      </c>
      <c r="Z96">
        <f t="shared" si="10"/>
        <v>2.1700600000000001E-3</v>
      </c>
      <c r="AA96">
        <f t="shared" si="11"/>
        <v>2.2034300000000001E-3</v>
      </c>
    </row>
    <row r="97" spans="1:27" x14ac:dyDescent="0.3">
      <c r="A97">
        <v>92</v>
      </c>
      <c r="B97">
        <v>2.2289300000000001E-3</v>
      </c>
      <c r="C97">
        <v>0.12771299999999999</v>
      </c>
      <c r="D97">
        <v>57.425699999999999</v>
      </c>
      <c r="E97">
        <v>57.298000000000002</v>
      </c>
      <c r="F97">
        <v>2.2032900000000001E-3</v>
      </c>
      <c r="G97">
        <v>0.12617200000000001</v>
      </c>
      <c r="H97">
        <v>57.391500000000001</v>
      </c>
      <c r="I97">
        <v>57.265300000000003</v>
      </c>
      <c r="J97">
        <v>2.20498E-3</v>
      </c>
      <c r="K97">
        <v>0.125754</v>
      </c>
      <c r="L97">
        <v>57.157499999999999</v>
      </c>
      <c r="M97">
        <v>57.031799999999997</v>
      </c>
      <c r="N97">
        <v>2.16125E-3</v>
      </c>
      <c r="O97">
        <v>0.121485</v>
      </c>
      <c r="P97">
        <v>56.331899999999997</v>
      </c>
      <c r="Q97">
        <v>56.2104</v>
      </c>
      <c r="R97">
        <v>44.006</v>
      </c>
      <c r="S97">
        <v>44.006</v>
      </c>
      <c r="T97">
        <v>0.77769999999999995</v>
      </c>
      <c r="U97">
        <v>78.319299999999998</v>
      </c>
      <c r="V97">
        <f t="shared" si="6"/>
        <v>0.42685469805973403</v>
      </c>
      <c r="W97">
        <f t="shared" si="7"/>
        <v>2.2289300000000001E-3</v>
      </c>
      <c r="X97">
        <f t="shared" si="8"/>
        <v>2.2032900000000001E-3</v>
      </c>
      <c r="Y97">
        <f t="shared" si="9"/>
        <v>2.20498E-3</v>
      </c>
      <c r="Z97">
        <f t="shared" si="10"/>
        <v>2.16125E-3</v>
      </c>
      <c r="AA97">
        <f t="shared" si="11"/>
        <v>2.1996125000000003E-3</v>
      </c>
    </row>
    <row r="98" spans="1:27" x14ac:dyDescent="0.3">
      <c r="A98">
        <v>93</v>
      </c>
      <c r="B98">
        <v>2.2826299999999999E-3</v>
      </c>
      <c r="C98">
        <v>0.13078999999999999</v>
      </c>
      <c r="D98">
        <v>57.428800000000003</v>
      </c>
      <c r="E98">
        <v>57.298000000000002</v>
      </c>
      <c r="F98">
        <v>2.2631399999999999E-3</v>
      </c>
      <c r="G98">
        <v>0.12959899999999999</v>
      </c>
      <c r="H98">
        <v>57.3949</v>
      </c>
      <c r="I98">
        <v>57.265300000000003</v>
      </c>
      <c r="J98">
        <v>2.26844E-3</v>
      </c>
      <c r="K98">
        <v>0.12937299999999999</v>
      </c>
      <c r="L98">
        <v>57.161200000000001</v>
      </c>
      <c r="M98">
        <v>57.031799999999997</v>
      </c>
      <c r="N98">
        <v>2.23244E-3</v>
      </c>
      <c r="O98">
        <v>0.12548599999999999</v>
      </c>
      <c r="P98">
        <v>56.335900000000002</v>
      </c>
      <c r="Q98">
        <v>56.2104</v>
      </c>
      <c r="R98">
        <v>44.317999999999998</v>
      </c>
      <c r="S98">
        <v>44.317999999999998</v>
      </c>
      <c r="T98">
        <v>0.78710000000000002</v>
      </c>
      <c r="U98">
        <v>79.256200000000007</v>
      </c>
      <c r="V98">
        <f t="shared" si="6"/>
        <v>0.43196097667320693</v>
      </c>
      <c r="W98">
        <f t="shared" si="7"/>
        <v>2.2826299999999999E-3</v>
      </c>
      <c r="X98">
        <f t="shared" si="8"/>
        <v>2.2631399999999999E-3</v>
      </c>
      <c r="Y98">
        <f t="shared" si="9"/>
        <v>2.26844E-3</v>
      </c>
      <c r="Z98">
        <f t="shared" si="10"/>
        <v>2.23244E-3</v>
      </c>
      <c r="AA98">
        <f t="shared" si="11"/>
        <v>2.2616625E-3</v>
      </c>
    </row>
    <row r="99" spans="1:27" x14ac:dyDescent="0.3">
      <c r="A99">
        <v>94</v>
      </c>
      <c r="B99">
        <v>2.3245800000000001E-3</v>
      </c>
      <c r="C99">
        <v>0.13319400000000001</v>
      </c>
      <c r="D99">
        <v>57.431199999999997</v>
      </c>
      <c r="E99">
        <v>57.298000000000002</v>
      </c>
      <c r="F99">
        <v>2.3006699999999999E-3</v>
      </c>
      <c r="G99">
        <v>0.131749</v>
      </c>
      <c r="H99">
        <v>57.397100000000002</v>
      </c>
      <c r="I99">
        <v>57.265300000000003</v>
      </c>
      <c r="J99">
        <v>2.31226E-3</v>
      </c>
      <c r="K99">
        <v>0.13187199999999999</v>
      </c>
      <c r="L99">
        <v>57.163699999999999</v>
      </c>
      <c r="M99">
        <v>57.031799999999997</v>
      </c>
      <c r="N99">
        <v>2.2726600000000001E-3</v>
      </c>
      <c r="O99">
        <v>0.127747</v>
      </c>
      <c r="P99">
        <v>56.338200000000001</v>
      </c>
      <c r="Q99">
        <v>56.2104</v>
      </c>
      <c r="R99">
        <v>44.691000000000003</v>
      </c>
      <c r="S99">
        <v>44.691000000000003</v>
      </c>
      <c r="T99">
        <v>0.80059999999999998</v>
      </c>
      <c r="U99">
        <v>80.613200000000006</v>
      </c>
      <c r="V99">
        <f t="shared" si="6"/>
        <v>0.4393568781338566</v>
      </c>
      <c r="W99">
        <f t="shared" si="7"/>
        <v>2.3245800000000001E-3</v>
      </c>
      <c r="X99">
        <f t="shared" si="8"/>
        <v>2.3006699999999999E-3</v>
      </c>
      <c r="Y99">
        <f t="shared" si="9"/>
        <v>2.31226E-3</v>
      </c>
      <c r="Z99">
        <f t="shared" si="10"/>
        <v>2.2726600000000001E-3</v>
      </c>
      <c r="AA99">
        <f t="shared" si="11"/>
        <v>2.3025425E-3</v>
      </c>
    </row>
    <row r="100" spans="1:27" x14ac:dyDescent="0.3">
      <c r="A100">
        <v>95</v>
      </c>
      <c r="B100">
        <v>2.3974600000000001E-3</v>
      </c>
      <c r="C100">
        <v>0.13736999999999999</v>
      </c>
      <c r="D100">
        <v>57.435400000000001</v>
      </c>
      <c r="E100">
        <v>57.298000000000002</v>
      </c>
      <c r="F100">
        <v>2.3804799999999999E-3</v>
      </c>
      <c r="G100">
        <v>0.136319</v>
      </c>
      <c r="H100">
        <v>57.401600000000002</v>
      </c>
      <c r="I100">
        <v>57.265300000000003</v>
      </c>
      <c r="J100">
        <v>2.3964099999999999E-3</v>
      </c>
      <c r="K100">
        <v>0.13667099999999999</v>
      </c>
      <c r="L100">
        <v>57.168399999999998</v>
      </c>
      <c r="M100">
        <v>57.031799999999997</v>
      </c>
      <c r="N100">
        <v>2.34695E-3</v>
      </c>
      <c r="O100">
        <v>0.13192300000000001</v>
      </c>
      <c r="P100">
        <v>56.342300000000002</v>
      </c>
      <c r="Q100">
        <v>56.2104</v>
      </c>
      <c r="R100">
        <v>45.128</v>
      </c>
      <c r="S100">
        <v>45.128999999999998</v>
      </c>
      <c r="T100">
        <v>0.81030000000000002</v>
      </c>
      <c r="U100">
        <v>81.582499999999996</v>
      </c>
      <c r="V100">
        <f t="shared" si="6"/>
        <v>0.44463974275125356</v>
      </c>
      <c r="W100">
        <f t="shared" si="7"/>
        <v>2.3974600000000001E-3</v>
      </c>
      <c r="X100">
        <f t="shared" si="8"/>
        <v>2.3804799999999999E-3</v>
      </c>
      <c r="Y100">
        <f t="shared" si="9"/>
        <v>2.3964099999999999E-3</v>
      </c>
      <c r="Z100">
        <f t="shared" si="10"/>
        <v>2.34695E-3</v>
      </c>
      <c r="AA100">
        <f t="shared" si="11"/>
        <v>2.380325E-3</v>
      </c>
    </row>
    <row r="101" spans="1:27" x14ac:dyDescent="0.3">
      <c r="A101">
        <v>96</v>
      </c>
      <c r="B101">
        <v>2.3677099999999999E-3</v>
      </c>
      <c r="C101">
        <v>0.13566500000000001</v>
      </c>
      <c r="D101">
        <v>57.433700000000002</v>
      </c>
      <c r="E101">
        <v>57.298000000000002</v>
      </c>
      <c r="F101">
        <v>2.34497E-3</v>
      </c>
      <c r="G101">
        <v>0.13428499999999999</v>
      </c>
      <c r="H101">
        <v>57.3996</v>
      </c>
      <c r="I101">
        <v>57.265300000000003</v>
      </c>
      <c r="J101">
        <v>2.34885E-3</v>
      </c>
      <c r="K101">
        <v>0.13395899999999999</v>
      </c>
      <c r="L101">
        <v>57.165700000000001</v>
      </c>
      <c r="M101">
        <v>57.031799999999997</v>
      </c>
      <c r="N101">
        <v>2.30883E-3</v>
      </c>
      <c r="O101">
        <v>0.12978000000000001</v>
      </c>
      <c r="P101">
        <v>56.340200000000003</v>
      </c>
      <c r="Q101">
        <v>56.2104</v>
      </c>
      <c r="R101">
        <v>45.441000000000003</v>
      </c>
      <c r="S101">
        <v>45.441000000000003</v>
      </c>
      <c r="T101">
        <v>0.82120000000000004</v>
      </c>
      <c r="U101">
        <v>82.680999999999997</v>
      </c>
      <c r="V101">
        <f t="shared" si="6"/>
        <v>0.45062677131022455</v>
      </c>
      <c r="W101">
        <f t="shared" si="7"/>
        <v>2.3677099999999999E-3</v>
      </c>
      <c r="X101">
        <f t="shared" si="8"/>
        <v>2.34497E-3</v>
      </c>
      <c r="Y101">
        <f t="shared" si="9"/>
        <v>2.34885E-3</v>
      </c>
      <c r="Z101">
        <f t="shared" si="10"/>
        <v>2.30883E-3</v>
      </c>
      <c r="AA101">
        <f t="shared" si="11"/>
        <v>2.3425899999999999E-3</v>
      </c>
    </row>
    <row r="102" spans="1:27" x14ac:dyDescent="0.3">
      <c r="A102">
        <v>97</v>
      </c>
      <c r="B102">
        <v>2.4448400000000002E-3</v>
      </c>
      <c r="C102">
        <v>0.14008399999999999</v>
      </c>
      <c r="D102">
        <v>57.438099999999999</v>
      </c>
      <c r="E102">
        <v>57.298000000000002</v>
      </c>
      <c r="F102">
        <v>2.4275E-3</v>
      </c>
      <c r="G102">
        <v>0.139011</v>
      </c>
      <c r="H102">
        <v>57.404299999999999</v>
      </c>
      <c r="I102">
        <v>57.265300000000003</v>
      </c>
      <c r="J102">
        <v>2.44123E-3</v>
      </c>
      <c r="K102">
        <v>0.13922699999999999</v>
      </c>
      <c r="L102">
        <v>57.170999999999999</v>
      </c>
      <c r="M102">
        <v>57.031799999999997</v>
      </c>
      <c r="N102">
        <v>2.4012899999999999E-3</v>
      </c>
      <c r="O102">
        <v>0.13497799999999999</v>
      </c>
      <c r="P102">
        <v>56.345399999999998</v>
      </c>
      <c r="Q102">
        <v>56.2104</v>
      </c>
      <c r="R102">
        <v>45.939</v>
      </c>
      <c r="S102">
        <v>45.939</v>
      </c>
      <c r="T102">
        <v>0.83350000000000002</v>
      </c>
      <c r="U102">
        <v>83.908799999999999</v>
      </c>
      <c r="V102">
        <f t="shared" si="6"/>
        <v>0.4573185088293002</v>
      </c>
      <c r="W102">
        <f t="shared" si="7"/>
        <v>2.4448400000000002E-3</v>
      </c>
      <c r="X102">
        <f t="shared" si="8"/>
        <v>2.4275E-3</v>
      </c>
      <c r="Y102">
        <f t="shared" si="9"/>
        <v>2.44123E-3</v>
      </c>
      <c r="Z102">
        <f t="shared" si="10"/>
        <v>2.4012899999999999E-3</v>
      </c>
      <c r="AA102">
        <f t="shared" si="11"/>
        <v>2.4287150000000001E-3</v>
      </c>
    </row>
    <row r="103" spans="1:27" x14ac:dyDescent="0.3">
      <c r="A103">
        <v>98</v>
      </c>
      <c r="B103">
        <v>2.4743999999999999E-3</v>
      </c>
      <c r="C103">
        <v>0.14177799999999999</v>
      </c>
      <c r="D103">
        <v>57.439799999999998</v>
      </c>
      <c r="E103">
        <v>57.298000000000002</v>
      </c>
      <c r="F103">
        <v>2.4485100000000001E-3</v>
      </c>
      <c r="G103">
        <v>0.14021400000000001</v>
      </c>
      <c r="H103">
        <v>57.405500000000004</v>
      </c>
      <c r="I103">
        <v>57.265300000000003</v>
      </c>
      <c r="J103">
        <v>2.45546E-3</v>
      </c>
      <c r="K103">
        <v>0.14004</v>
      </c>
      <c r="L103">
        <v>57.171799999999998</v>
      </c>
      <c r="M103">
        <v>57.031799999999997</v>
      </c>
      <c r="N103">
        <v>2.4141000000000002E-3</v>
      </c>
      <c r="O103">
        <v>0.13569800000000001</v>
      </c>
      <c r="P103">
        <v>56.3461</v>
      </c>
      <c r="Q103">
        <v>56.2104</v>
      </c>
      <c r="R103">
        <v>46.064999999999998</v>
      </c>
      <c r="S103">
        <v>46.064999999999998</v>
      </c>
      <c r="T103">
        <v>0.83640000000000003</v>
      </c>
      <c r="U103">
        <v>84.199600000000004</v>
      </c>
      <c r="V103">
        <f t="shared" si="6"/>
        <v>0.45890342271637236</v>
      </c>
      <c r="W103">
        <f t="shared" si="7"/>
        <v>2.4743999999999999E-3</v>
      </c>
      <c r="X103">
        <f t="shared" si="8"/>
        <v>2.4485100000000001E-3</v>
      </c>
      <c r="Y103">
        <f t="shared" si="9"/>
        <v>2.45546E-3</v>
      </c>
      <c r="Z103">
        <f t="shared" si="10"/>
        <v>2.4141000000000002E-3</v>
      </c>
      <c r="AA103">
        <f t="shared" si="11"/>
        <v>2.4481175000000003E-3</v>
      </c>
    </row>
    <row r="104" spans="1:27" x14ac:dyDescent="0.3">
      <c r="A104">
        <v>99</v>
      </c>
      <c r="B104">
        <v>2.4973500000000002E-3</v>
      </c>
      <c r="C104">
        <v>0.143093</v>
      </c>
      <c r="D104">
        <v>57.441099999999999</v>
      </c>
      <c r="E104">
        <v>57.298000000000002</v>
      </c>
      <c r="F104">
        <v>2.47124E-3</v>
      </c>
      <c r="G104">
        <v>0.141516</v>
      </c>
      <c r="H104">
        <v>57.406799999999997</v>
      </c>
      <c r="I104">
        <v>57.265300000000003</v>
      </c>
      <c r="J104">
        <v>2.4814300000000002E-3</v>
      </c>
      <c r="K104">
        <v>0.14152000000000001</v>
      </c>
      <c r="L104">
        <v>57.173299999999998</v>
      </c>
      <c r="M104">
        <v>57.031799999999997</v>
      </c>
      <c r="N104">
        <v>2.4399600000000001E-3</v>
      </c>
      <c r="O104">
        <v>0.137151</v>
      </c>
      <c r="P104">
        <v>56.3476</v>
      </c>
      <c r="Q104">
        <v>56.2104</v>
      </c>
      <c r="R104">
        <v>46.564</v>
      </c>
      <c r="S104">
        <v>46.564</v>
      </c>
      <c r="T104">
        <v>0.85250000000000004</v>
      </c>
      <c r="U104">
        <v>85.814999999999998</v>
      </c>
      <c r="V104">
        <f t="shared" si="6"/>
        <v>0.46770765206017001</v>
      </c>
      <c r="W104">
        <f t="shared" si="7"/>
        <v>2.4973500000000002E-3</v>
      </c>
      <c r="X104">
        <f t="shared" si="8"/>
        <v>2.47124E-3</v>
      </c>
      <c r="Y104">
        <f t="shared" si="9"/>
        <v>2.4814300000000002E-3</v>
      </c>
      <c r="Z104">
        <f t="shared" si="10"/>
        <v>2.4399600000000001E-3</v>
      </c>
      <c r="AA104">
        <f t="shared" si="11"/>
        <v>2.4724949999999999E-3</v>
      </c>
    </row>
    <row r="105" spans="1:27" x14ac:dyDescent="0.3">
      <c r="A105">
        <v>100</v>
      </c>
      <c r="B105">
        <v>2.5024000000000001E-3</v>
      </c>
      <c r="C105">
        <v>0.14338200000000001</v>
      </c>
      <c r="D105">
        <v>57.441400000000002</v>
      </c>
      <c r="E105">
        <v>57.298000000000002</v>
      </c>
      <c r="F105">
        <v>2.4826700000000002E-3</v>
      </c>
      <c r="G105">
        <v>0.14217099999999999</v>
      </c>
      <c r="H105">
        <v>57.407499999999999</v>
      </c>
      <c r="I105">
        <v>57.265300000000003</v>
      </c>
      <c r="J105">
        <v>2.4962500000000002E-3</v>
      </c>
      <c r="K105">
        <v>0.14236599999999999</v>
      </c>
      <c r="L105">
        <v>57.174100000000003</v>
      </c>
      <c r="M105">
        <v>57.031799999999997</v>
      </c>
      <c r="N105">
        <v>2.4504000000000001E-3</v>
      </c>
      <c r="O105">
        <v>0.137738</v>
      </c>
      <c r="P105">
        <v>56.348100000000002</v>
      </c>
      <c r="Q105">
        <v>56.2104</v>
      </c>
      <c r="R105">
        <v>46.688000000000002</v>
      </c>
      <c r="S105">
        <v>46.688000000000002</v>
      </c>
      <c r="T105">
        <v>0.85599999999999998</v>
      </c>
      <c r="U105">
        <v>86.170400000000001</v>
      </c>
      <c r="V105">
        <f t="shared" si="6"/>
        <v>0.46964464791802918</v>
      </c>
      <c r="W105">
        <f t="shared" si="7"/>
        <v>2.5024000000000001E-3</v>
      </c>
      <c r="X105">
        <f t="shared" si="8"/>
        <v>2.4826700000000002E-3</v>
      </c>
      <c r="Y105">
        <f t="shared" si="9"/>
        <v>2.4962500000000002E-3</v>
      </c>
      <c r="Z105">
        <f t="shared" si="10"/>
        <v>2.4504000000000001E-3</v>
      </c>
      <c r="AA105">
        <f t="shared" si="11"/>
        <v>2.4829300000000004E-3</v>
      </c>
    </row>
    <row r="106" spans="1:27" x14ac:dyDescent="0.3">
      <c r="A106">
        <v>101</v>
      </c>
      <c r="B106">
        <v>2.5953199999999999E-3</v>
      </c>
      <c r="C106">
        <v>0.14870700000000001</v>
      </c>
      <c r="D106">
        <v>57.4467</v>
      </c>
      <c r="E106">
        <v>57.298000000000002</v>
      </c>
      <c r="F106">
        <v>2.5706499999999998E-3</v>
      </c>
      <c r="G106">
        <v>0.14720900000000001</v>
      </c>
      <c r="H106">
        <v>57.412500000000001</v>
      </c>
      <c r="I106">
        <v>57.265300000000003</v>
      </c>
      <c r="J106">
        <v>2.58442E-3</v>
      </c>
      <c r="K106">
        <v>0.147394</v>
      </c>
      <c r="L106">
        <v>57.179200000000002</v>
      </c>
      <c r="M106">
        <v>57.031799999999997</v>
      </c>
      <c r="N106">
        <v>2.5419599999999998E-3</v>
      </c>
      <c r="O106">
        <v>0.14288400000000001</v>
      </c>
      <c r="P106">
        <v>56.353299999999997</v>
      </c>
      <c r="Q106">
        <v>56.2104</v>
      </c>
      <c r="R106">
        <v>47.375</v>
      </c>
      <c r="S106">
        <v>47.375</v>
      </c>
      <c r="T106">
        <v>0.87949999999999995</v>
      </c>
      <c r="U106">
        <v>88.528999999999996</v>
      </c>
      <c r="V106">
        <f t="shared" si="6"/>
        <v>0.4824994549814694</v>
      </c>
      <c r="W106">
        <f t="shared" si="7"/>
        <v>2.5953199999999999E-3</v>
      </c>
      <c r="X106">
        <f t="shared" si="8"/>
        <v>2.5706499999999998E-3</v>
      </c>
      <c r="Y106">
        <f t="shared" si="9"/>
        <v>2.58442E-3</v>
      </c>
      <c r="Z106">
        <f t="shared" si="10"/>
        <v>2.5419599999999998E-3</v>
      </c>
      <c r="AA106">
        <f t="shared" si="11"/>
        <v>2.5730874999999997E-3</v>
      </c>
    </row>
    <row r="107" spans="1:27" x14ac:dyDescent="0.3">
      <c r="A107">
        <v>102</v>
      </c>
      <c r="B107">
        <v>2.61933E-3</v>
      </c>
      <c r="C107">
        <v>0.15008299999999999</v>
      </c>
      <c r="D107">
        <v>57.448099999999997</v>
      </c>
      <c r="E107">
        <v>57.298000000000002</v>
      </c>
      <c r="F107">
        <v>2.59034E-3</v>
      </c>
      <c r="G107">
        <v>0.148337</v>
      </c>
      <c r="H107">
        <v>57.413600000000002</v>
      </c>
      <c r="I107">
        <v>57.265300000000003</v>
      </c>
      <c r="J107">
        <v>2.5978199999999998E-3</v>
      </c>
      <c r="K107">
        <v>0.14815800000000001</v>
      </c>
      <c r="L107">
        <v>57.179900000000004</v>
      </c>
      <c r="M107">
        <v>57.031799999999997</v>
      </c>
      <c r="N107">
        <v>2.5478699999999998E-3</v>
      </c>
      <c r="O107">
        <v>0.14321700000000001</v>
      </c>
      <c r="P107">
        <v>56.3536</v>
      </c>
      <c r="Q107">
        <v>56.2104</v>
      </c>
      <c r="R107">
        <v>47.811</v>
      </c>
      <c r="S107">
        <v>47.811</v>
      </c>
      <c r="T107">
        <v>0.88570000000000004</v>
      </c>
      <c r="U107">
        <v>89.142899999999997</v>
      </c>
      <c r="V107">
        <f t="shared" si="6"/>
        <v>0.4858453237410072</v>
      </c>
      <c r="W107">
        <f t="shared" si="7"/>
        <v>2.61933E-3</v>
      </c>
      <c r="X107">
        <f t="shared" si="8"/>
        <v>2.59034E-3</v>
      </c>
      <c r="Y107">
        <f t="shared" si="9"/>
        <v>2.5978199999999998E-3</v>
      </c>
      <c r="Z107">
        <f t="shared" si="10"/>
        <v>2.5478699999999998E-3</v>
      </c>
      <c r="AA107">
        <f t="shared" si="11"/>
        <v>2.5888399999999998E-3</v>
      </c>
    </row>
    <row r="108" spans="1:27" x14ac:dyDescent="0.3">
      <c r="A108">
        <v>103</v>
      </c>
      <c r="B108">
        <v>2.69345E-3</v>
      </c>
      <c r="C108">
        <v>0.15432899999999999</v>
      </c>
      <c r="D108">
        <v>57.452399999999997</v>
      </c>
      <c r="E108">
        <v>57.298000000000002</v>
      </c>
      <c r="F108">
        <v>2.6639200000000002E-3</v>
      </c>
      <c r="G108">
        <v>0.15254999999999999</v>
      </c>
      <c r="H108">
        <v>57.417900000000003</v>
      </c>
      <c r="I108">
        <v>57.265300000000003</v>
      </c>
      <c r="J108">
        <v>2.6798500000000001E-3</v>
      </c>
      <c r="K108">
        <v>0.152837</v>
      </c>
      <c r="L108">
        <v>57.184600000000003</v>
      </c>
      <c r="M108">
        <v>57.031799999999997</v>
      </c>
      <c r="N108">
        <v>2.6427E-3</v>
      </c>
      <c r="O108">
        <v>0.14854700000000001</v>
      </c>
      <c r="P108">
        <v>56.359000000000002</v>
      </c>
      <c r="Q108">
        <v>56.2104</v>
      </c>
      <c r="R108">
        <v>48.375</v>
      </c>
      <c r="S108">
        <v>48.375</v>
      </c>
      <c r="T108">
        <v>0.89500000000000002</v>
      </c>
      <c r="U108">
        <v>90.079800000000006</v>
      </c>
      <c r="V108">
        <f t="shared" si="6"/>
        <v>0.4909516023544801</v>
      </c>
      <c r="W108">
        <f t="shared" si="7"/>
        <v>2.69345E-3</v>
      </c>
      <c r="X108">
        <f t="shared" si="8"/>
        <v>2.6639200000000002E-3</v>
      </c>
      <c r="Y108">
        <f t="shared" si="9"/>
        <v>2.6798500000000001E-3</v>
      </c>
      <c r="Z108">
        <f t="shared" si="10"/>
        <v>2.6427E-3</v>
      </c>
      <c r="AA108">
        <f t="shared" si="11"/>
        <v>2.6699800000000002E-3</v>
      </c>
    </row>
    <row r="109" spans="1:27" x14ac:dyDescent="0.3">
      <c r="A109">
        <v>104</v>
      </c>
      <c r="B109">
        <v>2.7231E-3</v>
      </c>
      <c r="C109">
        <v>0.156028</v>
      </c>
      <c r="D109">
        <v>57.454099999999997</v>
      </c>
      <c r="E109">
        <v>57.298000000000002</v>
      </c>
      <c r="F109">
        <v>2.7043599999999998E-3</v>
      </c>
      <c r="G109">
        <v>0.154866</v>
      </c>
      <c r="H109">
        <v>57.420200000000001</v>
      </c>
      <c r="I109">
        <v>57.265300000000003</v>
      </c>
      <c r="J109">
        <v>2.7140799999999998E-3</v>
      </c>
      <c r="K109">
        <v>0.15478900000000001</v>
      </c>
      <c r="L109">
        <v>57.186599999999999</v>
      </c>
      <c r="M109">
        <v>57.031799999999997</v>
      </c>
      <c r="N109">
        <v>2.6683000000000002E-3</v>
      </c>
      <c r="O109">
        <v>0.14998600000000001</v>
      </c>
      <c r="P109">
        <v>56.360399999999998</v>
      </c>
      <c r="Q109">
        <v>56.2104</v>
      </c>
      <c r="R109">
        <v>48.933999999999997</v>
      </c>
      <c r="S109">
        <v>48.933999999999997</v>
      </c>
      <c r="T109">
        <v>0.90790000000000004</v>
      </c>
      <c r="U109">
        <v>91.372200000000007</v>
      </c>
      <c r="V109">
        <f t="shared" si="6"/>
        <v>0.49799542184434276</v>
      </c>
      <c r="W109">
        <f t="shared" si="7"/>
        <v>2.7231E-3</v>
      </c>
      <c r="X109">
        <f t="shared" si="8"/>
        <v>2.7043599999999998E-3</v>
      </c>
      <c r="Y109">
        <f t="shared" si="9"/>
        <v>2.7140799999999998E-3</v>
      </c>
      <c r="Z109">
        <f t="shared" si="10"/>
        <v>2.6683000000000002E-3</v>
      </c>
      <c r="AA109">
        <f t="shared" si="11"/>
        <v>2.7024599999999998E-3</v>
      </c>
    </row>
    <row r="110" spans="1:27" x14ac:dyDescent="0.3">
      <c r="A110">
        <v>105</v>
      </c>
      <c r="B110">
        <v>2.8034599999999998E-3</v>
      </c>
      <c r="C110">
        <v>0.160632</v>
      </c>
      <c r="D110">
        <v>57.4587</v>
      </c>
      <c r="E110">
        <v>57.298000000000002</v>
      </c>
      <c r="F110">
        <v>2.76961E-3</v>
      </c>
      <c r="G110">
        <v>0.15860299999999999</v>
      </c>
      <c r="H110">
        <v>57.423900000000003</v>
      </c>
      <c r="I110">
        <v>57.265300000000003</v>
      </c>
      <c r="J110">
        <v>2.78261E-3</v>
      </c>
      <c r="K110">
        <v>0.158697</v>
      </c>
      <c r="L110">
        <v>57.1905</v>
      </c>
      <c r="M110">
        <v>57.031799999999997</v>
      </c>
      <c r="N110">
        <v>2.7325299999999999E-3</v>
      </c>
      <c r="O110">
        <v>0.15359600000000001</v>
      </c>
      <c r="P110">
        <v>56.363999999999997</v>
      </c>
      <c r="Q110">
        <v>56.2104</v>
      </c>
      <c r="R110">
        <v>49.246000000000002</v>
      </c>
      <c r="S110">
        <v>49.246000000000002</v>
      </c>
      <c r="T110">
        <v>0.9224</v>
      </c>
      <c r="U110">
        <v>92.826099999999997</v>
      </c>
      <c r="V110">
        <f t="shared" si="6"/>
        <v>0.50591944626117291</v>
      </c>
      <c r="W110">
        <f t="shared" si="7"/>
        <v>2.8034599999999998E-3</v>
      </c>
      <c r="X110">
        <f t="shared" si="8"/>
        <v>2.76961E-3</v>
      </c>
      <c r="Y110">
        <f t="shared" si="9"/>
        <v>2.78261E-3</v>
      </c>
      <c r="Z110">
        <f t="shared" si="10"/>
        <v>2.7325299999999999E-3</v>
      </c>
      <c r="AA110">
        <f t="shared" si="11"/>
        <v>2.7720524999999998E-3</v>
      </c>
    </row>
    <row r="111" spans="1:27" x14ac:dyDescent="0.3">
      <c r="A111">
        <v>106</v>
      </c>
      <c r="B111">
        <v>2.8662200000000001E-3</v>
      </c>
      <c r="C111">
        <v>0.16422900000000001</v>
      </c>
      <c r="D111">
        <v>57.462299999999999</v>
      </c>
      <c r="E111">
        <v>57.298000000000002</v>
      </c>
      <c r="F111">
        <v>2.82921E-3</v>
      </c>
      <c r="G111">
        <v>0.16201599999999999</v>
      </c>
      <c r="H111">
        <v>57.427300000000002</v>
      </c>
      <c r="I111">
        <v>57.265300000000003</v>
      </c>
      <c r="J111">
        <v>2.8376299999999998E-3</v>
      </c>
      <c r="K111">
        <v>0.16183500000000001</v>
      </c>
      <c r="L111">
        <v>57.193600000000004</v>
      </c>
      <c r="M111">
        <v>57.031799999999997</v>
      </c>
      <c r="N111">
        <v>2.7858800000000001E-3</v>
      </c>
      <c r="O111">
        <v>0.15659500000000001</v>
      </c>
      <c r="P111">
        <v>56.366999999999997</v>
      </c>
      <c r="Q111">
        <v>56.2104</v>
      </c>
      <c r="R111">
        <v>49.744999999999997</v>
      </c>
      <c r="S111">
        <v>49.744999999999997</v>
      </c>
      <c r="T111">
        <v>0.93210000000000004</v>
      </c>
      <c r="U111">
        <v>93.795400000000001</v>
      </c>
      <c r="V111">
        <f t="shared" si="6"/>
        <v>0.51120231087856993</v>
      </c>
      <c r="W111">
        <f t="shared" si="7"/>
        <v>2.8662200000000001E-3</v>
      </c>
      <c r="X111">
        <f t="shared" si="8"/>
        <v>2.82921E-3</v>
      </c>
      <c r="Y111">
        <f t="shared" si="9"/>
        <v>2.8376299999999998E-3</v>
      </c>
      <c r="Z111">
        <f t="shared" si="10"/>
        <v>2.7858800000000001E-3</v>
      </c>
      <c r="AA111">
        <f t="shared" si="11"/>
        <v>2.8297349999999999E-3</v>
      </c>
    </row>
    <row r="112" spans="1:27" x14ac:dyDescent="0.3">
      <c r="A112">
        <v>107</v>
      </c>
      <c r="B112">
        <v>2.9072199999999999E-3</v>
      </c>
      <c r="C112">
        <v>0.166578</v>
      </c>
      <c r="D112">
        <v>57.464599999999997</v>
      </c>
      <c r="E112">
        <v>57.298000000000002</v>
      </c>
      <c r="F112">
        <v>2.8729599999999999E-3</v>
      </c>
      <c r="G112">
        <v>0.164521</v>
      </c>
      <c r="H112">
        <v>57.4298</v>
      </c>
      <c r="I112">
        <v>57.265300000000003</v>
      </c>
      <c r="J112">
        <v>2.8880400000000001E-3</v>
      </c>
      <c r="K112">
        <v>0.16471</v>
      </c>
      <c r="L112">
        <v>57.1965</v>
      </c>
      <c r="M112">
        <v>57.031799999999997</v>
      </c>
      <c r="N112">
        <v>2.82702E-3</v>
      </c>
      <c r="O112">
        <v>0.15890799999999999</v>
      </c>
      <c r="P112">
        <v>56.369300000000003</v>
      </c>
      <c r="Q112">
        <v>56.2104</v>
      </c>
      <c r="R112">
        <v>50.244999999999997</v>
      </c>
      <c r="S112">
        <v>50.244999999999997</v>
      </c>
      <c r="T112">
        <v>0.9456</v>
      </c>
      <c r="U112">
        <v>95.1524</v>
      </c>
      <c r="V112">
        <f t="shared" si="6"/>
        <v>0.51859821233921954</v>
      </c>
      <c r="W112">
        <f t="shared" si="7"/>
        <v>2.9072199999999999E-3</v>
      </c>
      <c r="X112">
        <f t="shared" si="8"/>
        <v>2.8729599999999999E-3</v>
      </c>
      <c r="Y112">
        <f t="shared" si="9"/>
        <v>2.8880400000000001E-3</v>
      </c>
      <c r="Z112">
        <f t="shared" si="10"/>
        <v>2.82702E-3</v>
      </c>
      <c r="AA112">
        <f t="shared" si="11"/>
        <v>2.8738099999999996E-3</v>
      </c>
    </row>
    <row r="113" spans="1:27" x14ac:dyDescent="0.3">
      <c r="A113">
        <v>108</v>
      </c>
      <c r="B113">
        <v>2.91589E-3</v>
      </c>
      <c r="C113">
        <v>0.167075</v>
      </c>
      <c r="D113">
        <v>57.4651</v>
      </c>
      <c r="E113">
        <v>57.298000000000002</v>
      </c>
      <c r="F113">
        <v>2.88529E-3</v>
      </c>
      <c r="G113">
        <v>0.16522700000000001</v>
      </c>
      <c r="H113">
        <v>57.430500000000002</v>
      </c>
      <c r="I113">
        <v>57.265300000000003</v>
      </c>
      <c r="J113">
        <v>2.8955999999999999E-3</v>
      </c>
      <c r="K113">
        <v>0.16514100000000001</v>
      </c>
      <c r="L113">
        <v>57.196899999999999</v>
      </c>
      <c r="M113">
        <v>57.031799999999997</v>
      </c>
      <c r="N113">
        <v>2.8473499999999998E-3</v>
      </c>
      <c r="O113">
        <v>0.160051</v>
      </c>
      <c r="P113">
        <v>56.3705</v>
      </c>
      <c r="Q113">
        <v>56.2104</v>
      </c>
      <c r="R113">
        <v>50.494999999999997</v>
      </c>
      <c r="S113">
        <v>50.494999999999997</v>
      </c>
      <c r="T113">
        <v>0.95299999999999996</v>
      </c>
      <c r="U113">
        <v>95.895499999999998</v>
      </c>
      <c r="V113">
        <f t="shared" si="6"/>
        <v>0.52264824504033136</v>
      </c>
      <c r="W113">
        <f t="shared" si="7"/>
        <v>2.91589E-3</v>
      </c>
      <c r="X113">
        <f t="shared" si="8"/>
        <v>2.88529E-3</v>
      </c>
      <c r="Y113">
        <f t="shared" si="9"/>
        <v>2.8955999999999999E-3</v>
      </c>
      <c r="Z113">
        <f t="shared" si="10"/>
        <v>2.8473499999999998E-3</v>
      </c>
      <c r="AA113">
        <f t="shared" si="11"/>
        <v>2.8860324999999999E-3</v>
      </c>
    </row>
    <row r="114" spans="1:27" x14ac:dyDescent="0.3">
      <c r="A114">
        <v>109</v>
      </c>
      <c r="B114">
        <v>2.9443899999999999E-3</v>
      </c>
      <c r="C114">
        <v>0.168708</v>
      </c>
      <c r="D114">
        <v>57.466700000000003</v>
      </c>
      <c r="E114">
        <v>57.298000000000002</v>
      </c>
      <c r="F114">
        <v>2.90873E-3</v>
      </c>
      <c r="G114">
        <v>0.16656899999999999</v>
      </c>
      <c r="H114">
        <v>57.431899999999999</v>
      </c>
      <c r="I114">
        <v>57.265300000000003</v>
      </c>
      <c r="J114">
        <v>2.9200599999999999E-3</v>
      </c>
      <c r="K114">
        <v>0.16653599999999999</v>
      </c>
      <c r="L114">
        <v>57.198300000000003</v>
      </c>
      <c r="M114">
        <v>57.031799999999997</v>
      </c>
      <c r="N114">
        <v>2.8712199999999998E-3</v>
      </c>
      <c r="O114">
        <v>0.16139200000000001</v>
      </c>
      <c r="P114">
        <v>56.3718</v>
      </c>
      <c r="Q114">
        <v>56.2104</v>
      </c>
      <c r="R114">
        <v>50.808</v>
      </c>
      <c r="S114">
        <v>50.808</v>
      </c>
      <c r="T114">
        <v>0.9637</v>
      </c>
      <c r="U114">
        <v>96.961699999999993</v>
      </c>
      <c r="V114">
        <f t="shared" si="6"/>
        <v>0.52845923261390881</v>
      </c>
      <c r="W114">
        <f t="shared" si="7"/>
        <v>2.9443899999999999E-3</v>
      </c>
      <c r="X114">
        <f t="shared" si="8"/>
        <v>2.90873E-3</v>
      </c>
      <c r="Y114">
        <f t="shared" si="9"/>
        <v>2.9200599999999999E-3</v>
      </c>
      <c r="Z114">
        <f t="shared" si="10"/>
        <v>2.8712199999999998E-3</v>
      </c>
      <c r="AA114">
        <f t="shared" si="11"/>
        <v>2.9110999999999998E-3</v>
      </c>
    </row>
    <row r="115" spans="1:27" x14ac:dyDescent="0.3">
      <c r="A115">
        <v>110</v>
      </c>
      <c r="B115">
        <v>3.0169900000000002E-3</v>
      </c>
      <c r="C115">
        <v>0.17286799999999999</v>
      </c>
      <c r="D115">
        <v>57.4709</v>
      </c>
      <c r="E115">
        <v>57.298000000000002</v>
      </c>
      <c r="F115">
        <v>2.9861599999999999E-3</v>
      </c>
      <c r="G115">
        <v>0.17100399999999999</v>
      </c>
      <c r="H115">
        <v>57.436300000000003</v>
      </c>
      <c r="I115">
        <v>57.265300000000003</v>
      </c>
      <c r="J115">
        <v>2.9979199999999998E-3</v>
      </c>
      <c r="K115">
        <v>0.17097699999999999</v>
      </c>
      <c r="L115">
        <v>57.202800000000003</v>
      </c>
      <c r="M115">
        <v>57.031799999999997</v>
      </c>
      <c r="N115">
        <v>2.9459299999999998E-3</v>
      </c>
      <c r="O115">
        <v>0.16559199999999999</v>
      </c>
      <c r="P115">
        <v>56.375999999999998</v>
      </c>
      <c r="Q115">
        <v>56.2104</v>
      </c>
      <c r="R115">
        <v>51.368000000000002</v>
      </c>
      <c r="S115">
        <v>51.369</v>
      </c>
      <c r="T115">
        <v>0.97399999999999998</v>
      </c>
      <c r="U115">
        <v>97.995599999999996</v>
      </c>
      <c r="V115">
        <f t="shared" si="6"/>
        <v>0.5340941792020929</v>
      </c>
      <c r="W115">
        <f t="shared" si="7"/>
        <v>3.0169900000000002E-3</v>
      </c>
      <c r="X115">
        <f t="shared" si="8"/>
        <v>2.9861599999999999E-3</v>
      </c>
      <c r="Y115">
        <f t="shared" si="9"/>
        <v>2.9979199999999998E-3</v>
      </c>
      <c r="Z115">
        <f t="shared" si="10"/>
        <v>2.9459299999999998E-3</v>
      </c>
      <c r="AA115">
        <f t="shared" si="11"/>
        <v>2.9867499999999998E-3</v>
      </c>
    </row>
    <row r="116" spans="1:27" x14ac:dyDescent="0.3">
      <c r="A116">
        <v>111</v>
      </c>
      <c r="B116">
        <v>3.0517700000000001E-3</v>
      </c>
      <c r="C116">
        <v>0.17485999999999999</v>
      </c>
      <c r="D116">
        <v>57.472900000000003</v>
      </c>
      <c r="E116">
        <v>57.298000000000002</v>
      </c>
      <c r="F116">
        <v>3.0116499999999998E-3</v>
      </c>
      <c r="G116">
        <v>0.17246300000000001</v>
      </c>
      <c r="H116">
        <v>57.437800000000003</v>
      </c>
      <c r="I116">
        <v>57.265300000000003</v>
      </c>
      <c r="J116">
        <v>3.0238700000000001E-3</v>
      </c>
      <c r="K116">
        <v>0.172457</v>
      </c>
      <c r="L116">
        <v>57.2042</v>
      </c>
      <c r="M116">
        <v>57.031799999999997</v>
      </c>
      <c r="N116">
        <v>2.9706899999999998E-3</v>
      </c>
      <c r="O116">
        <v>0.16698399999999999</v>
      </c>
      <c r="P116">
        <v>56.377400000000002</v>
      </c>
      <c r="Q116">
        <v>56.2104</v>
      </c>
      <c r="R116">
        <v>51.494999999999997</v>
      </c>
      <c r="S116">
        <v>51.494999999999997</v>
      </c>
      <c r="T116">
        <v>0.9778</v>
      </c>
      <c r="U116">
        <v>98.383300000000006</v>
      </c>
      <c r="V116">
        <f t="shared" si="6"/>
        <v>0.5362072160453456</v>
      </c>
      <c r="W116">
        <f t="shared" si="7"/>
        <v>3.0517700000000001E-3</v>
      </c>
      <c r="X116">
        <f t="shared" si="8"/>
        <v>3.0116499999999998E-3</v>
      </c>
      <c r="Y116">
        <f t="shared" si="9"/>
        <v>3.0238700000000001E-3</v>
      </c>
      <c r="Z116">
        <f t="shared" si="10"/>
        <v>2.9706899999999998E-3</v>
      </c>
      <c r="AA116">
        <f t="shared" si="11"/>
        <v>3.0144949999999998E-3</v>
      </c>
    </row>
    <row r="117" spans="1:27" x14ac:dyDescent="0.3">
      <c r="A117">
        <v>112</v>
      </c>
      <c r="B117">
        <v>3.0819799999999998E-3</v>
      </c>
      <c r="C117">
        <v>0.176591</v>
      </c>
      <c r="D117">
        <v>57.474600000000002</v>
      </c>
      <c r="E117">
        <v>57.298000000000002</v>
      </c>
      <c r="F117">
        <v>3.04806E-3</v>
      </c>
      <c r="G117">
        <v>0.17454800000000001</v>
      </c>
      <c r="H117">
        <v>57.439900000000002</v>
      </c>
      <c r="I117">
        <v>57.265300000000003</v>
      </c>
      <c r="J117">
        <v>3.06237E-3</v>
      </c>
      <c r="K117">
        <v>0.174652</v>
      </c>
      <c r="L117">
        <v>57.206400000000002</v>
      </c>
      <c r="M117">
        <v>57.031799999999997</v>
      </c>
      <c r="N117">
        <v>3.0086399999999999E-3</v>
      </c>
      <c r="O117">
        <v>0.16911699999999999</v>
      </c>
      <c r="P117">
        <v>56.3795</v>
      </c>
      <c r="Q117">
        <v>56.2104</v>
      </c>
      <c r="R117">
        <v>52.116999999999997</v>
      </c>
      <c r="S117">
        <v>52.118000000000002</v>
      </c>
      <c r="T117">
        <v>0.99109999999999998</v>
      </c>
      <c r="U117">
        <v>99.707999999999998</v>
      </c>
      <c r="V117">
        <f t="shared" si="6"/>
        <v>0.54342707652060174</v>
      </c>
      <c r="W117">
        <f t="shared" si="7"/>
        <v>3.0819799999999998E-3</v>
      </c>
      <c r="X117">
        <f t="shared" si="8"/>
        <v>3.04806E-3</v>
      </c>
      <c r="Y117">
        <f t="shared" si="9"/>
        <v>3.06237E-3</v>
      </c>
      <c r="Z117">
        <f t="shared" si="10"/>
        <v>3.0086399999999999E-3</v>
      </c>
      <c r="AA117">
        <f t="shared" si="11"/>
        <v>3.0502624999999999E-3</v>
      </c>
    </row>
    <row r="118" spans="1:27" x14ac:dyDescent="0.3">
      <c r="A118">
        <v>113</v>
      </c>
      <c r="B118">
        <v>3.0913899999999998E-3</v>
      </c>
      <c r="C118">
        <v>0.17713000000000001</v>
      </c>
      <c r="D118">
        <v>57.475200000000001</v>
      </c>
      <c r="E118">
        <v>57.298000000000002</v>
      </c>
      <c r="F118">
        <v>3.0546900000000001E-3</v>
      </c>
      <c r="G118">
        <v>0.174928</v>
      </c>
      <c r="H118">
        <v>57.440199999999997</v>
      </c>
      <c r="I118">
        <v>57.265300000000003</v>
      </c>
      <c r="J118">
        <v>3.0733000000000002E-3</v>
      </c>
      <c r="K118">
        <v>0.17527599999999999</v>
      </c>
      <c r="L118">
        <v>57.207099999999997</v>
      </c>
      <c r="M118">
        <v>57.031799999999997</v>
      </c>
      <c r="N118">
        <v>3.0251399999999999E-3</v>
      </c>
      <c r="O118">
        <v>0.170044</v>
      </c>
      <c r="P118">
        <v>56.380400000000002</v>
      </c>
      <c r="Q118">
        <v>56.2104</v>
      </c>
      <c r="R118">
        <v>52.305999999999997</v>
      </c>
      <c r="S118">
        <v>52.307000000000002</v>
      </c>
      <c r="T118">
        <v>0.99229999999999996</v>
      </c>
      <c r="U118">
        <v>99.837199999999996</v>
      </c>
      <c r="V118">
        <f t="shared" si="6"/>
        <v>0.54413124046217576</v>
      </c>
      <c r="W118">
        <f t="shared" si="7"/>
        <v>3.0913899999999998E-3</v>
      </c>
      <c r="X118">
        <f t="shared" si="8"/>
        <v>3.0546900000000001E-3</v>
      </c>
      <c r="Y118">
        <f t="shared" si="9"/>
        <v>3.0733000000000002E-3</v>
      </c>
      <c r="Z118">
        <f t="shared" si="10"/>
        <v>3.0251399999999999E-3</v>
      </c>
      <c r="AA118">
        <f t="shared" si="11"/>
        <v>3.0611299999999996E-3</v>
      </c>
    </row>
    <row r="119" spans="1:27" x14ac:dyDescent="0.3">
      <c r="A119">
        <v>114</v>
      </c>
      <c r="B119">
        <v>3.1453900000000001E-3</v>
      </c>
      <c r="C119">
        <v>0.180224</v>
      </c>
      <c r="D119">
        <v>57.478200000000001</v>
      </c>
      <c r="E119">
        <v>57.298000000000002</v>
      </c>
      <c r="F119">
        <v>3.1127699999999999E-3</v>
      </c>
      <c r="G119">
        <v>0.178254</v>
      </c>
      <c r="H119">
        <v>57.443600000000004</v>
      </c>
      <c r="I119">
        <v>57.265300000000003</v>
      </c>
      <c r="J119">
        <v>3.1262600000000001E-3</v>
      </c>
      <c r="K119">
        <v>0.17829600000000001</v>
      </c>
      <c r="L119">
        <v>57.210099999999997</v>
      </c>
      <c r="M119">
        <v>57.031799999999997</v>
      </c>
      <c r="N119">
        <v>3.0739999999999999E-3</v>
      </c>
      <c r="O119">
        <v>0.172791</v>
      </c>
      <c r="P119">
        <v>56.383200000000002</v>
      </c>
      <c r="Q119">
        <v>56.2104</v>
      </c>
      <c r="R119">
        <v>52.741999999999997</v>
      </c>
      <c r="S119">
        <v>52.743000000000002</v>
      </c>
      <c r="T119">
        <v>1.0062</v>
      </c>
      <c r="U119">
        <v>101.227</v>
      </c>
      <c r="V119">
        <f t="shared" si="6"/>
        <v>0.55170590800087205</v>
      </c>
      <c r="W119">
        <f t="shared" si="7"/>
        <v>3.1453900000000001E-3</v>
      </c>
      <c r="X119">
        <f t="shared" si="8"/>
        <v>3.1127699999999999E-3</v>
      </c>
      <c r="Y119">
        <f t="shared" si="9"/>
        <v>3.1262600000000001E-3</v>
      </c>
      <c r="Z119">
        <f t="shared" si="10"/>
        <v>3.0739999999999999E-3</v>
      </c>
      <c r="AA119">
        <f t="shared" si="11"/>
        <v>3.1146050000000003E-3</v>
      </c>
    </row>
    <row r="120" spans="1:27" x14ac:dyDescent="0.3">
      <c r="A120">
        <v>115</v>
      </c>
      <c r="B120">
        <v>3.22821E-3</v>
      </c>
      <c r="C120">
        <v>0.18497</v>
      </c>
      <c r="D120">
        <v>57.482999999999997</v>
      </c>
      <c r="E120">
        <v>57.298000000000002</v>
      </c>
      <c r="F120">
        <v>3.18506E-3</v>
      </c>
      <c r="G120">
        <v>0.182394</v>
      </c>
      <c r="H120">
        <v>57.447699999999998</v>
      </c>
      <c r="I120">
        <v>57.265300000000003</v>
      </c>
      <c r="J120">
        <v>3.1967100000000002E-3</v>
      </c>
      <c r="K120">
        <v>0.182314</v>
      </c>
      <c r="L120">
        <v>57.214100000000002</v>
      </c>
      <c r="M120">
        <v>57.031799999999997</v>
      </c>
      <c r="N120">
        <v>3.1459000000000001E-3</v>
      </c>
      <c r="O120">
        <v>0.17683199999999999</v>
      </c>
      <c r="P120">
        <v>56.3872</v>
      </c>
      <c r="Q120">
        <v>56.2104</v>
      </c>
      <c r="R120">
        <v>53.366</v>
      </c>
      <c r="S120">
        <v>53.366</v>
      </c>
      <c r="T120">
        <v>1.0178</v>
      </c>
      <c r="U120">
        <v>102.39</v>
      </c>
      <c r="V120">
        <f t="shared" si="6"/>
        <v>0.55804447351209951</v>
      </c>
      <c r="W120">
        <f t="shared" si="7"/>
        <v>3.22821E-3</v>
      </c>
      <c r="X120">
        <f t="shared" si="8"/>
        <v>3.18506E-3</v>
      </c>
      <c r="Y120">
        <f t="shared" si="9"/>
        <v>3.1967100000000002E-3</v>
      </c>
      <c r="Z120">
        <f t="shared" si="10"/>
        <v>3.1459000000000001E-3</v>
      </c>
      <c r="AA120">
        <f t="shared" si="11"/>
        <v>3.1889700000000002E-3</v>
      </c>
    </row>
    <row r="121" spans="1:27" x14ac:dyDescent="0.3">
      <c r="A121">
        <v>116</v>
      </c>
      <c r="B121">
        <v>3.2605799999999999E-3</v>
      </c>
      <c r="C121">
        <v>0.18682499999999999</v>
      </c>
      <c r="D121">
        <v>57.4848</v>
      </c>
      <c r="E121">
        <v>57.298000000000002</v>
      </c>
      <c r="F121">
        <v>3.2266899999999999E-3</v>
      </c>
      <c r="G121">
        <v>0.184777</v>
      </c>
      <c r="H121">
        <v>57.450099999999999</v>
      </c>
      <c r="I121">
        <v>57.265300000000003</v>
      </c>
      <c r="J121">
        <v>3.24582E-3</v>
      </c>
      <c r="K121">
        <v>0.185115</v>
      </c>
      <c r="L121">
        <v>57.216900000000003</v>
      </c>
      <c r="M121">
        <v>57.031799999999997</v>
      </c>
      <c r="N121">
        <v>3.18791E-3</v>
      </c>
      <c r="O121">
        <v>0.17919399999999999</v>
      </c>
      <c r="P121">
        <v>56.389600000000002</v>
      </c>
      <c r="Q121">
        <v>56.2104</v>
      </c>
      <c r="R121">
        <v>53.865000000000002</v>
      </c>
      <c r="S121">
        <v>53.866</v>
      </c>
      <c r="T121">
        <v>1.0313000000000001</v>
      </c>
      <c r="U121">
        <v>103.747</v>
      </c>
      <c r="V121">
        <f t="shared" si="6"/>
        <v>0.56544037497274913</v>
      </c>
      <c r="W121">
        <f t="shared" si="7"/>
        <v>3.2605799999999999E-3</v>
      </c>
      <c r="X121">
        <f t="shared" si="8"/>
        <v>3.2266899999999999E-3</v>
      </c>
      <c r="Y121">
        <f t="shared" si="9"/>
        <v>3.24582E-3</v>
      </c>
      <c r="Z121">
        <f t="shared" si="10"/>
        <v>3.18791E-3</v>
      </c>
      <c r="AA121">
        <f t="shared" si="11"/>
        <v>3.23025E-3</v>
      </c>
    </row>
    <row r="122" spans="1:27" x14ac:dyDescent="0.3">
      <c r="A122">
        <v>117</v>
      </c>
      <c r="B122">
        <v>3.29883E-3</v>
      </c>
      <c r="C122">
        <v>0.18901599999999999</v>
      </c>
      <c r="D122">
        <v>57.487000000000002</v>
      </c>
      <c r="E122">
        <v>57.298000000000002</v>
      </c>
      <c r="F122">
        <v>3.2564999999999998E-3</v>
      </c>
      <c r="G122">
        <v>0.18648500000000001</v>
      </c>
      <c r="H122">
        <v>57.451799999999999</v>
      </c>
      <c r="I122">
        <v>57.265300000000003</v>
      </c>
      <c r="J122">
        <v>3.2739499999999999E-3</v>
      </c>
      <c r="K122">
        <v>0.186719</v>
      </c>
      <c r="L122">
        <v>57.218499999999999</v>
      </c>
      <c r="M122">
        <v>57.031799999999997</v>
      </c>
      <c r="N122">
        <v>3.22128E-3</v>
      </c>
      <c r="O122">
        <v>0.18106900000000001</v>
      </c>
      <c r="P122">
        <v>56.391500000000001</v>
      </c>
      <c r="Q122">
        <v>56.2104</v>
      </c>
      <c r="R122">
        <v>54.177</v>
      </c>
      <c r="S122">
        <v>54.177999999999997</v>
      </c>
      <c r="T122">
        <v>1.04</v>
      </c>
      <c r="U122">
        <v>104.619</v>
      </c>
      <c r="V122">
        <f t="shared" si="6"/>
        <v>0.57019293655984304</v>
      </c>
      <c r="W122">
        <f t="shared" si="7"/>
        <v>3.29883E-3</v>
      </c>
      <c r="X122">
        <f t="shared" si="8"/>
        <v>3.2564999999999998E-3</v>
      </c>
      <c r="Y122">
        <f t="shared" si="9"/>
        <v>3.2739499999999999E-3</v>
      </c>
      <c r="Z122">
        <f t="shared" si="10"/>
        <v>3.22128E-3</v>
      </c>
      <c r="AA122">
        <f t="shared" si="11"/>
        <v>3.2626399999999998E-3</v>
      </c>
    </row>
    <row r="123" spans="1:27" x14ac:dyDescent="0.3">
      <c r="A123">
        <v>118</v>
      </c>
      <c r="B123">
        <v>3.3423699999999999E-3</v>
      </c>
      <c r="C123">
        <v>0.19151099999999999</v>
      </c>
      <c r="D123">
        <v>57.4895</v>
      </c>
      <c r="E123">
        <v>57.298000000000002</v>
      </c>
      <c r="F123">
        <v>3.2995199999999998E-3</v>
      </c>
      <c r="G123">
        <v>0.188948</v>
      </c>
      <c r="H123">
        <v>57.454300000000003</v>
      </c>
      <c r="I123">
        <v>57.265300000000003</v>
      </c>
      <c r="J123">
        <v>3.30533E-3</v>
      </c>
      <c r="K123">
        <v>0.18850900000000001</v>
      </c>
      <c r="L123">
        <v>57.220300000000002</v>
      </c>
      <c r="M123">
        <v>57.031799999999997</v>
      </c>
      <c r="N123">
        <v>3.2353E-3</v>
      </c>
      <c r="O123">
        <v>0.18185799999999999</v>
      </c>
      <c r="P123">
        <v>56.392299999999999</v>
      </c>
      <c r="Q123">
        <v>56.2104</v>
      </c>
      <c r="R123">
        <v>54.488999999999997</v>
      </c>
      <c r="S123">
        <v>54.49</v>
      </c>
      <c r="T123">
        <v>1.0455000000000001</v>
      </c>
      <c r="U123">
        <v>105.16800000000001</v>
      </c>
      <c r="V123">
        <f t="shared" si="6"/>
        <v>0.57318508829300208</v>
      </c>
      <c r="W123">
        <f t="shared" si="7"/>
        <v>3.3423699999999999E-3</v>
      </c>
      <c r="X123">
        <f t="shared" si="8"/>
        <v>3.2995199999999998E-3</v>
      </c>
      <c r="Y123">
        <f t="shared" si="9"/>
        <v>3.30533E-3</v>
      </c>
      <c r="Z123">
        <f t="shared" si="10"/>
        <v>3.2353E-3</v>
      </c>
      <c r="AA123">
        <f t="shared" si="11"/>
        <v>3.2956299999999999E-3</v>
      </c>
    </row>
    <row r="124" spans="1:27" x14ac:dyDescent="0.3">
      <c r="A124">
        <v>119</v>
      </c>
      <c r="B124">
        <v>3.3078000000000001E-3</v>
      </c>
      <c r="C124">
        <v>0.18953</v>
      </c>
      <c r="D124">
        <v>57.4876</v>
      </c>
      <c r="E124">
        <v>57.298000000000002</v>
      </c>
      <c r="F124">
        <v>3.28597E-3</v>
      </c>
      <c r="G124">
        <v>0.18817200000000001</v>
      </c>
      <c r="H124">
        <v>57.453499999999998</v>
      </c>
      <c r="I124">
        <v>57.265300000000003</v>
      </c>
      <c r="J124">
        <v>3.3195199999999998E-3</v>
      </c>
      <c r="K124">
        <v>0.18931799999999999</v>
      </c>
      <c r="L124">
        <v>57.2211</v>
      </c>
      <c r="M124">
        <v>57.031799999999997</v>
      </c>
      <c r="N124">
        <v>3.2851E-3</v>
      </c>
      <c r="O124">
        <v>0.18465699999999999</v>
      </c>
      <c r="P124">
        <v>56.395099999999999</v>
      </c>
      <c r="Q124">
        <v>56.2104</v>
      </c>
      <c r="R124">
        <v>54.801000000000002</v>
      </c>
      <c r="S124">
        <v>54.801000000000002</v>
      </c>
      <c r="T124">
        <v>1.0532999999999999</v>
      </c>
      <c r="U124">
        <v>105.944</v>
      </c>
      <c r="V124">
        <f t="shared" si="6"/>
        <v>0.5774144320906911</v>
      </c>
      <c r="W124">
        <f t="shared" si="7"/>
        <v>3.3078000000000001E-3</v>
      </c>
      <c r="X124">
        <f t="shared" si="8"/>
        <v>3.28597E-3</v>
      </c>
      <c r="Y124">
        <f t="shared" si="9"/>
        <v>3.3195199999999998E-3</v>
      </c>
      <c r="Z124">
        <f t="shared" si="10"/>
        <v>3.2851E-3</v>
      </c>
      <c r="AA124">
        <f t="shared" si="11"/>
        <v>3.2995975000000002E-3</v>
      </c>
    </row>
    <row r="125" spans="1:27" x14ac:dyDescent="0.3">
      <c r="A125">
        <v>120</v>
      </c>
      <c r="B125">
        <v>3.4414599999999999E-3</v>
      </c>
      <c r="C125">
        <v>0.197189</v>
      </c>
      <c r="D125">
        <v>57.495199999999997</v>
      </c>
      <c r="E125">
        <v>57.298000000000002</v>
      </c>
      <c r="F125">
        <v>3.3971499999999998E-3</v>
      </c>
      <c r="G125">
        <v>0.19453899999999999</v>
      </c>
      <c r="H125">
        <v>57.459800000000001</v>
      </c>
      <c r="I125">
        <v>57.265300000000003</v>
      </c>
      <c r="J125">
        <v>3.41925E-3</v>
      </c>
      <c r="K125">
        <v>0.19500600000000001</v>
      </c>
      <c r="L125">
        <v>57.226799999999997</v>
      </c>
      <c r="M125">
        <v>57.031799999999997</v>
      </c>
      <c r="N125">
        <v>3.3590999999999998E-3</v>
      </c>
      <c r="O125">
        <v>0.18881600000000001</v>
      </c>
      <c r="P125">
        <v>56.3992</v>
      </c>
      <c r="Q125">
        <v>56.2104</v>
      </c>
      <c r="R125">
        <v>55.423000000000002</v>
      </c>
      <c r="S125">
        <v>55.423999999999999</v>
      </c>
      <c r="T125">
        <v>1.0681</v>
      </c>
      <c r="U125">
        <v>107.43</v>
      </c>
      <c r="V125">
        <f t="shared" si="6"/>
        <v>0.58551340745585356</v>
      </c>
      <c r="W125">
        <f t="shared" si="7"/>
        <v>3.4414599999999999E-3</v>
      </c>
      <c r="X125">
        <f t="shared" si="8"/>
        <v>3.3971499999999998E-3</v>
      </c>
      <c r="Y125">
        <f t="shared" si="9"/>
        <v>3.41925E-3</v>
      </c>
      <c r="Z125">
        <f t="shared" si="10"/>
        <v>3.3590999999999998E-3</v>
      </c>
      <c r="AA125">
        <f t="shared" si="11"/>
        <v>3.4042400000000002E-3</v>
      </c>
    </row>
    <row r="126" spans="1:27" x14ac:dyDescent="0.3">
      <c r="A126">
        <v>121</v>
      </c>
      <c r="B126">
        <v>3.4647300000000001E-3</v>
      </c>
      <c r="C126">
        <v>0.198522</v>
      </c>
      <c r="D126">
        <v>57.496499999999997</v>
      </c>
      <c r="E126">
        <v>57.298000000000002</v>
      </c>
      <c r="F126">
        <v>3.4223499999999998E-3</v>
      </c>
      <c r="G126">
        <v>0.19598199999999999</v>
      </c>
      <c r="H126">
        <v>57.461300000000001</v>
      </c>
      <c r="I126">
        <v>57.265300000000003</v>
      </c>
      <c r="J126">
        <v>3.43802E-3</v>
      </c>
      <c r="K126">
        <v>0.196076</v>
      </c>
      <c r="L126">
        <v>57.227899999999998</v>
      </c>
      <c r="M126">
        <v>57.031799999999997</v>
      </c>
      <c r="N126">
        <v>3.3859699999999999E-3</v>
      </c>
      <c r="O126">
        <v>0.190327</v>
      </c>
      <c r="P126">
        <v>56.400700000000001</v>
      </c>
      <c r="Q126">
        <v>56.2104</v>
      </c>
      <c r="R126">
        <v>56.11</v>
      </c>
      <c r="S126">
        <v>56.110999999999997</v>
      </c>
      <c r="T126">
        <v>1.0815999999999999</v>
      </c>
      <c r="U126">
        <v>108.78700000000001</v>
      </c>
      <c r="V126">
        <f t="shared" si="6"/>
        <v>0.59290930891650317</v>
      </c>
      <c r="W126">
        <f t="shared" si="7"/>
        <v>3.4647300000000001E-3</v>
      </c>
      <c r="X126">
        <f t="shared" si="8"/>
        <v>3.4223499999999998E-3</v>
      </c>
      <c r="Y126">
        <f t="shared" si="9"/>
        <v>3.43802E-3</v>
      </c>
      <c r="Z126">
        <f t="shared" si="10"/>
        <v>3.3859699999999999E-3</v>
      </c>
      <c r="AA126">
        <f t="shared" si="11"/>
        <v>3.4277675000000001E-3</v>
      </c>
    </row>
    <row r="127" spans="1:27" x14ac:dyDescent="0.3">
      <c r="A127">
        <v>122</v>
      </c>
      <c r="B127">
        <v>3.4984600000000001E-3</v>
      </c>
      <c r="C127">
        <v>0.20045499999999999</v>
      </c>
      <c r="D127">
        <v>57.4985</v>
      </c>
      <c r="E127">
        <v>57.298000000000002</v>
      </c>
      <c r="F127">
        <v>3.4630400000000001E-3</v>
      </c>
      <c r="G127">
        <v>0.19831199999999999</v>
      </c>
      <c r="H127">
        <v>57.4636</v>
      </c>
      <c r="I127">
        <v>57.265300000000003</v>
      </c>
      <c r="J127">
        <v>3.4811199999999999E-3</v>
      </c>
      <c r="K127">
        <v>0.19853499999999999</v>
      </c>
      <c r="L127">
        <v>57.2303</v>
      </c>
      <c r="M127">
        <v>57.031799999999997</v>
      </c>
      <c r="N127">
        <v>3.4147100000000001E-3</v>
      </c>
      <c r="O127">
        <v>0.191942</v>
      </c>
      <c r="P127">
        <v>56.402299999999997</v>
      </c>
      <c r="Q127">
        <v>56.2104</v>
      </c>
      <c r="R127">
        <v>56.423000000000002</v>
      </c>
      <c r="S127">
        <v>56.423000000000002</v>
      </c>
      <c r="T127">
        <v>1.0926</v>
      </c>
      <c r="U127">
        <v>109.88500000000001</v>
      </c>
      <c r="V127">
        <f t="shared" si="6"/>
        <v>0.59889361238282113</v>
      </c>
      <c r="W127">
        <f t="shared" si="7"/>
        <v>3.4984600000000001E-3</v>
      </c>
      <c r="X127">
        <f t="shared" si="8"/>
        <v>3.4630400000000001E-3</v>
      </c>
      <c r="Y127">
        <f t="shared" si="9"/>
        <v>3.4811199999999999E-3</v>
      </c>
      <c r="Z127">
        <f t="shared" si="10"/>
        <v>3.4147100000000001E-3</v>
      </c>
      <c r="AA127">
        <f t="shared" si="11"/>
        <v>3.4643324999999998E-3</v>
      </c>
    </row>
    <row r="128" spans="1:27" x14ac:dyDescent="0.3">
      <c r="A128">
        <v>123</v>
      </c>
      <c r="B128">
        <v>3.5158699999999999E-3</v>
      </c>
      <c r="C128">
        <v>0.20145199999999999</v>
      </c>
      <c r="D128">
        <v>57.499499999999998</v>
      </c>
      <c r="E128">
        <v>57.298000000000002</v>
      </c>
      <c r="F128">
        <v>3.47671E-3</v>
      </c>
      <c r="G128">
        <v>0.19909499999999999</v>
      </c>
      <c r="H128">
        <v>57.464399999999998</v>
      </c>
      <c r="I128">
        <v>57.265300000000003</v>
      </c>
      <c r="J128">
        <v>3.5059599999999998E-3</v>
      </c>
      <c r="K128">
        <v>0.19995099999999999</v>
      </c>
      <c r="L128">
        <v>57.231699999999996</v>
      </c>
      <c r="M128">
        <v>57.031799999999997</v>
      </c>
      <c r="N128">
        <v>3.44597E-3</v>
      </c>
      <c r="O128">
        <v>0.19369900000000001</v>
      </c>
      <c r="P128">
        <v>56.4041</v>
      </c>
      <c r="Q128">
        <v>56.2104</v>
      </c>
      <c r="R128">
        <v>56.735999999999997</v>
      </c>
      <c r="S128">
        <v>56.735999999999997</v>
      </c>
      <c r="T128">
        <v>1.0952</v>
      </c>
      <c r="U128">
        <v>110.14400000000001</v>
      </c>
      <c r="V128">
        <f t="shared" si="6"/>
        <v>0.6003052103771529</v>
      </c>
      <c r="W128">
        <f t="shared" si="7"/>
        <v>3.5158699999999999E-3</v>
      </c>
      <c r="X128">
        <f t="shared" si="8"/>
        <v>3.47671E-3</v>
      </c>
      <c r="Y128">
        <f t="shared" si="9"/>
        <v>3.5059599999999998E-3</v>
      </c>
      <c r="Z128">
        <f t="shared" si="10"/>
        <v>3.44597E-3</v>
      </c>
      <c r="AA128">
        <f t="shared" si="11"/>
        <v>3.4861275000000001E-3</v>
      </c>
    </row>
    <row r="129" spans="1:27" x14ac:dyDescent="0.3">
      <c r="A129">
        <v>124</v>
      </c>
      <c r="B129">
        <v>3.5965200000000002E-3</v>
      </c>
      <c r="C129">
        <v>0.20607300000000001</v>
      </c>
      <c r="D129">
        <v>57.504100000000001</v>
      </c>
      <c r="E129">
        <v>57.298000000000002</v>
      </c>
      <c r="F129">
        <v>3.5492100000000001E-3</v>
      </c>
      <c r="G129">
        <v>0.20324700000000001</v>
      </c>
      <c r="H129">
        <v>57.468600000000002</v>
      </c>
      <c r="I129">
        <v>57.265300000000003</v>
      </c>
      <c r="J129">
        <v>3.5536999999999999E-3</v>
      </c>
      <c r="K129">
        <v>0.20267399999999999</v>
      </c>
      <c r="L129">
        <v>57.234499999999997</v>
      </c>
      <c r="M129">
        <v>57.031799999999997</v>
      </c>
      <c r="N129">
        <v>3.4886399999999999E-3</v>
      </c>
      <c r="O129">
        <v>0.19609799999999999</v>
      </c>
      <c r="P129">
        <v>56.406500000000001</v>
      </c>
      <c r="Q129">
        <v>56.2104</v>
      </c>
      <c r="R129">
        <v>56.984999999999999</v>
      </c>
      <c r="S129">
        <v>56.984999999999999</v>
      </c>
      <c r="T129">
        <v>1.1022000000000001</v>
      </c>
      <c r="U129">
        <v>110.855</v>
      </c>
      <c r="V129">
        <f t="shared" si="6"/>
        <v>0.60418029212993241</v>
      </c>
      <c r="W129">
        <f t="shared" si="7"/>
        <v>3.5965200000000002E-3</v>
      </c>
      <c r="X129">
        <f t="shared" si="8"/>
        <v>3.5492100000000001E-3</v>
      </c>
      <c r="Y129">
        <f t="shared" si="9"/>
        <v>3.5536999999999999E-3</v>
      </c>
      <c r="Z129">
        <f t="shared" si="10"/>
        <v>3.4886399999999999E-3</v>
      </c>
      <c r="AA129">
        <f t="shared" si="11"/>
        <v>3.5470174999999997E-3</v>
      </c>
    </row>
    <row r="130" spans="1:27" x14ac:dyDescent="0.3">
      <c r="A130">
        <v>125</v>
      </c>
      <c r="B130">
        <v>3.5798800000000001E-3</v>
      </c>
      <c r="C130">
        <v>0.20512</v>
      </c>
      <c r="D130">
        <v>57.503100000000003</v>
      </c>
      <c r="E130">
        <v>57.298000000000002</v>
      </c>
      <c r="F130">
        <v>3.53229E-3</v>
      </c>
      <c r="G130">
        <v>0.20227800000000001</v>
      </c>
      <c r="H130">
        <v>57.467599999999997</v>
      </c>
      <c r="I130">
        <v>57.265300000000003</v>
      </c>
      <c r="J130">
        <v>3.5503399999999999E-3</v>
      </c>
      <c r="K130">
        <v>0.202482</v>
      </c>
      <c r="L130">
        <v>57.234299999999998</v>
      </c>
      <c r="M130">
        <v>57.031799999999997</v>
      </c>
      <c r="N130">
        <v>3.4894800000000001E-3</v>
      </c>
      <c r="O130">
        <v>0.19614500000000001</v>
      </c>
      <c r="P130">
        <v>56.406500000000001</v>
      </c>
      <c r="Q130">
        <v>56.2104</v>
      </c>
      <c r="R130">
        <v>57.235999999999997</v>
      </c>
      <c r="S130">
        <v>57.235999999999997</v>
      </c>
      <c r="T130">
        <v>1.1145</v>
      </c>
      <c r="U130">
        <v>112.08199999999999</v>
      </c>
      <c r="V130">
        <f t="shared" si="6"/>
        <v>0.61086766950076299</v>
      </c>
      <c r="W130">
        <f t="shared" si="7"/>
        <v>3.5798800000000001E-3</v>
      </c>
      <c r="X130">
        <f t="shared" si="8"/>
        <v>3.53229E-3</v>
      </c>
      <c r="Y130">
        <f t="shared" si="9"/>
        <v>3.5503399999999999E-3</v>
      </c>
      <c r="Z130">
        <f t="shared" si="10"/>
        <v>3.4894800000000001E-3</v>
      </c>
      <c r="AA130">
        <f t="shared" si="11"/>
        <v>3.5379974999999999E-3</v>
      </c>
    </row>
    <row r="131" spans="1:27" x14ac:dyDescent="0.3">
      <c r="A131">
        <v>126</v>
      </c>
      <c r="B131">
        <v>3.6271699999999999E-3</v>
      </c>
      <c r="C131">
        <v>0.20782999999999999</v>
      </c>
      <c r="D131">
        <v>57.505899999999997</v>
      </c>
      <c r="E131">
        <v>57.298000000000002</v>
      </c>
      <c r="F131">
        <v>3.57208E-3</v>
      </c>
      <c r="G131">
        <v>0.20455599999999999</v>
      </c>
      <c r="H131">
        <v>57.469900000000003</v>
      </c>
      <c r="I131">
        <v>57.265300000000003</v>
      </c>
      <c r="J131">
        <v>3.5856899999999999E-3</v>
      </c>
      <c r="K131">
        <v>0.20449800000000001</v>
      </c>
      <c r="L131">
        <v>57.2363</v>
      </c>
      <c r="M131">
        <v>57.031799999999997</v>
      </c>
      <c r="N131">
        <v>3.5171999999999998E-3</v>
      </c>
      <c r="O131">
        <v>0.19770299999999999</v>
      </c>
      <c r="P131">
        <v>56.408099999999997</v>
      </c>
      <c r="Q131">
        <v>56.2104</v>
      </c>
      <c r="R131">
        <v>57.548000000000002</v>
      </c>
      <c r="S131">
        <v>57.548000000000002</v>
      </c>
      <c r="T131">
        <v>1.1145</v>
      </c>
      <c r="U131">
        <v>112.08199999999999</v>
      </c>
      <c r="V131">
        <f t="shared" si="6"/>
        <v>0.61086766950076299</v>
      </c>
      <c r="W131">
        <f t="shared" si="7"/>
        <v>3.6271699999999999E-3</v>
      </c>
      <c r="X131">
        <f t="shared" si="8"/>
        <v>3.57208E-3</v>
      </c>
      <c r="Y131">
        <f t="shared" si="9"/>
        <v>3.5856899999999999E-3</v>
      </c>
      <c r="Z131">
        <f t="shared" si="10"/>
        <v>3.5171999999999998E-3</v>
      </c>
      <c r="AA131">
        <f t="shared" si="11"/>
        <v>3.5755349999999999E-3</v>
      </c>
    </row>
    <row r="132" spans="1:27" x14ac:dyDescent="0.3">
      <c r="A132">
        <v>127</v>
      </c>
      <c r="B132">
        <v>3.68506E-3</v>
      </c>
      <c r="C132">
        <v>0.211147</v>
      </c>
      <c r="D132">
        <v>57.5092</v>
      </c>
      <c r="E132">
        <v>57.298000000000002</v>
      </c>
      <c r="F132">
        <v>3.6397600000000001E-3</v>
      </c>
      <c r="G132">
        <v>0.20843200000000001</v>
      </c>
      <c r="H132">
        <v>57.473700000000001</v>
      </c>
      <c r="I132">
        <v>57.265300000000003</v>
      </c>
      <c r="J132">
        <v>3.6664900000000001E-3</v>
      </c>
      <c r="K132">
        <v>0.20910599999999999</v>
      </c>
      <c r="L132">
        <v>57.240900000000003</v>
      </c>
      <c r="M132">
        <v>57.031799999999997</v>
      </c>
      <c r="N132">
        <v>3.5964600000000001E-3</v>
      </c>
      <c r="O132">
        <v>0.202158</v>
      </c>
      <c r="P132">
        <v>56.412599999999998</v>
      </c>
      <c r="Q132">
        <v>56.2104</v>
      </c>
      <c r="R132">
        <v>57.982999999999997</v>
      </c>
      <c r="S132">
        <v>57.982999999999997</v>
      </c>
      <c r="T132">
        <v>1.1173999999999999</v>
      </c>
      <c r="U132">
        <v>112.373</v>
      </c>
      <c r="V132">
        <f t="shared" si="6"/>
        <v>0.61245367342489643</v>
      </c>
      <c r="W132">
        <f t="shared" si="7"/>
        <v>3.68506E-3</v>
      </c>
      <c r="X132">
        <f t="shared" si="8"/>
        <v>3.6397600000000001E-3</v>
      </c>
      <c r="Y132">
        <f t="shared" si="9"/>
        <v>3.6664900000000001E-3</v>
      </c>
      <c r="Z132">
        <f t="shared" si="10"/>
        <v>3.5964600000000001E-3</v>
      </c>
      <c r="AA132">
        <f t="shared" si="11"/>
        <v>3.6469425E-3</v>
      </c>
    </row>
    <row r="133" spans="1:27" x14ac:dyDescent="0.3">
      <c r="A133">
        <v>128</v>
      </c>
      <c r="B133">
        <v>3.70119E-3</v>
      </c>
      <c r="C133">
        <v>0.21207100000000001</v>
      </c>
      <c r="D133">
        <v>57.510100000000001</v>
      </c>
      <c r="E133">
        <v>57.298000000000002</v>
      </c>
      <c r="F133">
        <v>3.64518E-3</v>
      </c>
      <c r="G133">
        <v>0.20874200000000001</v>
      </c>
      <c r="H133">
        <v>57.473999999999997</v>
      </c>
      <c r="I133">
        <v>57.265300000000003</v>
      </c>
      <c r="J133">
        <v>3.6642799999999998E-3</v>
      </c>
      <c r="K133">
        <v>0.20898</v>
      </c>
      <c r="L133">
        <v>57.2408</v>
      </c>
      <c r="M133">
        <v>57.031799999999997</v>
      </c>
      <c r="N133">
        <v>3.5881799999999998E-3</v>
      </c>
      <c r="O133">
        <v>0.20169300000000001</v>
      </c>
      <c r="P133">
        <v>56.412100000000002</v>
      </c>
      <c r="Q133">
        <v>56.2104</v>
      </c>
      <c r="R133">
        <v>58.356999999999999</v>
      </c>
      <c r="S133">
        <v>58.356999999999999</v>
      </c>
      <c r="T133">
        <v>1.1342000000000001</v>
      </c>
      <c r="U133">
        <v>114.053</v>
      </c>
      <c r="V133">
        <f t="shared" si="6"/>
        <v>0.62160998473948115</v>
      </c>
      <c r="W133">
        <f t="shared" si="7"/>
        <v>3.70119E-3</v>
      </c>
      <c r="X133">
        <f t="shared" si="8"/>
        <v>3.64518E-3</v>
      </c>
      <c r="Y133">
        <f t="shared" si="9"/>
        <v>3.6642799999999998E-3</v>
      </c>
      <c r="Z133">
        <f t="shared" si="10"/>
        <v>3.5881799999999998E-3</v>
      </c>
      <c r="AA133">
        <f t="shared" si="11"/>
        <v>3.6497075E-3</v>
      </c>
    </row>
    <row r="134" spans="1:27" x14ac:dyDescent="0.3">
      <c r="A134">
        <v>129</v>
      </c>
      <c r="B134">
        <v>3.7418E-3</v>
      </c>
      <c r="C134">
        <v>0.21439800000000001</v>
      </c>
      <c r="D134">
        <v>57.5124</v>
      </c>
      <c r="E134">
        <v>57.298000000000002</v>
      </c>
      <c r="F134">
        <v>3.6781499999999998E-3</v>
      </c>
      <c r="G134">
        <v>0.21063000000000001</v>
      </c>
      <c r="H134">
        <v>57.475900000000003</v>
      </c>
      <c r="I134">
        <v>57.265300000000003</v>
      </c>
      <c r="J134">
        <v>3.69711E-3</v>
      </c>
      <c r="K134">
        <v>0.21085300000000001</v>
      </c>
      <c r="L134">
        <v>57.242600000000003</v>
      </c>
      <c r="M134">
        <v>57.031799999999997</v>
      </c>
      <c r="N134">
        <v>3.63072E-3</v>
      </c>
      <c r="O134">
        <v>0.20408399999999999</v>
      </c>
      <c r="P134">
        <v>56.414499999999997</v>
      </c>
      <c r="Q134">
        <v>56.2104</v>
      </c>
      <c r="R134">
        <v>58.854999999999997</v>
      </c>
      <c r="S134">
        <v>58.856000000000002</v>
      </c>
      <c r="T134">
        <v>1.1415999999999999</v>
      </c>
      <c r="U134">
        <v>114.79600000000001</v>
      </c>
      <c r="V134">
        <f t="shared" ref="V134:V197" si="12">U134/$A$2/$B$2</f>
        <v>0.62565947242206232</v>
      </c>
      <c r="W134">
        <f t="shared" ref="W134:W197" si="13">B134</f>
        <v>3.7418E-3</v>
      </c>
      <c r="X134">
        <f t="shared" ref="X134:X197" si="14">F134</f>
        <v>3.6781499999999998E-3</v>
      </c>
      <c r="Y134">
        <f t="shared" ref="Y134:Y197" si="15">J134</f>
        <v>3.69711E-3</v>
      </c>
      <c r="Z134">
        <f t="shared" ref="Z134:Z197" si="16">N134</f>
        <v>3.63072E-3</v>
      </c>
      <c r="AA134">
        <f t="shared" ref="AA134:AA197" si="17">AVERAGE(W134:Z134)</f>
        <v>3.6869450000000001E-3</v>
      </c>
    </row>
    <row r="135" spans="1:27" x14ac:dyDescent="0.3">
      <c r="A135">
        <v>130</v>
      </c>
      <c r="B135">
        <v>3.8422899999999999E-3</v>
      </c>
      <c r="C135">
        <v>0.22015499999999999</v>
      </c>
      <c r="D135">
        <v>57.5182</v>
      </c>
      <c r="E135">
        <v>57.298000000000002</v>
      </c>
      <c r="F135">
        <v>3.7890300000000001E-3</v>
      </c>
      <c r="G135">
        <v>0.21698000000000001</v>
      </c>
      <c r="H135">
        <v>57.482300000000002</v>
      </c>
      <c r="I135">
        <v>57.265300000000003</v>
      </c>
      <c r="J135">
        <v>3.79745E-3</v>
      </c>
      <c r="K135">
        <v>0.21657499999999999</v>
      </c>
      <c r="L135">
        <v>57.248399999999997</v>
      </c>
      <c r="M135">
        <v>57.031799999999997</v>
      </c>
      <c r="N135">
        <v>3.7239399999999998E-3</v>
      </c>
      <c r="O135">
        <v>0.20932400000000001</v>
      </c>
      <c r="P135">
        <v>56.419699999999999</v>
      </c>
      <c r="Q135">
        <v>56.2104</v>
      </c>
      <c r="R135">
        <v>59.545000000000002</v>
      </c>
      <c r="S135">
        <v>59.545000000000002</v>
      </c>
      <c r="T135">
        <v>1.1506000000000001</v>
      </c>
      <c r="U135">
        <v>115.70099999999999</v>
      </c>
      <c r="V135">
        <f t="shared" si="12"/>
        <v>0.6305918901242642</v>
      </c>
      <c r="W135">
        <f t="shared" si="13"/>
        <v>3.8422899999999999E-3</v>
      </c>
      <c r="X135">
        <f t="shared" si="14"/>
        <v>3.7890300000000001E-3</v>
      </c>
      <c r="Y135">
        <f t="shared" si="15"/>
        <v>3.79745E-3</v>
      </c>
      <c r="Z135">
        <f t="shared" si="16"/>
        <v>3.7239399999999998E-3</v>
      </c>
      <c r="AA135">
        <f t="shared" si="17"/>
        <v>3.7881775000000004E-3</v>
      </c>
    </row>
    <row r="136" spans="1:27" x14ac:dyDescent="0.3">
      <c r="A136">
        <v>131</v>
      </c>
      <c r="B136">
        <v>3.8649399999999999E-3</v>
      </c>
      <c r="C136">
        <v>0.22145400000000001</v>
      </c>
      <c r="D136">
        <v>57.519500000000001</v>
      </c>
      <c r="E136">
        <v>57.298000000000002</v>
      </c>
      <c r="F136">
        <v>3.8133500000000001E-3</v>
      </c>
      <c r="G136">
        <v>0.21837300000000001</v>
      </c>
      <c r="H136">
        <v>57.483699999999999</v>
      </c>
      <c r="I136">
        <v>57.265300000000003</v>
      </c>
      <c r="J136">
        <v>3.8364900000000001E-3</v>
      </c>
      <c r="K136">
        <v>0.218802</v>
      </c>
      <c r="L136">
        <v>57.250599999999999</v>
      </c>
      <c r="M136">
        <v>57.031799999999997</v>
      </c>
      <c r="N136">
        <v>3.76107E-3</v>
      </c>
      <c r="O136">
        <v>0.21141099999999999</v>
      </c>
      <c r="P136">
        <v>56.421799999999998</v>
      </c>
      <c r="Q136">
        <v>56.2104</v>
      </c>
      <c r="R136">
        <v>59.978999999999999</v>
      </c>
      <c r="S136">
        <v>59.978999999999999</v>
      </c>
      <c r="T136">
        <v>1.159</v>
      </c>
      <c r="U136">
        <v>116.541</v>
      </c>
      <c r="V136">
        <f t="shared" si="12"/>
        <v>0.63517004578155667</v>
      </c>
      <c r="W136">
        <f t="shared" si="13"/>
        <v>3.8649399999999999E-3</v>
      </c>
      <c r="X136">
        <f t="shared" si="14"/>
        <v>3.8133500000000001E-3</v>
      </c>
      <c r="Y136">
        <f t="shared" si="15"/>
        <v>3.8364900000000001E-3</v>
      </c>
      <c r="Z136">
        <f t="shared" si="16"/>
        <v>3.76107E-3</v>
      </c>
      <c r="AA136">
        <f t="shared" si="17"/>
        <v>3.8189625000000001E-3</v>
      </c>
    </row>
    <row r="137" spans="1:27" x14ac:dyDescent="0.3">
      <c r="A137">
        <v>132</v>
      </c>
      <c r="B137">
        <v>3.9434600000000002E-3</v>
      </c>
      <c r="C137">
        <v>0.22595199999999999</v>
      </c>
      <c r="D137">
        <v>57.524000000000001</v>
      </c>
      <c r="E137">
        <v>57.298000000000002</v>
      </c>
      <c r="F137">
        <v>3.8963800000000001E-3</v>
      </c>
      <c r="G137">
        <v>0.22312699999999999</v>
      </c>
      <c r="H137">
        <v>57.488399999999999</v>
      </c>
      <c r="I137">
        <v>57.265300000000003</v>
      </c>
      <c r="J137">
        <v>3.9068799999999997E-3</v>
      </c>
      <c r="K137">
        <v>0.22281599999999999</v>
      </c>
      <c r="L137">
        <v>57.254600000000003</v>
      </c>
      <c r="M137">
        <v>57.031799999999997</v>
      </c>
      <c r="N137">
        <v>3.8304300000000001E-3</v>
      </c>
      <c r="O137">
        <v>0.21531</v>
      </c>
      <c r="P137">
        <v>56.425699999999999</v>
      </c>
      <c r="Q137">
        <v>56.2104</v>
      </c>
      <c r="R137">
        <v>60.48</v>
      </c>
      <c r="S137">
        <v>60.48</v>
      </c>
      <c r="T137">
        <v>1.169</v>
      </c>
      <c r="U137">
        <v>117.54300000000001</v>
      </c>
      <c r="V137">
        <f t="shared" si="12"/>
        <v>0.64063113145846962</v>
      </c>
      <c r="W137">
        <f t="shared" si="13"/>
        <v>3.9434600000000002E-3</v>
      </c>
      <c r="X137">
        <f t="shared" si="14"/>
        <v>3.8963800000000001E-3</v>
      </c>
      <c r="Y137">
        <f t="shared" si="15"/>
        <v>3.9068799999999997E-3</v>
      </c>
      <c r="Z137">
        <f t="shared" si="16"/>
        <v>3.8304300000000001E-3</v>
      </c>
      <c r="AA137">
        <f t="shared" si="17"/>
        <v>3.8942875000000004E-3</v>
      </c>
    </row>
    <row r="138" spans="1:27" x14ac:dyDescent="0.3">
      <c r="A138">
        <v>133</v>
      </c>
      <c r="B138">
        <v>3.9899100000000002E-3</v>
      </c>
      <c r="C138">
        <v>0.22861400000000001</v>
      </c>
      <c r="D138">
        <v>57.526600000000002</v>
      </c>
      <c r="E138">
        <v>57.298000000000002</v>
      </c>
      <c r="F138">
        <v>3.9316899999999998E-3</v>
      </c>
      <c r="G138">
        <v>0.22514899999999999</v>
      </c>
      <c r="H138">
        <v>57.490499999999997</v>
      </c>
      <c r="I138">
        <v>57.265300000000003</v>
      </c>
      <c r="J138">
        <v>3.94773E-3</v>
      </c>
      <c r="K138">
        <v>0.22514600000000001</v>
      </c>
      <c r="L138">
        <v>57.256900000000002</v>
      </c>
      <c r="M138">
        <v>57.031799999999997</v>
      </c>
      <c r="N138">
        <v>3.87346E-3</v>
      </c>
      <c r="O138">
        <v>0.21772900000000001</v>
      </c>
      <c r="P138">
        <v>56.428100000000001</v>
      </c>
      <c r="Q138">
        <v>56.2104</v>
      </c>
      <c r="R138">
        <v>61.103999999999999</v>
      </c>
      <c r="S138">
        <v>61.103999999999999</v>
      </c>
      <c r="T138">
        <v>1.1793</v>
      </c>
      <c r="U138">
        <v>118.577</v>
      </c>
      <c r="V138">
        <f t="shared" si="12"/>
        <v>0.64626662306518423</v>
      </c>
      <c r="W138">
        <f t="shared" si="13"/>
        <v>3.9899100000000002E-3</v>
      </c>
      <c r="X138">
        <f t="shared" si="14"/>
        <v>3.9316899999999998E-3</v>
      </c>
      <c r="Y138">
        <f t="shared" si="15"/>
        <v>3.94773E-3</v>
      </c>
      <c r="Z138">
        <f t="shared" si="16"/>
        <v>3.87346E-3</v>
      </c>
      <c r="AA138">
        <f t="shared" si="17"/>
        <v>3.9356974999999999E-3</v>
      </c>
    </row>
    <row r="139" spans="1:27" x14ac:dyDescent="0.3">
      <c r="A139">
        <v>134</v>
      </c>
      <c r="B139">
        <v>4.0395700000000001E-3</v>
      </c>
      <c r="C139">
        <v>0.231459</v>
      </c>
      <c r="D139">
        <v>57.529499999999999</v>
      </c>
      <c r="E139">
        <v>57.298000000000002</v>
      </c>
      <c r="F139">
        <v>3.9899699999999998E-3</v>
      </c>
      <c r="G139">
        <v>0.228487</v>
      </c>
      <c r="H139">
        <v>57.4938</v>
      </c>
      <c r="I139">
        <v>57.265300000000003</v>
      </c>
      <c r="J139">
        <v>4.0030899999999999E-3</v>
      </c>
      <c r="K139">
        <v>0.22830300000000001</v>
      </c>
      <c r="L139">
        <v>57.260100000000001</v>
      </c>
      <c r="M139">
        <v>57.031799999999997</v>
      </c>
      <c r="N139">
        <v>3.9255599999999998E-3</v>
      </c>
      <c r="O139">
        <v>0.22065699999999999</v>
      </c>
      <c r="P139">
        <v>56.431100000000001</v>
      </c>
      <c r="Q139">
        <v>56.2104</v>
      </c>
      <c r="R139">
        <v>61.29</v>
      </c>
      <c r="S139">
        <v>61.29</v>
      </c>
      <c r="T139">
        <v>1.1843999999999999</v>
      </c>
      <c r="U139">
        <v>119.09399999999999</v>
      </c>
      <c r="V139">
        <f t="shared" si="12"/>
        <v>0.64908436886854148</v>
      </c>
      <c r="W139">
        <f t="shared" si="13"/>
        <v>4.0395700000000001E-3</v>
      </c>
      <c r="X139">
        <f t="shared" si="14"/>
        <v>3.9899699999999998E-3</v>
      </c>
      <c r="Y139">
        <f t="shared" si="15"/>
        <v>4.0030899999999999E-3</v>
      </c>
      <c r="Z139">
        <f t="shared" si="16"/>
        <v>3.9255599999999998E-3</v>
      </c>
      <c r="AA139">
        <f t="shared" si="17"/>
        <v>3.9895474999999993E-3</v>
      </c>
    </row>
    <row r="140" spans="1:27" x14ac:dyDescent="0.3">
      <c r="A140">
        <v>135</v>
      </c>
      <c r="B140">
        <v>4.0943000000000004E-3</v>
      </c>
      <c r="C140">
        <v>0.234595</v>
      </c>
      <c r="D140">
        <v>57.532600000000002</v>
      </c>
      <c r="E140">
        <v>57.298000000000002</v>
      </c>
      <c r="F140">
        <v>4.0369899999999998E-3</v>
      </c>
      <c r="G140">
        <v>0.231179</v>
      </c>
      <c r="H140">
        <v>57.496499999999997</v>
      </c>
      <c r="I140">
        <v>57.265300000000003</v>
      </c>
      <c r="J140">
        <v>4.0549200000000001E-3</v>
      </c>
      <c r="K140">
        <v>0.23125999999999999</v>
      </c>
      <c r="L140">
        <v>57.262999999999998</v>
      </c>
      <c r="M140">
        <v>57.031799999999997</v>
      </c>
      <c r="N140">
        <v>3.9762699999999996E-3</v>
      </c>
      <c r="O140">
        <v>0.22350800000000001</v>
      </c>
      <c r="P140">
        <v>56.433900000000001</v>
      </c>
      <c r="Q140">
        <v>56.2104</v>
      </c>
      <c r="R140">
        <v>62.228000000000002</v>
      </c>
      <c r="S140">
        <v>62.228000000000002</v>
      </c>
      <c r="T140">
        <v>1.1947000000000001</v>
      </c>
      <c r="U140">
        <v>120.128</v>
      </c>
      <c r="V140">
        <f t="shared" si="12"/>
        <v>0.65471986047525621</v>
      </c>
      <c r="W140">
        <f t="shared" si="13"/>
        <v>4.0943000000000004E-3</v>
      </c>
      <c r="X140">
        <f t="shared" si="14"/>
        <v>4.0369899999999998E-3</v>
      </c>
      <c r="Y140">
        <f t="shared" si="15"/>
        <v>4.0549200000000001E-3</v>
      </c>
      <c r="Z140">
        <f t="shared" si="16"/>
        <v>3.9762699999999996E-3</v>
      </c>
      <c r="AA140">
        <f t="shared" si="17"/>
        <v>4.04062E-3</v>
      </c>
    </row>
    <row r="141" spans="1:27" x14ac:dyDescent="0.3">
      <c r="A141">
        <v>136</v>
      </c>
      <c r="B141">
        <v>4.1351599999999997E-3</v>
      </c>
      <c r="C141">
        <v>0.23693600000000001</v>
      </c>
      <c r="D141">
        <v>57.534999999999997</v>
      </c>
      <c r="E141">
        <v>57.298000000000002</v>
      </c>
      <c r="F141">
        <v>4.0903099999999998E-3</v>
      </c>
      <c r="G141">
        <v>0.234233</v>
      </c>
      <c r="H141">
        <v>57.499499999999998</v>
      </c>
      <c r="I141">
        <v>57.265300000000003</v>
      </c>
      <c r="J141">
        <v>4.0995800000000002E-3</v>
      </c>
      <c r="K141">
        <v>0.23380600000000001</v>
      </c>
      <c r="L141">
        <v>57.265599999999999</v>
      </c>
      <c r="M141">
        <v>57.031799999999997</v>
      </c>
      <c r="N141">
        <v>4.0252200000000004E-3</v>
      </c>
      <c r="O141">
        <v>0.22625899999999999</v>
      </c>
      <c r="P141">
        <v>56.436700000000002</v>
      </c>
      <c r="Q141">
        <v>56.2104</v>
      </c>
      <c r="R141">
        <v>62.661999999999999</v>
      </c>
      <c r="S141">
        <v>62.661999999999999</v>
      </c>
      <c r="T141">
        <v>1.2115</v>
      </c>
      <c r="U141">
        <v>121.80800000000001</v>
      </c>
      <c r="V141">
        <f t="shared" si="12"/>
        <v>0.66387617178984093</v>
      </c>
      <c r="W141">
        <f t="shared" si="13"/>
        <v>4.1351599999999997E-3</v>
      </c>
      <c r="X141">
        <f t="shared" si="14"/>
        <v>4.0903099999999998E-3</v>
      </c>
      <c r="Y141">
        <f t="shared" si="15"/>
        <v>4.0995800000000002E-3</v>
      </c>
      <c r="Z141">
        <f t="shared" si="16"/>
        <v>4.0252200000000004E-3</v>
      </c>
      <c r="AA141">
        <f t="shared" si="17"/>
        <v>4.0875675E-3</v>
      </c>
    </row>
    <row r="142" spans="1:27" x14ac:dyDescent="0.3">
      <c r="A142">
        <v>137</v>
      </c>
      <c r="B142">
        <v>4.1720500000000001E-3</v>
      </c>
      <c r="C142">
        <v>0.23905000000000001</v>
      </c>
      <c r="D142">
        <v>57.537100000000002</v>
      </c>
      <c r="E142">
        <v>57.298000000000002</v>
      </c>
      <c r="F142">
        <v>4.1250200000000001E-3</v>
      </c>
      <c r="G142">
        <v>0.23622099999999999</v>
      </c>
      <c r="H142">
        <v>57.5015</v>
      </c>
      <c r="I142">
        <v>57.265300000000003</v>
      </c>
      <c r="J142">
        <v>4.13978E-3</v>
      </c>
      <c r="K142">
        <v>0.236099</v>
      </c>
      <c r="L142">
        <v>57.267899999999997</v>
      </c>
      <c r="M142">
        <v>57.031799999999997</v>
      </c>
      <c r="N142">
        <v>4.0670599999999999E-3</v>
      </c>
      <c r="O142">
        <v>0.22861100000000001</v>
      </c>
      <c r="P142">
        <v>56.439</v>
      </c>
      <c r="Q142">
        <v>56.2104</v>
      </c>
      <c r="R142">
        <v>63.167000000000002</v>
      </c>
      <c r="S142">
        <v>63.167000000000002</v>
      </c>
      <c r="T142">
        <v>1.218</v>
      </c>
      <c r="U142">
        <v>122.45399999999999</v>
      </c>
      <c r="V142">
        <f t="shared" si="12"/>
        <v>0.66739699149771092</v>
      </c>
      <c r="W142">
        <f t="shared" si="13"/>
        <v>4.1720500000000001E-3</v>
      </c>
      <c r="X142">
        <f t="shared" si="14"/>
        <v>4.1250200000000001E-3</v>
      </c>
      <c r="Y142">
        <f t="shared" si="15"/>
        <v>4.13978E-3</v>
      </c>
      <c r="Z142">
        <f t="shared" si="16"/>
        <v>4.0670599999999999E-3</v>
      </c>
      <c r="AA142">
        <f t="shared" si="17"/>
        <v>4.1259775E-3</v>
      </c>
    </row>
    <row r="143" spans="1:27" x14ac:dyDescent="0.3">
      <c r="A143">
        <v>138</v>
      </c>
      <c r="B143">
        <v>4.2858899999999997E-3</v>
      </c>
      <c r="C143">
        <v>0.24557300000000001</v>
      </c>
      <c r="D143">
        <v>57.543599999999998</v>
      </c>
      <c r="E143">
        <v>57.298000000000002</v>
      </c>
      <c r="F143">
        <v>4.2182599999999997E-3</v>
      </c>
      <c r="G143">
        <v>0.24156</v>
      </c>
      <c r="H143">
        <v>57.506900000000002</v>
      </c>
      <c r="I143">
        <v>57.265300000000003</v>
      </c>
      <c r="J143">
        <v>4.2347900000000004E-3</v>
      </c>
      <c r="K143">
        <v>0.24151800000000001</v>
      </c>
      <c r="L143">
        <v>57.273299999999999</v>
      </c>
      <c r="M143">
        <v>57.031799999999997</v>
      </c>
      <c r="N143">
        <v>4.1492999999999999E-3</v>
      </c>
      <c r="O143">
        <v>0.233234</v>
      </c>
      <c r="P143">
        <v>56.443600000000004</v>
      </c>
      <c r="Q143">
        <v>56.2104</v>
      </c>
      <c r="R143">
        <v>63.725000000000001</v>
      </c>
      <c r="S143">
        <v>63.725000000000001</v>
      </c>
      <c r="T143">
        <v>1.2228000000000001</v>
      </c>
      <c r="U143">
        <v>122.938</v>
      </c>
      <c r="V143">
        <f t="shared" si="12"/>
        <v>0.67003488118596033</v>
      </c>
      <c r="W143">
        <f t="shared" si="13"/>
        <v>4.2858899999999997E-3</v>
      </c>
      <c r="X143">
        <f t="shared" si="14"/>
        <v>4.2182599999999997E-3</v>
      </c>
      <c r="Y143">
        <f t="shared" si="15"/>
        <v>4.2347900000000004E-3</v>
      </c>
      <c r="Z143">
        <f t="shared" si="16"/>
        <v>4.1492999999999999E-3</v>
      </c>
      <c r="AA143">
        <f t="shared" si="17"/>
        <v>4.2220599999999997E-3</v>
      </c>
    </row>
    <row r="144" spans="1:27" x14ac:dyDescent="0.3">
      <c r="A144">
        <v>139</v>
      </c>
      <c r="B144">
        <v>4.3134000000000002E-3</v>
      </c>
      <c r="C144">
        <v>0.24714900000000001</v>
      </c>
      <c r="D144">
        <v>57.545200000000001</v>
      </c>
      <c r="E144">
        <v>57.298000000000002</v>
      </c>
      <c r="F144">
        <v>4.25881E-3</v>
      </c>
      <c r="G144">
        <v>0.24388199999999999</v>
      </c>
      <c r="H144">
        <v>57.5092</v>
      </c>
      <c r="I144">
        <v>57.265300000000003</v>
      </c>
      <c r="J144">
        <v>4.29284E-3</v>
      </c>
      <c r="K144">
        <v>0.24482799999999999</v>
      </c>
      <c r="L144">
        <v>57.276600000000002</v>
      </c>
      <c r="M144">
        <v>57.031799999999997</v>
      </c>
      <c r="N144">
        <v>4.2171999999999999E-3</v>
      </c>
      <c r="O144">
        <v>0.23705000000000001</v>
      </c>
      <c r="P144">
        <v>56.447499999999998</v>
      </c>
      <c r="Q144">
        <v>56.2104</v>
      </c>
      <c r="R144">
        <v>64.346999999999994</v>
      </c>
      <c r="S144">
        <v>64.346999999999994</v>
      </c>
      <c r="T144">
        <v>1.2365999999999999</v>
      </c>
      <c r="U144">
        <v>124.328</v>
      </c>
      <c r="V144">
        <f t="shared" si="12"/>
        <v>0.67761063876171801</v>
      </c>
      <c r="W144">
        <f t="shared" si="13"/>
        <v>4.3134000000000002E-3</v>
      </c>
      <c r="X144">
        <f t="shared" si="14"/>
        <v>4.25881E-3</v>
      </c>
      <c r="Y144">
        <f t="shared" si="15"/>
        <v>4.29284E-3</v>
      </c>
      <c r="Z144">
        <f t="shared" si="16"/>
        <v>4.2171999999999999E-3</v>
      </c>
      <c r="AA144">
        <f t="shared" si="17"/>
        <v>4.2705625000000001E-3</v>
      </c>
    </row>
    <row r="145" spans="1:27" x14ac:dyDescent="0.3">
      <c r="A145">
        <v>140</v>
      </c>
      <c r="B145">
        <v>4.4015699999999996E-3</v>
      </c>
      <c r="C145">
        <v>0.25220100000000001</v>
      </c>
      <c r="D145">
        <v>57.550199999999997</v>
      </c>
      <c r="E145">
        <v>57.298000000000002</v>
      </c>
      <c r="F145">
        <v>4.3359799999999997E-3</v>
      </c>
      <c r="G145">
        <v>0.24830099999999999</v>
      </c>
      <c r="H145">
        <v>57.513599999999997</v>
      </c>
      <c r="I145">
        <v>57.265300000000003</v>
      </c>
      <c r="J145">
        <v>4.3531400000000001E-3</v>
      </c>
      <c r="K145">
        <v>0.24826799999999999</v>
      </c>
      <c r="L145">
        <v>57.28</v>
      </c>
      <c r="M145">
        <v>57.031799999999997</v>
      </c>
      <c r="N145">
        <v>4.2719999999999998E-3</v>
      </c>
      <c r="O145">
        <v>0.24013100000000001</v>
      </c>
      <c r="P145">
        <v>56.450499999999998</v>
      </c>
      <c r="Q145">
        <v>56.2104</v>
      </c>
      <c r="R145">
        <v>64.724000000000004</v>
      </c>
      <c r="S145">
        <v>64.724000000000004</v>
      </c>
      <c r="T145">
        <v>1.2437</v>
      </c>
      <c r="U145">
        <v>125.038</v>
      </c>
      <c r="V145">
        <f t="shared" si="12"/>
        <v>0.68148027032919123</v>
      </c>
      <c r="W145">
        <f t="shared" si="13"/>
        <v>4.4015699999999996E-3</v>
      </c>
      <c r="X145">
        <f t="shared" si="14"/>
        <v>4.3359799999999997E-3</v>
      </c>
      <c r="Y145">
        <f t="shared" si="15"/>
        <v>4.3531400000000001E-3</v>
      </c>
      <c r="Z145">
        <f t="shared" si="16"/>
        <v>4.2719999999999998E-3</v>
      </c>
      <c r="AA145">
        <f t="shared" si="17"/>
        <v>4.3406725E-3</v>
      </c>
    </row>
    <row r="146" spans="1:27" x14ac:dyDescent="0.3">
      <c r="A146">
        <v>141</v>
      </c>
      <c r="B146">
        <v>4.4347500000000003E-3</v>
      </c>
      <c r="C146">
        <v>0.25410300000000002</v>
      </c>
      <c r="D146">
        <v>57.552100000000003</v>
      </c>
      <c r="E146">
        <v>57.298000000000002</v>
      </c>
      <c r="F146">
        <v>4.3702100000000002E-3</v>
      </c>
      <c r="G146">
        <v>0.25026199999999998</v>
      </c>
      <c r="H146">
        <v>57.515599999999999</v>
      </c>
      <c r="I146">
        <v>57.265300000000003</v>
      </c>
      <c r="J146">
        <v>4.3879799999999997E-3</v>
      </c>
      <c r="K146">
        <v>0.25025500000000001</v>
      </c>
      <c r="L146">
        <v>57.281999999999996</v>
      </c>
      <c r="M146">
        <v>57.031799999999997</v>
      </c>
      <c r="N146">
        <v>4.2866299999999996E-3</v>
      </c>
      <c r="O146">
        <v>0.240953</v>
      </c>
      <c r="P146">
        <v>56.4514</v>
      </c>
      <c r="Q146">
        <v>56.2104</v>
      </c>
      <c r="R146">
        <v>65.471999999999994</v>
      </c>
      <c r="S146">
        <v>65.471999999999994</v>
      </c>
      <c r="T146">
        <v>1.2588999999999999</v>
      </c>
      <c r="U146">
        <v>126.557</v>
      </c>
      <c r="V146">
        <f t="shared" si="12"/>
        <v>0.68975910180946154</v>
      </c>
      <c r="W146">
        <f t="shared" si="13"/>
        <v>4.4347500000000003E-3</v>
      </c>
      <c r="X146">
        <f t="shared" si="14"/>
        <v>4.3702100000000002E-3</v>
      </c>
      <c r="Y146">
        <f t="shared" si="15"/>
        <v>4.3879799999999997E-3</v>
      </c>
      <c r="Z146">
        <f t="shared" si="16"/>
        <v>4.2866299999999996E-3</v>
      </c>
      <c r="AA146">
        <f t="shared" si="17"/>
        <v>4.3698925E-3</v>
      </c>
    </row>
    <row r="147" spans="1:27" x14ac:dyDescent="0.3">
      <c r="A147">
        <v>142</v>
      </c>
      <c r="B147">
        <v>4.5063600000000001E-3</v>
      </c>
      <c r="C147">
        <v>0.25820599999999999</v>
      </c>
      <c r="D147">
        <v>57.556199999999997</v>
      </c>
      <c r="E147">
        <v>57.298000000000002</v>
      </c>
      <c r="F147">
        <v>4.4334300000000004E-3</v>
      </c>
      <c r="G147">
        <v>0.253882</v>
      </c>
      <c r="H147">
        <v>57.519199999999998</v>
      </c>
      <c r="I147">
        <v>57.265300000000003</v>
      </c>
      <c r="J147">
        <v>4.4468600000000004E-3</v>
      </c>
      <c r="K147">
        <v>0.25361299999999998</v>
      </c>
      <c r="L147">
        <v>57.285400000000003</v>
      </c>
      <c r="M147">
        <v>57.031799999999997</v>
      </c>
      <c r="N147">
        <v>4.3428700000000004E-3</v>
      </c>
      <c r="O147">
        <v>0.244114</v>
      </c>
      <c r="P147">
        <v>56.454500000000003</v>
      </c>
      <c r="Q147">
        <v>56.2104</v>
      </c>
      <c r="R147">
        <v>66.281000000000006</v>
      </c>
      <c r="S147">
        <v>66.281000000000006</v>
      </c>
      <c r="T147">
        <v>1.2705</v>
      </c>
      <c r="U147">
        <v>127.72</v>
      </c>
      <c r="V147">
        <f t="shared" si="12"/>
        <v>0.6960976673206889</v>
      </c>
      <c r="W147">
        <f t="shared" si="13"/>
        <v>4.5063600000000001E-3</v>
      </c>
      <c r="X147">
        <f t="shared" si="14"/>
        <v>4.4334300000000004E-3</v>
      </c>
      <c r="Y147">
        <f t="shared" si="15"/>
        <v>4.4468600000000004E-3</v>
      </c>
      <c r="Z147">
        <f t="shared" si="16"/>
        <v>4.3428700000000004E-3</v>
      </c>
      <c r="AA147">
        <f t="shared" si="17"/>
        <v>4.4323799999999997E-3</v>
      </c>
    </row>
    <row r="148" spans="1:27" x14ac:dyDescent="0.3">
      <c r="A148">
        <v>143</v>
      </c>
      <c r="B148">
        <v>4.5663700000000002E-3</v>
      </c>
      <c r="C148">
        <v>0.26164399999999999</v>
      </c>
      <c r="D148">
        <v>57.559699999999999</v>
      </c>
      <c r="E148">
        <v>57.298000000000002</v>
      </c>
      <c r="F148">
        <v>4.4975199999999996E-3</v>
      </c>
      <c r="G148">
        <v>0.257552</v>
      </c>
      <c r="H148">
        <v>57.5229</v>
      </c>
      <c r="I148">
        <v>57.265300000000003</v>
      </c>
      <c r="J148">
        <v>4.51046E-3</v>
      </c>
      <c r="K148">
        <v>0.257239</v>
      </c>
      <c r="L148">
        <v>57.289000000000001</v>
      </c>
      <c r="M148">
        <v>57.031799999999997</v>
      </c>
      <c r="N148">
        <v>4.4131300000000004E-3</v>
      </c>
      <c r="O148">
        <v>0.24806400000000001</v>
      </c>
      <c r="P148">
        <v>56.458500000000001</v>
      </c>
      <c r="Q148">
        <v>56.2104</v>
      </c>
      <c r="R148">
        <v>66.593999999999994</v>
      </c>
      <c r="S148">
        <v>66.593999999999994</v>
      </c>
      <c r="T148">
        <v>1.2756000000000001</v>
      </c>
      <c r="U148">
        <v>128.23699999999999</v>
      </c>
      <c r="V148">
        <f t="shared" si="12"/>
        <v>0.69891541312404615</v>
      </c>
      <c r="W148">
        <f t="shared" si="13"/>
        <v>4.5663700000000002E-3</v>
      </c>
      <c r="X148">
        <f t="shared" si="14"/>
        <v>4.4975199999999996E-3</v>
      </c>
      <c r="Y148">
        <f t="shared" si="15"/>
        <v>4.51046E-3</v>
      </c>
      <c r="Z148">
        <f t="shared" si="16"/>
        <v>4.4131300000000004E-3</v>
      </c>
      <c r="AA148">
        <f t="shared" si="17"/>
        <v>4.49687E-3</v>
      </c>
    </row>
    <row r="149" spans="1:27" x14ac:dyDescent="0.3">
      <c r="A149">
        <v>144</v>
      </c>
      <c r="B149">
        <v>4.6517900000000003E-3</v>
      </c>
      <c r="C149">
        <v>0.266538</v>
      </c>
      <c r="D149">
        <v>57.564599999999999</v>
      </c>
      <c r="E149">
        <v>57.298000000000002</v>
      </c>
      <c r="F149">
        <v>4.59107E-3</v>
      </c>
      <c r="G149">
        <v>0.262909</v>
      </c>
      <c r="H149">
        <v>57.528199999999998</v>
      </c>
      <c r="I149">
        <v>57.265300000000003</v>
      </c>
      <c r="J149">
        <v>4.6068100000000002E-3</v>
      </c>
      <c r="K149">
        <v>0.26273400000000002</v>
      </c>
      <c r="L149">
        <v>57.294499999999999</v>
      </c>
      <c r="M149">
        <v>57.031799999999997</v>
      </c>
      <c r="N149">
        <v>4.50141E-3</v>
      </c>
      <c r="O149">
        <v>0.25302599999999997</v>
      </c>
      <c r="P149">
        <v>56.4634</v>
      </c>
      <c r="Q149">
        <v>56.2104</v>
      </c>
      <c r="R149">
        <v>67.718000000000004</v>
      </c>
      <c r="S149">
        <v>67.718000000000004</v>
      </c>
      <c r="T149">
        <v>1.2947</v>
      </c>
      <c r="U149">
        <v>130.143</v>
      </c>
      <c r="V149">
        <f t="shared" si="12"/>
        <v>0.70930346631785479</v>
      </c>
      <c r="W149">
        <f t="shared" si="13"/>
        <v>4.6517900000000003E-3</v>
      </c>
      <c r="X149">
        <f t="shared" si="14"/>
        <v>4.59107E-3</v>
      </c>
      <c r="Y149">
        <f t="shared" si="15"/>
        <v>4.6068100000000002E-3</v>
      </c>
      <c r="Z149">
        <f t="shared" si="16"/>
        <v>4.50141E-3</v>
      </c>
      <c r="AA149">
        <f t="shared" si="17"/>
        <v>4.5877700000000006E-3</v>
      </c>
    </row>
    <row r="150" spans="1:27" x14ac:dyDescent="0.3">
      <c r="A150">
        <v>145</v>
      </c>
      <c r="B150">
        <v>4.68777E-3</v>
      </c>
      <c r="C150">
        <v>0.26860000000000001</v>
      </c>
      <c r="D150">
        <v>57.566600000000001</v>
      </c>
      <c r="E150">
        <v>57.298000000000002</v>
      </c>
      <c r="F150">
        <v>4.6118900000000004E-3</v>
      </c>
      <c r="G150">
        <v>0.264102</v>
      </c>
      <c r="H150">
        <v>57.529400000000003</v>
      </c>
      <c r="I150">
        <v>57.265300000000003</v>
      </c>
      <c r="J150">
        <v>4.6331699999999998E-3</v>
      </c>
      <c r="K150">
        <v>0.26423799999999997</v>
      </c>
      <c r="L150">
        <v>57.295999999999999</v>
      </c>
      <c r="M150">
        <v>57.031799999999997</v>
      </c>
      <c r="N150">
        <v>4.5241600000000002E-3</v>
      </c>
      <c r="O150">
        <v>0.254305</v>
      </c>
      <c r="P150">
        <v>56.464700000000001</v>
      </c>
      <c r="Q150">
        <v>56.2104</v>
      </c>
      <c r="R150">
        <v>68.090999999999994</v>
      </c>
      <c r="S150">
        <v>68.090999999999994</v>
      </c>
      <c r="T150">
        <v>1.2991999999999999</v>
      </c>
      <c r="U150">
        <v>130.596</v>
      </c>
      <c r="V150">
        <f t="shared" si="12"/>
        <v>0.71177240026160893</v>
      </c>
      <c r="W150">
        <f t="shared" si="13"/>
        <v>4.68777E-3</v>
      </c>
      <c r="X150">
        <f t="shared" si="14"/>
        <v>4.6118900000000004E-3</v>
      </c>
      <c r="Y150">
        <f t="shared" si="15"/>
        <v>4.6331699999999998E-3</v>
      </c>
      <c r="Z150">
        <f t="shared" si="16"/>
        <v>4.5241600000000002E-3</v>
      </c>
      <c r="AA150">
        <f t="shared" si="17"/>
        <v>4.6142474999999999E-3</v>
      </c>
    </row>
    <row r="151" spans="1:27" x14ac:dyDescent="0.3">
      <c r="A151">
        <v>146</v>
      </c>
      <c r="B151">
        <v>4.7871299999999997E-3</v>
      </c>
      <c r="C151">
        <v>0.27429300000000001</v>
      </c>
      <c r="D151">
        <v>57.572299999999998</v>
      </c>
      <c r="E151">
        <v>57.298000000000002</v>
      </c>
      <c r="F151">
        <v>4.7174199999999999E-3</v>
      </c>
      <c r="G151">
        <v>0.27014500000000002</v>
      </c>
      <c r="H151">
        <v>57.535400000000003</v>
      </c>
      <c r="I151">
        <v>57.265300000000003</v>
      </c>
      <c r="J151">
        <v>4.7230400000000004E-3</v>
      </c>
      <c r="K151">
        <v>0.26936300000000002</v>
      </c>
      <c r="L151">
        <v>57.301099999999998</v>
      </c>
      <c r="M151">
        <v>57.031799999999997</v>
      </c>
      <c r="N151">
        <v>4.6198200000000002E-3</v>
      </c>
      <c r="O151">
        <v>0.25968200000000002</v>
      </c>
      <c r="P151">
        <v>56.470100000000002</v>
      </c>
      <c r="Q151">
        <v>56.2104</v>
      </c>
      <c r="R151">
        <v>68.403999999999996</v>
      </c>
      <c r="S151">
        <v>68.403999999999996</v>
      </c>
      <c r="T151">
        <v>1.3017000000000001</v>
      </c>
      <c r="U151">
        <v>130.85400000000001</v>
      </c>
      <c r="V151">
        <f t="shared" si="12"/>
        <v>0.71317854807063441</v>
      </c>
      <c r="W151">
        <f t="shared" si="13"/>
        <v>4.7871299999999997E-3</v>
      </c>
      <c r="X151">
        <f t="shared" si="14"/>
        <v>4.7174199999999999E-3</v>
      </c>
      <c r="Y151">
        <f t="shared" si="15"/>
        <v>4.7230400000000004E-3</v>
      </c>
      <c r="Z151">
        <f t="shared" si="16"/>
        <v>4.6198200000000002E-3</v>
      </c>
      <c r="AA151">
        <f t="shared" si="17"/>
        <v>4.7118525000000005E-3</v>
      </c>
    </row>
    <row r="152" spans="1:27" x14ac:dyDescent="0.3">
      <c r="A152">
        <v>147</v>
      </c>
      <c r="B152">
        <v>4.8278399999999999E-3</v>
      </c>
      <c r="C152">
        <v>0.27662599999999998</v>
      </c>
      <c r="D152">
        <v>57.574599999999997</v>
      </c>
      <c r="E152">
        <v>57.298000000000002</v>
      </c>
      <c r="F152">
        <v>4.7614700000000003E-3</v>
      </c>
      <c r="G152">
        <v>0.27266699999999999</v>
      </c>
      <c r="H152">
        <v>57.537999999999997</v>
      </c>
      <c r="I152">
        <v>57.265300000000003</v>
      </c>
      <c r="J152">
        <v>4.76985E-3</v>
      </c>
      <c r="K152">
        <v>0.27203300000000002</v>
      </c>
      <c r="L152">
        <v>57.303800000000003</v>
      </c>
      <c r="M152">
        <v>57.031799999999997</v>
      </c>
      <c r="N152">
        <v>4.66191E-3</v>
      </c>
      <c r="O152">
        <v>0.262048</v>
      </c>
      <c r="P152">
        <v>56.472499999999997</v>
      </c>
      <c r="Q152">
        <v>56.2104</v>
      </c>
      <c r="R152">
        <v>68.53</v>
      </c>
      <c r="S152">
        <v>68.53</v>
      </c>
      <c r="T152">
        <v>1.3079000000000001</v>
      </c>
      <c r="U152">
        <v>131.46799999999999</v>
      </c>
      <c r="V152">
        <f t="shared" si="12"/>
        <v>0.71652496184870285</v>
      </c>
      <c r="W152">
        <f t="shared" si="13"/>
        <v>4.8278399999999999E-3</v>
      </c>
      <c r="X152">
        <f t="shared" si="14"/>
        <v>4.7614700000000003E-3</v>
      </c>
      <c r="Y152">
        <f t="shared" si="15"/>
        <v>4.76985E-3</v>
      </c>
      <c r="Z152">
        <f t="shared" si="16"/>
        <v>4.66191E-3</v>
      </c>
      <c r="AA152">
        <f t="shared" si="17"/>
        <v>4.7552675000000003E-3</v>
      </c>
    </row>
    <row r="153" spans="1:27" x14ac:dyDescent="0.3">
      <c r="A153">
        <v>148</v>
      </c>
      <c r="B153">
        <v>4.8502199999999997E-3</v>
      </c>
      <c r="C153">
        <v>0.27790799999999999</v>
      </c>
      <c r="D153">
        <v>57.575899999999997</v>
      </c>
      <c r="E153">
        <v>57.298000000000002</v>
      </c>
      <c r="F153">
        <v>4.7803699999999999E-3</v>
      </c>
      <c r="G153">
        <v>0.27374900000000002</v>
      </c>
      <c r="H153">
        <v>57.539099999999998</v>
      </c>
      <c r="I153">
        <v>57.265300000000003</v>
      </c>
      <c r="J153">
        <v>4.7936599999999999E-3</v>
      </c>
      <c r="K153">
        <v>0.273391</v>
      </c>
      <c r="L153">
        <v>57.305199999999999</v>
      </c>
      <c r="M153">
        <v>57.031799999999997</v>
      </c>
      <c r="N153">
        <v>4.6863599999999997E-3</v>
      </c>
      <c r="O153">
        <v>0.26342199999999999</v>
      </c>
      <c r="P153">
        <v>56.473799999999997</v>
      </c>
      <c r="Q153">
        <v>56.2104</v>
      </c>
      <c r="R153">
        <v>68.902000000000001</v>
      </c>
      <c r="S153">
        <v>68.902000000000001</v>
      </c>
      <c r="T153">
        <v>1.3043</v>
      </c>
      <c r="U153">
        <v>131.113</v>
      </c>
      <c r="V153">
        <f t="shared" si="12"/>
        <v>0.71459014606496629</v>
      </c>
      <c r="W153">
        <f t="shared" si="13"/>
        <v>4.8502199999999997E-3</v>
      </c>
      <c r="X153">
        <f t="shared" si="14"/>
        <v>4.7803699999999999E-3</v>
      </c>
      <c r="Y153">
        <f t="shared" si="15"/>
        <v>4.7936599999999999E-3</v>
      </c>
      <c r="Z153">
        <f t="shared" si="16"/>
        <v>4.6863599999999997E-3</v>
      </c>
      <c r="AA153">
        <f t="shared" si="17"/>
        <v>4.7776525E-3</v>
      </c>
    </row>
    <row r="154" spans="1:27" x14ac:dyDescent="0.3">
      <c r="A154">
        <v>149</v>
      </c>
      <c r="B154">
        <v>4.8656400000000001E-3</v>
      </c>
      <c r="C154">
        <v>0.27879199999999998</v>
      </c>
      <c r="D154">
        <v>57.576799999999999</v>
      </c>
      <c r="E154">
        <v>57.298000000000002</v>
      </c>
      <c r="F154">
        <v>4.7914000000000003E-3</v>
      </c>
      <c r="G154">
        <v>0.27438099999999999</v>
      </c>
      <c r="H154">
        <v>57.539700000000003</v>
      </c>
      <c r="I154">
        <v>57.265300000000003</v>
      </c>
      <c r="J154">
        <v>4.80621E-3</v>
      </c>
      <c r="K154">
        <v>0.27410699999999999</v>
      </c>
      <c r="L154">
        <v>57.305900000000001</v>
      </c>
      <c r="M154">
        <v>57.031799999999997</v>
      </c>
      <c r="N154">
        <v>4.6993099999999999E-3</v>
      </c>
      <c r="O154">
        <v>0.26415</v>
      </c>
      <c r="P154">
        <v>56.474600000000002</v>
      </c>
      <c r="Q154">
        <v>56.2104</v>
      </c>
      <c r="R154">
        <v>69.402000000000001</v>
      </c>
      <c r="S154">
        <v>69.402000000000001</v>
      </c>
      <c r="T154">
        <v>1.323</v>
      </c>
      <c r="U154">
        <v>132.98699999999999</v>
      </c>
      <c r="V154">
        <f t="shared" si="12"/>
        <v>0.72480379332897316</v>
      </c>
      <c r="W154">
        <f t="shared" si="13"/>
        <v>4.8656400000000001E-3</v>
      </c>
      <c r="X154">
        <f t="shared" si="14"/>
        <v>4.7914000000000003E-3</v>
      </c>
      <c r="Y154">
        <f t="shared" si="15"/>
        <v>4.80621E-3</v>
      </c>
      <c r="Z154">
        <f t="shared" si="16"/>
        <v>4.6993099999999999E-3</v>
      </c>
      <c r="AA154">
        <f t="shared" si="17"/>
        <v>4.7906400000000005E-3</v>
      </c>
    </row>
    <row r="155" spans="1:27" x14ac:dyDescent="0.3">
      <c r="A155">
        <v>150</v>
      </c>
      <c r="B155">
        <v>4.9623200000000001E-3</v>
      </c>
      <c r="C155">
        <v>0.284331</v>
      </c>
      <c r="D155">
        <v>57.5824</v>
      </c>
      <c r="E155">
        <v>57.298000000000002</v>
      </c>
      <c r="F155">
        <v>4.8797700000000003E-3</v>
      </c>
      <c r="G155">
        <v>0.27944200000000002</v>
      </c>
      <c r="H155">
        <v>57.544699999999999</v>
      </c>
      <c r="I155">
        <v>57.265300000000003</v>
      </c>
      <c r="J155">
        <v>4.8935100000000002E-3</v>
      </c>
      <c r="K155">
        <v>0.279086</v>
      </c>
      <c r="L155">
        <v>57.310899999999997</v>
      </c>
      <c r="M155">
        <v>57.031799999999997</v>
      </c>
      <c r="N155">
        <v>4.7822300000000002E-3</v>
      </c>
      <c r="O155">
        <v>0.26881100000000002</v>
      </c>
      <c r="P155">
        <v>56.479199999999999</v>
      </c>
      <c r="Q155">
        <v>56.2104</v>
      </c>
      <c r="R155">
        <v>70.088999999999999</v>
      </c>
      <c r="S155">
        <v>70.088999999999999</v>
      </c>
      <c r="T155">
        <v>1.3298000000000001</v>
      </c>
      <c r="U155">
        <v>133.66499999999999</v>
      </c>
      <c r="V155">
        <f t="shared" si="12"/>
        <v>0.72849901896664493</v>
      </c>
      <c r="W155">
        <f t="shared" si="13"/>
        <v>4.9623200000000001E-3</v>
      </c>
      <c r="X155">
        <f t="shared" si="14"/>
        <v>4.8797700000000003E-3</v>
      </c>
      <c r="Y155">
        <f t="shared" si="15"/>
        <v>4.8935100000000002E-3</v>
      </c>
      <c r="Z155">
        <f t="shared" si="16"/>
        <v>4.7822300000000002E-3</v>
      </c>
      <c r="AA155">
        <f t="shared" si="17"/>
        <v>4.8794575E-3</v>
      </c>
    </row>
    <row r="156" spans="1:27" x14ac:dyDescent="0.3">
      <c r="A156">
        <v>151</v>
      </c>
      <c r="B156">
        <v>4.9684999999999998E-3</v>
      </c>
      <c r="C156">
        <v>0.28468500000000002</v>
      </c>
      <c r="D156">
        <v>57.582700000000003</v>
      </c>
      <c r="E156">
        <v>57.298000000000002</v>
      </c>
      <c r="F156">
        <v>4.9024300000000002E-3</v>
      </c>
      <c r="G156">
        <v>0.28073900000000002</v>
      </c>
      <c r="H156">
        <v>57.545999999999999</v>
      </c>
      <c r="I156">
        <v>57.265300000000003</v>
      </c>
      <c r="J156">
        <v>4.9202899999999999E-3</v>
      </c>
      <c r="K156">
        <v>0.280613</v>
      </c>
      <c r="L156">
        <v>57.312399999999997</v>
      </c>
      <c r="M156">
        <v>57.031799999999997</v>
      </c>
      <c r="N156">
        <v>4.8086200000000004E-3</v>
      </c>
      <c r="O156">
        <v>0.27029399999999998</v>
      </c>
      <c r="P156">
        <v>56.480699999999999</v>
      </c>
      <c r="Q156">
        <v>56.2104</v>
      </c>
      <c r="R156">
        <v>70.337999999999994</v>
      </c>
      <c r="S156">
        <v>70.338999999999999</v>
      </c>
      <c r="T156">
        <v>1.3317000000000001</v>
      </c>
      <c r="U156">
        <v>133.85900000000001</v>
      </c>
      <c r="V156">
        <f t="shared" si="12"/>
        <v>0.7295563549160673</v>
      </c>
      <c r="W156">
        <f t="shared" si="13"/>
        <v>4.9684999999999998E-3</v>
      </c>
      <c r="X156">
        <f t="shared" si="14"/>
        <v>4.9024300000000002E-3</v>
      </c>
      <c r="Y156">
        <f t="shared" si="15"/>
        <v>4.9202899999999999E-3</v>
      </c>
      <c r="Z156">
        <f t="shared" si="16"/>
        <v>4.8086200000000004E-3</v>
      </c>
      <c r="AA156">
        <f t="shared" si="17"/>
        <v>4.8999600000000001E-3</v>
      </c>
    </row>
    <row r="157" spans="1:27" x14ac:dyDescent="0.3">
      <c r="A157">
        <v>152</v>
      </c>
      <c r="B157">
        <v>4.9771499999999996E-3</v>
      </c>
      <c r="C157">
        <v>0.28518100000000002</v>
      </c>
      <c r="D157">
        <v>57.583199999999998</v>
      </c>
      <c r="E157">
        <v>57.298000000000002</v>
      </c>
      <c r="F157">
        <v>4.90743E-3</v>
      </c>
      <c r="G157">
        <v>0.28102500000000002</v>
      </c>
      <c r="H157">
        <v>57.546300000000002</v>
      </c>
      <c r="I157">
        <v>57.265300000000003</v>
      </c>
      <c r="J157">
        <v>4.9314099999999998E-3</v>
      </c>
      <c r="K157">
        <v>0.28124700000000002</v>
      </c>
      <c r="L157">
        <v>57.313000000000002</v>
      </c>
      <c r="M157">
        <v>57.031799999999997</v>
      </c>
      <c r="N157">
        <v>4.8250799999999998E-3</v>
      </c>
      <c r="O157">
        <v>0.27122000000000002</v>
      </c>
      <c r="P157">
        <v>56.4816</v>
      </c>
      <c r="Q157">
        <v>56.2104</v>
      </c>
      <c r="R157">
        <v>70.775999999999996</v>
      </c>
      <c r="S157">
        <v>70.775999999999996</v>
      </c>
      <c r="T157">
        <v>1.3382000000000001</v>
      </c>
      <c r="U157">
        <v>134.505</v>
      </c>
      <c r="V157">
        <f t="shared" si="12"/>
        <v>0.73307717462393718</v>
      </c>
      <c r="W157">
        <f t="shared" si="13"/>
        <v>4.9771499999999996E-3</v>
      </c>
      <c r="X157">
        <f t="shared" si="14"/>
        <v>4.90743E-3</v>
      </c>
      <c r="Y157">
        <f t="shared" si="15"/>
        <v>4.9314099999999998E-3</v>
      </c>
      <c r="Z157">
        <f t="shared" si="16"/>
        <v>4.8250799999999998E-3</v>
      </c>
      <c r="AA157">
        <f t="shared" si="17"/>
        <v>4.9102675E-3</v>
      </c>
    </row>
    <row r="158" spans="1:27" x14ac:dyDescent="0.3">
      <c r="A158">
        <v>153</v>
      </c>
      <c r="B158">
        <v>5.0632699999999999E-3</v>
      </c>
      <c r="C158">
        <v>0.29011500000000001</v>
      </c>
      <c r="D158">
        <v>57.588099999999997</v>
      </c>
      <c r="E158">
        <v>57.298000000000002</v>
      </c>
      <c r="F158">
        <v>4.9922200000000003E-3</v>
      </c>
      <c r="G158">
        <v>0.285881</v>
      </c>
      <c r="H158">
        <v>57.551200000000001</v>
      </c>
      <c r="I158">
        <v>57.265300000000003</v>
      </c>
      <c r="J158">
        <v>5.0196499999999996E-3</v>
      </c>
      <c r="K158">
        <v>0.28627999999999998</v>
      </c>
      <c r="L158">
        <v>57.318100000000001</v>
      </c>
      <c r="M158">
        <v>57.031799999999997</v>
      </c>
      <c r="N158">
        <v>4.9052599999999998E-3</v>
      </c>
      <c r="O158">
        <v>0.275727</v>
      </c>
      <c r="P158">
        <v>56.4861</v>
      </c>
      <c r="Q158">
        <v>56.2104</v>
      </c>
      <c r="R158">
        <v>71.587999999999994</v>
      </c>
      <c r="S158">
        <v>71.587999999999994</v>
      </c>
      <c r="T158">
        <v>1.3513999999999999</v>
      </c>
      <c r="U158">
        <v>135.83000000000001</v>
      </c>
      <c r="V158">
        <f t="shared" si="12"/>
        <v>0.74029867015478534</v>
      </c>
      <c r="W158">
        <f t="shared" si="13"/>
        <v>5.0632699999999999E-3</v>
      </c>
      <c r="X158">
        <f t="shared" si="14"/>
        <v>4.9922200000000003E-3</v>
      </c>
      <c r="Y158">
        <f t="shared" si="15"/>
        <v>5.0196499999999996E-3</v>
      </c>
      <c r="Z158">
        <f t="shared" si="16"/>
        <v>4.9052599999999998E-3</v>
      </c>
      <c r="AA158">
        <f t="shared" si="17"/>
        <v>4.9951000000000006E-3</v>
      </c>
    </row>
    <row r="159" spans="1:27" x14ac:dyDescent="0.3">
      <c r="A159">
        <v>154</v>
      </c>
      <c r="B159">
        <v>5.1468399999999997E-3</v>
      </c>
      <c r="C159">
        <v>0.294904</v>
      </c>
      <c r="D159">
        <v>57.5929</v>
      </c>
      <c r="E159">
        <v>57.298000000000002</v>
      </c>
      <c r="F159">
        <v>5.0635599999999999E-3</v>
      </c>
      <c r="G159">
        <v>0.289966</v>
      </c>
      <c r="H159">
        <v>57.555300000000003</v>
      </c>
      <c r="I159">
        <v>57.265300000000003</v>
      </c>
      <c r="J159">
        <v>5.0779500000000003E-3</v>
      </c>
      <c r="K159">
        <v>0.289605</v>
      </c>
      <c r="L159">
        <v>57.321399999999997</v>
      </c>
      <c r="M159">
        <v>57.031799999999997</v>
      </c>
      <c r="N159">
        <v>4.9700899999999999E-3</v>
      </c>
      <c r="O159">
        <v>0.27937000000000001</v>
      </c>
      <c r="P159">
        <v>56.489800000000002</v>
      </c>
      <c r="Q159">
        <v>56.2104</v>
      </c>
      <c r="R159">
        <v>72.147000000000006</v>
      </c>
      <c r="S159">
        <v>72.147999999999996</v>
      </c>
      <c r="T159">
        <v>1.3577999999999999</v>
      </c>
      <c r="U159">
        <v>136.476</v>
      </c>
      <c r="V159">
        <f t="shared" si="12"/>
        <v>0.74381948986265534</v>
      </c>
      <c r="W159">
        <f t="shared" si="13"/>
        <v>5.1468399999999997E-3</v>
      </c>
      <c r="X159">
        <f t="shared" si="14"/>
        <v>5.0635599999999999E-3</v>
      </c>
      <c r="Y159">
        <f t="shared" si="15"/>
        <v>5.0779500000000003E-3</v>
      </c>
      <c r="Z159">
        <f t="shared" si="16"/>
        <v>4.9700899999999999E-3</v>
      </c>
      <c r="AA159">
        <f t="shared" si="17"/>
        <v>5.0646099999999998E-3</v>
      </c>
    </row>
    <row r="160" spans="1:27" x14ac:dyDescent="0.3">
      <c r="A160">
        <v>155</v>
      </c>
      <c r="B160">
        <v>5.1361999999999996E-3</v>
      </c>
      <c r="C160">
        <v>0.294294</v>
      </c>
      <c r="D160">
        <v>57.592300000000002</v>
      </c>
      <c r="E160">
        <v>57.298000000000002</v>
      </c>
      <c r="F160">
        <v>5.0794600000000001E-3</v>
      </c>
      <c r="G160">
        <v>0.290877</v>
      </c>
      <c r="H160">
        <v>57.556199999999997</v>
      </c>
      <c r="I160">
        <v>57.265300000000003</v>
      </c>
      <c r="J160">
        <v>5.0931199999999996E-3</v>
      </c>
      <c r="K160">
        <v>0.29046899999999998</v>
      </c>
      <c r="L160">
        <v>57.322299999999998</v>
      </c>
      <c r="M160">
        <v>57.031799999999997</v>
      </c>
      <c r="N160">
        <v>4.97213E-3</v>
      </c>
      <c r="O160">
        <v>0.27948499999999998</v>
      </c>
      <c r="P160">
        <v>56.489899999999999</v>
      </c>
      <c r="Q160">
        <v>56.2104</v>
      </c>
      <c r="R160">
        <v>72.522000000000006</v>
      </c>
      <c r="S160">
        <v>72.522999999999996</v>
      </c>
      <c r="T160">
        <v>1.3574999999999999</v>
      </c>
      <c r="U160">
        <v>136.44399999999999</v>
      </c>
      <c r="V160">
        <f t="shared" si="12"/>
        <v>0.74364508393285367</v>
      </c>
      <c r="W160">
        <f t="shared" si="13"/>
        <v>5.1361999999999996E-3</v>
      </c>
      <c r="X160">
        <f t="shared" si="14"/>
        <v>5.0794600000000001E-3</v>
      </c>
      <c r="Y160">
        <f t="shared" si="15"/>
        <v>5.0931199999999996E-3</v>
      </c>
      <c r="Z160">
        <f t="shared" si="16"/>
        <v>4.97213E-3</v>
      </c>
      <c r="AA160">
        <f t="shared" si="17"/>
        <v>5.0702274999999998E-3</v>
      </c>
    </row>
    <row r="161" spans="1:27" x14ac:dyDescent="0.3">
      <c r="A161">
        <v>156</v>
      </c>
      <c r="B161">
        <v>5.2716999999999998E-3</v>
      </c>
      <c r="C161">
        <v>0.30205799999999999</v>
      </c>
      <c r="D161">
        <v>57.600099999999998</v>
      </c>
      <c r="E161">
        <v>57.298000000000002</v>
      </c>
      <c r="F161">
        <v>5.1880399999999997E-3</v>
      </c>
      <c r="G161">
        <v>0.297095</v>
      </c>
      <c r="H161">
        <v>57.562399999999997</v>
      </c>
      <c r="I161">
        <v>57.265300000000003</v>
      </c>
      <c r="J161">
        <v>5.2000700000000002E-3</v>
      </c>
      <c r="K161">
        <v>0.29656900000000003</v>
      </c>
      <c r="L161">
        <v>57.328400000000002</v>
      </c>
      <c r="M161">
        <v>57.031799999999997</v>
      </c>
      <c r="N161">
        <v>5.0813000000000004E-3</v>
      </c>
      <c r="O161">
        <v>0.28562199999999999</v>
      </c>
      <c r="P161">
        <v>56.496000000000002</v>
      </c>
      <c r="Q161">
        <v>56.2104</v>
      </c>
      <c r="R161">
        <v>73.456999999999994</v>
      </c>
      <c r="S161">
        <v>73.457999999999998</v>
      </c>
      <c r="T161">
        <v>1.371</v>
      </c>
      <c r="U161">
        <v>137.80099999999999</v>
      </c>
      <c r="V161">
        <f t="shared" si="12"/>
        <v>0.75104098539350339</v>
      </c>
      <c r="W161">
        <f t="shared" si="13"/>
        <v>5.2716999999999998E-3</v>
      </c>
      <c r="X161">
        <f t="shared" si="14"/>
        <v>5.1880399999999997E-3</v>
      </c>
      <c r="Y161">
        <f t="shared" si="15"/>
        <v>5.2000700000000002E-3</v>
      </c>
      <c r="Z161">
        <f t="shared" si="16"/>
        <v>5.0813000000000004E-3</v>
      </c>
      <c r="AA161">
        <f t="shared" si="17"/>
        <v>5.1852775E-3</v>
      </c>
    </row>
    <row r="162" spans="1:27" x14ac:dyDescent="0.3">
      <c r="A162">
        <v>157</v>
      </c>
      <c r="B162">
        <v>5.4041799999999997E-3</v>
      </c>
      <c r="C162">
        <v>0.30964900000000001</v>
      </c>
      <c r="D162">
        <v>57.607700000000001</v>
      </c>
      <c r="E162">
        <v>57.298000000000002</v>
      </c>
      <c r="F162">
        <v>5.31885E-3</v>
      </c>
      <c r="G162">
        <v>0.30458499999999999</v>
      </c>
      <c r="H162">
        <v>57.569899999999997</v>
      </c>
      <c r="I162">
        <v>57.265300000000003</v>
      </c>
      <c r="J162">
        <v>5.3355700000000004E-3</v>
      </c>
      <c r="K162">
        <v>0.30429699999999998</v>
      </c>
      <c r="L162">
        <v>57.336100000000002</v>
      </c>
      <c r="M162">
        <v>57.031799999999997</v>
      </c>
      <c r="N162">
        <v>5.2053100000000003E-3</v>
      </c>
      <c r="O162">
        <v>0.29259200000000002</v>
      </c>
      <c r="P162">
        <v>56.503</v>
      </c>
      <c r="Q162">
        <v>56.2104</v>
      </c>
      <c r="R162">
        <v>74.581999999999994</v>
      </c>
      <c r="S162">
        <v>74.582999999999998</v>
      </c>
      <c r="T162">
        <v>1.3826000000000001</v>
      </c>
      <c r="U162">
        <v>138.964</v>
      </c>
      <c r="V162">
        <f t="shared" si="12"/>
        <v>0.75737955090473075</v>
      </c>
      <c r="W162">
        <f t="shared" si="13"/>
        <v>5.4041799999999997E-3</v>
      </c>
      <c r="X162">
        <f t="shared" si="14"/>
        <v>5.31885E-3</v>
      </c>
      <c r="Y162">
        <f t="shared" si="15"/>
        <v>5.3355700000000004E-3</v>
      </c>
      <c r="Z162">
        <f t="shared" si="16"/>
        <v>5.2053100000000003E-3</v>
      </c>
      <c r="AA162">
        <f t="shared" si="17"/>
        <v>5.3159775000000001E-3</v>
      </c>
    </row>
    <row r="163" spans="1:27" x14ac:dyDescent="0.3">
      <c r="A163">
        <v>158</v>
      </c>
      <c r="B163">
        <v>5.5372199999999998E-3</v>
      </c>
      <c r="C163">
        <v>0.317272</v>
      </c>
      <c r="D163">
        <v>57.615299999999998</v>
      </c>
      <c r="E163">
        <v>57.298000000000002</v>
      </c>
      <c r="F163">
        <v>5.4428899999999997E-3</v>
      </c>
      <c r="G163">
        <v>0.31168899999999999</v>
      </c>
      <c r="H163">
        <v>57.576999999999998</v>
      </c>
      <c r="I163">
        <v>57.265300000000003</v>
      </c>
      <c r="J163">
        <v>5.4553199999999996E-3</v>
      </c>
      <c r="K163">
        <v>0.31112699999999999</v>
      </c>
      <c r="L163">
        <v>57.3429</v>
      </c>
      <c r="M163">
        <v>57.031799999999997</v>
      </c>
      <c r="N163">
        <v>5.3280799999999998E-3</v>
      </c>
      <c r="O163">
        <v>0.29949399999999998</v>
      </c>
      <c r="P163">
        <v>56.509900000000002</v>
      </c>
      <c r="Q163">
        <v>56.2104</v>
      </c>
      <c r="R163">
        <v>75.641999999999996</v>
      </c>
      <c r="S163">
        <v>75.641999999999996</v>
      </c>
      <c r="T163">
        <v>1.4061999999999999</v>
      </c>
      <c r="U163">
        <v>141.322</v>
      </c>
      <c r="V163">
        <f t="shared" si="12"/>
        <v>0.77023108785698713</v>
      </c>
      <c r="W163">
        <f t="shared" si="13"/>
        <v>5.5372199999999998E-3</v>
      </c>
      <c r="X163">
        <f t="shared" si="14"/>
        <v>5.4428899999999997E-3</v>
      </c>
      <c r="Y163">
        <f t="shared" si="15"/>
        <v>5.4553199999999996E-3</v>
      </c>
      <c r="Z163">
        <f t="shared" si="16"/>
        <v>5.3280799999999998E-3</v>
      </c>
      <c r="AA163">
        <f t="shared" si="17"/>
        <v>5.4408774999999999E-3</v>
      </c>
    </row>
    <row r="164" spans="1:27" x14ac:dyDescent="0.3">
      <c r="A164">
        <v>159</v>
      </c>
      <c r="B164">
        <v>5.57881E-3</v>
      </c>
      <c r="C164">
        <v>0.31965500000000002</v>
      </c>
      <c r="D164">
        <v>57.617699999999999</v>
      </c>
      <c r="E164">
        <v>57.298000000000002</v>
      </c>
      <c r="F164">
        <v>5.5000600000000002E-3</v>
      </c>
      <c r="G164">
        <v>0.31496299999999999</v>
      </c>
      <c r="H164">
        <v>57.580300000000001</v>
      </c>
      <c r="I164">
        <v>57.265300000000003</v>
      </c>
      <c r="J164">
        <v>5.5171600000000001E-3</v>
      </c>
      <c r="K164">
        <v>0.31465399999999999</v>
      </c>
      <c r="L164">
        <v>57.346400000000003</v>
      </c>
      <c r="M164">
        <v>57.031799999999997</v>
      </c>
      <c r="N164">
        <v>5.3947099999999996E-3</v>
      </c>
      <c r="O164">
        <v>0.30323899999999998</v>
      </c>
      <c r="P164">
        <v>56.513599999999997</v>
      </c>
      <c r="Q164">
        <v>56.2104</v>
      </c>
      <c r="R164">
        <v>76.39</v>
      </c>
      <c r="S164">
        <v>76.391000000000005</v>
      </c>
      <c r="T164">
        <v>1.4136</v>
      </c>
      <c r="U164">
        <v>142.066</v>
      </c>
      <c r="V164">
        <f t="shared" si="12"/>
        <v>0.7742860257248747</v>
      </c>
      <c r="W164">
        <f t="shared" si="13"/>
        <v>5.57881E-3</v>
      </c>
      <c r="X164">
        <f t="shared" si="14"/>
        <v>5.5000600000000002E-3</v>
      </c>
      <c r="Y164">
        <f t="shared" si="15"/>
        <v>5.5171600000000001E-3</v>
      </c>
      <c r="Z164">
        <f t="shared" si="16"/>
        <v>5.3947099999999996E-3</v>
      </c>
      <c r="AA164">
        <f t="shared" si="17"/>
        <v>5.4976850000000004E-3</v>
      </c>
    </row>
    <row r="165" spans="1:27" x14ac:dyDescent="0.3">
      <c r="A165">
        <v>160</v>
      </c>
      <c r="B165">
        <v>5.6205600000000001E-3</v>
      </c>
      <c r="C165">
        <v>0.32204700000000003</v>
      </c>
      <c r="D165">
        <v>57.620100000000001</v>
      </c>
      <c r="E165">
        <v>57.298000000000002</v>
      </c>
      <c r="F165">
        <v>5.5147399999999997E-3</v>
      </c>
      <c r="G165">
        <v>0.31580399999999997</v>
      </c>
      <c r="H165">
        <v>57.581099999999999</v>
      </c>
      <c r="I165">
        <v>57.265300000000003</v>
      </c>
      <c r="J165">
        <v>5.5264399999999997E-3</v>
      </c>
      <c r="K165">
        <v>0.31518200000000002</v>
      </c>
      <c r="L165">
        <v>57.347000000000001</v>
      </c>
      <c r="M165">
        <v>57.031799999999997</v>
      </c>
      <c r="N165">
        <v>5.39917E-3</v>
      </c>
      <c r="O165">
        <v>0.30348900000000001</v>
      </c>
      <c r="P165">
        <v>56.5139</v>
      </c>
      <c r="Q165">
        <v>56.2104</v>
      </c>
      <c r="R165">
        <v>77.016000000000005</v>
      </c>
      <c r="S165">
        <v>77.016000000000005</v>
      </c>
      <c r="T165">
        <v>1.4126000000000001</v>
      </c>
      <c r="U165">
        <v>141.96899999999999</v>
      </c>
      <c r="V165">
        <f t="shared" si="12"/>
        <v>0.77375735775016352</v>
      </c>
      <c r="W165">
        <f t="shared" si="13"/>
        <v>5.6205600000000001E-3</v>
      </c>
      <c r="X165">
        <f t="shared" si="14"/>
        <v>5.5147399999999997E-3</v>
      </c>
      <c r="Y165">
        <f t="shared" si="15"/>
        <v>5.5264399999999997E-3</v>
      </c>
      <c r="Z165">
        <f t="shared" si="16"/>
        <v>5.39917E-3</v>
      </c>
      <c r="AA165">
        <f t="shared" si="17"/>
        <v>5.5152275000000008E-3</v>
      </c>
    </row>
    <row r="166" spans="1:27" x14ac:dyDescent="0.3">
      <c r="A166">
        <v>161</v>
      </c>
      <c r="B166">
        <v>5.6898599999999997E-3</v>
      </c>
      <c r="C166">
        <v>0.32601799999999997</v>
      </c>
      <c r="D166">
        <v>57.624000000000002</v>
      </c>
      <c r="E166">
        <v>57.298000000000002</v>
      </c>
      <c r="F166">
        <v>5.5990600000000003E-3</v>
      </c>
      <c r="G166">
        <v>0.32063199999999997</v>
      </c>
      <c r="H166">
        <v>57.585900000000002</v>
      </c>
      <c r="I166">
        <v>57.265300000000003</v>
      </c>
      <c r="J166">
        <v>5.6130299999999998E-3</v>
      </c>
      <c r="K166">
        <v>0.32012099999999999</v>
      </c>
      <c r="L166">
        <v>57.351900000000001</v>
      </c>
      <c r="M166">
        <v>57.031799999999997</v>
      </c>
      <c r="N166">
        <v>5.4566700000000003E-3</v>
      </c>
      <c r="O166">
        <v>0.30672100000000002</v>
      </c>
      <c r="P166">
        <v>56.517099999999999</v>
      </c>
      <c r="Q166">
        <v>56.2104</v>
      </c>
      <c r="R166">
        <v>78.138000000000005</v>
      </c>
      <c r="S166">
        <v>78.138000000000005</v>
      </c>
      <c r="T166">
        <v>1.4258</v>
      </c>
      <c r="U166">
        <v>143.29300000000001</v>
      </c>
      <c r="V166">
        <f t="shared" si="12"/>
        <v>0.7809734030957054</v>
      </c>
      <c r="W166">
        <f t="shared" si="13"/>
        <v>5.6898599999999997E-3</v>
      </c>
      <c r="X166">
        <f t="shared" si="14"/>
        <v>5.5990600000000003E-3</v>
      </c>
      <c r="Y166">
        <f t="shared" si="15"/>
        <v>5.6130299999999998E-3</v>
      </c>
      <c r="Z166">
        <f t="shared" si="16"/>
        <v>5.4566700000000003E-3</v>
      </c>
      <c r="AA166">
        <f t="shared" si="17"/>
        <v>5.5896549999999998E-3</v>
      </c>
    </row>
    <row r="167" spans="1:27" x14ac:dyDescent="0.3">
      <c r="A167">
        <v>162</v>
      </c>
      <c r="B167">
        <v>5.8820699999999997E-3</v>
      </c>
      <c r="C167">
        <v>0.33703100000000003</v>
      </c>
      <c r="D167">
        <v>57.635100000000001</v>
      </c>
      <c r="E167">
        <v>57.298000000000002</v>
      </c>
      <c r="F167">
        <v>5.7951599999999997E-3</v>
      </c>
      <c r="G167">
        <v>0.33186199999999999</v>
      </c>
      <c r="H167">
        <v>57.597200000000001</v>
      </c>
      <c r="I167">
        <v>57.265300000000003</v>
      </c>
      <c r="J167">
        <v>5.8275100000000002E-3</v>
      </c>
      <c r="K167">
        <v>0.33235300000000001</v>
      </c>
      <c r="L167">
        <v>57.364100000000001</v>
      </c>
      <c r="M167">
        <v>57.031799999999997</v>
      </c>
      <c r="N167">
        <v>5.6899000000000003E-3</v>
      </c>
      <c r="O167">
        <v>0.31983200000000001</v>
      </c>
      <c r="P167">
        <v>56.530200000000001</v>
      </c>
      <c r="Q167">
        <v>56.2104</v>
      </c>
      <c r="R167">
        <v>79.075000000000003</v>
      </c>
      <c r="S167">
        <v>79.075000000000003</v>
      </c>
      <c r="T167">
        <v>1.4368000000000001</v>
      </c>
      <c r="U167">
        <v>144.392</v>
      </c>
      <c r="V167">
        <f t="shared" si="12"/>
        <v>0.78696315674732942</v>
      </c>
      <c r="W167">
        <f t="shared" si="13"/>
        <v>5.8820699999999997E-3</v>
      </c>
      <c r="X167">
        <f t="shared" si="14"/>
        <v>5.7951599999999997E-3</v>
      </c>
      <c r="Y167">
        <f t="shared" si="15"/>
        <v>5.8275100000000002E-3</v>
      </c>
      <c r="Z167">
        <f t="shared" si="16"/>
        <v>5.6899000000000003E-3</v>
      </c>
      <c r="AA167">
        <f t="shared" si="17"/>
        <v>5.7986600000000006E-3</v>
      </c>
    </row>
    <row r="168" spans="1:27" x14ac:dyDescent="0.3">
      <c r="A168">
        <v>163</v>
      </c>
      <c r="B168">
        <v>5.9500500000000001E-3</v>
      </c>
      <c r="C168">
        <v>0.34092600000000001</v>
      </c>
      <c r="D168">
        <v>57.639000000000003</v>
      </c>
      <c r="E168">
        <v>57.298000000000002</v>
      </c>
      <c r="F168">
        <v>5.8574600000000001E-3</v>
      </c>
      <c r="G168">
        <v>0.33542899999999998</v>
      </c>
      <c r="H168">
        <v>57.600700000000003</v>
      </c>
      <c r="I168">
        <v>57.265300000000003</v>
      </c>
      <c r="J168">
        <v>5.8822500000000003E-3</v>
      </c>
      <c r="K168">
        <v>0.33547500000000002</v>
      </c>
      <c r="L168">
        <v>57.3673</v>
      </c>
      <c r="M168">
        <v>57.031799999999997</v>
      </c>
      <c r="N168">
        <v>5.7351099999999999E-3</v>
      </c>
      <c r="O168">
        <v>0.32237300000000002</v>
      </c>
      <c r="P168">
        <v>56.532800000000002</v>
      </c>
      <c r="Q168">
        <v>56.2104</v>
      </c>
      <c r="R168">
        <v>79.45</v>
      </c>
      <c r="S168">
        <v>79.45</v>
      </c>
      <c r="T168">
        <v>1.4441999999999999</v>
      </c>
      <c r="U168">
        <v>145.13499999999999</v>
      </c>
      <c r="V168">
        <f t="shared" si="12"/>
        <v>0.79101264442991048</v>
      </c>
      <c r="W168">
        <f t="shared" si="13"/>
        <v>5.9500500000000001E-3</v>
      </c>
      <c r="X168">
        <f t="shared" si="14"/>
        <v>5.8574600000000001E-3</v>
      </c>
      <c r="Y168">
        <f t="shared" si="15"/>
        <v>5.8822500000000003E-3</v>
      </c>
      <c r="Z168">
        <f t="shared" si="16"/>
        <v>5.7351099999999999E-3</v>
      </c>
      <c r="AA168">
        <f t="shared" si="17"/>
        <v>5.8562175000000001E-3</v>
      </c>
    </row>
    <row r="169" spans="1:27" x14ac:dyDescent="0.3">
      <c r="A169">
        <v>164</v>
      </c>
      <c r="B169">
        <v>6.0971300000000001E-3</v>
      </c>
      <c r="C169">
        <v>0.34935300000000002</v>
      </c>
      <c r="D169">
        <v>57.647399999999998</v>
      </c>
      <c r="E169">
        <v>57.298000000000002</v>
      </c>
      <c r="F169">
        <v>6.0048499999999999E-3</v>
      </c>
      <c r="G169">
        <v>0.34386899999999998</v>
      </c>
      <c r="H169">
        <v>57.609200000000001</v>
      </c>
      <c r="I169">
        <v>57.265300000000003</v>
      </c>
      <c r="J169">
        <v>6.0331999999999998E-3</v>
      </c>
      <c r="K169">
        <v>0.344084</v>
      </c>
      <c r="L169">
        <v>57.375900000000001</v>
      </c>
      <c r="M169">
        <v>57.031799999999997</v>
      </c>
      <c r="N169">
        <v>5.8740199999999998E-3</v>
      </c>
      <c r="O169">
        <v>0.330181</v>
      </c>
      <c r="P169">
        <v>56.540599999999998</v>
      </c>
      <c r="Q169">
        <v>56.2104</v>
      </c>
      <c r="R169">
        <v>81.010000000000005</v>
      </c>
      <c r="S169">
        <v>81.010000000000005</v>
      </c>
      <c r="T169">
        <v>1.4583999999999999</v>
      </c>
      <c r="U169">
        <v>146.55699999999999</v>
      </c>
      <c r="V169">
        <f t="shared" si="12"/>
        <v>0.79876280793546972</v>
      </c>
      <c r="W169">
        <f t="shared" si="13"/>
        <v>6.0971300000000001E-3</v>
      </c>
      <c r="X169">
        <f t="shared" si="14"/>
        <v>6.0048499999999999E-3</v>
      </c>
      <c r="Y169">
        <f t="shared" si="15"/>
        <v>6.0331999999999998E-3</v>
      </c>
      <c r="Z169">
        <f t="shared" si="16"/>
        <v>5.8740199999999998E-3</v>
      </c>
      <c r="AA169">
        <f t="shared" si="17"/>
        <v>6.0023000000000003E-3</v>
      </c>
    </row>
    <row r="170" spans="1:27" x14ac:dyDescent="0.3">
      <c r="A170">
        <v>165</v>
      </c>
      <c r="B170">
        <v>6.2143700000000003E-3</v>
      </c>
      <c r="C170">
        <v>0.35607100000000003</v>
      </c>
      <c r="D170">
        <v>57.6541</v>
      </c>
      <c r="E170">
        <v>57.298000000000002</v>
      </c>
      <c r="F170">
        <v>6.1111999999999998E-3</v>
      </c>
      <c r="G170">
        <v>0.34995900000000002</v>
      </c>
      <c r="H170">
        <v>57.615299999999998</v>
      </c>
      <c r="I170">
        <v>57.265300000000003</v>
      </c>
      <c r="J170">
        <v>6.1605000000000002E-3</v>
      </c>
      <c r="K170">
        <v>0.35134399999999999</v>
      </c>
      <c r="L170">
        <v>57.383099999999999</v>
      </c>
      <c r="M170">
        <v>57.031799999999997</v>
      </c>
      <c r="N170">
        <v>5.9949000000000001E-3</v>
      </c>
      <c r="O170">
        <v>0.336976</v>
      </c>
      <c r="P170">
        <v>56.547400000000003</v>
      </c>
      <c r="Q170">
        <v>56.2104</v>
      </c>
      <c r="R170">
        <v>82.256</v>
      </c>
      <c r="S170">
        <v>82.256</v>
      </c>
      <c r="T170">
        <v>1.4605999999999999</v>
      </c>
      <c r="U170">
        <v>146.78299999999999</v>
      </c>
      <c r="V170">
        <f t="shared" si="12"/>
        <v>0.79999454981469365</v>
      </c>
      <c r="W170">
        <f t="shared" si="13"/>
        <v>6.2143700000000003E-3</v>
      </c>
      <c r="X170">
        <f t="shared" si="14"/>
        <v>6.1111999999999998E-3</v>
      </c>
      <c r="Y170">
        <f t="shared" si="15"/>
        <v>6.1605000000000002E-3</v>
      </c>
      <c r="Z170">
        <f t="shared" si="16"/>
        <v>5.9949000000000001E-3</v>
      </c>
      <c r="AA170">
        <f t="shared" si="17"/>
        <v>6.1202425000000003E-3</v>
      </c>
    </row>
    <row r="171" spans="1:27" x14ac:dyDescent="0.3">
      <c r="A171">
        <v>166</v>
      </c>
      <c r="B171">
        <v>6.3894800000000003E-3</v>
      </c>
      <c r="C171">
        <v>0.36610399999999998</v>
      </c>
      <c r="D171">
        <v>57.664099999999998</v>
      </c>
      <c r="E171">
        <v>57.298000000000002</v>
      </c>
      <c r="F171">
        <v>6.2747300000000001E-3</v>
      </c>
      <c r="G171">
        <v>0.35932399999999998</v>
      </c>
      <c r="H171">
        <v>57.624600000000001</v>
      </c>
      <c r="I171">
        <v>57.265300000000003</v>
      </c>
      <c r="J171">
        <v>6.30746E-3</v>
      </c>
      <c r="K171">
        <v>0.35972599999999999</v>
      </c>
      <c r="L171">
        <v>57.391500000000001</v>
      </c>
      <c r="M171">
        <v>57.031799999999997</v>
      </c>
      <c r="N171">
        <v>6.1283600000000002E-3</v>
      </c>
      <c r="O171">
        <v>0.34447800000000001</v>
      </c>
      <c r="P171">
        <v>56.554900000000004</v>
      </c>
      <c r="Q171">
        <v>56.2104</v>
      </c>
      <c r="R171">
        <v>84.066000000000003</v>
      </c>
      <c r="S171">
        <v>84.066000000000003</v>
      </c>
      <c r="T171">
        <v>1.4677</v>
      </c>
      <c r="U171">
        <v>147.49299999999999</v>
      </c>
      <c r="V171">
        <f t="shared" si="12"/>
        <v>0.80386418138216698</v>
      </c>
      <c r="W171">
        <f t="shared" si="13"/>
        <v>6.3894800000000003E-3</v>
      </c>
      <c r="X171">
        <f t="shared" si="14"/>
        <v>6.2747300000000001E-3</v>
      </c>
      <c r="Y171">
        <f t="shared" si="15"/>
        <v>6.30746E-3</v>
      </c>
      <c r="Z171">
        <f t="shared" si="16"/>
        <v>6.1283600000000002E-3</v>
      </c>
      <c r="AA171">
        <f t="shared" si="17"/>
        <v>6.2750074999999997E-3</v>
      </c>
    </row>
    <row r="172" spans="1:27" x14ac:dyDescent="0.3">
      <c r="A172">
        <v>167</v>
      </c>
      <c r="B172">
        <v>6.6096499999999999E-3</v>
      </c>
      <c r="C172">
        <v>0.37872</v>
      </c>
      <c r="D172">
        <v>57.676699999999997</v>
      </c>
      <c r="E172">
        <v>57.298000000000002</v>
      </c>
      <c r="F172">
        <v>6.4979199999999999E-3</v>
      </c>
      <c r="G172">
        <v>0.37210599999999999</v>
      </c>
      <c r="H172">
        <v>57.6374</v>
      </c>
      <c r="I172">
        <v>57.265300000000003</v>
      </c>
      <c r="J172">
        <v>6.5481999999999997E-3</v>
      </c>
      <c r="K172">
        <v>0.37345499999999998</v>
      </c>
      <c r="L172">
        <v>57.405200000000001</v>
      </c>
      <c r="M172">
        <v>57.031799999999997</v>
      </c>
      <c r="N172">
        <v>6.3555E-3</v>
      </c>
      <c r="O172">
        <v>0.35724499999999998</v>
      </c>
      <c r="P172">
        <v>56.567599999999999</v>
      </c>
      <c r="Q172">
        <v>56.2104</v>
      </c>
      <c r="R172">
        <v>85.688000000000002</v>
      </c>
      <c r="S172">
        <v>85.688000000000002</v>
      </c>
      <c r="T172">
        <v>1.488</v>
      </c>
      <c r="U172">
        <v>149.529</v>
      </c>
      <c r="V172">
        <f t="shared" si="12"/>
        <v>0.81496075866579465</v>
      </c>
      <c r="W172">
        <f t="shared" si="13"/>
        <v>6.6096499999999999E-3</v>
      </c>
      <c r="X172">
        <f t="shared" si="14"/>
        <v>6.4979199999999999E-3</v>
      </c>
      <c r="Y172">
        <f t="shared" si="15"/>
        <v>6.5481999999999997E-3</v>
      </c>
      <c r="Z172">
        <f t="shared" si="16"/>
        <v>6.3555E-3</v>
      </c>
      <c r="AA172">
        <f t="shared" si="17"/>
        <v>6.5028174999999999E-3</v>
      </c>
    </row>
    <row r="173" spans="1:27" x14ac:dyDescent="0.3">
      <c r="A173">
        <v>168</v>
      </c>
      <c r="B173">
        <v>6.7057000000000002E-3</v>
      </c>
      <c r="C173">
        <v>0.38422299999999998</v>
      </c>
      <c r="D173">
        <v>57.682200000000002</v>
      </c>
      <c r="E173">
        <v>57.298000000000002</v>
      </c>
      <c r="F173">
        <v>6.5801100000000001E-3</v>
      </c>
      <c r="G173">
        <v>0.37681199999999998</v>
      </c>
      <c r="H173">
        <v>57.642099999999999</v>
      </c>
      <c r="I173">
        <v>57.265300000000003</v>
      </c>
      <c r="J173">
        <v>6.6253800000000002E-3</v>
      </c>
      <c r="K173">
        <v>0.377857</v>
      </c>
      <c r="L173">
        <v>57.409599999999998</v>
      </c>
      <c r="M173">
        <v>57.031799999999997</v>
      </c>
      <c r="N173">
        <v>6.4324500000000001E-3</v>
      </c>
      <c r="O173">
        <v>0.36157099999999998</v>
      </c>
      <c r="P173">
        <v>56.572000000000003</v>
      </c>
      <c r="Q173">
        <v>56.2104</v>
      </c>
      <c r="R173">
        <v>86.691000000000003</v>
      </c>
      <c r="S173">
        <v>86.691000000000003</v>
      </c>
      <c r="T173">
        <v>1.4924999999999999</v>
      </c>
      <c r="U173">
        <v>149.98099999999999</v>
      </c>
      <c r="V173">
        <f t="shared" si="12"/>
        <v>0.8174242424242425</v>
      </c>
      <c r="W173">
        <f t="shared" si="13"/>
        <v>6.7057000000000002E-3</v>
      </c>
      <c r="X173">
        <f t="shared" si="14"/>
        <v>6.5801100000000001E-3</v>
      </c>
      <c r="Y173">
        <f t="shared" si="15"/>
        <v>6.6253800000000002E-3</v>
      </c>
      <c r="Z173">
        <f t="shared" si="16"/>
        <v>6.4324500000000001E-3</v>
      </c>
      <c r="AA173">
        <f t="shared" si="17"/>
        <v>6.5859100000000004E-3</v>
      </c>
    </row>
    <row r="174" spans="1:27" x14ac:dyDescent="0.3">
      <c r="A174">
        <v>169</v>
      </c>
      <c r="B174">
        <v>6.7445099999999996E-3</v>
      </c>
      <c r="C174">
        <v>0.38644699999999998</v>
      </c>
      <c r="D174">
        <v>57.6845</v>
      </c>
      <c r="E174">
        <v>57.298000000000002</v>
      </c>
      <c r="F174">
        <v>6.6325300000000002E-3</v>
      </c>
      <c r="G174">
        <v>0.37981399999999998</v>
      </c>
      <c r="H174">
        <v>57.645099999999999</v>
      </c>
      <c r="I174">
        <v>57.265300000000003</v>
      </c>
      <c r="J174">
        <v>6.6997999999999997E-3</v>
      </c>
      <c r="K174">
        <v>0.382102</v>
      </c>
      <c r="L174">
        <v>57.413899999999998</v>
      </c>
      <c r="M174">
        <v>57.031799999999997</v>
      </c>
      <c r="N174">
        <v>6.5246999999999996E-3</v>
      </c>
      <c r="O174">
        <v>0.36675600000000003</v>
      </c>
      <c r="P174">
        <v>56.577199999999998</v>
      </c>
      <c r="Q174">
        <v>56.2104</v>
      </c>
      <c r="R174">
        <v>87.186000000000007</v>
      </c>
      <c r="S174">
        <v>87.186000000000007</v>
      </c>
      <c r="T174">
        <v>1.5012000000000001</v>
      </c>
      <c r="U174">
        <v>150.85400000000001</v>
      </c>
      <c r="V174">
        <f t="shared" si="12"/>
        <v>0.8221822541966427</v>
      </c>
      <c r="W174">
        <f t="shared" si="13"/>
        <v>6.7445099999999996E-3</v>
      </c>
      <c r="X174">
        <f t="shared" si="14"/>
        <v>6.6325300000000002E-3</v>
      </c>
      <c r="Y174">
        <f t="shared" si="15"/>
        <v>6.6997999999999997E-3</v>
      </c>
      <c r="Z174">
        <f t="shared" si="16"/>
        <v>6.5246999999999996E-3</v>
      </c>
      <c r="AA174">
        <f t="shared" si="17"/>
        <v>6.650385E-3</v>
      </c>
    </row>
    <row r="175" spans="1:27" x14ac:dyDescent="0.3">
      <c r="A175">
        <v>170</v>
      </c>
      <c r="B175">
        <v>7.0579700000000002E-3</v>
      </c>
      <c r="C175">
        <v>0.40440799999999999</v>
      </c>
      <c r="D175">
        <v>57.702399999999997</v>
      </c>
      <c r="E175">
        <v>57.298000000000002</v>
      </c>
      <c r="F175">
        <v>6.9363999999999997E-3</v>
      </c>
      <c r="G175">
        <v>0.39721499999999998</v>
      </c>
      <c r="H175">
        <v>57.662500000000001</v>
      </c>
      <c r="I175">
        <v>57.265300000000003</v>
      </c>
      <c r="J175">
        <v>7.0062500000000003E-3</v>
      </c>
      <c r="K175">
        <v>0.39957900000000002</v>
      </c>
      <c r="L175">
        <v>57.431399999999996</v>
      </c>
      <c r="M175">
        <v>57.031799999999997</v>
      </c>
      <c r="N175">
        <v>6.8071700000000004E-3</v>
      </c>
      <c r="O175">
        <v>0.38263399999999997</v>
      </c>
      <c r="P175">
        <v>56.593000000000004</v>
      </c>
      <c r="Q175">
        <v>56.2104</v>
      </c>
      <c r="R175">
        <v>89.555999999999997</v>
      </c>
      <c r="S175">
        <v>89.555999999999997</v>
      </c>
      <c r="T175">
        <v>1.5166999999999999</v>
      </c>
      <c r="U175">
        <v>152.404</v>
      </c>
      <c r="V175">
        <f t="shared" si="12"/>
        <v>0.83063004142140839</v>
      </c>
      <c r="W175">
        <f t="shared" si="13"/>
        <v>7.0579700000000002E-3</v>
      </c>
      <c r="X175">
        <f t="shared" si="14"/>
        <v>6.9363999999999997E-3</v>
      </c>
      <c r="Y175">
        <f t="shared" si="15"/>
        <v>7.0062500000000003E-3</v>
      </c>
      <c r="Z175">
        <f t="shared" si="16"/>
        <v>6.8071700000000004E-3</v>
      </c>
      <c r="AA175">
        <f t="shared" si="17"/>
        <v>6.9519474999999997E-3</v>
      </c>
    </row>
    <row r="176" spans="1:27" x14ac:dyDescent="0.3">
      <c r="A176">
        <v>171</v>
      </c>
      <c r="B176">
        <v>7.1788900000000003E-3</v>
      </c>
      <c r="C176">
        <v>0.41133599999999998</v>
      </c>
      <c r="D176">
        <v>57.709400000000002</v>
      </c>
      <c r="E176">
        <v>57.298000000000002</v>
      </c>
      <c r="F176">
        <v>7.0416200000000002E-3</v>
      </c>
      <c r="G176">
        <v>0.40324100000000002</v>
      </c>
      <c r="H176">
        <v>57.668500000000002</v>
      </c>
      <c r="I176">
        <v>57.265300000000003</v>
      </c>
      <c r="J176">
        <v>7.1078499999999998E-3</v>
      </c>
      <c r="K176">
        <v>0.40537400000000001</v>
      </c>
      <c r="L176">
        <v>57.437199999999997</v>
      </c>
      <c r="M176">
        <v>57.031799999999997</v>
      </c>
      <c r="N176">
        <v>6.9073399999999997E-3</v>
      </c>
      <c r="O176">
        <v>0.388264</v>
      </c>
      <c r="P176">
        <v>56.598700000000001</v>
      </c>
      <c r="Q176">
        <v>56.2104</v>
      </c>
      <c r="R176">
        <v>90.432000000000002</v>
      </c>
      <c r="S176">
        <v>90.432000000000002</v>
      </c>
      <c r="T176">
        <v>1.5264</v>
      </c>
      <c r="U176">
        <v>153.374</v>
      </c>
      <c r="V176">
        <f t="shared" si="12"/>
        <v>0.83591672116851967</v>
      </c>
      <c r="W176">
        <f t="shared" si="13"/>
        <v>7.1788900000000003E-3</v>
      </c>
      <c r="X176">
        <f t="shared" si="14"/>
        <v>7.0416200000000002E-3</v>
      </c>
      <c r="Y176">
        <f t="shared" si="15"/>
        <v>7.1078499999999998E-3</v>
      </c>
      <c r="Z176">
        <f t="shared" si="16"/>
        <v>6.9073399999999997E-3</v>
      </c>
      <c r="AA176">
        <f t="shared" si="17"/>
        <v>7.0589250000000006E-3</v>
      </c>
    </row>
    <row r="177" spans="1:27" x14ac:dyDescent="0.3">
      <c r="A177">
        <v>172</v>
      </c>
      <c r="B177">
        <v>7.2127500000000004E-3</v>
      </c>
      <c r="C177">
        <v>0.41327599999999998</v>
      </c>
      <c r="D177">
        <v>57.711300000000001</v>
      </c>
      <c r="E177">
        <v>57.298000000000002</v>
      </c>
      <c r="F177">
        <v>7.0781899999999998E-3</v>
      </c>
      <c r="G177">
        <v>0.405335</v>
      </c>
      <c r="H177">
        <v>57.6706</v>
      </c>
      <c r="I177">
        <v>57.265300000000003</v>
      </c>
      <c r="J177">
        <v>7.1326899999999997E-3</v>
      </c>
      <c r="K177">
        <v>0.40678999999999998</v>
      </c>
      <c r="L177">
        <v>57.438600000000001</v>
      </c>
      <c r="M177">
        <v>57.031799999999997</v>
      </c>
      <c r="N177">
        <v>6.9342900000000001E-3</v>
      </c>
      <c r="O177">
        <v>0.38977899999999999</v>
      </c>
      <c r="P177">
        <v>56.600200000000001</v>
      </c>
      <c r="Q177">
        <v>56.2104</v>
      </c>
      <c r="R177">
        <v>90.62</v>
      </c>
      <c r="S177">
        <v>90.62</v>
      </c>
      <c r="T177">
        <v>1.5250999999999999</v>
      </c>
      <c r="U177">
        <v>153.245</v>
      </c>
      <c r="V177">
        <f t="shared" si="12"/>
        <v>0.83521364726400704</v>
      </c>
      <c r="W177">
        <f t="shared" si="13"/>
        <v>7.2127500000000004E-3</v>
      </c>
      <c r="X177">
        <f t="shared" si="14"/>
        <v>7.0781899999999998E-3</v>
      </c>
      <c r="Y177">
        <f t="shared" si="15"/>
        <v>7.1326899999999997E-3</v>
      </c>
      <c r="Z177">
        <f t="shared" si="16"/>
        <v>6.9342900000000001E-3</v>
      </c>
      <c r="AA177">
        <f t="shared" si="17"/>
        <v>7.0894799999999996E-3</v>
      </c>
    </row>
    <row r="178" spans="1:27" x14ac:dyDescent="0.3">
      <c r="A178">
        <v>173</v>
      </c>
      <c r="B178">
        <v>7.1567999999999996E-3</v>
      </c>
      <c r="C178">
        <v>0.41006999999999999</v>
      </c>
      <c r="D178">
        <v>57.708100000000002</v>
      </c>
      <c r="E178">
        <v>57.298000000000002</v>
      </c>
      <c r="F178">
        <v>7.0446600000000003E-3</v>
      </c>
      <c r="G178">
        <v>0.40341399999999999</v>
      </c>
      <c r="H178">
        <v>57.668700000000001</v>
      </c>
      <c r="I178">
        <v>57.265300000000003</v>
      </c>
      <c r="J178">
        <v>7.1165100000000004E-3</v>
      </c>
      <c r="K178">
        <v>0.40586699999999998</v>
      </c>
      <c r="L178">
        <v>57.437600000000003</v>
      </c>
      <c r="M178">
        <v>57.031799999999997</v>
      </c>
      <c r="N178">
        <v>6.9169899999999996E-3</v>
      </c>
      <c r="O178">
        <v>0.38880700000000001</v>
      </c>
      <c r="P178">
        <v>56.599200000000003</v>
      </c>
      <c r="Q178">
        <v>56.2104</v>
      </c>
      <c r="R178">
        <v>90.745999999999995</v>
      </c>
      <c r="S178">
        <v>90.745999999999995</v>
      </c>
      <c r="T178">
        <v>1.5241</v>
      </c>
      <c r="U178">
        <v>153.148</v>
      </c>
      <c r="V178">
        <f t="shared" si="12"/>
        <v>0.83468497928929575</v>
      </c>
      <c r="W178">
        <f t="shared" si="13"/>
        <v>7.1567999999999996E-3</v>
      </c>
      <c r="X178">
        <f t="shared" si="14"/>
        <v>7.0446600000000003E-3</v>
      </c>
      <c r="Y178">
        <f t="shared" si="15"/>
        <v>7.1165100000000004E-3</v>
      </c>
      <c r="Z178">
        <f t="shared" si="16"/>
        <v>6.9169899999999996E-3</v>
      </c>
      <c r="AA178">
        <f t="shared" si="17"/>
        <v>7.0587399999999991E-3</v>
      </c>
    </row>
    <row r="179" spans="1:27" x14ac:dyDescent="0.3">
      <c r="A179">
        <v>174</v>
      </c>
      <c r="B179">
        <v>7.3671199999999996E-3</v>
      </c>
      <c r="C179">
        <v>0.422122</v>
      </c>
      <c r="D179">
        <v>57.720100000000002</v>
      </c>
      <c r="E179">
        <v>57.298000000000002</v>
      </c>
      <c r="F179">
        <v>7.2355199999999996E-3</v>
      </c>
      <c r="G179">
        <v>0.41434399999999999</v>
      </c>
      <c r="H179">
        <v>57.679600000000001</v>
      </c>
      <c r="I179">
        <v>57.265300000000003</v>
      </c>
      <c r="J179">
        <v>7.3130199999999999E-3</v>
      </c>
      <c r="K179">
        <v>0.41707499999999997</v>
      </c>
      <c r="L179">
        <v>57.448900000000002</v>
      </c>
      <c r="M179">
        <v>57.031799999999997</v>
      </c>
      <c r="N179">
        <v>7.1176399999999997E-3</v>
      </c>
      <c r="O179">
        <v>0.40008500000000002</v>
      </c>
      <c r="P179">
        <v>56.610500000000002</v>
      </c>
      <c r="Q179">
        <v>56.2104</v>
      </c>
      <c r="R179">
        <v>91.992000000000004</v>
      </c>
      <c r="S179">
        <v>91.992000000000004</v>
      </c>
      <c r="T179">
        <v>1.5386</v>
      </c>
      <c r="U179">
        <v>154.602</v>
      </c>
      <c r="V179">
        <f t="shared" si="12"/>
        <v>0.84260954872465665</v>
      </c>
      <c r="W179">
        <f t="shared" si="13"/>
        <v>7.3671199999999996E-3</v>
      </c>
      <c r="X179">
        <f t="shared" si="14"/>
        <v>7.2355199999999996E-3</v>
      </c>
      <c r="Y179">
        <f t="shared" si="15"/>
        <v>7.3130199999999999E-3</v>
      </c>
      <c r="Z179">
        <f t="shared" si="16"/>
        <v>7.1176399999999997E-3</v>
      </c>
      <c r="AA179">
        <f t="shared" si="17"/>
        <v>7.2583249999999995E-3</v>
      </c>
    </row>
    <row r="180" spans="1:27" x14ac:dyDescent="0.3">
      <c r="A180">
        <v>175</v>
      </c>
      <c r="B180">
        <v>7.4850300000000002E-3</v>
      </c>
      <c r="C180">
        <v>0.42887700000000001</v>
      </c>
      <c r="D180">
        <v>57.726900000000001</v>
      </c>
      <c r="E180">
        <v>57.298000000000002</v>
      </c>
      <c r="F180">
        <v>7.3588899999999999E-3</v>
      </c>
      <c r="G180">
        <v>0.42140899999999998</v>
      </c>
      <c r="H180">
        <v>57.686700000000002</v>
      </c>
      <c r="I180">
        <v>57.265300000000003</v>
      </c>
      <c r="J180">
        <v>7.4361499999999999E-3</v>
      </c>
      <c r="K180">
        <v>0.424097</v>
      </c>
      <c r="L180">
        <v>57.4559</v>
      </c>
      <c r="M180">
        <v>57.031799999999997</v>
      </c>
      <c r="N180">
        <v>7.2278400000000001E-3</v>
      </c>
      <c r="O180">
        <v>0.40627999999999997</v>
      </c>
      <c r="P180">
        <v>56.616700000000002</v>
      </c>
      <c r="Q180">
        <v>56.2104</v>
      </c>
      <c r="R180">
        <v>93.180999999999997</v>
      </c>
      <c r="S180">
        <v>93.180999999999997</v>
      </c>
      <c r="T180">
        <v>1.5399</v>
      </c>
      <c r="U180">
        <v>154.73099999999999</v>
      </c>
      <c r="V180">
        <f t="shared" si="12"/>
        <v>0.84331262262916939</v>
      </c>
      <c r="W180">
        <f t="shared" si="13"/>
        <v>7.4850300000000002E-3</v>
      </c>
      <c r="X180">
        <f t="shared" si="14"/>
        <v>7.3588899999999999E-3</v>
      </c>
      <c r="Y180">
        <f t="shared" si="15"/>
        <v>7.4361499999999999E-3</v>
      </c>
      <c r="Z180">
        <f t="shared" si="16"/>
        <v>7.2278400000000001E-3</v>
      </c>
      <c r="AA180">
        <f t="shared" si="17"/>
        <v>7.3769774999999996E-3</v>
      </c>
    </row>
    <row r="181" spans="1:27" x14ac:dyDescent="0.3">
      <c r="A181">
        <v>176</v>
      </c>
      <c r="B181">
        <v>7.5776300000000001E-3</v>
      </c>
      <c r="C181">
        <v>0.43418299999999999</v>
      </c>
      <c r="D181">
        <v>57.732199999999999</v>
      </c>
      <c r="E181">
        <v>57.298000000000002</v>
      </c>
      <c r="F181">
        <v>7.4516499999999998E-3</v>
      </c>
      <c r="G181">
        <v>0.42672100000000002</v>
      </c>
      <c r="H181">
        <v>57.692</v>
      </c>
      <c r="I181">
        <v>57.265300000000003</v>
      </c>
      <c r="J181">
        <v>7.5262300000000001E-3</v>
      </c>
      <c r="K181">
        <v>0.429234</v>
      </c>
      <c r="L181">
        <v>57.460999999999999</v>
      </c>
      <c r="M181">
        <v>57.031799999999997</v>
      </c>
      <c r="N181">
        <v>7.3230700000000001E-3</v>
      </c>
      <c r="O181">
        <v>0.41163300000000003</v>
      </c>
      <c r="P181">
        <v>56.622</v>
      </c>
      <c r="Q181">
        <v>56.2104</v>
      </c>
      <c r="R181">
        <v>93.674999999999997</v>
      </c>
      <c r="S181">
        <v>93.676000000000002</v>
      </c>
      <c r="T181">
        <v>1.5464</v>
      </c>
      <c r="U181">
        <v>155.37700000000001</v>
      </c>
      <c r="V181">
        <f t="shared" si="12"/>
        <v>0.84683344233703961</v>
      </c>
      <c r="W181">
        <f t="shared" si="13"/>
        <v>7.5776300000000001E-3</v>
      </c>
      <c r="X181">
        <f t="shared" si="14"/>
        <v>7.4516499999999998E-3</v>
      </c>
      <c r="Y181">
        <f t="shared" si="15"/>
        <v>7.5262300000000001E-3</v>
      </c>
      <c r="Z181">
        <f t="shared" si="16"/>
        <v>7.3230700000000001E-3</v>
      </c>
      <c r="AA181">
        <f t="shared" si="17"/>
        <v>7.4696450000000005E-3</v>
      </c>
    </row>
    <row r="182" spans="1:27" x14ac:dyDescent="0.3">
      <c r="A182">
        <v>177</v>
      </c>
      <c r="B182">
        <v>7.7060499999999999E-3</v>
      </c>
      <c r="C182">
        <v>0.44154199999999999</v>
      </c>
      <c r="D182">
        <v>57.739600000000003</v>
      </c>
      <c r="E182">
        <v>57.298000000000002</v>
      </c>
      <c r="F182">
        <v>7.56786E-3</v>
      </c>
      <c r="G182">
        <v>0.43337599999999998</v>
      </c>
      <c r="H182">
        <v>57.698700000000002</v>
      </c>
      <c r="I182">
        <v>57.265300000000003</v>
      </c>
      <c r="J182">
        <v>7.6342900000000002E-3</v>
      </c>
      <c r="K182">
        <v>0.43539699999999998</v>
      </c>
      <c r="L182">
        <v>57.467199999999998</v>
      </c>
      <c r="M182">
        <v>57.031799999999997</v>
      </c>
      <c r="N182">
        <v>7.4131199999999996E-3</v>
      </c>
      <c r="O182">
        <v>0.41669400000000001</v>
      </c>
      <c r="P182">
        <v>56.627099999999999</v>
      </c>
      <c r="Q182">
        <v>56.2104</v>
      </c>
      <c r="R182">
        <v>94.676000000000002</v>
      </c>
      <c r="S182">
        <v>94.676000000000002</v>
      </c>
      <c r="T182">
        <v>1.5464</v>
      </c>
      <c r="U182">
        <v>155.37700000000001</v>
      </c>
      <c r="V182">
        <f t="shared" si="12"/>
        <v>0.84683344233703961</v>
      </c>
      <c r="W182">
        <f t="shared" si="13"/>
        <v>7.7060499999999999E-3</v>
      </c>
      <c r="X182">
        <f t="shared" si="14"/>
        <v>7.56786E-3</v>
      </c>
      <c r="Y182">
        <f t="shared" si="15"/>
        <v>7.6342900000000002E-3</v>
      </c>
      <c r="Z182">
        <f t="shared" si="16"/>
        <v>7.4131199999999996E-3</v>
      </c>
      <c r="AA182">
        <f t="shared" si="17"/>
        <v>7.5803299999999997E-3</v>
      </c>
    </row>
    <row r="183" spans="1:27" x14ac:dyDescent="0.3">
      <c r="A183">
        <v>178</v>
      </c>
      <c r="B183">
        <v>7.86567E-3</v>
      </c>
      <c r="C183">
        <v>0.450687</v>
      </c>
      <c r="D183">
        <v>57.748699999999999</v>
      </c>
      <c r="E183">
        <v>57.298000000000002</v>
      </c>
      <c r="F183">
        <v>7.73554E-3</v>
      </c>
      <c r="G183">
        <v>0.44297799999999998</v>
      </c>
      <c r="H183">
        <v>57.708300000000001</v>
      </c>
      <c r="I183">
        <v>57.265300000000003</v>
      </c>
      <c r="J183">
        <v>7.8276200000000004E-3</v>
      </c>
      <c r="K183">
        <v>0.44642300000000001</v>
      </c>
      <c r="L183">
        <v>57.478200000000001</v>
      </c>
      <c r="M183">
        <v>57.031799999999997</v>
      </c>
      <c r="N183">
        <v>7.6220899999999998E-3</v>
      </c>
      <c r="O183">
        <v>0.42844100000000002</v>
      </c>
      <c r="P183">
        <v>56.638800000000003</v>
      </c>
      <c r="Q183">
        <v>56.2104</v>
      </c>
      <c r="R183">
        <v>96.546999999999997</v>
      </c>
      <c r="S183">
        <v>96.546999999999997</v>
      </c>
      <c r="T183">
        <v>1.5676000000000001</v>
      </c>
      <c r="U183">
        <v>157.50899999999999</v>
      </c>
      <c r="V183">
        <f t="shared" si="12"/>
        <v>0.85845323741007185</v>
      </c>
      <c r="W183">
        <f t="shared" si="13"/>
        <v>7.86567E-3</v>
      </c>
      <c r="X183">
        <f t="shared" si="14"/>
        <v>7.73554E-3</v>
      </c>
      <c r="Y183">
        <f t="shared" si="15"/>
        <v>7.8276200000000004E-3</v>
      </c>
      <c r="Z183">
        <f t="shared" si="16"/>
        <v>7.6220899999999998E-3</v>
      </c>
      <c r="AA183">
        <f t="shared" si="17"/>
        <v>7.7627300000000007E-3</v>
      </c>
    </row>
    <row r="184" spans="1:27" x14ac:dyDescent="0.3">
      <c r="A184">
        <v>179</v>
      </c>
      <c r="B184">
        <v>8.0677400000000003E-3</v>
      </c>
      <c r="C184">
        <v>0.46226600000000001</v>
      </c>
      <c r="D184">
        <v>57.760300000000001</v>
      </c>
      <c r="E184">
        <v>57.298000000000002</v>
      </c>
      <c r="F184">
        <v>7.9184700000000004E-3</v>
      </c>
      <c r="G184">
        <v>0.45345299999999999</v>
      </c>
      <c r="H184">
        <v>57.718800000000002</v>
      </c>
      <c r="I184">
        <v>57.265300000000003</v>
      </c>
      <c r="J184">
        <v>8.0124099999999993E-3</v>
      </c>
      <c r="K184">
        <v>0.45696199999999998</v>
      </c>
      <c r="L184">
        <v>57.488700000000001</v>
      </c>
      <c r="M184">
        <v>57.031799999999997</v>
      </c>
      <c r="N184">
        <v>7.8033399999999998E-3</v>
      </c>
      <c r="O184">
        <v>0.43862899999999999</v>
      </c>
      <c r="P184">
        <v>56.649000000000001</v>
      </c>
      <c r="Q184">
        <v>56.2104</v>
      </c>
      <c r="R184">
        <v>98.295000000000002</v>
      </c>
      <c r="S184">
        <v>98.295000000000002</v>
      </c>
      <c r="T184">
        <v>1.5699000000000001</v>
      </c>
      <c r="U184">
        <v>157.73599999999999</v>
      </c>
      <c r="V184">
        <f t="shared" si="12"/>
        <v>0.85969042947460206</v>
      </c>
      <c r="W184">
        <f t="shared" si="13"/>
        <v>8.0677400000000003E-3</v>
      </c>
      <c r="X184">
        <f t="shared" si="14"/>
        <v>7.9184700000000004E-3</v>
      </c>
      <c r="Y184">
        <f t="shared" si="15"/>
        <v>8.0124099999999993E-3</v>
      </c>
      <c r="Z184">
        <f t="shared" si="16"/>
        <v>7.8033399999999998E-3</v>
      </c>
      <c r="AA184">
        <f t="shared" si="17"/>
        <v>7.9504899999999993E-3</v>
      </c>
    </row>
    <row r="185" spans="1:27" x14ac:dyDescent="0.3">
      <c r="A185">
        <v>180</v>
      </c>
      <c r="B185">
        <v>8.3454900000000005E-3</v>
      </c>
      <c r="C185">
        <v>0.47817999999999999</v>
      </c>
      <c r="D185">
        <v>57.776200000000003</v>
      </c>
      <c r="E185">
        <v>57.298000000000002</v>
      </c>
      <c r="F185">
        <v>8.1896E-3</v>
      </c>
      <c r="G185">
        <v>0.46898000000000001</v>
      </c>
      <c r="H185">
        <v>57.734299999999998</v>
      </c>
      <c r="I185">
        <v>57.265300000000003</v>
      </c>
      <c r="J185">
        <v>8.2917400000000006E-3</v>
      </c>
      <c r="K185">
        <v>0.47289300000000001</v>
      </c>
      <c r="L185">
        <v>57.5047</v>
      </c>
      <c r="M185">
        <v>57.031799999999997</v>
      </c>
      <c r="N185">
        <v>8.0700900000000002E-3</v>
      </c>
      <c r="O185">
        <v>0.453623</v>
      </c>
      <c r="P185">
        <v>56.664000000000001</v>
      </c>
      <c r="Q185">
        <v>56.2104</v>
      </c>
      <c r="R185">
        <v>100.602</v>
      </c>
      <c r="S185">
        <v>100.602</v>
      </c>
      <c r="T185">
        <v>1.5853999999999999</v>
      </c>
      <c r="U185">
        <v>159.286</v>
      </c>
      <c r="V185">
        <f t="shared" si="12"/>
        <v>0.86813821669936786</v>
      </c>
      <c r="W185">
        <f t="shared" si="13"/>
        <v>8.3454900000000005E-3</v>
      </c>
      <c r="X185">
        <f t="shared" si="14"/>
        <v>8.1896E-3</v>
      </c>
      <c r="Y185">
        <f t="shared" si="15"/>
        <v>8.2917400000000006E-3</v>
      </c>
      <c r="Z185">
        <f t="shared" si="16"/>
        <v>8.0700900000000002E-3</v>
      </c>
      <c r="AA185">
        <f t="shared" si="17"/>
        <v>8.2242300000000008E-3</v>
      </c>
    </row>
    <row r="186" spans="1:27" x14ac:dyDescent="0.3">
      <c r="A186">
        <v>181</v>
      </c>
      <c r="B186">
        <v>8.4111299999999993E-3</v>
      </c>
      <c r="C186">
        <v>0.48194100000000001</v>
      </c>
      <c r="D186">
        <v>57.78</v>
      </c>
      <c r="E186">
        <v>57.298000000000002</v>
      </c>
      <c r="F186">
        <v>8.2689600000000005E-3</v>
      </c>
      <c r="G186">
        <v>0.47352499999999997</v>
      </c>
      <c r="H186">
        <v>57.738799999999998</v>
      </c>
      <c r="I186">
        <v>57.265300000000003</v>
      </c>
      <c r="J186">
        <v>8.3672799999999995E-3</v>
      </c>
      <c r="K186">
        <v>0.47720099999999999</v>
      </c>
      <c r="L186">
        <v>57.509</v>
      </c>
      <c r="M186">
        <v>57.031799999999997</v>
      </c>
      <c r="N186">
        <v>8.1577300000000002E-3</v>
      </c>
      <c r="O186">
        <v>0.45854899999999998</v>
      </c>
      <c r="P186">
        <v>56.668999999999997</v>
      </c>
      <c r="Q186">
        <v>56.2104</v>
      </c>
      <c r="R186">
        <v>100.976</v>
      </c>
      <c r="S186">
        <v>100.976</v>
      </c>
      <c r="T186">
        <v>1.5860000000000001</v>
      </c>
      <c r="U186">
        <v>159.351</v>
      </c>
      <c r="V186">
        <f t="shared" si="12"/>
        <v>0.86849247874427726</v>
      </c>
      <c r="W186">
        <f t="shared" si="13"/>
        <v>8.4111299999999993E-3</v>
      </c>
      <c r="X186">
        <f t="shared" si="14"/>
        <v>8.2689600000000005E-3</v>
      </c>
      <c r="Y186">
        <f t="shared" si="15"/>
        <v>8.3672799999999995E-3</v>
      </c>
      <c r="Z186">
        <f t="shared" si="16"/>
        <v>8.1577300000000002E-3</v>
      </c>
      <c r="AA186">
        <f t="shared" si="17"/>
        <v>8.3012750000000003E-3</v>
      </c>
    </row>
    <row r="187" spans="1:27" x14ac:dyDescent="0.3">
      <c r="A187">
        <v>182</v>
      </c>
      <c r="B187">
        <v>8.8280600000000004E-3</v>
      </c>
      <c r="C187">
        <v>0.50583</v>
      </c>
      <c r="D187">
        <v>57.803899999999999</v>
      </c>
      <c r="E187">
        <v>57.298000000000002</v>
      </c>
      <c r="F187">
        <v>8.6662600000000003E-3</v>
      </c>
      <c r="G187">
        <v>0.49627599999999999</v>
      </c>
      <c r="H187">
        <v>57.761600000000001</v>
      </c>
      <c r="I187">
        <v>57.265300000000003</v>
      </c>
      <c r="J187">
        <v>8.7874600000000004E-3</v>
      </c>
      <c r="K187">
        <v>0.50116499999999997</v>
      </c>
      <c r="L187">
        <v>57.532899999999998</v>
      </c>
      <c r="M187">
        <v>57.031799999999997</v>
      </c>
      <c r="N187">
        <v>8.5589700000000008E-3</v>
      </c>
      <c r="O187">
        <v>0.481103</v>
      </c>
      <c r="P187">
        <v>56.691499999999998</v>
      </c>
      <c r="Q187">
        <v>56.2104</v>
      </c>
      <c r="R187">
        <v>104.59699999999999</v>
      </c>
      <c r="S187">
        <v>104.59699999999999</v>
      </c>
      <c r="T187">
        <v>1.5811999999999999</v>
      </c>
      <c r="U187">
        <v>158.86600000000001</v>
      </c>
      <c r="V187">
        <f t="shared" si="12"/>
        <v>0.86584913887072168</v>
      </c>
      <c r="W187">
        <f t="shared" si="13"/>
        <v>8.8280600000000004E-3</v>
      </c>
      <c r="X187">
        <f t="shared" si="14"/>
        <v>8.6662600000000003E-3</v>
      </c>
      <c r="Y187">
        <f t="shared" si="15"/>
        <v>8.7874600000000004E-3</v>
      </c>
      <c r="Z187">
        <f t="shared" si="16"/>
        <v>8.5589700000000008E-3</v>
      </c>
      <c r="AA187">
        <f t="shared" si="17"/>
        <v>8.7101875000000009E-3</v>
      </c>
    </row>
    <row r="188" spans="1:27" x14ac:dyDescent="0.3">
      <c r="A188">
        <v>183</v>
      </c>
      <c r="B188">
        <v>8.8613600000000004E-3</v>
      </c>
      <c r="C188">
        <v>0.50773800000000002</v>
      </c>
      <c r="D188">
        <v>57.805799999999998</v>
      </c>
      <c r="E188">
        <v>57.298000000000002</v>
      </c>
      <c r="F188">
        <v>8.7060499999999999E-3</v>
      </c>
      <c r="G188">
        <v>0.49855500000000003</v>
      </c>
      <c r="H188">
        <v>57.7639</v>
      </c>
      <c r="I188">
        <v>57.265300000000003</v>
      </c>
      <c r="J188">
        <v>8.8225899999999999E-3</v>
      </c>
      <c r="K188">
        <v>0.50316799999999995</v>
      </c>
      <c r="L188">
        <v>57.5349</v>
      </c>
      <c r="M188">
        <v>57.031799999999997</v>
      </c>
      <c r="N188">
        <v>8.5946700000000004E-3</v>
      </c>
      <c r="O188">
        <v>0.48310999999999998</v>
      </c>
      <c r="P188">
        <v>56.6935</v>
      </c>
      <c r="Q188">
        <v>56.2104</v>
      </c>
      <c r="R188">
        <v>104.846</v>
      </c>
      <c r="S188">
        <v>104.846</v>
      </c>
      <c r="T188">
        <v>1.5828</v>
      </c>
      <c r="U188">
        <v>159.02799999999999</v>
      </c>
      <c r="V188">
        <f t="shared" si="12"/>
        <v>0.86673206889034216</v>
      </c>
      <c r="W188">
        <f t="shared" si="13"/>
        <v>8.8613600000000004E-3</v>
      </c>
      <c r="X188">
        <f t="shared" si="14"/>
        <v>8.7060499999999999E-3</v>
      </c>
      <c r="Y188">
        <f t="shared" si="15"/>
        <v>8.8225899999999999E-3</v>
      </c>
      <c r="Z188">
        <f t="shared" si="16"/>
        <v>8.5946700000000004E-3</v>
      </c>
      <c r="AA188">
        <f t="shared" si="17"/>
        <v>8.7461674999999989E-3</v>
      </c>
    </row>
    <row r="189" spans="1:27" x14ac:dyDescent="0.3">
      <c r="A189">
        <v>184</v>
      </c>
      <c r="B189">
        <v>8.9125300000000001E-3</v>
      </c>
      <c r="C189">
        <v>0.51066999999999996</v>
      </c>
      <c r="D189">
        <v>57.808700000000002</v>
      </c>
      <c r="E189">
        <v>57.298000000000002</v>
      </c>
      <c r="F189">
        <v>8.7548599999999997E-3</v>
      </c>
      <c r="G189">
        <v>0.50134999999999996</v>
      </c>
      <c r="H189">
        <v>57.7667</v>
      </c>
      <c r="I189">
        <v>57.265300000000003</v>
      </c>
      <c r="J189">
        <v>8.8735399999999992E-3</v>
      </c>
      <c r="K189">
        <v>0.50607400000000002</v>
      </c>
      <c r="L189">
        <v>57.5379</v>
      </c>
      <c r="M189">
        <v>57.031799999999997</v>
      </c>
      <c r="N189">
        <v>8.6554400000000004E-3</v>
      </c>
      <c r="O189">
        <v>0.48652600000000001</v>
      </c>
      <c r="P189">
        <v>56.696899999999999</v>
      </c>
      <c r="Q189">
        <v>56.2104</v>
      </c>
      <c r="R189">
        <v>105.03400000000001</v>
      </c>
      <c r="S189">
        <v>105.03400000000001</v>
      </c>
      <c r="T189">
        <v>1.5853999999999999</v>
      </c>
      <c r="U189">
        <v>159.286</v>
      </c>
      <c r="V189">
        <f t="shared" si="12"/>
        <v>0.86813821669936786</v>
      </c>
      <c r="W189">
        <f t="shared" si="13"/>
        <v>8.9125300000000001E-3</v>
      </c>
      <c r="X189">
        <f t="shared" si="14"/>
        <v>8.7548599999999997E-3</v>
      </c>
      <c r="Y189">
        <f t="shared" si="15"/>
        <v>8.8735399999999992E-3</v>
      </c>
      <c r="Z189">
        <f t="shared" si="16"/>
        <v>8.6554400000000004E-3</v>
      </c>
      <c r="AA189">
        <f t="shared" si="17"/>
        <v>8.7990924999999994E-3</v>
      </c>
    </row>
    <row r="190" spans="1:27" x14ac:dyDescent="0.3">
      <c r="A190">
        <v>185</v>
      </c>
      <c r="B190">
        <v>9.5451600000000004E-3</v>
      </c>
      <c r="C190">
        <v>0.54691900000000004</v>
      </c>
      <c r="D190">
        <v>57.844900000000003</v>
      </c>
      <c r="E190">
        <v>57.298000000000002</v>
      </c>
      <c r="F190">
        <v>9.3767399999999997E-3</v>
      </c>
      <c r="G190">
        <v>0.53696200000000005</v>
      </c>
      <c r="H190">
        <v>57.802300000000002</v>
      </c>
      <c r="I190">
        <v>57.265300000000003</v>
      </c>
      <c r="J190">
        <v>9.4936599999999993E-3</v>
      </c>
      <c r="K190">
        <v>0.54144000000000003</v>
      </c>
      <c r="L190">
        <v>57.5732</v>
      </c>
      <c r="M190">
        <v>57.031799999999997</v>
      </c>
      <c r="N190">
        <v>9.2599299999999996E-3</v>
      </c>
      <c r="O190">
        <v>0.52050399999999997</v>
      </c>
      <c r="P190">
        <v>56.730899999999998</v>
      </c>
      <c r="Q190">
        <v>56.2104</v>
      </c>
      <c r="R190">
        <v>110.086</v>
      </c>
      <c r="S190">
        <v>110.086</v>
      </c>
      <c r="T190">
        <v>1.5847</v>
      </c>
      <c r="U190">
        <v>159.22200000000001</v>
      </c>
      <c r="V190">
        <f t="shared" si="12"/>
        <v>0.86778940483976463</v>
      </c>
      <c r="W190">
        <f t="shared" si="13"/>
        <v>9.5451600000000004E-3</v>
      </c>
      <c r="X190">
        <f t="shared" si="14"/>
        <v>9.3767399999999997E-3</v>
      </c>
      <c r="Y190">
        <f t="shared" si="15"/>
        <v>9.4936599999999993E-3</v>
      </c>
      <c r="Z190">
        <f t="shared" si="16"/>
        <v>9.2599299999999996E-3</v>
      </c>
      <c r="AA190">
        <f t="shared" si="17"/>
        <v>9.4188724999999997E-3</v>
      </c>
    </row>
    <row r="191" spans="1:27" x14ac:dyDescent="0.3">
      <c r="A191">
        <v>186</v>
      </c>
      <c r="B191">
        <v>9.8915099999999992E-3</v>
      </c>
      <c r="C191">
        <v>0.56676400000000005</v>
      </c>
      <c r="D191">
        <v>57.864800000000002</v>
      </c>
      <c r="E191">
        <v>57.298000000000002</v>
      </c>
      <c r="F191">
        <v>9.7552100000000003E-3</v>
      </c>
      <c r="G191">
        <v>0.55863499999999999</v>
      </c>
      <c r="H191">
        <v>57.823900000000002</v>
      </c>
      <c r="I191">
        <v>57.265300000000003</v>
      </c>
      <c r="J191">
        <v>9.8550900000000004E-3</v>
      </c>
      <c r="K191">
        <v>0.56205300000000002</v>
      </c>
      <c r="L191">
        <v>57.593800000000002</v>
      </c>
      <c r="M191">
        <v>57.031799999999997</v>
      </c>
      <c r="N191">
        <v>9.6068200000000003E-3</v>
      </c>
      <c r="O191">
        <v>0.54000300000000001</v>
      </c>
      <c r="P191">
        <v>56.750399999999999</v>
      </c>
      <c r="Q191">
        <v>56.2104</v>
      </c>
      <c r="R191">
        <v>112.649</v>
      </c>
      <c r="S191">
        <v>112.65</v>
      </c>
      <c r="T191">
        <v>1.5831</v>
      </c>
      <c r="U191">
        <v>159.06</v>
      </c>
      <c r="V191">
        <f t="shared" si="12"/>
        <v>0.86690647482014394</v>
      </c>
      <c r="W191">
        <f t="shared" si="13"/>
        <v>9.8915099999999992E-3</v>
      </c>
      <c r="X191">
        <f t="shared" si="14"/>
        <v>9.7552100000000003E-3</v>
      </c>
      <c r="Y191">
        <f t="shared" si="15"/>
        <v>9.8550900000000004E-3</v>
      </c>
      <c r="Z191">
        <f t="shared" si="16"/>
        <v>9.6068200000000003E-3</v>
      </c>
      <c r="AA191">
        <f t="shared" si="17"/>
        <v>9.7771574999999996E-3</v>
      </c>
    </row>
    <row r="192" spans="1:27" x14ac:dyDescent="0.3">
      <c r="A192">
        <v>187</v>
      </c>
      <c r="B192">
        <v>1.01309E-2</v>
      </c>
      <c r="C192">
        <v>0.58047899999999997</v>
      </c>
      <c r="D192">
        <v>57.878500000000003</v>
      </c>
      <c r="E192">
        <v>57.298000000000002</v>
      </c>
      <c r="F192">
        <v>1.00099E-2</v>
      </c>
      <c r="G192">
        <v>0.57321900000000003</v>
      </c>
      <c r="H192">
        <v>57.838500000000003</v>
      </c>
      <c r="I192">
        <v>57.265300000000003</v>
      </c>
      <c r="J192">
        <v>1.00819E-2</v>
      </c>
      <c r="K192">
        <v>0.57499100000000003</v>
      </c>
      <c r="L192">
        <v>57.6068</v>
      </c>
      <c r="M192">
        <v>57.031799999999997</v>
      </c>
      <c r="N192">
        <v>9.8245399999999997E-3</v>
      </c>
      <c r="O192">
        <v>0.55224099999999998</v>
      </c>
      <c r="P192">
        <v>56.762599999999999</v>
      </c>
      <c r="Q192">
        <v>56.2104</v>
      </c>
      <c r="R192">
        <v>114.20399999999999</v>
      </c>
      <c r="S192">
        <v>114.205</v>
      </c>
      <c r="T192">
        <v>1.577</v>
      </c>
      <c r="U192">
        <v>158.446</v>
      </c>
      <c r="V192">
        <f t="shared" si="12"/>
        <v>0.86356006104207539</v>
      </c>
      <c r="W192">
        <f t="shared" si="13"/>
        <v>1.01309E-2</v>
      </c>
      <c r="X192">
        <f t="shared" si="14"/>
        <v>1.00099E-2</v>
      </c>
      <c r="Y192">
        <f t="shared" si="15"/>
        <v>1.00819E-2</v>
      </c>
      <c r="Z192">
        <f t="shared" si="16"/>
        <v>9.8245399999999997E-3</v>
      </c>
      <c r="AA192">
        <f t="shared" si="17"/>
        <v>1.0011809999999999E-2</v>
      </c>
    </row>
    <row r="193" spans="1:27" x14ac:dyDescent="0.3">
      <c r="A193">
        <v>188</v>
      </c>
      <c r="B193">
        <v>1.0186300000000001E-2</v>
      </c>
      <c r="C193">
        <v>0.58365500000000003</v>
      </c>
      <c r="D193">
        <v>57.881700000000002</v>
      </c>
      <c r="E193">
        <v>57.298000000000002</v>
      </c>
      <c r="F193">
        <v>1.0074700000000001E-2</v>
      </c>
      <c r="G193">
        <v>0.57692900000000003</v>
      </c>
      <c r="H193">
        <v>57.842199999999998</v>
      </c>
      <c r="I193">
        <v>57.265300000000003</v>
      </c>
      <c r="J193">
        <v>1.0158199999999999E-2</v>
      </c>
      <c r="K193">
        <v>0.57934200000000002</v>
      </c>
      <c r="L193">
        <v>57.6111</v>
      </c>
      <c r="M193">
        <v>57.031799999999997</v>
      </c>
      <c r="N193">
        <v>9.9154299999999994E-3</v>
      </c>
      <c r="O193">
        <v>0.55735000000000001</v>
      </c>
      <c r="P193">
        <v>56.767800000000001</v>
      </c>
      <c r="Q193">
        <v>56.2104</v>
      </c>
      <c r="R193">
        <v>114.51900000000001</v>
      </c>
      <c r="S193">
        <v>114.51900000000001</v>
      </c>
      <c r="T193">
        <v>1.5786</v>
      </c>
      <c r="U193">
        <v>158.608</v>
      </c>
      <c r="V193">
        <f t="shared" si="12"/>
        <v>0.8644429910616962</v>
      </c>
      <c r="W193">
        <f t="shared" si="13"/>
        <v>1.0186300000000001E-2</v>
      </c>
      <c r="X193">
        <f t="shared" si="14"/>
        <v>1.0074700000000001E-2</v>
      </c>
      <c r="Y193">
        <f t="shared" si="15"/>
        <v>1.0158199999999999E-2</v>
      </c>
      <c r="Z193">
        <f t="shared" si="16"/>
        <v>9.9154299999999994E-3</v>
      </c>
      <c r="AA193">
        <f t="shared" si="17"/>
        <v>1.0083657499999999E-2</v>
      </c>
    </row>
    <row r="194" spans="1:27" x14ac:dyDescent="0.3">
      <c r="A194">
        <v>189</v>
      </c>
      <c r="B194">
        <v>1.0222500000000001E-2</v>
      </c>
      <c r="C194">
        <v>0.58572900000000006</v>
      </c>
      <c r="D194">
        <v>57.883800000000001</v>
      </c>
      <c r="E194">
        <v>57.298000000000002</v>
      </c>
      <c r="F194">
        <v>1.01736E-2</v>
      </c>
      <c r="G194">
        <v>0.582592</v>
      </c>
      <c r="H194">
        <v>57.847900000000003</v>
      </c>
      <c r="I194">
        <v>57.265300000000003</v>
      </c>
      <c r="J194">
        <v>1.0338999999999999E-2</v>
      </c>
      <c r="K194">
        <v>0.58965100000000004</v>
      </c>
      <c r="L194">
        <v>57.621400000000001</v>
      </c>
      <c r="M194">
        <v>57.031799999999997</v>
      </c>
      <c r="N194">
        <v>1.0178100000000001E-2</v>
      </c>
      <c r="O194">
        <v>0.57211500000000004</v>
      </c>
      <c r="P194">
        <v>56.782499999999999</v>
      </c>
      <c r="Q194">
        <v>56.2104</v>
      </c>
      <c r="R194">
        <v>115.14</v>
      </c>
      <c r="S194">
        <v>115.14</v>
      </c>
      <c r="T194">
        <v>1.5145</v>
      </c>
      <c r="U194">
        <v>152.178</v>
      </c>
      <c r="V194">
        <f t="shared" si="12"/>
        <v>0.82939829954218447</v>
      </c>
      <c r="W194">
        <f t="shared" si="13"/>
        <v>1.0222500000000001E-2</v>
      </c>
      <c r="X194">
        <f t="shared" si="14"/>
        <v>1.01736E-2</v>
      </c>
      <c r="Y194">
        <f t="shared" si="15"/>
        <v>1.0338999999999999E-2</v>
      </c>
      <c r="Z194">
        <f t="shared" si="16"/>
        <v>1.0178100000000001E-2</v>
      </c>
      <c r="AA194">
        <f t="shared" si="17"/>
        <v>1.0228300000000001E-2</v>
      </c>
    </row>
    <row r="195" spans="1:27" x14ac:dyDescent="0.3">
      <c r="A195">
        <v>190</v>
      </c>
      <c r="B195">
        <v>1.0249899999999999E-2</v>
      </c>
      <c r="C195">
        <v>0.58729799999999999</v>
      </c>
      <c r="D195">
        <v>57.885300000000001</v>
      </c>
      <c r="E195">
        <v>57.298000000000002</v>
      </c>
      <c r="F195">
        <v>1.02057E-2</v>
      </c>
      <c r="G195">
        <v>0.58443199999999995</v>
      </c>
      <c r="H195">
        <v>57.849699999999999</v>
      </c>
      <c r="I195">
        <v>57.265300000000003</v>
      </c>
      <c r="J195">
        <v>1.03704E-2</v>
      </c>
      <c r="K195">
        <v>0.59144300000000005</v>
      </c>
      <c r="L195">
        <v>57.623199999999997</v>
      </c>
      <c r="M195">
        <v>57.031799999999997</v>
      </c>
      <c r="N195">
        <v>1.02281E-2</v>
      </c>
      <c r="O195">
        <v>0.57492500000000002</v>
      </c>
      <c r="P195">
        <v>56.785299999999999</v>
      </c>
      <c r="Q195">
        <v>56.2104</v>
      </c>
      <c r="R195">
        <v>115.268</v>
      </c>
      <c r="S195">
        <v>115.268</v>
      </c>
      <c r="T195">
        <v>1.4593</v>
      </c>
      <c r="U195">
        <v>146.65299999999999</v>
      </c>
      <c r="V195">
        <f t="shared" si="12"/>
        <v>0.79928602572487462</v>
      </c>
      <c r="W195">
        <f t="shared" si="13"/>
        <v>1.0249899999999999E-2</v>
      </c>
      <c r="X195">
        <f t="shared" si="14"/>
        <v>1.02057E-2</v>
      </c>
      <c r="Y195">
        <f t="shared" si="15"/>
        <v>1.03704E-2</v>
      </c>
      <c r="Z195">
        <f t="shared" si="16"/>
        <v>1.02281E-2</v>
      </c>
      <c r="AA195">
        <f t="shared" si="17"/>
        <v>1.0263524999999999E-2</v>
      </c>
    </row>
    <row r="196" spans="1:27" x14ac:dyDescent="0.3">
      <c r="A196">
        <v>191</v>
      </c>
      <c r="B196">
        <v>1.0297499999999999E-2</v>
      </c>
      <c r="C196">
        <v>0.59002900000000003</v>
      </c>
      <c r="D196">
        <v>57.888100000000001</v>
      </c>
      <c r="E196">
        <v>57.298000000000002</v>
      </c>
      <c r="F196">
        <v>1.0252799999999999E-2</v>
      </c>
      <c r="G196">
        <v>0.58713000000000004</v>
      </c>
      <c r="H196">
        <v>57.852400000000003</v>
      </c>
      <c r="I196">
        <v>57.265300000000003</v>
      </c>
      <c r="J196">
        <v>1.0411500000000001E-2</v>
      </c>
      <c r="K196">
        <v>0.59378600000000004</v>
      </c>
      <c r="L196">
        <v>57.625599999999999</v>
      </c>
      <c r="M196">
        <v>57.031799999999997</v>
      </c>
      <c r="N196">
        <v>1.02766E-2</v>
      </c>
      <c r="O196">
        <v>0.577654</v>
      </c>
      <c r="P196">
        <v>56.7881</v>
      </c>
      <c r="Q196">
        <v>56.2104</v>
      </c>
      <c r="R196">
        <v>115.39100000000001</v>
      </c>
      <c r="S196">
        <v>115.392</v>
      </c>
      <c r="T196">
        <v>1.4368000000000001</v>
      </c>
      <c r="U196">
        <v>144.392</v>
      </c>
      <c r="V196">
        <f t="shared" si="12"/>
        <v>0.78696315674732942</v>
      </c>
      <c r="W196">
        <f t="shared" si="13"/>
        <v>1.0297499999999999E-2</v>
      </c>
      <c r="X196">
        <f t="shared" si="14"/>
        <v>1.0252799999999999E-2</v>
      </c>
      <c r="Y196">
        <f t="shared" si="15"/>
        <v>1.0411500000000001E-2</v>
      </c>
      <c r="Z196">
        <f t="shared" si="16"/>
        <v>1.02766E-2</v>
      </c>
      <c r="AA196">
        <f t="shared" si="17"/>
        <v>1.03096E-2</v>
      </c>
    </row>
    <row r="197" spans="1:27" x14ac:dyDescent="0.3">
      <c r="A197">
        <v>192</v>
      </c>
      <c r="B197">
        <v>1.0279999999999999E-2</v>
      </c>
      <c r="C197">
        <v>0.58902500000000002</v>
      </c>
      <c r="D197">
        <v>57.887</v>
      </c>
      <c r="E197">
        <v>57.298000000000002</v>
      </c>
      <c r="F197">
        <v>1.02396E-2</v>
      </c>
      <c r="G197">
        <v>0.58637499999999998</v>
      </c>
      <c r="H197">
        <v>57.851700000000001</v>
      </c>
      <c r="I197">
        <v>57.265300000000003</v>
      </c>
      <c r="J197">
        <v>1.04043E-2</v>
      </c>
      <c r="K197">
        <v>0.59337399999999996</v>
      </c>
      <c r="L197">
        <v>57.6252</v>
      </c>
      <c r="M197">
        <v>57.031799999999997</v>
      </c>
      <c r="N197">
        <v>1.0279999999999999E-2</v>
      </c>
      <c r="O197">
        <v>0.57784500000000005</v>
      </c>
      <c r="P197">
        <v>56.788200000000003</v>
      </c>
      <c r="Q197">
        <v>56.2104</v>
      </c>
      <c r="R197">
        <v>115.578</v>
      </c>
      <c r="S197">
        <v>115.57899999999999</v>
      </c>
      <c r="T197">
        <v>1.4249000000000001</v>
      </c>
      <c r="U197">
        <v>143.196</v>
      </c>
      <c r="V197">
        <f t="shared" si="12"/>
        <v>0.78044473512099422</v>
      </c>
      <c r="W197">
        <f t="shared" si="13"/>
        <v>1.0279999999999999E-2</v>
      </c>
      <c r="X197">
        <f t="shared" si="14"/>
        <v>1.02396E-2</v>
      </c>
      <c r="Y197">
        <f t="shared" si="15"/>
        <v>1.04043E-2</v>
      </c>
      <c r="Z197">
        <f t="shared" si="16"/>
        <v>1.0279999999999999E-2</v>
      </c>
      <c r="AA197">
        <f t="shared" si="17"/>
        <v>1.0300974999999999E-2</v>
      </c>
    </row>
    <row r="198" spans="1:27" x14ac:dyDescent="0.3">
      <c r="A198">
        <v>193</v>
      </c>
      <c r="B198">
        <v>1.0297499999999999E-2</v>
      </c>
      <c r="C198">
        <v>0.59002699999999997</v>
      </c>
      <c r="D198">
        <v>57.888100000000001</v>
      </c>
      <c r="E198">
        <v>57.298000000000002</v>
      </c>
      <c r="F198">
        <v>1.02606E-2</v>
      </c>
      <c r="G198">
        <v>0.58757899999999996</v>
      </c>
      <c r="H198">
        <v>57.852899999999998</v>
      </c>
      <c r="I198">
        <v>57.265300000000003</v>
      </c>
      <c r="J198">
        <v>1.0429600000000001E-2</v>
      </c>
      <c r="K198">
        <v>0.59482100000000004</v>
      </c>
      <c r="L198">
        <v>57.626600000000003</v>
      </c>
      <c r="M198">
        <v>57.031799999999997</v>
      </c>
      <c r="N198">
        <v>1.02992E-2</v>
      </c>
      <c r="O198">
        <v>0.57892100000000002</v>
      </c>
      <c r="P198">
        <v>56.789299999999997</v>
      </c>
      <c r="Q198">
        <v>56.2104</v>
      </c>
      <c r="R198">
        <v>115.705</v>
      </c>
      <c r="S198">
        <v>115.705</v>
      </c>
      <c r="T198">
        <v>1.4177999999999999</v>
      </c>
      <c r="U198">
        <v>142.48599999999999</v>
      </c>
      <c r="V198">
        <f t="shared" ref="V198:V232" si="18">U198/$A$2/$B$2</f>
        <v>0.77657510355352088</v>
      </c>
      <c r="W198">
        <f t="shared" ref="W198:W232" si="19">B198</f>
        <v>1.0297499999999999E-2</v>
      </c>
      <c r="X198">
        <f t="shared" ref="X198:X232" si="20">F198</f>
        <v>1.02606E-2</v>
      </c>
      <c r="Y198">
        <f t="shared" ref="Y198:Y232" si="21">J198</f>
        <v>1.0429600000000001E-2</v>
      </c>
      <c r="Z198">
        <f t="shared" ref="Z198:Z232" si="22">N198</f>
        <v>1.02992E-2</v>
      </c>
      <c r="AA198">
        <f t="shared" ref="AA198:AA232" si="23">AVERAGE(W198:Z198)</f>
        <v>1.0321725E-2</v>
      </c>
    </row>
    <row r="199" spans="1:27" x14ac:dyDescent="0.3">
      <c r="A199">
        <v>194</v>
      </c>
      <c r="B199">
        <v>1.0362400000000001E-2</v>
      </c>
      <c r="C199">
        <v>0.59374300000000002</v>
      </c>
      <c r="D199">
        <v>57.891800000000003</v>
      </c>
      <c r="E199">
        <v>57.298000000000002</v>
      </c>
      <c r="F199">
        <v>1.03301E-2</v>
      </c>
      <c r="G199">
        <v>0.59155599999999997</v>
      </c>
      <c r="H199">
        <v>57.856900000000003</v>
      </c>
      <c r="I199">
        <v>57.265300000000003</v>
      </c>
      <c r="J199">
        <v>1.05066E-2</v>
      </c>
      <c r="K199">
        <v>0.599213</v>
      </c>
      <c r="L199">
        <v>57.631</v>
      </c>
      <c r="M199">
        <v>57.031799999999997</v>
      </c>
      <c r="N199">
        <v>1.0389900000000001E-2</v>
      </c>
      <c r="O199">
        <v>0.58401800000000004</v>
      </c>
      <c r="P199">
        <v>56.794400000000003</v>
      </c>
      <c r="Q199">
        <v>56.2104</v>
      </c>
      <c r="R199">
        <v>116.264</v>
      </c>
      <c r="S199">
        <v>116.264</v>
      </c>
      <c r="T199">
        <v>1.4068000000000001</v>
      </c>
      <c r="U199">
        <v>141.387</v>
      </c>
      <c r="V199">
        <f t="shared" si="18"/>
        <v>0.77058534990189664</v>
      </c>
      <c r="W199">
        <f t="shared" si="19"/>
        <v>1.0362400000000001E-2</v>
      </c>
      <c r="X199">
        <f t="shared" si="20"/>
        <v>1.03301E-2</v>
      </c>
      <c r="Y199">
        <f t="shared" si="21"/>
        <v>1.05066E-2</v>
      </c>
      <c r="Z199">
        <f t="shared" si="22"/>
        <v>1.0389900000000001E-2</v>
      </c>
      <c r="AA199">
        <f t="shared" si="23"/>
        <v>1.039725E-2</v>
      </c>
    </row>
    <row r="200" spans="1:27" x14ac:dyDescent="0.3">
      <c r="A200">
        <v>195</v>
      </c>
      <c r="B200">
        <v>1.0566300000000001E-2</v>
      </c>
      <c r="C200">
        <v>0.60542700000000005</v>
      </c>
      <c r="D200">
        <v>57.903500000000001</v>
      </c>
      <c r="E200">
        <v>57.298000000000002</v>
      </c>
      <c r="F200">
        <v>1.0538E-2</v>
      </c>
      <c r="G200">
        <v>0.603464</v>
      </c>
      <c r="H200">
        <v>57.8688</v>
      </c>
      <c r="I200">
        <v>57.265300000000003</v>
      </c>
      <c r="J200">
        <v>1.07019E-2</v>
      </c>
      <c r="K200">
        <v>0.61034900000000003</v>
      </c>
      <c r="L200">
        <v>57.642099999999999</v>
      </c>
      <c r="M200">
        <v>57.031799999999997</v>
      </c>
      <c r="N200">
        <v>1.05831E-2</v>
      </c>
      <c r="O200">
        <v>0.59488200000000002</v>
      </c>
      <c r="P200">
        <v>56.805300000000003</v>
      </c>
      <c r="Q200">
        <v>56.2104</v>
      </c>
      <c r="R200">
        <v>117.517</v>
      </c>
      <c r="S200">
        <v>117.517</v>
      </c>
      <c r="T200">
        <v>1.4252</v>
      </c>
      <c r="U200">
        <v>143.22900000000001</v>
      </c>
      <c r="V200">
        <f t="shared" si="18"/>
        <v>0.78062459123610206</v>
      </c>
      <c r="W200">
        <f t="shared" si="19"/>
        <v>1.0566300000000001E-2</v>
      </c>
      <c r="X200">
        <f t="shared" si="20"/>
        <v>1.0538E-2</v>
      </c>
      <c r="Y200">
        <f t="shared" si="21"/>
        <v>1.07019E-2</v>
      </c>
      <c r="Z200">
        <f t="shared" si="22"/>
        <v>1.05831E-2</v>
      </c>
      <c r="AA200">
        <f t="shared" si="23"/>
        <v>1.0597324999999999E-2</v>
      </c>
    </row>
    <row r="201" spans="1:27" x14ac:dyDescent="0.3">
      <c r="A201">
        <v>196</v>
      </c>
      <c r="B201">
        <v>1.0803699999999999E-2</v>
      </c>
      <c r="C201">
        <v>0.61902999999999997</v>
      </c>
      <c r="D201">
        <v>57.917099999999998</v>
      </c>
      <c r="E201">
        <v>57.298000000000002</v>
      </c>
      <c r="F201">
        <v>1.0781300000000001E-2</v>
      </c>
      <c r="G201">
        <v>0.61739500000000003</v>
      </c>
      <c r="H201">
        <v>57.8827</v>
      </c>
      <c r="I201">
        <v>57.265300000000003</v>
      </c>
      <c r="J201">
        <v>1.0948599999999999E-2</v>
      </c>
      <c r="K201">
        <v>0.62441999999999998</v>
      </c>
      <c r="L201">
        <v>57.656199999999998</v>
      </c>
      <c r="M201">
        <v>57.031799999999997</v>
      </c>
      <c r="N201">
        <v>1.0830899999999999E-2</v>
      </c>
      <c r="O201">
        <v>0.60880999999999996</v>
      </c>
      <c r="P201">
        <v>56.819200000000002</v>
      </c>
      <c r="Q201">
        <v>56.2104</v>
      </c>
      <c r="R201">
        <v>119.44799999999999</v>
      </c>
      <c r="S201">
        <v>119.44799999999999</v>
      </c>
      <c r="T201">
        <v>1.4252</v>
      </c>
      <c r="U201">
        <v>143.22900000000001</v>
      </c>
      <c r="V201">
        <f t="shared" si="18"/>
        <v>0.78062459123610206</v>
      </c>
      <c r="W201">
        <f t="shared" si="19"/>
        <v>1.0803699999999999E-2</v>
      </c>
      <c r="X201">
        <f t="shared" si="20"/>
        <v>1.0781300000000001E-2</v>
      </c>
      <c r="Y201">
        <f t="shared" si="21"/>
        <v>1.0948599999999999E-2</v>
      </c>
      <c r="Z201">
        <f t="shared" si="22"/>
        <v>1.0830899999999999E-2</v>
      </c>
      <c r="AA201">
        <f t="shared" si="23"/>
        <v>1.0841124999999998E-2</v>
      </c>
    </row>
    <row r="202" spans="1:27" x14ac:dyDescent="0.3">
      <c r="A202">
        <v>197</v>
      </c>
      <c r="B202">
        <v>1.10291E-2</v>
      </c>
      <c r="C202">
        <v>0.63194399999999995</v>
      </c>
      <c r="D202">
        <v>57.93</v>
      </c>
      <c r="E202">
        <v>57.298000000000002</v>
      </c>
      <c r="F202">
        <v>1.10165E-2</v>
      </c>
      <c r="G202">
        <v>0.63086200000000003</v>
      </c>
      <c r="H202">
        <v>57.8962</v>
      </c>
      <c r="I202">
        <v>57.265300000000003</v>
      </c>
      <c r="J202">
        <v>1.11742E-2</v>
      </c>
      <c r="K202">
        <v>0.63728200000000002</v>
      </c>
      <c r="L202">
        <v>57.6691</v>
      </c>
      <c r="M202">
        <v>57.031799999999997</v>
      </c>
      <c r="N202">
        <v>1.1053500000000001E-2</v>
      </c>
      <c r="O202">
        <v>0.62132200000000004</v>
      </c>
      <c r="P202">
        <v>56.831699999999998</v>
      </c>
      <c r="Q202">
        <v>56.2104</v>
      </c>
      <c r="R202">
        <v>121.069</v>
      </c>
      <c r="S202">
        <v>121.069</v>
      </c>
      <c r="T202">
        <v>1.4358</v>
      </c>
      <c r="U202">
        <v>144.29499999999999</v>
      </c>
      <c r="V202">
        <f t="shared" si="18"/>
        <v>0.78643448877261823</v>
      </c>
      <c r="W202">
        <f t="shared" si="19"/>
        <v>1.10291E-2</v>
      </c>
      <c r="X202">
        <f t="shared" si="20"/>
        <v>1.10165E-2</v>
      </c>
      <c r="Y202">
        <f t="shared" si="21"/>
        <v>1.11742E-2</v>
      </c>
      <c r="Z202">
        <f t="shared" si="22"/>
        <v>1.1053500000000001E-2</v>
      </c>
      <c r="AA202">
        <f t="shared" si="23"/>
        <v>1.1068325E-2</v>
      </c>
    </row>
    <row r="203" spans="1:27" x14ac:dyDescent="0.3">
      <c r="A203">
        <v>198</v>
      </c>
      <c r="B203">
        <v>1.11425E-2</v>
      </c>
      <c r="C203">
        <v>0.63844100000000004</v>
      </c>
      <c r="D203">
        <v>57.936500000000002</v>
      </c>
      <c r="E203">
        <v>57.298000000000002</v>
      </c>
      <c r="F203">
        <v>1.11202E-2</v>
      </c>
      <c r="G203">
        <v>0.63680300000000001</v>
      </c>
      <c r="H203">
        <v>57.902099999999997</v>
      </c>
      <c r="I203">
        <v>57.265300000000003</v>
      </c>
      <c r="J203">
        <v>1.12745E-2</v>
      </c>
      <c r="K203">
        <v>0.64300400000000002</v>
      </c>
      <c r="L203">
        <v>57.674799999999998</v>
      </c>
      <c r="M203">
        <v>57.031799999999997</v>
      </c>
      <c r="N203">
        <v>1.1158599999999999E-2</v>
      </c>
      <c r="O203">
        <v>0.62723099999999998</v>
      </c>
      <c r="P203">
        <v>56.837600000000002</v>
      </c>
      <c r="Q203">
        <v>56.2104</v>
      </c>
      <c r="R203">
        <v>121.63</v>
      </c>
      <c r="S203">
        <v>121.63</v>
      </c>
      <c r="T203">
        <v>1.431</v>
      </c>
      <c r="U203">
        <v>143.81</v>
      </c>
      <c r="V203">
        <f t="shared" si="18"/>
        <v>0.78379114889906265</v>
      </c>
      <c r="W203">
        <f t="shared" si="19"/>
        <v>1.11425E-2</v>
      </c>
      <c r="X203">
        <f t="shared" si="20"/>
        <v>1.11202E-2</v>
      </c>
      <c r="Y203">
        <f t="shared" si="21"/>
        <v>1.12745E-2</v>
      </c>
      <c r="Z203">
        <f t="shared" si="22"/>
        <v>1.1158599999999999E-2</v>
      </c>
      <c r="AA203">
        <f t="shared" si="23"/>
        <v>1.117395E-2</v>
      </c>
    </row>
    <row r="204" spans="1:27" x14ac:dyDescent="0.3">
      <c r="A204">
        <v>199</v>
      </c>
      <c r="B204">
        <v>1.1172E-2</v>
      </c>
      <c r="C204">
        <v>0.64013500000000001</v>
      </c>
      <c r="D204">
        <v>57.938200000000002</v>
      </c>
      <c r="E204">
        <v>57.298000000000002</v>
      </c>
      <c r="F204">
        <v>1.11605E-2</v>
      </c>
      <c r="G204">
        <v>0.63910999999999996</v>
      </c>
      <c r="H204">
        <v>57.904400000000003</v>
      </c>
      <c r="I204">
        <v>57.265300000000003</v>
      </c>
      <c r="J204">
        <v>1.1313800000000001E-2</v>
      </c>
      <c r="K204">
        <v>0.64524700000000001</v>
      </c>
      <c r="L204">
        <v>57.677</v>
      </c>
      <c r="M204">
        <v>57.031799999999997</v>
      </c>
      <c r="N204">
        <v>1.11897E-2</v>
      </c>
      <c r="O204">
        <v>0.62897700000000001</v>
      </c>
      <c r="P204">
        <v>56.839399999999998</v>
      </c>
      <c r="Q204">
        <v>56.2104</v>
      </c>
      <c r="R204">
        <v>121.94199999999999</v>
      </c>
      <c r="S204">
        <v>121.94199999999999</v>
      </c>
      <c r="T204">
        <v>1.4194</v>
      </c>
      <c r="U204">
        <v>142.64699999999999</v>
      </c>
      <c r="V204">
        <f t="shared" si="18"/>
        <v>0.77745258338783518</v>
      </c>
      <c r="W204">
        <f t="shared" si="19"/>
        <v>1.1172E-2</v>
      </c>
      <c r="X204">
        <f t="shared" si="20"/>
        <v>1.11605E-2</v>
      </c>
      <c r="Y204">
        <f t="shared" si="21"/>
        <v>1.1313800000000001E-2</v>
      </c>
      <c r="Z204">
        <f t="shared" si="22"/>
        <v>1.11897E-2</v>
      </c>
      <c r="AA204">
        <f t="shared" si="23"/>
        <v>1.1209E-2</v>
      </c>
    </row>
    <row r="205" spans="1:27" x14ac:dyDescent="0.3">
      <c r="A205">
        <v>200</v>
      </c>
      <c r="B205">
        <v>1.1264700000000001E-2</v>
      </c>
      <c r="C205">
        <v>0.64544800000000002</v>
      </c>
      <c r="D205">
        <v>57.9435</v>
      </c>
      <c r="E205">
        <v>57.298000000000002</v>
      </c>
      <c r="F205">
        <v>1.12373E-2</v>
      </c>
      <c r="G205">
        <v>0.64350799999999997</v>
      </c>
      <c r="H205">
        <v>57.908799999999999</v>
      </c>
      <c r="I205">
        <v>57.265300000000003</v>
      </c>
      <c r="J205">
        <v>1.13884E-2</v>
      </c>
      <c r="K205">
        <v>0.64950200000000002</v>
      </c>
      <c r="L205">
        <v>57.6813</v>
      </c>
      <c r="M205">
        <v>57.031799999999997</v>
      </c>
      <c r="N205">
        <v>1.1242200000000001E-2</v>
      </c>
      <c r="O205">
        <v>0.63192899999999996</v>
      </c>
      <c r="P205">
        <v>56.842300000000002</v>
      </c>
      <c r="Q205">
        <v>56.2104</v>
      </c>
      <c r="R205">
        <v>122.569</v>
      </c>
      <c r="S205">
        <v>122.569</v>
      </c>
      <c r="T205">
        <v>1.4087000000000001</v>
      </c>
      <c r="U205">
        <v>141.58099999999999</v>
      </c>
      <c r="V205">
        <f t="shared" si="18"/>
        <v>0.7716426858513189</v>
      </c>
      <c r="W205">
        <f t="shared" si="19"/>
        <v>1.1264700000000001E-2</v>
      </c>
      <c r="X205">
        <f t="shared" si="20"/>
        <v>1.12373E-2</v>
      </c>
      <c r="Y205">
        <f t="shared" si="21"/>
        <v>1.13884E-2</v>
      </c>
      <c r="Z205">
        <f t="shared" si="22"/>
        <v>1.1242200000000001E-2</v>
      </c>
      <c r="AA205">
        <f t="shared" si="23"/>
        <v>1.128315E-2</v>
      </c>
    </row>
    <row r="206" spans="1:27" x14ac:dyDescent="0.3">
      <c r="A206">
        <v>201</v>
      </c>
      <c r="B206">
        <v>1.1325200000000001E-2</v>
      </c>
      <c r="C206">
        <v>0.64891200000000004</v>
      </c>
      <c r="D206">
        <v>57.946899999999999</v>
      </c>
      <c r="E206">
        <v>57.298000000000002</v>
      </c>
      <c r="F206">
        <v>1.13014E-2</v>
      </c>
      <c r="G206">
        <v>0.64717800000000003</v>
      </c>
      <c r="H206">
        <v>57.912500000000001</v>
      </c>
      <c r="I206">
        <v>57.265300000000003</v>
      </c>
      <c r="J206">
        <v>1.1445800000000001E-2</v>
      </c>
      <c r="K206">
        <v>0.65277600000000002</v>
      </c>
      <c r="L206">
        <v>57.684600000000003</v>
      </c>
      <c r="M206">
        <v>57.031799999999997</v>
      </c>
      <c r="N206">
        <v>1.1310300000000001E-2</v>
      </c>
      <c r="O206">
        <v>0.63575499999999996</v>
      </c>
      <c r="P206">
        <v>56.846200000000003</v>
      </c>
      <c r="Q206">
        <v>56.2104</v>
      </c>
      <c r="R206">
        <v>122.88</v>
      </c>
      <c r="S206">
        <v>122.88</v>
      </c>
      <c r="T206">
        <v>1.3994</v>
      </c>
      <c r="U206">
        <v>140.64400000000001</v>
      </c>
      <c r="V206">
        <f t="shared" si="18"/>
        <v>0.76653586221931558</v>
      </c>
      <c r="W206">
        <f t="shared" si="19"/>
        <v>1.1325200000000001E-2</v>
      </c>
      <c r="X206">
        <f t="shared" si="20"/>
        <v>1.13014E-2</v>
      </c>
      <c r="Y206">
        <f t="shared" si="21"/>
        <v>1.1445800000000001E-2</v>
      </c>
      <c r="Z206">
        <f t="shared" si="22"/>
        <v>1.1310300000000001E-2</v>
      </c>
      <c r="AA206">
        <f t="shared" si="23"/>
        <v>1.1345675000000001E-2</v>
      </c>
    </row>
    <row r="207" spans="1:27" x14ac:dyDescent="0.3">
      <c r="A207">
        <v>202</v>
      </c>
      <c r="B207">
        <v>1.1387E-2</v>
      </c>
      <c r="C207">
        <v>0.65244999999999997</v>
      </c>
      <c r="D207">
        <v>57.950499999999998</v>
      </c>
      <c r="E207">
        <v>57.298000000000002</v>
      </c>
      <c r="F207">
        <v>1.13551E-2</v>
      </c>
      <c r="G207">
        <v>0.65025299999999997</v>
      </c>
      <c r="H207">
        <v>57.915599999999998</v>
      </c>
      <c r="I207">
        <v>57.265300000000003</v>
      </c>
      <c r="J207">
        <v>1.14877E-2</v>
      </c>
      <c r="K207">
        <v>0.65516600000000003</v>
      </c>
      <c r="L207">
        <v>57.686900000000001</v>
      </c>
      <c r="M207">
        <v>57.031799999999997</v>
      </c>
      <c r="N207">
        <v>1.13481E-2</v>
      </c>
      <c r="O207">
        <v>0.63788299999999998</v>
      </c>
      <c r="P207">
        <v>56.848300000000002</v>
      </c>
      <c r="Q207">
        <v>56.2104</v>
      </c>
      <c r="R207">
        <v>123.128</v>
      </c>
      <c r="S207">
        <v>123.128</v>
      </c>
      <c r="T207">
        <v>1.3923000000000001</v>
      </c>
      <c r="U207">
        <v>139.93299999999999</v>
      </c>
      <c r="V207">
        <f t="shared" si="18"/>
        <v>0.76266078046653585</v>
      </c>
      <c r="W207">
        <f t="shared" si="19"/>
        <v>1.1387E-2</v>
      </c>
      <c r="X207">
        <f t="shared" si="20"/>
        <v>1.13551E-2</v>
      </c>
      <c r="Y207">
        <f t="shared" si="21"/>
        <v>1.14877E-2</v>
      </c>
      <c r="Z207">
        <f t="shared" si="22"/>
        <v>1.13481E-2</v>
      </c>
      <c r="AA207">
        <f t="shared" si="23"/>
        <v>1.1394475000000001E-2</v>
      </c>
    </row>
    <row r="208" spans="1:27" x14ac:dyDescent="0.3">
      <c r="A208">
        <v>203</v>
      </c>
      <c r="B208">
        <v>1.1524299999999999E-2</v>
      </c>
      <c r="C208">
        <v>0.66032100000000005</v>
      </c>
      <c r="D208">
        <v>57.958300000000001</v>
      </c>
      <c r="E208">
        <v>57.298000000000002</v>
      </c>
      <c r="F208">
        <v>1.1500399999999999E-2</v>
      </c>
      <c r="G208">
        <v>0.65857200000000005</v>
      </c>
      <c r="H208">
        <v>57.923900000000003</v>
      </c>
      <c r="I208">
        <v>57.265300000000003</v>
      </c>
      <c r="J208">
        <v>1.1627200000000001E-2</v>
      </c>
      <c r="K208">
        <v>0.66312000000000004</v>
      </c>
      <c r="L208">
        <v>57.694899999999997</v>
      </c>
      <c r="M208">
        <v>57.031799999999997</v>
      </c>
      <c r="N208">
        <v>1.14804E-2</v>
      </c>
      <c r="O208">
        <v>0.645316</v>
      </c>
      <c r="P208">
        <v>56.855699999999999</v>
      </c>
      <c r="Q208">
        <v>56.2104</v>
      </c>
      <c r="R208">
        <v>124.006</v>
      </c>
      <c r="S208">
        <v>124.006</v>
      </c>
      <c r="T208">
        <v>1.3835999999999999</v>
      </c>
      <c r="U208">
        <v>139.06100000000001</v>
      </c>
      <c r="V208">
        <f t="shared" si="18"/>
        <v>0.75790821887944204</v>
      </c>
      <c r="W208">
        <f t="shared" si="19"/>
        <v>1.1524299999999999E-2</v>
      </c>
      <c r="X208">
        <f t="shared" si="20"/>
        <v>1.1500399999999999E-2</v>
      </c>
      <c r="Y208">
        <f t="shared" si="21"/>
        <v>1.1627200000000001E-2</v>
      </c>
      <c r="Z208">
        <f t="shared" si="22"/>
        <v>1.14804E-2</v>
      </c>
      <c r="AA208">
        <f t="shared" si="23"/>
        <v>1.1533075E-2</v>
      </c>
    </row>
    <row r="209" spans="1:27" x14ac:dyDescent="0.3">
      <c r="A209">
        <v>204</v>
      </c>
      <c r="B209">
        <v>1.1588299999999999E-2</v>
      </c>
      <c r="C209">
        <v>0.66398800000000002</v>
      </c>
      <c r="D209">
        <v>57.962000000000003</v>
      </c>
      <c r="E209">
        <v>57.298000000000002</v>
      </c>
      <c r="F209">
        <v>1.1560300000000001E-2</v>
      </c>
      <c r="G209">
        <v>0.66200700000000001</v>
      </c>
      <c r="H209">
        <v>57.927300000000002</v>
      </c>
      <c r="I209">
        <v>57.265300000000003</v>
      </c>
      <c r="J209">
        <v>1.1695199999999999E-2</v>
      </c>
      <c r="K209">
        <v>0.66699900000000001</v>
      </c>
      <c r="L209">
        <v>57.698799999999999</v>
      </c>
      <c r="M209">
        <v>57.031799999999997</v>
      </c>
      <c r="N209">
        <v>1.15377E-2</v>
      </c>
      <c r="O209">
        <v>0.64854000000000001</v>
      </c>
      <c r="P209">
        <v>56.858899999999998</v>
      </c>
      <c r="Q209">
        <v>56.2104</v>
      </c>
      <c r="R209">
        <v>124.56399999999999</v>
      </c>
      <c r="S209">
        <v>124.56399999999999</v>
      </c>
      <c r="T209">
        <v>1.3862000000000001</v>
      </c>
      <c r="U209">
        <v>139.31899999999999</v>
      </c>
      <c r="V209">
        <f t="shared" si="18"/>
        <v>0.75931436668846741</v>
      </c>
      <c r="W209">
        <f t="shared" si="19"/>
        <v>1.1588299999999999E-2</v>
      </c>
      <c r="X209">
        <f t="shared" si="20"/>
        <v>1.1560300000000001E-2</v>
      </c>
      <c r="Y209">
        <f t="shared" si="21"/>
        <v>1.1695199999999999E-2</v>
      </c>
      <c r="Z209">
        <f t="shared" si="22"/>
        <v>1.15377E-2</v>
      </c>
      <c r="AA209">
        <f t="shared" si="23"/>
        <v>1.1595374999999998E-2</v>
      </c>
    </row>
    <row r="210" spans="1:27" x14ac:dyDescent="0.3">
      <c r="A210">
        <v>205</v>
      </c>
      <c r="B210">
        <v>1.2388100000000001E-2</v>
      </c>
      <c r="C210">
        <v>0.70981300000000003</v>
      </c>
      <c r="D210">
        <v>58.007800000000003</v>
      </c>
      <c r="E210">
        <v>57.298000000000002</v>
      </c>
      <c r="F210">
        <v>1.23546E-2</v>
      </c>
      <c r="G210">
        <v>0.70749200000000001</v>
      </c>
      <c r="H210">
        <v>57.972799999999999</v>
      </c>
      <c r="I210">
        <v>57.265300000000003</v>
      </c>
      <c r="J210">
        <v>1.2467300000000001E-2</v>
      </c>
      <c r="K210">
        <v>0.71103400000000005</v>
      </c>
      <c r="L210">
        <v>57.742800000000003</v>
      </c>
      <c r="M210">
        <v>57.031799999999997</v>
      </c>
      <c r="N210">
        <v>1.2301899999999999E-2</v>
      </c>
      <c r="O210">
        <v>0.691496</v>
      </c>
      <c r="P210">
        <v>56.901899999999998</v>
      </c>
      <c r="Q210">
        <v>56.2104</v>
      </c>
      <c r="R210">
        <v>129.61699999999999</v>
      </c>
      <c r="S210">
        <v>129.61699999999999</v>
      </c>
      <c r="T210">
        <v>1.3980999999999999</v>
      </c>
      <c r="U210">
        <v>140.51499999999999</v>
      </c>
      <c r="V210">
        <f t="shared" si="18"/>
        <v>0.76583278831480261</v>
      </c>
      <c r="W210">
        <f t="shared" si="19"/>
        <v>1.2388100000000001E-2</v>
      </c>
      <c r="X210">
        <f t="shared" si="20"/>
        <v>1.23546E-2</v>
      </c>
      <c r="Y210">
        <f t="shared" si="21"/>
        <v>1.2467300000000001E-2</v>
      </c>
      <c r="Z210">
        <f t="shared" si="22"/>
        <v>1.2301899999999999E-2</v>
      </c>
      <c r="AA210">
        <f t="shared" si="23"/>
        <v>1.2377974999999999E-2</v>
      </c>
    </row>
    <row r="211" spans="1:27" x14ac:dyDescent="0.3">
      <c r="A211">
        <v>206</v>
      </c>
      <c r="B211">
        <v>1.2384600000000001E-2</v>
      </c>
      <c r="C211">
        <v>0.70961399999999997</v>
      </c>
      <c r="D211">
        <v>58.007599999999996</v>
      </c>
      <c r="E211">
        <v>57.298000000000002</v>
      </c>
      <c r="F211">
        <v>1.2352399999999999E-2</v>
      </c>
      <c r="G211">
        <v>0.70736100000000002</v>
      </c>
      <c r="H211">
        <v>57.972700000000003</v>
      </c>
      <c r="I211">
        <v>57.265300000000003</v>
      </c>
      <c r="J211">
        <v>1.2474300000000001E-2</v>
      </c>
      <c r="K211">
        <v>0.71143400000000001</v>
      </c>
      <c r="L211">
        <v>57.743200000000002</v>
      </c>
      <c r="M211">
        <v>57.031799999999997</v>
      </c>
      <c r="N211">
        <v>1.23129E-2</v>
      </c>
      <c r="O211">
        <v>0.69211199999999995</v>
      </c>
      <c r="P211">
        <v>56.902500000000003</v>
      </c>
      <c r="Q211">
        <v>56.2104</v>
      </c>
      <c r="R211">
        <v>129.86699999999999</v>
      </c>
      <c r="S211">
        <v>129.86699999999999</v>
      </c>
      <c r="T211">
        <v>1.3933</v>
      </c>
      <c r="U211">
        <v>140.03</v>
      </c>
      <c r="V211">
        <f t="shared" si="18"/>
        <v>0.76318944844124703</v>
      </c>
      <c r="W211">
        <f t="shared" si="19"/>
        <v>1.2384600000000001E-2</v>
      </c>
      <c r="X211">
        <f t="shared" si="20"/>
        <v>1.2352399999999999E-2</v>
      </c>
      <c r="Y211">
        <f t="shared" si="21"/>
        <v>1.2474300000000001E-2</v>
      </c>
      <c r="Z211">
        <f t="shared" si="22"/>
        <v>1.23129E-2</v>
      </c>
      <c r="AA211">
        <f t="shared" si="23"/>
        <v>1.2381050000000001E-2</v>
      </c>
    </row>
    <row r="212" spans="1:27" x14ac:dyDescent="0.3">
      <c r="A212">
        <v>207</v>
      </c>
      <c r="B212">
        <v>1.25991E-2</v>
      </c>
      <c r="C212">
        <v>0.72190500000000002</v>
      </c>
      <c r="D212">
        <v>58.0199</v>
      </c>
      <c r="E212">
        <v>57.298000000000002</v>
      </c>
      <c r="F212">
        <v>1.25594E-2</v>
      </c>
      <c r="G212">
        <v>0.719221</v>
      </c>
      <c r="H212">
        <v>57.984499999999997</v>
      </c>
      <c r="I212">
        <v>57.265300000000003</v>
      </c>
      <c r="J212">
        <v>1.2673200000000001E-2</v>
      </c>
      <c r="K212">
        <v>0.72277400000000003</v>
      </c>
      <c r="L212">
        <v>57.754600000000003</v>
      </c>
      <c r="M212">
        <v>57.031799999999997</v>
      </c>
      <c r="N212">
        <v>1.2497599999999999E-2</v>
      </c>
      <c r="O212">
        <v>0.70249600000000001</v>
      </c>
      <c r="P212">
        <v>56.9129</v>
      </c>
      <c r="Q212">
        <v>56.2104</v>
      </c>
      <c r="R212">
        <v>131.554</v>
      </c>
      <c r="S212">
        <v>131.554</v>
      </c>
      <c r="T212">
        <v>1.3938999999999999</v>
      </c>
      <c r="U212">
        <v>140.095</v>
      </c>
      <c r="V212">
        <f t="shared" si="18"/>
        <v>0.76354371048615655</v>
      </c>
      <c r="W212">
        <f t="shared" si="19"/>
        <v>1.25991E-2</v>
      </c>
      <c r="X212">
        <f t="shared" si="20"/>
        <v>1.25594E-2</v>
      </c>
      <c r="Y212">
        <f t="shared" si="21"/>
        <v>1.2673200000000001E-2</v>
      </c>
      <c r="Z212">
        <f t="shared" si="22"/>
        <v>1.2497599999999999E-2</v>
      </c>
      <c r="AA212">
        <f t="shared" si="23"/>
        <v>1.2582325E-2</v>
      </c>
    </row>
    <row r="213" spans="1:27" x14ac:dyDescent="0.3">
      <c r="A213">
        <v>208</v>
      </c>
      <c r="B213">
        <v>1.2593699999999999E-2</v>
      </c>
      <c r="C213">
        <v>0.72159200000000001</v>
      </c>
      <c r="D213">
        <v>58.019599999999997</v>
      </c>
      <c r="E213">
        <v>57.298000000000002</v>
      </c>
      <c r="F213">
        <v>1.25542E-2</v>
      </c>
      <c r="G213">
        <v>0.71892100000000003</v>
      </c>
      <c r="H213">
        <v>57.984200000000001</v>
      </c>
      <c r="I213">
        <v>57.265300000000003</v>
      </c>
      <c r="J213">
        <v>1.26645E-2</v>
      </c>
      <c r="K213">
        <v>0.72228000000000003</v>
      </c>
      <c r="L213">
        <v>57.754100000000001</v>
      </c>
      <c r="M213">
        <v>57.031799999999997</v>
      </c>
      <c r="N213">
        <v>1.2485599999999999E-2</v>
      </c>
      <c r="O213">
        <v>0.70182199999999995</v>
      </c>
      <c r="P213">
        <v>56.912199999999999</v>
      </c>
      <c r="Q213">
        <v>56.2104</v>
      </c>
      <c r="R213">
        <v>131.678</v>
      </c>
      <c r="S213">
        <v>131.678</v>
      </c>
      <c r="T213">
        <v>1.3965000000000001</v>
      </c>
      <c r="U213">
        <v>140.35300000000001</v>
      </c>
      <c r="V213">
        <f t="shared" si="18"/>
        <v>0.76494985829518214</v>
      </c>
      <c r="W213">
        <f t="shared" si="19"/>
        <v>1.2593699999999999E-2</v>
      </c>
      <c r="X213">
        <f t="shared" si="20"/>
        <v>1.25542E-2</v>
      </c>
      <c r="Y213">
        <f t="shared" si="21"/>
        <v>1.26645E-2</v>
      </c>
      <c r="Z213">
        <f t="shared" si="22"/>
        <v>1.2485599999999999E-2</v>
      </c>
      <c r="AA213">
        <f t="shared" si="23"/>
        <v>1.2574500000000001E-2</v>
      </c>
    </row>
    <row r="214" spans="1:27" x14ac:dyDescent="0.3">
      <c r="A214">
        <v>209</v>
      </c>
      <c r="B214">
        <v>1.32655E-2</v>
      </c>
      <c r="C214">
        <v>0.76008699999999996</v>
      </c>
      <c r="D214">
        <v>58.058100000000003</v>
      </c>
      <c r="E214">
        <v>57.298000000000002</v>
      </c>
      <c r="F214">
        <v>1.32193E-2</v>
      </c>
      <c r="G214">
        <v>0.75700599999999996</v>
      </c>
      <c r="H214">
        <v>58.022300000000001</v>
      </c>
      <c r="I214">
        <v>57.265300000000003</v>
      </c>
      <c r="J214">
        <v>1.33238E-2</v>
      </c>
      <c r="K214">
        <v>0.75987899999999997</v>
      </c>
      <c r="L214">
        <v>57.791699999999999</v>
      </c>
      <c r="M214">
        <v>57.031799999999997</v>
      </c>
      <c r="N214">
        <v>1.31334E-2</v>
      </c>
      <c r="O214">
        <v>0.73823099999999997</v>
      </c>
      <c r="P214">
        <v>56.948599999999999</v>
      </c>
      <c r="Q214">
        <v>56.2104</v>
      </c>
      <c r="R214">
        <v>136.172</v>
      </c>
      <c r="S214">
        <v>136.172</v>
      </c>
      <c r="T214">
        <v>1.4013</v>
      </c>
      <c r="U214">
        <v>140.83799999999999</v>
      </c>
      <c r="V214">
        <f t="shared" si="18"/>
        <v>0.76759319816873772</v>
      </c>
      <c r="W214">
        <f t="shared" si="19"/>
        <v>1.32655E-2</v>
      </c>
      <c r="X214">
        <f t="shared" si="20"/>
        <v>1.32193E-2</v>
      </c>
      <c r="Y214">
        <f t="shared" si="21"/>
        <v>1.33238E-2</v>
      </c>
      <c r="Z214">
        <f t="shared" si="22"/>
        <v>1.31334E-2</v>
      </c>
      <c r="AA214">
        <f t="shared" si="23"/>
        <v>1.3235500000000001E-2</v>
      </c>
    </row>
    <row r="215" spans="1:27" x14ac:dyDescent="0.3">
      <c r="A215">
        <v>210</v>
      </c>
      <c r="B215">
        <v>1.33688E-2</v>
      </c>
      <c r="C215">
        <v>0.76600400000000002</v>
      </c>
      <c r="D215">
        <v>58.064</v>
      </c>
      <c r="E215">
        <v>57.298000000000002</v>
      </c>
      <c r="F215">
        <v>1.33226E-2</v>
      </c>
      <c r="G215">
        <v>0.76292599999999999</v>
      </c>
      <c r="H215">
        <v>58.028199999999998</v>
      </c>
      <c r="I215">
        <v>57.265300000000003</v>
      </c>
      <c r="J215">
        <v>1.3426199999999999E-2</v>
      </c>
      <c r="K215">
        <v>0.76572300000000004</v>
      </c>
      <c r="L215">
        <v>57.797499999999999</v>
      </c>
      <c r="M215">
        <v>57.031799999999997</v>
      </c>
      <c r="N215">
        <v>1.3234299999999999E-2</v>
      </c>
      <c r="O215">
        <v>0.74390500000000004</v>
      </c>
      <c r="P215">
        <v>56.954300000000003</v>
      </c>
      <c r="Q215">
        <v>56.2104</v>
      </c>
      <c r="R215">
        <v>136.98400000000001</v>
      </c>
      <c r="S215">
        <v>136.98400000000001</v>
      </c>
      <c r="T215">
        <v>1.3980999999999999</v>
      </c>
      <c r="U215">
        <v>140.51499999999999</v>
      </c>
      <c r="V215">
        <f t="shared" si="18"/>
        <v>0.76583278831480261</v>
      </c>
      <c r="W215">
        <f t="shared" si="19"/>
        <v>1.33688E-2</v>
      </c>
      <c r="X215">
        <f t="shared" si="20"/>
        <v>1.33226E-2</v>
      </c>
      <c r="Y215">
        <f t="shared" si="21"/>
        <v>1.3426199999999999E-2</v>
      </c>
      <c r="Z215">
        <f t="shared" si="22"/>
        <v>1.3234299999999999E-2</v>
      </c>
      <c r="AA215">
        <f t="shared" si="23"/>
        <v>1.3337975E-2</v>
      </c>
    </row>
    <row r="216" spans="1:27" x14ac:dyDescent="0.3">
      <c r="A216">
        <v>211</v>
      </c>
      <c r="B216">
        <v>1.3462399999999999E-2</v>
      </c>
      <c r="C216">
        <v>0.77137100000000003</v>
      </c>
      <c r="D216">
        <v>58.069400000000002</v>
      </c>
      <c r="E216">
        <v>57.298000000000002</v>
      </c>
      <c r="F216">
        <v>1.34202E-2</v>
      </c>
      <c r="G216">
        <v>0.76851000000000003</v>
      </c>
      <c r="H216">
        <v>58.033799999999999</v>
      </c>
      <c r="I216">
        <v>57.265300000000003</v>
      </c>
      <c r="J216">
        <v>1.35306E-2</v>
      </c>
      <c r="K216">
        <v>0.77167600000000003</v>
      </c>
      <c r="L216">
        <v>57.8035</v>
      </c>
      <c r="M216">
        <v>57.031799999999997</v>
      </c>
      <c r="N216">
        <v>1.33306E-2</v>
      </c>
      <c r="O216">
        <v>0.74931899999999996</v>
      </c>
      <c r="P216">
        <v>56.959699999999998</v>
      </c>
      <c r="Q216">
        <v>56.2104</v>
      </c>
      <c r="R216">
        <v>137.79599999999999</v>
      </c>
      <c r="S216">
        <v>137.797</v>
      </c>
      <c r="T216">
        <v>1.4055</v>
      </c>
      <c r="U216">
        <v>141.25800000000001</v>
      </c>
      <c r="V216">
        <f t="shared" si="18"/>
        <v>0.76988227599738401</v>
      </c>
      <c r="W216">
        <f t="shared" si="19"/>
        <v>1.3462399999999999E-2</v>
      </c>
      <c r="X216">
        <f t="shared" si="20"/>
        <v>1.34202E-2</v>
      </c>
      <c r="Y216">
        <f t="shared" si="21"/>
        <v>1.35306E-2</v>
      </c>
      <c r="Z216">
        <f t="shared" si="22"/>
        <v>1.33306E-2</v>
      </c>
      <c r="AA216">
        <f t="shared" si="23"/>
        <v>1.3435949999999999E-2</v>
      </c>
    </row>
    <row r="217" spans="1:27" x14ac:dyDescent="0.3">
      <c r="A217">
        <v>212</v>
      </c>
      <c r="B217">
        <v>1.36031E-2</v>
      </c>
      <c r="C217">
        <v>0.77943200000000001</v>
      </c>
      <c r="D217">
        <v>58.077500000000001</v>
      </c>
      <c r="E217">
        <v>57.298000000000002</v>
      </c>
      <c r="F217">
        <v>1.35488E-2</v>
      </c>
      <c r="G217">
        <v>0.77587799999999996</v>
      </c>
      <c r="H217">
        <v>58.041200000000003</v>
      </c>
      <c r="I217">
        <v>57.265300000000003</v>
      </c>
      <c r="J217">
        <v>1.36615E-2</v>
      </c>
      <c r="K217">
        <v>0.779138</v>
      </c>
      <c r="L217">
        <v>57.810899999999997</v>
      </c>
      <c r="M217">
        <v>57.031799999999997</v>
      </c>
      <c r="N217">
        <v>1.34644E-2</v>
      </c>
      <c r="O217">
        <v>0.75683999999999996</v>
      </c>
      <c r="P217">
        <v>56.967199999999998</v>
      </c>
      <c r="Q217">
        <v>56.2104</v>
      </c>
      <c r="R217">
        <v>138.72900000000001</v>
      </c>
      <c r="S217">
        <v>138.72900000000001</v>
      </c>
      <c r="T217">
        <v>1.4046000000000001</v>
      </c>
      <c r="U217">
        <v>141.161</v>
      </c>
      <c r="V217">
        <f t="shared" si="18"/>
        <v>0.76935360802267283</v>
      </c>
      <c r="W217">
        <f t="shared" si="19"/>
        <v>1.36031E-2</v>
      </c>
      <c r="X217">
        <f t="shared" si="20"/>
        <v>1.35488E-2</v>
      </c>
      <c r="Y217">
        <f t="shared" si="21"/>
        <v>1.36615E-2</v>
      </c>
      <c r="Z217">
        <f t="shared" si="22"/>
        <v>1.34644E-2</v>
      </c>
      <c r="AA217">
        <f t="shared" si="23"/>
        <v>1.356945E-2</v>
      </c>
    </row>
    <row r="218" spans="1:27" x14ac:dyDescent="0.3">
      <c r="A218">
        <v>213</v>
      </c>
      <c r="B218">
        <v>1.37506E-2</v>
      </c>
      <c r="C218">
        <v>0.78788400000000003</v>
      </c>
      <c r="D218">
        <v>58.085900000000002</v>
      </c>
      <c r="E218">
        <v>57.298000000000002</v>
      </c>
      <c r="F218">
        <v>1.37045E-2</v>
      </c>
      <c r="G218">
        <v>0.78478999999999999</v>
      </c>
      <c r="H218">
        <v>58.0501</v>
      </c>
      <c r="I218">
        <v>57.265300000000003</v>
      </c>
      <c r="J218">
        <v>1.38044E-2</v>
      </c>
      <c r="K218">
        <v>0.78728900000000002</v>
      </c>
      <c r="L218">
        <v>57.819099999999999</v>
      </c>
      <c r="M218">
        <v>57.031799999999997</v>
      </c>
      <c r="N218">
        <v>1.3610000000000001E-2</v>
      </c>
      <c r="O218">
        <v>0.76502099999999995</v>
      </c>
      <c r="P218">
        <v>56.9754</v>
      </c>
      <c r="Q218">
        <v>56.2104</v>
      </c>
      <c r="R218">
        <v>139.60400000000001</v>
      </c>
      <c r="S218">
        <v>139.60400000000001</v>
      </c>
      <c r="T218">
        <v>1.4019999999999999</v>
      </c>
      <c r="U218">
        <v>140.90199999999999</v>
      </c>
      <c r="V218">
        <f t="shared" si="18"/>
        <v>0.76794201002834095</v>
      </c>
      <c r="W218">
        <f t="shared" si="19"/>
        <v>1.37506E-2</v>
      </c>
      <c r="X218">
        <f t="shared" si="20"/>
        <v>1.37045E-2</v>
      </c>
      <c r="Y218">
        <f t="shared" si="21"/>
        <v>1.38044E-2</v>
      </c>
      <c r="Z218">
        <f t="shared" si="22"/>
        <v>1.3610000000000001E-2</v>
      </c>
      <c r="AA218">
        <f t="shared" si="23"/>
        <v>1.3717375E-2</v>
      </c>
    </row>
    <row r="219" spans="1:27" x14ac:dyDescent="0.3">
      <c r="A219">
        <v>214</v>
      </c>
      <c r="B219">
        <v>1.3752800000000001E-2</v>
      </c>
      <c r="C219">
        <v>0.78800899999999996</v>
      </c>
      <c r="D219">
        <v>58.085999999999999</v>
      </c>
      <c r="E219">
        <v>57.298000000000002</v>
      </c>
      <c r="F219">
        <v>1.3704600000000001E-2</v>
      </c>
      <c r="G219">
        <v>0.78480000000000005</v>
      </c>
      <c r="H219">
        <v>58.0501</v>
      </c>
      <c r="I219">
        <v>57.265300000000003</v>
      </c>
      <c r="J219">
        <v>1.38091E-2</v>
      </c>
      <c r="K219">
        <v>0.78755500000000001</v>
      </c>
      <c r="L219">
        <v>57.819299999999998</v>
      </c>
      <c r="M219">
        <v>57.031799999999997</v>
      </c>
      <c r="N219">
        <v>1.36119E-2</v>
      </c>
      <c r="O219">
        <v>0.76513299999999995</v>
      </c>
      <c r="P219">
        <v>56.975499999999997</v>
      </c>
      <c r="Q219">
        <v>56.2104</v>
      </c>
      <c r="R219">
        <v>139.79</v>
      </c>
      <c r="S219">
        <v>139.79</v>
      </c>
      <c r="T219">
        <v>1.4046000000000001</v>
      </c>
      <c r="U219">
        <v>141.161</v>
      </c>
      <c r="V219">
        <f t="shared" si="18"/>
        <v>0.76935360802267283</v>
      </c>
      <c r="W219">
        <f t="shared" si="19"/>
        <v>1.3752800000000001E-2</v>
      </c>
      <c r="X219">
        <f t="shared" si="20"/>
        <v>1.3704600000000001E-2</v>
      </c>
      <c r="Y219">
        <f t="shared" si="21"/>
        <v>1.38091E-2</v>
      </c>
      <c r="Z219">
        <f t="shared" si="22"/>
        <v>1.36119E-2</v>
      </c>
      <c r="AA219">
        <f t="shared" si="23"/>
        <v>1.3719599999999998E-2</v>
      </c>
    </row>
    <row r="220" spans="1:27" x14ac:dyDescent="0.3">
      <c r="A220">
        <v>215</v>
      </c>
      <c r="B220">
        <v>1.4061300000000001E-2</v>
      </c>
      <c r="C220">
        <v>0.80568300000000004</v>
      </c>
      <c r="D220">
        <v>58.103700000000003</v>
      </c>
      <c r="E220">
        <v>57.298000000000002</v>
      </c>
      <c r="F220">
        <v>1.4001899999999999E-2</v>
      </c>
      <c r="G220">
        <v>0.80182299999999995</v>
      </c>
      <c r="H220">
        <v>58.067100000000003</v>
      </c>
      <c r="I220">
        <v>57.265300000000003</v>
      </c>
      <c r="J220">
        <v>1.4088099999999999E-2</v>
      </c>
      <c r="K220">
        <v>0.80347100000000005</v>
      </c>
      <c r="L220">
        <v>57.835299999999997</v>
      </c>
      <c r="M220">
        <v>57.031799999999997</v>
      </c>
      <c r="N220">
        <v>1.3865300000000001E-2</v>
      </c>
      <c r="O220">
        <v>0.77937500000000004</v>
      </c>
      <c r="P220">
        <v>56.989800000000002</v>
      </c>
      <c r="Q220">
        <v>56.2104</v>
      </c>
      <c r="R220">
        <v>141.72499999999999</v>
      </c>
      <c r="S220">
        <v>141.72499999999999</v>
      </c>
      <c r="T220">
        <v>1.3796999999999999</v>
      </c>
      <c r="U220">
        <v>138.673</v>
      </c>
      <c r="V220">
        <f t="shared" si="18"/>
        <v>0.75579354698059731</v>
      </c>
      <c r="W220">
        <f t="shared" si="19"/>
        <v>1.4061300000000001E-2</v>
      </c>
      <c r="X220">
        <f t="shared" si="20"/>
        <v>1.4001899999999999E-2</v>
      </c>
      <c r="Y220">
        <f t="shared" si="21"/>
        <v>1.4088099999999999E-2</v>
      </c>
      <c r="Z220">
        <f t="shared" si="22"/>
        <v>1.3865300000000001E-2</v>
      </c>
      <c r="AA220">
        <f t="shared" si="23"/>
        <v>1.400415E-2</v>
      </c>
    </row>
    <row r="221" spans="1:27" x14ac:dyDescent="0.3">
      <c r="A221">
        <v>216</v>
      </c>
      <c r="B221">
        <v>1.4152700000000001E-2</v>
      </c>
      <c r="C221">
        <v>0.81092299999999995</v>
      </c>
      <c r="D221">
        <v>58.108899999999998</v>
      </c>
      <c r="E221">
        <v>57.298000000000002</v>
      </c>
      <c r="F221">
        <v>1.4086700000000001E-2</v>
      </c>
      <c r="G221">
        <v>0.80668099999999998</v>
      </c>
      <c r="H221">
        <v>58.072000000000003</v>
      </c>
      <c r="I221">
        <v>57.265300000000003</v>
      </c>
      <c r="J221">
        <v>1.4164899999999999E-2</v>
      </c>
      <c r="K221">
        <v>0.80784900000000004</v>
      </c>
      <c r="L221">
        <v>57.839599999999997</v>
      </c>
      <c r="M221">
        <v>57.031799999999997</v>
      </c>
      <c r="N221">
        <v>1.3934999999999999E-2</v>
      </c>
      <c r="O221">
        <v>0.78329400000000005</v>
      </c>
      <c r="P221">
        <v>56.993699999999997</v>
      </c>
      <c r="Q221">
        <v>56.2104</v>
      </c>
      <c r="R221">
        <v>141.91</v>
      </c>
      <c r="S221">
        <v>141.91</v>
      </c>
      <c r="T221">
        <v>1.3774999999999999</v>
      </c>
      <c r="U221">
        <v>138.447</v>
      </c>
      <c r="V221">
        <f t="shared" si="18"/>
        <v>0.75456180510137338</v>
      </c>
      <c r="W221">
        <f t="shared" si="19"/>
        <v>1.4152700000000001E-2</v>
      </c>
      <c r="X221">
        <f t="shared" si="20"/>
        <v>1.4086700000000001E-2</v>
      </c>
      <c r="Y221">
        <f t="shared" si="21"/>
        <v>1.4164899999999999E-2</v>
      </c>
      <c r="Z221">
        <f t="shared" si="22"/>
        <v>1.3934999999999999E-2</v>
      </c>
      <c r="AA221">
        <f t="shared" si="23"/>
        <v>1.4084824999999999E-2</v>
      </c>
    </row>
    <row r="222" spans="1:27" x14ac:dyDescent="0.3">
      <c r="A222">
        <v>217</v>
      </c>
      <c r="B222">
        <v>1.4198000000000001E-2</v>
      </c>
      <c r="C222">
        <v>0.81351600000000002</v>
      </c>
      <c r="D222">
        <v>58.111499999999999</v>
      </c>
      <c r="E222">
        <v>57.298000000000002</v>
      </c>
      <c r="F222">
        <v>1.41286E-2</v>
      </c>
      <c r="G222">
        <v>0.80907799999999996</v>
      </c>
      <c r="H222">
        <v>58.074399999999997</v>
      </c>
      <c r="I222">
        <v>57.265300000000003</v>
      </c>
      <c r="J222">
        <v>1.41992E-2</v>
      </c>
      <c r="K222">
        <v>0.80980399999999997</v>
      </c>
      <c r="L222">
        <v>57.8416</v>
      </c>
      <c r="M222">
        <v>57.031799999999997</v>
      </c>
      <c r="N222">
        <v>1.3976199999999999E-2</v>
      </c>
      <c r="O222">
        <v>0.78560799999999997</v>
      </c>
      <c r="P222">
        <v>56.996000000000002</v>
      </c>
      <c r="Q222">
        <v>56.2104</v>
      </c>
      <c r="R222">
        <v>142.16</v>
      </c>
      <c r="S222">
        <v>142.16</v>
      </c>
      <c r="T222">
        <v>1.3694</v>
      </c>
      <c r="U222">
        <v>137.63900000000001</v>
      </c>
      <c r="V222">
        <f t="shared" si="18"/>
        <v>0.75015805537388269</v>
      </c>
      <c r="W222">
        <f t="shared" si="19"/>
        <v>1.4198000000000001E-2</v>
      </c>
      <c r="X222">
        <f t="shared" si="20"/>
        <v>1.41286E-2</v>
      </c>
      <c r="Y222">
        <f t="shared" si="21"/>
        <v>1.41992E-2</v>
      </c>
      <c r="Z222">
        <f t="shared" si="22"/>
        <v>1.3976199999999999E-2</v>
      </c>
      <c r="AA222">
        <f t="shared" si="23"/>
        <v>1.4125500000000001E-2</v>
      </c>
    </row>
    <row r="223" spans="1:27" x14ac:dyDescent="0.3">
      <c r="A223">
        <v>218</v>
      </c>
      <c r="B223">
        <v>1.43354E-2</v>
      </c>
      <c r="C223">
        <v>0.82138800000000001</v>
      </c>
      <c r="D223">
        <v>58.119399999999999</v>
      </c>
      <c r="E223">
        <v>57.298000000000002</v>
      </c>
      <c r="F223">
        <v>1.42571E-2</v>
      </c>
      <c r="G223">
        <v>0.81643600000000005</v>
      </c>
      <c r="H223">
        <v>58.081699999999998</v>
      </c>
      <c r="I223">
        <v>57.265300000000003</v>
      </c>
      <c r="J223">
        <v>1.42971E-2</v>
      </c>
      <c r="K223">
        <v>0.815388</v>
      </c>
      <c r="L223">
        <v>57.847200000000001</v>
      </c>
      <c r="M223">
        <v>57.031799999999997</v>
      </c>
      <c r="N223">
        <v>1.4049000000000001E-2</v>
      </c>
      <c r="O223">
        <v>0.78969800000000001</v>
      </c>
      <c r="P223">
        <v>57.000100000000003</v>
      </c>
      <c r="Q223">
        <v>56.2104</v>
      </c>
      <c r="R223">
        <v>142.34800000000001</v>
      </c>
      <c r="S223">
        <v>142.34800000000001</v>
      </c>
      <c r="T223">
        <v>1.325</v>
      </c>
      <c r="U223">
        <v>133.18</v>
      </c>
      <c r="V223">
        <f t="shared" si="18"/>
        <v>0.72585567909308912</v>
      </c>
      <c r="W223">
        <f t="shared" si="19"/>
        <v>1.43354E-2</v>
      </c>
      <c r="X223">
        <f t="shared" si="20"/>
        <v>1.42571E-2</v>
      </c>
      <c r="Y223">
        <f t="shared" si="21"/>
        <v>1.42971E-2</v>
      </c>
      <c r="Z223">
        <f t="shared" si="22"/>
        <v>1.4049000000000001E-2</v>
      </c>
      <c r="AA223">
        <f t="shared" si="23"/>
        <v>1.423465E-2</v>
      </c>
    </row>
    <row r="224" spans="1:27" x14ac:dyDescent="0.3">
      <c r="A224">
        <v>219</v>
      </c>
      <c r="B224">
        <v>1.43713E-2</v>
      </c>
      <c r="C224">
        <v>0.82344899999999999</v>
      </c>
      <c r="D224">
        <v>58.121499999999997</v>
      </c>
      <c r="E224">
        <v>57.298000000000002</v>
      </c>
      <c r="F224">
        <v>1.42807E-2</v>
      </c>
      <c r="G224">
        <v>0.81779000000000002</v>
      </c>
      <c r="H224">
        <v>58.083100000000002</v>
      </c>
      <c r="I224">
        <v>57.265300000000003</v>
      </c>
      <c r="J224">
        <v>1.43243E-2</v>
      </c>
      <c r="K224">
        <v>0.81693800000000005</v>
      </c>
      <c r="L224">
        <v>57.848700000000001</v>
      </c>
      <c r="M224">
        <v>57.031799999999997</v>
      </c>
      <c r="N224">
        <v>1.40698E-2</v>
      </c>
      <c r="O224">
        <v>0.79086900000000004</v>
      </c>
      <c r="P224">
        <v>57.001300000000001</v>
      </c>
      <c r="Q224">
        <v>56.2104</v>
      </c>
      <c r="R224">
        <v>142.47200000000001</v>
      </c>
      <c r="S224">
        <v>142.47200000000001</v>
      </c>
      <c r="T224">
        <v>1.3066</v>
      </c>
      <c r="U224">
        <v>131.339</v>
      </c>
      <c r="V224">
        <f t="shared" si="18"/>
        <v>0.71582188794419022</v>
      </c>
      <c r="W224">
        <f t="shared" si="19"/>
        <v>1.43713E-2</v>
      </c>
      <c r="X224">
        <f t="shared" si="20"/>
        <v>1.42807E-2</v>
      </c>
      <c r="Y224">
        <f t="shared" si="21"/>
        <v>1.43243E-2</v>
      </c>
      <c r="Z224">
        <f t="shared" si="22"/>
        <v>1.40698E-2</v>
      </c>
      <c r="AA224">
        <f t="shared" si="23"/>
        <v>1.4261525000000001E-2</v>
      </c>
    </row>
    <row r="225" spans="1:27" x14ac:dyDescent="0.3">
      <c r="A225">
        <v>220</v>
      </c>
      <c r="B225">
        <v>1.4397500000000001E-2</v>
      </c>
      <c r="C225">
        <v>0.82494599999999996</v>
      </c>
      <c r="D225">
        <v>58.122999999999998</v>
      </c>
      <c r="E225">
        <v>57.298000000000002</v>
      </c>
      <c r="F225">
        <v>1.43E-2</v>
      </c>
      <c r="G225">
        <v>0.81889599999999996</v>
      </c>
      <c r="H225">
        <v>58.084200000000003</v>
      </c>
      <c r="I225">
        <v>57.265300000000003</v>
      </c>
      <c r="J225">
        <v>1.43368E-2</v>
      </c>
      <c r="K225">
        <v>0.81765100000000002</v>
      </c>
      <c r="L225">
        <v>57.849400000000003</v>
      </c>
      <c r="M225">
        <v>57.031799999999997</v>
      </c>
      <c r="N225">
        <v>1.40807E-2</v>
      </c>
      <c r="O225">
        <v>0.79148399999999997</v>
      </c>
      <c r="P225">
        <v>57.001899999999999</v>
      </c>
      <c r="Q225">
        <v>56.2104</v>
      </c>
      <c r="R225">
        <v>142.66200000000001</v>
      </c>
      <c r="S225">
        <v>142.66200000000001</v>
      </c>
      <c r="T225">
        <v>1.2879</v>
      </c>
      <c r="U225">
        <v>129.465</v>
      </c>
      <c r="V225">
        <f t="shared" si="18"/>
        <v>0.70560824068018313</v>
      </c>
      <c r="W225">
        <f t="shared" si="19"/>
        <v>1.4397500000000001E-2</v>
      </c>
      <c r="X225">
        <f t="shared" si="20"/>
        <v>1.43E-2</v>
      </c>
      <c r="Y225">
        <f t="shared" si="21"/>
        <v>1.43368E-2</v>
      </c>
      <c r="Z225">
        <f t="shared" si="22"/>
        <v>1.40807E-2</v>
      </c>
      <c r="AA225">
        <f t="shared" si="23"/>
        <v>1.427875E-2</v>
      </c>
    </row>
    <row r="226" spans="1:27" x14ac:dyDescent="0.3">
      <c r="A226">
        <v>221</v>
      </c>
      <c r="B226">
        <v>1.44333E-2</v>
      </c>
      <c r="C226">
        <v>0.82699900000000004</v>
      </c>
      <c r="D226">
        <v>58.125</v>
      </c>
      <c r="E226">
        <v>57.298000000000002</v>
      </c>
      <c r="F226">
        <v>1.4338099999999999E-2</v>
      </c>
      <c r="G226">
        <v>0.82107799999999997</v>
      </c>
      <c r="H226">
        <v>58.086399999999998</v>
      </c>
      <c r="I226">
        <v>57.265300000000003</v>
      </c>
      <c r="J226">
        <v>1.43765E-2</v>
      </c>
      <c r="K226">
        <v>0.81991800000000004</v>
      </c>
      <c r="L226">
        <v>57.851700000000001</v>
      </c>
      <c r="M226">
        <v>57.031799999999997</v>
      </c>
      <c r="N226">
        <v>1.4113799999999999E-2</v>
      </c>
      <c r="O226">
        <v>0.79334000000000005</v>
      </c>
      <c r="P226">
        <v>57.003700000000002</v>
      </c>
      <c r="Q226">
        <v>56.2104</v>
      </c>
      <c r="R226">
        <v>142.786</v>
      </c>
      <c r="S226">
        <v>142.786</v>
      </c>
      <c r="T226">
        <v>1.2795000000000001</v>
      </c>
      <c r="U226">
        <v>128.625</v>
      </c>
      <c r="V226">
        <f t="shared" si="18"/>
        <v>0.70103008502289077</v>
      </c>
      <c r="W226">
        <f t="shared" si="19"/>
        <v>1.44333E-2</v>
      </c>
      <c r="X226">
        <f t="shared" si="20"/>
        <v>1.4338099999999999E-2</v>
      </c>
      <c r="Y226">
        <f t="shared" si="21"/>
        <v>1.43765E-2</v>
      </c>
      <c r="Z226">
        <f t="shared" si="22"/>
        <v>1.4113799999999999E-2</v>
      </c>
      <c r="AA226">
        <f t="shared" si="23"/>
        <v>1.4315425E-2</v>
      </c>
    </row>
    <row r="227" spans="1:27" x14ac:dyDescent="0.3">
      <c r="A227">
        <v>222</v>
      </c>
      <c r="B227">
        <v>1.4453000000000001E-2</v>
      </c>
      <c r="C227">
        <v>0.82813000000000003</v>
      </c>
      <c r="D227">
        <v>58.126199999999997</v>
      </c>
      <c r="E227">
        <v>57.298000000000002</v>
      </c>
      <c r="F227">
        <v>1.4357200000000001E-2</v>
      </c>
      <c r="G227">
        <v>0.82216800000000001</v>
      </c>
      <c r="H227">
        <v>58.087499999999999</v>
      </c>
      <c r="I227">
        <v>57.265300000000003</v>
      </c>
      <c r="J227">
        <v>1.4382000000000001E-2</v>
      </c>
      <c r="K227">
        <v>0.82023199999999996</v>
      </c>
      <c r="L227">
        <v>57.851999999999997</v>
      </c>
      <c r="M227">
        <v>57.031799999999997</v>
      </c>
      <c r="N227">
        <v>1.41227E-2</v>
      </c>
      <c r="O227">
        <v>0.79384200000000005</v>
      </c>
      <c r="P227">
        <v>57.004199999999997</v>
      </c>
      <c r="Q227">
        <v>56.2104</v>
      </c>
      <c r="R227">
        <v>142.911</v>
      </c>
      <c r="S227">
        <v>142.911</v>
      </c>
      <c r="T227">
        <v>1.2768999999999999</v>
      </c>
      <c r="U227">
        <v>128.36600000000001</v>
      </c>
      <c r="V227">
        <f t="shared" si="18"/>
        <v>0.69961848702855911</v>
      </c>
      <c r="W227">
        <f t="shared" si="19"/>
        <v>1.4453000000000001E-2</v>
      </c>
      <c r="X227">
        <f t="shared" si="20"/>
        <v>1.4357200000000001E-2</v>
      </c>
      <c r="Y227">
        <f t="shared" si="21"/>
        <v>1.4382000000000001E-2</v>
      </c>
      <c r="Z227">
        <f t="shared" si="22"/>
        <v>1.41227E-2</v>
      </c>
      <c r="AA227">
        <f t="shared" si="23"/>
        <v>1.4328725E-2</v>
      </c>
    </row>
    <row r="228" spans="1:27" x14ac:dyDescent="0.3">
      <c r="A228">
        <v>223</v>
      </c>
      <c r="B228">
        <v>1.45354E-2</v>
      </c>
      <c r="C228">
        <v>0.83284800000000003</v>
      </c>
      <c r="D228">
        <v>58.130899999999997</v>
      </c>
      <c r="E228">
        <v>57.298000000000002</v>
      </c>
      <c r="F228">
        <v>1.44449E-2</v>
      </c>
      <c r="G228">
        <v>0.82718999999999998</v>
      </c>
      <c r="H228">
        <v>58.092500000000001</v>
      </c>
      <c r="I228">
        <v>57.265300000000003</v>
      </c>
      <c r="J228">
        <v>1.44636E-2</v>
      </c>
      <c r="K228">
        <v>0.82488499999999998</v>
      </c>
      <c r="L228">
        <v>57.856699999999996</v>
      </c>
      <c r="M228">
        <v>57.031799999999997</v>
      </c>
      <c r="N228">
        <v>1.4194399999999999E-2</v>
      </c>
      <c r="O228">
        <v>0.797871</v>
      </c>
      <c r="P228">
        <v>57.008299999999998</v>
      </c>
      <c r="Q228">
        <v>56.2104</v>
      </c>
      <c r="R228">
        <v>143.286</v>
      </c>
      <c r="S228">
        <v>143.286</v>
      </c>
      <c r="T228">
        <v>1.2682</v>
      </c>
      <c r="U228">
        <v>127.494</v>
      </c>
      <c r="V228">
        <f t="shared" si="18"/>
        <v>0.69486592544146508</v>
      </c>
      <c r="W228">
        <f t="shared" si="19"/>
        <v>1.45354E-2</v>
      </c>
      <c r="X228">
        <f t="shared" si="20"/>
        <v>1.44449E-2</v>
      </c>
      <c r="Y228">
        <f t="shared" si="21"/>
        <v>1.44636E-2</v>
      </c>
      <c r="Z228">
        <f t="shared" si="22"/>
        <v>1.4194399999999999E-2</v>
      </c>
      <c r="AA228">
        <f t="shared" si="23"/>
        <v>1.4409575000000001E-2</v>
      </c>
    </row>
    <row r="229" spans="1:27" x14ac:dyDescent="0.3">
      <c r="A229">
        <v>224</v>
      </c>
      <c r="B229">
        <v>1.4585900000000001E-2</v>
      </c>
      <c r="C229">
        <v>0.83574099999999996</v>
      </c>
      <c r="D229">
        <v>58.133800000000001</v>
      </c>
      <c r="E229">
        <v>57.298000000000002</v>
      </c>
      <c r="F229">
        <v>1.44858E-2</v>
      </c>
      <c r="G229">
        <v>0.82953600000000005</v>
      </c>
      <c r="H229">
        <v>58.094799999999999</v>
      </c>
      <c r="I229">
        <v>57.265300000000003</v>
      </c>
      <c r="J229">
        <v>1.45024E-2</v>
      </c>
      <c r="K229">
        <v>0.82709999999999995</v>
      </c>
      <c r="L229">
        <v>57.858899999999998</v>
      </c>
      <c r="M229">
        <v>57.031799999999997</v>
      </c>
      <c r="N229">
        <v>1.4233600000000001E-2</v>
      </c>
      <c r="O229">
        <v>0.80007600000000001</v>
      </c>
      <c r="P229">
        <v>57.0105</v>
      </c>
      <c r="Q229">
        <v>56.2104</v>
      </c>
      <c r="R229">
        <v>143.47399999999999</v>
      </c>
      <c r="S229">
        <v>143.47399999999999</v>
      </c>
      <c r="T229">
        <v>1.2624</v>
      </c>
      <c r="U229">
        <v>126.91200000000001</v>
      </c>
      <c r="V229">
        <f t="shared" si="18"/>
        <v>0.6916939175931982</v>
      </c>
      <c r="W229">
        <f t="shared" si="19"/>
        <v>1.4585900000000001E-2</v>
      </c>
      <c r="X229">
        <f t="shared" si="20"/>
        <v>1.44858E-2</v>
      </c>
      <c r="Y229">
        <f t="shared" si="21"/>
        <v>1.45024E-2</v>
      </c>
      <c r="Z229">
        <f t="shared" si="22"/>
        <v>1.4233600000000001E-2</v>
      </c>
      <c r="AA229">
        <f t="shared" si="23"/>
        <v>1.4451924999999999E-2</v>
      </c>
    </row>
    <row r="230" spans="1:27" x14ac:dyDescent="0.3">
      <c r="A230">
        <v>225</v>
      </c>
      <c r="B230">
        <v>1.4645999999999999E-2</v>
      </c>
      <c r="C230">
        <v>0.83918700000000002</v>
      </c>
      <c r="D230">
        <v>58.1372</v>
      </c>
      <c r="E230">
        <v>57.298000000000002</v>
      </c>
      <c r="F230">
        <v>1.45378E-2</v>
      </c>
      <c r="G230">
        <v>0.83251399999999998</v>
      </c>
      <c r="H230">
        <v>58.097799999999999</v>
      </c>
      <c r="I230">
        <v>57.265300000000003</v>
      </c>
      <c r="J230">
        <v>1.45463E-2</v>
      </c>
      <c r="K230">
        <v>0.82960299999999998</v>
      </c>
      <c r="L230">
        <v>57.861400000000003</v>
      </c>
      <c r="M230">
        <v>57.031799999999997</v>
      </c>
      <c r="N230">
        <v>1.4269E-2</v>
      </c>
      <c r="O230">
        <v>0.80206699999999997</v>
      </c>
      <c r="P230">
        <v>57.012500000000003</v>
      </c>
      <c r="Q230">
        <v>56.2104</v>
      </c>
      <c r="R230">
        <v>143.65799999999999</v>
      </c>
      <c r="S230">
        <v>143.65799999999999</v>
      </c>
      <c r="T230">
        <v>1.2492000000000001</v>
      </c>
      <c r="U230">
        <v>125.58799999999999</v>
      </c>
      <c r="V230">
        <f t="shared" si="18"/>
        <v>0.68447787224765633</v>
      </c>
      <c r="W230">
        <f t="shared" si="19"/>
        <v>1.4645999999999999E-2</v>
      </c>
      <c r="X230">
        <f t="shared" si="20"/>
        <v>1.45378E-2</v>
      </c>
      <c r="Y230">
        <f t="shared" si="21"/>
        <v>1.45463E-2</v>
      </c>
      <c r="Z230">
        <f t="shared" si="22"/>
        <v>1.4269E-2</v>
      </c>
      <c r="AA230">
        <f t="shared" si="23"/>
        <v>1.4499774999999999E-2</v>
      </c>
    </row>
    <row r="231" spans="1:27" x14ac:dyDescent="0.3">
      <c r="A231">
        <v>226</v>
      </c>
      <c r="B231">
        <v>1.4715900000000001E-2</v>
      </c>
      <c r="C231">
        <v>0.843194</v>
      </c>
      <c r="D231">
        <v>58.141199999999998</v>
      </c>
      <c r="E231">
        <v>57.298000000000002</v>
      </c>
      <c r="F231">
        <v>1.4608700000000001E-2</v>
      </c>
      <c r="G231">
        <v>0.83657199999999998</v>
      </c>
      <c r="H231">
        <v>58.101900000000001</v>
      </c>
      <c r="I231">
        <v>57.265300000000003</v>
      </c>
      <c r="J231">
        <v>1.46109E-2</v>
      </c>
      <c r="K231">
        <v>0.83328599999999997</v>
      </c>
      <c r="L231">
        <v>57.865099999999998</v>
      </c>
      <c r="M231">
        <v>57.031799999999997</v>
      </c>
      <c r="N231">
        <v>1.4322100000000001E-2</v>
      </c>
      <c r="O231">
        <v>0.80505400000000005</v>
      </c>
      <c r="P231">
        <v>57.015500000000003</v>
      </c>
      <c r="Q231">
        <v>56.2104</v>
      </c>
      <c r="R231">
        <v>144.03299999999999</v>
      </c>
      <c r="S231">
        <v>144.03299999999999</v>
      </c>
      <c r="T231">
        <v>1.2363</v>
      </c>
      <c r="U231">
        <v>124.295</v>
      </c>
      <c r="V231">
        <f t="shared" si="18"/>
        <v>0.67743078264660994</v>
      </c>
      <c r="W231">
        <f t="shared" si="19"/>
        <v>1.4715900000000001E-2</v>
      </c>
      <c r="X231">
        <f t="shared" si="20"/>
        <v>1.4608700000000001E-2</v>
      </c>
      <c r="Y231">
        <f t="shared" si="21"/>
        <v>1.46109E-2</v>
      </c>
      <c r="Z231">
        <f t="shared" si="22"/>
        <v>1.4322100000000001E-2</v>
      </c>
      <c r="AA231">
        <f t="shared" si="23"/>
        <v>1.4564400000000002E-2</v>
      </c>
    </row>
    <row r="232" spans="1:27" x14ac:dyDescent="0.3">
      <c r="A232">
        <v>227</v>
      </c>
      <c r="B232">
        <v>1.47905E-2</v>
      </c>
      <c r="C232">
        <v>0.847464</v>
      </c>
      <c r="D232">
        <v>58.145499999999998</v>
      </c>
      <c r="E232">
        <v>57.298000000000002</v>
      </c>
      <c r="F232">
        <v>1.46745E-2</v>
      </c>
      <c r="G232">
        <v>0.84033999999999998</v>
      </c>
      <c r="H232">
        <v>58.105600000000003</v>
      </c>
      <c r="I232">
        <v>57.265300000000003</v>
      </c>
      <c r="J232">
        <v>1.4674100000000001E-2</v>
      </c>
      <c r="K232">
        <v>0.83689100000000005</v>
      </c>
      <c r="L232">
        <v>57.868699999999997</v>
      </c>
      <c r="M232">
        <v>57.031799999999997</v>
      </c>
      <c r="N232">
        <v>1.43871E-2</v>
      </c>
      <c r="O232">
        <v>0.80870399999999998</v>
      </c>
      <c r="P232">
        <v>57.019100000000002</v>
      </c>
      <c r="Q232">
        <v>56.2104</v>
      </c>
      <c r="R232">
        <v>144.40700000000001</v>
      </c>
      <c r="S232">
        <v>144.40700000000001</v>
      </c>
      <c r="T232">
        <v>1.2321</v>
      </c>
      <c r="U232">
        <v>123.875</v>
      </c>
      <c r="V232">
        <f t="shared" si="18"/>
        <v>0.67514170481796376</v>
      </c>
      <c r="W232">
        <f t="shared" si="19"/>
        <v>1.47905E-2</v>
      </c>
      <c r="X232">
        <f t="shared" si="20"/>
        <v>1.46745E-2</v>
      </c>
      <c r="Y232">
        <f t="shared" si="21"/>
        <v>1.4674100000000001E-2</v>
      </c>
      <c r="Z232">
        <f t="shared" si="22"/>
        <v>1.43871E-2</v>
      </c>
      <c r="AA232">
        <f t="shared" si="23"/>
        <v>1.463155E-2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CEFBA-EDA6-43D4-9175-C4AF089C861A}">
  <dimension ref="A1:AA254"/>
  <sheetViews>
    <sheetView workbookViewId="0">
      <selection activeCell="X5" sqref="X5"/>
    </sheetView>
  </sheetViews>
  <sheetFormatPr defaultRowHeight="14.4" x14ac:dyDescent="0.3"/>
  <sheetData>
    <row r="1" spans="1:27" x14ac:dyDescent="0.3">
      <c r="A1" t="s">
        <v>15</v>
      </c>
      <c r="B1" t="s">
        <v>16</v>
      </c>
      <c r="W1" s="2">
        <f>MATCH(V3,V5:V1048576,0)-1</f>
        <v>226</v>
      </c>
    </row>
    <row r="2" spans="1:27" x14ac:dyDescent="0.3">
      <c r="A2">
        <v>26.1</v>
      </c>
      <c r="B2">
        <v>7.14</v>
      </c>
      <c r="V2" t="s">
        <v>17</v>
      </c>
      <c r="W2" t="s">
        <v>18</v>
      </c>
      <c r="Y2" t="s">
        <v>19</v>
      </c>
      <c r="Z2" s="3"/>
    </row>
    <row r="3" spans="1:27" x14ac:dyDescent="0.3">
      <c r="A3" t="s">
        <v>0</v>
      </c>
      <c r="B3" t="s">
        <v>4</v>
      </c>
      <c r="F3" t="s">
        <v>1</v>
      </c>
      <c r="J3" t="s">
        <v>2</v>
      </c>
      <c r="N3" t="s">
        <v>3</v>
      </c>
      <c r="R3" t="s">
        <v>5</v>
      </c>
      <c r="V3" s="4">
        <f>MAX(V5:V1048576)</f>
        <v>1.0123528338538481</v>
      </c>
      <c r="W3" s="5">
        <f>INDEX(W5:W1048576,MATCH(V3,V5:V1048576,0))</f>
        <v>1.2023600000000001E-2</v>
      </c>
      <c r="X3" s="6">
        <f>INDEX(X5:X1048576,MATCH(V3,V5:V1048576,0))</f>
        <v>1.20121E-2</v>
      </c>
      <c r="Y3" s="2">
        <f>INDEX(LINEST(V32:V130,AA32:AA130),1)</f>
        <v>174.85202798235636</v>
      </c>
      <c r="Z3" s="7"/>
    </row>
    <row r="4" spans="1:27" ht="15.6" x14ac:dyDescent="0.3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7</v>
      </c>
      <c r="G4" t="s">
        <v>8</v>
      </c>
      <c r="H4" t="s">
        <v>9</v>
      </c>
      <c r="I4" t="s">
        <v>10</v>
      </c>
      <c r="J4" t="s">
        <v>7</v>
      </c>
      <c r="K4" t="s">
        <v>8</v>
      </c>
      <c r="L4" t="s">
        <v>9</v>
      </c>
      <c r="M4" t="s">
        <v>10</v>
      </c>
      <c r="N4" t="s">
        <v>7</v>
      </c>
      <c r="O4" t="s">
        <v>8</v>
      </c>
      <c r="P4" t="s">
        <v>9</v>
      </c>
      <c r="Q4" t="s">
        <v>10</v>
      </c>
      <c r="R4" t="s">
        <v>11</v>
      </c>
      <c r="S4" t="s">
        <v>12</v>
      </c>
      <c r="T4" t="s">
        <v>13</v>
      </c>
      <c r="U4" t="s">
        <v>14</v>
      </c>
      <c r="V4" t="s">
        <v>20</v>
      </c>
      <c r="W4" t="s">
        <v>22</v>
      </c>
      <c r="X4" t="s">
        <v>23</v>
      </c>
      <c r="Y4" t="s">
        <v>24</v>
      </c>
      <c r="Z4" t="s">
        <v>25</v>
      </c>
      <c r="AA4" t="s">
        <v>21</v>
      </c>
    </row>
    <row r="5" spans="1:27" x14ac:dyDescent="0.3">
      <c r="A5">
        <v>0</v>
      </c>
      <c r="B5">
        <v>0</v>
      </c>
      <c r="C5">
        <v>0</v>
      </c>
      <c r="D5">
        <v>55.150399999999998</v>
      </c>
      <c r="E5">
        <v>55.150399999999998</v>
      </c>
      <c r="F5">
        <v>0</v>
      </c>
      <c r="G5">
        <v>0</v>
      </c>
      <c r="H5">
        <v>54.919199999999996</v>
      </c>
      <c r="I5">
        <v>54.919199999999996</v>
      </c>
      <c r="J5">
        <v>0</v>
      </c>
      <c r="K5">
        <v>0</v>
      </c>
      <c r="L5">
        <v>54.491999999999997</v>
      </c>
      <c r="M5">
        <v>54.491999999999997</v>
      </c>
      <c r="N5">
        <v>0</v>
      </c>
      <c r="O5">
        <v>0</v>
      </c>
      <c r="P5">
        <v>54.386899999999997</v>
      </c>
      <c r="Q5">
        <v>54.386899999999997</v>
      </c>
      <c r="R5">
        <v>0</v>
      </c>
      <c r="S5">
        <v>4.0000000000000001E-3</v>
      </c>
      <c r="T5">
        <v>-0.2833</v>
      </c>
      <c r="U5">
        <v>-28.042899999999999</v>
      </c>
      <c r="V5">
        <f>U5/$A$2/$B$2</f>
        <v>-0.15048187857518486</v>
      </c>
      <c r="W5">
        <f>B5</f>
        <v>0</v>
      </c>
      <c r="X5">
        <f>F5</f>
        <v>0</v>
      </c>
      <c r="Y5">
        <f>J5</f>
        <v>0</v>
      </c>
      <c r="Z5">
        <f>N5</f>
        <v>0</v>
      </c>
      <c r="AA5">
        <f>AVERAGE(W5:Z5)</f>
        <v>0</v>
      </c>
    </row>
    <row r="6" spans="1:27" x14ac:dyDescent="0.3">
      <c r="A6">
        <v>1</v>
      </c>
      <c r="B6" s="1">
        <v>-1.6196800000000001E-5</v>
      </c>
      <c r="C6">
        <v>-8.9326200000000003E-4</v>
      </c>
      <c r="D6">
        <v>55.149500000000003</v>
      </c>
      <c r="E6">
        <v>55.150399999999998</v>
      </c>
      <c r="F6" s="1">
        <v>-1.4199000000000001E-5</v>
      </c>
      <c r="G6">
        <v>-7.7979600000000003E-4</v>
      </c>
      <c r="H6">
        <v>54.918399999999998</v>
      </c>
      <c r="I6">
        <v>54.919199999999996</v>
      </c>
      <c r="J6" s="1">
        <v>-1.9318E-5</v>
      </c>
      <c r="K6">
        <v>-1.0526699999999999E-3</v>
      </c>
      <c r="L6">
        <v>54.490900000000003</v>
      </c>
      <c r="M6">
        <v>54.491999999999997</v>
      </c>
      <c r="N6" s="1">
        <v>-1.30589E-5</v>
      </c>
      <c r="O6">
        <v>-7.1023500000000003E-4</v>
      </c>
      <c r="P6">
        <v>54.386200000000002</v>
      </c>
      <c r="Q6">
        <v>54.386899999999997</v>
      </c>
      <c r="R6">
        <v>1.839</v>
      </c>
      <c r="S6">
        <v>1.839</v>
      </c>
      <c r="T6">
        <v>-0.28460000000000002</v>
      </c>
      <c r="U6">
        <v>-28.1721</v>
      </c>
      <c r="V6">
        <f t="shared" ref="V6:V69" si="0">U6/$A$2/$B$2</f>
        <v>-0.15117518271676489</v>
      </c>
      <c r="W6">
        <f t="shared" ref="W6:W69" si="1">B6</f>
        <v>-1.6196800000000001E-5</v>
      </c>
      <c r="X6">
        <f t="shared" ref="X6:X69" si="2">F6</f>
        <v>-1.4199000000000001E-5</v>
      </c>
      <c r="Y6">
        <f t="shared" ref="Y6:Y69" si="3">J6</f>
        <v>-1.9318E-5</v>
      </c>
      <c r="Z6">
        <f t="shared" ref="Z6:Z69" si="4">N6</f>
        <v>-1.30589E-5</v>
      </c>
      <c r="AA6">
        <f t="shared" ref="AA6:AA69" si="5">AVERAGE(W6:Z6)</f>
        <v>-1.5693175000000002E-5</v>
      </c>
    </row>
    <row r="7" spans="1:27" x14ac:dyDescent="0.3">
      <c r="A7">
        <v>2</v>
      </c>
      <c r="B7" s="1">
        <v>1.11136E-6</v>
      </c>
      <c r="C7" s="1">
        <v>6.1291999999999995E-5</v>
      </c>
      <c r="D7">
        <v>55.150399999999998</v>
      </c>
      <c r="E7">
        <v>55.150399999999998</v>
      </c>
      <c r="F7" s="1">
        <v>8.2974299999999999E-6</v>
      </c>
      <c r="G7">
        <v>4.5568799999999999E-4</v>
      </c>
      <c r="H7">
        <v>54.919600000000003</v>
      </c>
      <c r="I7">
        <v>54.919199999999996</v>
      </c>
      <c r="J7" s="1">
        <v>4.9341099999999998E-6</v>
      </c>
      <c r="K7">
        <v>2.6886899999999998E-4</v>
      </c>
      <c r="L7">
        <v>54.4923</v>
      </c>
      <c r="M7">
        <v>54.491999999999997</v>
      </c>
      <c r="N7" s="1">
        <v>1.35861E-5</v>
      </c>
      <c r="O7">
        <v>7.3890399999999997E-4</v>
      </c>
      <c r="P7">
        <v>54.387599999999999</v>
      </c>
      <c r="Q7">
        <v>54.386899999999997</v>
      </c>
      <c r="R7">
        <v>2.839</v>
      </c>
      <c r="S7">
        <v>2.839</v>
      </c>
      <c r="T7">
        <v>-0.27650000000000002</v>
      </c>
      <c r="U7">
        <v>-27.3644</v>
      </c>
      <c r="V7">
        <f t="shared" si="0"/>
        <v>-0.14684095860566448</v>
      </c>
      <c r="W7">
        <f t="shared" si="1"/>
        <v>1.11136E-6</v>
      </c>
      <c r="X7">
        <f t="shared" si="2"/>
        <v>8.2974299999999999E-6</v>
      </c>
      <c r="Y7">
        <f t="shared" si="3"/>
        <v>4.9341099999999998E-6</v>
      </c>
      <c r="Z7">
        <f t="shared" si="4"/>
        <v>1.35861E-5</v>
      </c>
      <c r="AA7">
        <f t="shared" si="5"/>
        <v>6.9822499999999999E-6</v>
      </c>
    </row>
    <row r="8" spans="1:27" x14ac:dyDescent="0.3">
      <c r="A8">
        <v>3</v>
      </c>
      <c r="B8" s="1">
        <v>-2.7775399999999999E-6</v>
      </c>
      <c r="C8">
        <v>-1.53182E-4</v>
      </c>
      <c r="D8">
        <v>55.150199999999998</v>
      </c>
      <c r="E8">
        <v>55.150399999999998</v>
      </c>
      <c r="F8" s="1">
        <v>6.2226499999999996E-6</v>
      </c>
      <c r="G8">
        <v>3.4174299999999998E-4</v>
      </c>
      <c r="H8">
        <v>54.919499999999999</v>
      </c>
      <c r="I8">
        <v>54.919199999999996</v>
      </c>
      <c r="J8" s="1">
        <v>3.8462499999999998E-6</v>
      </c>
      <c r="K8">
        <v>2.0959E-4</v>
      </c>
      <c r="L8">
        <v>54.492199999999997</v>
      </c>
      <c r="M8">
        <v>54.491999999999997</v>
      </c>
      <c r="N8" s="1">
        <v>1.4565100000000001E-5</v>
      </c>
      <c r="O8">
        <v>7.9214900000000002E-4</v>
      </c>
      <c r="P8">
        <v>54.387700000000002</v>
      </c>
      <c r="Q8">
        <v>54.386899999999997</v>
      </c>
      <c r="R8">
        <v>2.964</v>
      </c>
      <c r="S8">
        <v>2.964</v>
      </c>
      <c r="T8">
        <v>-0.26550000000000001</v>
      </c>
      <c r="U8">
        <v>-26.265899999999998</v>
      </c>
      <c r="V8">
        <f t="shared" si="0"/>
        <v>-0.14094626356289641</v>
      </c>
      <c r="W8">
        <f t="shared" si="1"/>
        <v>-2.7775399999999999E-6</v>
      </c>
      <c r="X8">
        <f t="shared" si="2"/>
        <v>6.2226499999999996E-6</v>
      </c>
      <c r="Y8">
        <f t="shared" si="3"/>
        <v>3.8462499999999998E-6</v>
      </c>
      <c r="Z8">
        <f t="shared" si="4"/>
        <v>1.4565100000000001E-5</v>
      </c>
      <c r="AA8">
        <f t="shared" si="5"/>
        <v>5.4641150000000001E-6</v>
      </c>
    </row>
    <row r="9" spans="1:27" x14ac:dyDescent="0.3">
      <c r="A9">
        <v>4</v>
      </c>
      <c r="B9" s="1">
        <v>1.50657E-5</v>
      </c>
      <c r="C9">
        <v>8.30881E-4</v>
      </c>
      <c r="D9">
        <v>55.151200000000003</v>
      </c>
      <c r="E9">
        <v>55.150399999999998</v>
      </c>
      <c r="F9" s="1">
        <v>1.5390899999999999E-5</v>
      </c>
      <c r="G9">
        <v>8.4525699999999997E-4</v>
      </c>
      <c r="H9">
        <v>54.92</v>
      </c>
      <c r="I9">
        <v>54.919199999999996</v>
      </c>
      <c r="J9" s="1">
        <v>1.8669999999999999E-5</v>
      </c>
      <c r="K9">
        <v>1.0173700000000001E-3</v>
      </c>
      <c r="L9">
        <v>54.493000000000002</v>
      </c>
      <c r="M9">
        <v>54.491999999999997</v>
      </c>
      <c r="N9" s="1">
        <v>2.41776E-5</v>
      </c>
      <c r="O9">
        <v>1.3149399999999999E-3</v>
      </c>
      <c r="P9">
        <v>54.388199999999998</v>
      </c>
      <c r="Q9">
        <v>54.386899999999997</v>
      </c>
      <c r="R9">
        <v>3.1520000000000001</v>
      </c>
      <c r="S9">
        <v>3.1520000000000001</v>
      </c>
      <c r="T9">
        <v>-0.25009999999999999</v>
      </c>
      <c r="U9">
        <v>-24.715</v>
      </c>
      <c r="V9">
        <f t="shared" si="0"/>
        <v>-0.13262393079837298</v>
      </c>
      <c r="W9">
        <f t="shared" si="1"/>
        <v>1.50657E-5</v>
      </c>
      <c r="X9">
        <f t="shared" si="2"/>
        <v>1.5390899999999999E-5</v>
      </c>
      <c r="Y9">
        <f t="shared" si="3"/>
        <v>1.8669999999999999E-5</v>
      </c>
      <c r="Z9">
        <f t="shared" si="4"/>
        <v>2.41776E-5</v>
      </c>
      <c r="AA9">
        <f t="shared" si="5"/>
        <v>1.832605E-5</v>
      </c>
    </row>
    <row r="10" spans="1:27" x14ac:dyDescent="0.3">
      <c r="A10">
        <v>5</v>
      </c>
      <c r="B10" s="1">
        <v>4.7971399999999999E-5</v>
      </c>
      <c r="C10">
        <v>2.6456399999999999E-3</v>
      </c>
      <c r="D10">
        <v>55.152999999999999</v>
      </c>
      <c r="E10">
        <v>55.150399999999998</v>
      </c>
      <c r="F10" s="1">
        <v>5.1801000000000001E-5</v>
      </c>
      <c r="G10">
        <v>2.8448700000000002E-3</v>
      </c>
      <c r="H10">
        <v>54.921999999999997</v>
      </c>
      <c r="I10">
        <v>54.919199999999996</v>
      </c>
      <c r="J10" s="1">
        <v>4.9465000000000002E-5</v>
      </c>
      <c r="K10">
        <v>2.6954399999999999E-3</v>
      </c>
      <c r="L10">
        <v>54.494700000000002</v>
      </c>
      <c r="M10">
        <v>54.491999999999997</v>
      </c>
      <c r="N10" s="1">
        <v>5.7073700000000002E-5</v>
      </c>
      <c r="O10">
        <v>3.1040600000000001E-3</v>
      </c>
      <c r="P10">
        <v>54.39</v>
      </c>
      <c r="Q10">
        <v>54.386899999999997</v>
      </c>
      <c r="R10">
        <v>3.2789999999999999</v>
      </c>
      <c r="S10">
        <v>3.2789999999999999</v>
      </c>
      <c r="T10">
        <v>-0.24299999999999999</v>
      </c>
      <c r="U10">
        <v>-24.004200000000001</v>
      </c>
      <c r="V10">
        <f t="shared" si="0"/>
        <v>-0.12880968479345761</v>
      </c>
      <c r="W10">
        <f t="shared" si="1"/>
        <v>4.7971399999999999E-5</v>
      </c>
      <c r="X10">
        <f t="shared" si="2"/>
        <v>5.1801000000000001E-5</v>
      </c>
      <c r="Y10">
        <f t="shared" si="3"/>
        <v>4.9465000000000002E-5</v>
      </c>
      <c r="Z10">
        <f t="shared" si="4"/>
        <v>5.7073700000000002E-5</v>
      </c>
      <c r="AA10">
        <f t="shared" si="5"/>
        <v>5.1577775000000004E-5</v>
      </c>
    </row>
    <row r="11" spans="1:27" x14ac:dyDescent="0.3">
      <c r="A11">
        <v>6</v>
      </c>
      <c r="B11" s="1">
        <v>6.9923499999999996E-5</v>
      </c>
      <c r="C11">
        <v>3.8563099999999999E-3</v>
      </c>
      <c r="D11">
        <v>55.154200000000003</v>
      </c>
      <c r="E11">
        <v>55.150399999999998</v>
      </c>
      <c r="F11" s="1">
        <v>8.14744E-5</v>
      </c>
      <c r="G11">
        <v>4.4745100000000001E-3</v>
      </c>
      <c r="H11">
        <v>54.9236</v>
      </c>
      <c r="I11">
        <v>54.919199999999996</v>
      </c>
      <c r="J11" s="1">
        <v>8.0365399999999995E-5</v>
      </c>
      <c r="K11">
        <v>4.3792700000000002E-3</v>
      </c>
      <c r="L11">
        <v>54.496400000000001</v>
      </c>
      <c r="M11">
        <v>54.491999999999997</v>
      </c>
      <c r="N11" s="1">
        <v>8.4428699999999993E-5</v>
      </c>
      <c r="O11">
        <v>4.59181E-3</v>
      </c>
      <c r="P11">
        <v>54.391500000000001</v>
      </c>
      <c r="Q11">
        <v>54.386899999999997</v>
      </c>
      <c r="R11">
        <v>3.4009999999999998</v>
      </c>
      <c r="S11">
        <v>3.4009999999999998</v>
      </c>
      <c r="T11">
        <v>-0.22939999999999999</v>
      </c>
      <c r="U11">
        <v>-22.647200000000002</v>
      </c>
      <c r="V11">
        <f t="shared" si="0"/>
        <v>-0.12152784485441687</v>
      </c>
      <c r="W11">
        <f t="shared" si="1"/>
        <v>6.9923499999999996E-5</v>
      </c>
      <c r="X11">
        <f t="shared" si="2"/>
        <v>8.14744E-5</v>
      </c>
      <c r="Y11">
        <f t="shared" si="3"/>
        <v>8.0365399999999995E-5</v>
      </c>
      <c r="Z11">
        <f t="shared" si="4"/>
        <v>8.4428699999999993E-5</v>
      </c>
      <c r="AA11">
        <f t="shared" si="5"/>
        <v>7.9047999999999993E-5</v>
      </c>
    </row>
    <row r="12" spans="1:27" x14ac:dyDescent="0.3">
      <c r="A12">
        <v>7</v>
      </c>
      <c r="B12" s="1">
        <v>8.5860399999999995E-5</v>
      </c>
      <c r="C12">
        <v>4.73523E-3</v>
      </c>
      <c r="D12">
        <v>55.155099999999997</v>
      </c>
      <c r="E12">
        <v>55.150399999999998</v>
      </c>
      <c r="F12" s="1">
        <v>9.3342400000000003E-5</v>
      </c>
      <c r="G12">
        <v>5.1262900000000004E-3</v>
      </c>
      <c r="H12">
        <v>54.924300000000002</v>
      </c>
      <c r="I12">
        <v>54.919199999999996</v>
      </c>
      <c r="J12" s="1">
        <v>9.4244800000000003E-5</v>
      </c>
      <c r="K12">
        <v>5.1355899999999998E-3</v>
      </c>
      <c r="L12">
        <v>54.497100000000003</v>
      </c>
      <c r="M12">
        <v>54.491999999999997</v>
      </c>
      <c r="N12">
        <v>1.0533499999999999E-4</v>
      </c>
      <c r="O12">
        <v>5.7288299999999999E-3</v>
      </c>
      <c r="P12">
        <v>54.392600000000002</v>
      </c>
      <c r="Q12">
        <v>54.386899999999997</v>
      </c>
      <c r="R12">
        <v>3.7109999999999999</v>
      </c>
      <c r="S12">
        <v>3.7109999999999999</v>
      </c>
      <c r="T12">
        <v>-0.2104</v>
      </c>
      <c r="U12">
        <v>-20.741</v>
      </c>
      <c r="V12">
        <f t="shared" si="0"/>
        <v>-0.11129892570054842</v>
      </c>
      <c r="W12">
        <f t="shared" si="1"/>
        <v>8.5860399999999995E-5</v>
      </c>
      <c r="X12">
        <f t="shared" si="2"/>
        <v>9.3342400000000003E-5</v>
      </c>
      <c r="Y12">
        <f t="shared" si="3"/>
        <v>9.4244800000000003E-5</v>
      </c>
      <c r="Z12">
        <f t="shared" si="4"/>
        <v>1.0533499999999999E-4</v>
      </c>
      <c r="AA12">
        <f t="shared" si="5"/>
        <v>9.4695650000000005E-5</v>
      </c>
    </row>
    <row r="13" spans="1:27" x14ac:dyDescent="0.3">
      <c r="A13">
        <v>8</v>
      </c>
      <c r="B13" s="1">
        <v>7.7291899999999998E-5</v>
      </c>
      <c r="C13">
        <v>4.2626799999999996E-3</v>
      </c>
      <c r="D13">
        <v>55.154600000000002</v>
      </c>
      <c r="E13">
        <v>55.150399999999998</v>
      </c>
      <c r="F13" s="1">
        <v>8.6218300000000001E-5</v>
      </c>
      <c r="G13">
        <v>4.7350400000000003E-3</v>
      </c>
      <c r="H13">
        <v>54.923900000000003</v>
      </c>
      <c r="I13">
        <v>54.919199999999996</v>
      </c>
      <c r="J13" s="1">
        <v>8.6558300000000001E-5</v>
      </c>
      <c r="K13">
        <v>4.7167299999999997E-3</v>
      </c>
      <c r="L13">
        <v>54.496699999999997</v>
      </c>
      <c r="M13">
        <v>54.491999999999997</v>
      </c>
      <c r="N13" s="1">
        <v>9.1775999999999997E-5</v>
      </c>
      <c r="O13">
        <v>4.9914099999999999E-3</v>
      </c>
      <c r="P13">
        <v>54.3919</v>
      </c>
      <c r="Q13">
        <v>54.386899999999997</v>
      </c>
      <c r="R13">
        <v>3.8370000000000002</v>
      </c>
      <c r="S13">
        <v>3.8370000000000002</v>
      </c>
      <c r="T13">
        <v>-0.20430000000000001</v>
      </c>
      <c r="U13">
        <v>-20.127099999999999</v>
      </c>
      <c r="V13">
        <f t="shared" si="0"/>
        <v>-0.10800465780181803</v>
      </c>
      <c r="W13">
        <f t="shared" si="1"/>
        <v>7.7291899999999998E-5</v>
      </c>
      <c r="X13">
        <f t="shared" si="2"/>
        <v>8.6218300000000001E-5</v>
      </c>
      <c r="Y13">
        <f t="shared" si="3"/>
        <v>8.6558300000000001E-5</v>
      </c>
      <c r="Z13">
        <f t="shared" si="4"/>
        <v>9.1775999999999997E-5</v>
      </c>
      <c r="AA13">
        <f t="shared" si="5"/>
        <v>8.5461125000000002E-5</v>
      </c>
    </row>
    <row r="14" spans="1:27" x14ac:dyDescent="0.3">
      <c r="A14">
        <v>9</v>
      </c>
      <c r="B14">
        <v>1.07563E-4</v>
      </c>
      <c r="C14">
        <v>5.9321499999999997E-3</v>
      </c>
      <c r="D14">
        <v>55.156300000000002</v>
      </c>
      <c r="E14">
        <v>55.150399999999998</v>
      </c>
      <c r="F14">
        <v>1.0775100000000001E-4</v>
      </c>
      <c r="G14">
        <v>5.9175900000000003E-3</v>
      </c>
      <c r="H14">
        <v>54.9251</v>
      </c>
      <c r="I14">
        <v>54.919199999999996</v>
      </c>
      <c r="J14">
        <v>1.0636E-4</v>
      </c>
      <c r="K14">
        <v>5.7957499999999997E-3</v>
      </c>
      <c r="L14">
        <v>54.497799999999998</v>
      </c>
      <c r="M14">
        <v>54.491999999999997</v>
      </c>
      <c r="N14">
        <v>1.10473E-4</v>
      </c>
      <c r="O14">
        <v>6.0082699999999996E-3</v>
      </c>
      <c r="P14">
        <v>54.392899999999997</v>
      </c>
      <c r="Q14">
        <v>54.386899999999997</v>
      </c>
      <c r="R14">
        <v>3.9630000000000001</v>
      </c>
      <c r="S14">
        <v>3.9630000000000001</v>
      </c>
      <c r="T14">
        <v>-0.19270000000000001</v>
      </c>
      <c r="U14">
        <v>-18.963999999999999</v>
      </c>
      <c r="V14">
        <f t="shared" si="0"/>
        <v>-0.10176331068825997</v>
      </c>
      <c r="W14">
        <f t="shared" si="1"/>
        <v>1.07563E-4</v>
      </c>
      <c r="X14">
        <f t="shared" si="2"/>
        <v>1.0775100000000001E-4</v>
      </c>
      <c r="Y14">
        <f t="shared" si="3"/>
        <v>1.0636E-4</v>
      </c>
      <c r="Z14">
        <f t="shared" si="4"/>
        <v>1.10473E-4</v>
      </c>
      <c r="AA14">
        <f t="shared" si="5"/>
        <v>1.0803674999999999E-4</v>
      </c>
    </row>
    <row r="15" spans="1:27" x14ac:dyDescent="0.3">
      <c r="A15">
        <v>10</v>
      </c>
      <c r="B15">
        <v>1.4034E-4</v>
      </c>
      <c r="C15">
        <v>7.7397899999999999E-3</v>
      </c>
      <c r="D15">
        <v>55.158099999999997</v>
      </c>
      <c r="E15">
        <v>55.150399999999998</v>
      </c>
      <c r="F15">
        <v>1.4675199999999999E-4</v>
      </c>
      <c r="G15">
        <v>8.0595100000000006E-3</v>
      </c>
      <c r="H15">
        <v>54.927199999999999</v>
      </c>
      <c r="I15">
        <v>54.919199999999996</v>
      </c>
      <c r="J15">
        <v>1.51232E-4</v>
      </c>
      <c r="K15">
        <v>8.2409500000000004E-3</v>
      </c>
      <c r="L15">
        <v>54.5002</v>
      </c>
      <c r="M15">
        <v>54.491999999999997</v>
      </c>
      <c r="N15">
        <v>1.5924799999999999E-4</v>
      </c>
      <c r="O15">
        <v>8.6609900000000004E-3</v>
      </c>
      <c r="P15">
        <v>54.395600000000002</v>
      </c>
      <c r="Q15">
        <v>54.386899999999997</v>
      </c>
      <c r="R15">
        <v>4.2119999999999997</v>
      </c>
      <c r="S15">
        <v>4.2119999999999997</v>
      </c>
      <c r="T15">
        <v>-0.17469999999999999</v>
      </c>
      <c r="U15">
        <v>-17.154599999999999</v>
      </c>
      <c r="V15">
        <f t="shared" si="0"/>
        <v>-9.2053833027463852E-2</v>
      </c>
      <c r="W15">
        <f t="shared" si="1"/>
        <v>1.4034E-4</v>
      </c>
      <c r="X15">
        <f t="shared" si="2"/>
        <v>1.4675199999999999E-4</v>
      </c>
      <c r="Y15">
        <f t="shared" si="3"/>
        <v>1.51232E-4</v>
      </c>
      <c r="Z15">
        <f t="shared" si="4"/>
        <v>1.5924799999999999E-4</v>
      </c>
      <c r="AA15">
        <f t="shared" si="5"/>
        <v>1.49393E-4</v>
      </c>
    </row>
    <row r="16" spans="1:27" x14ac:dyDescent="0.3">
      <c r="A16">
        <v>11</v>
      </c>
      <c r="B16">
        <v>1.5516799999999999E-4</v>
      </c>
      <c r="C16">
        <v>8.5575500000000006E-3</v>
      </c>
      <c r="D16">
        <v>55.158900000000003</v>
      </c>
      <c r="E16">
        <v>55.150399999999998</v>
      </c>
      <c r="F16">
        <v>1.5708599999999999E-4</v>
      </c>
      <c r="G16">
        <v>8.6270199999999991E-3</v>
      </c>
      <c r="H16">
        <v>54.927799999999998</v>
      </c>
      <c r="I16">
        <v>54.919199999999996</v>
      </c>
      <c r="J16">
        <v>1.5903600000000001E-4</v>
      </c>
      <c r="K16">
        <v>8.6661700000000008E-3</v>
      </c>
      <c r="L16">
        <v>54.500700000000002</v>
      </c>
      <c r="M16">
        <v>54.491999999999997</v>
      </c>
      <c r="N16">
        <v>1.6218499999999999E-4</v>
      </c>
      <c r="O16">
        <v>8.8207200000000006E-3</v>
      </c>
      <c r="P16">
        <v>54.395699999999998</v>
      </c>
      <c r="Q16">
        <v>54.386899999999997</v>
      </c>
      <c r="R16">
        <v>4.46</v>
      </c>
      <c r="S16">
        <v>4.46</v>
      </c>
      <c r="T16">
        <v>-0.1598</v>
      </c>
      <c r="U16">
        <v>-15.6684</v>
      </c>
      <c r="V16">
        <f t="shared" si="0"/>
        <v>-8.4078688946843103E-2</v>
      </c>
      <c r="W16">
        <f t="shared" si="1"/>
        <v>1.5516799999999999E-4</v>
      </c>
      <c r="X16">
        <f t="shared" si="2"/>
        <v>1.5708599999999999E-4</v>
      </c>
      <c r="Y16">
        <f t="shared" si="3"/>
        <v>1.5903600000000001E-4</v>
      </c>
      <c r="Z16">
        <f t="shared" si="4"/>
        <v>1.6218499999999999E-4</v>
      </c>
      <c r="AA16">
        <f t="shared" si="5"/>
        <v>1.5836875E-4</v>
      </c>
    </row>
    <row r="17" spans="1:27" x14ac:dyDescent="0.3">
      <c r="A17">
        <v>12</v>
      </c>
      <c r="B17">
        <v>1.57412E-4</v>
      </c>
      <c r="C17">
        <v>8.6813299999999993E-3</v>
      </c>
      <c r="D17">
        <v>55.159100000000002</v>
      </c>
      <c r="E17">
        <v>55.150399999999998</v>
      </c>
      <c r="F17">
        <v>1.5557099999999999E-4</v>
      </c>
      <c r="G17">
        <v>8.5438200000000006E-3</v>
      </c>
      <c r="H17">
        <v>54.927700000000002</v>
      </c>
      <c r="I17">
        <v>54.919199999999996</v>
      </c>
      <c r="J17">
        <v>1.5652999999999999E-4</v>
      </c>
      <c r="K17">
        <v>8.5296399999999998E-3</v>
      </c>
      <c r="L17">
        <v>54.500500000000002</v>
      </c>
      <c r="M17">
        <v>54.491999999999997</v>
      </c>
      <c r="N17">
        <v>1.5836999999999999E-4</v>
      </c>
      <c r="O17">
        <v>8.6132699999999993E-3</v>
      </c>
      <c r="P17">
        <v>54.395499999999998</v>
      </c>
      <c r="Q17">
        <v>54.386899999999997</v>
      </c>
      <c r="R17">
        <v>4.6479999999999997</v>
      </c>
      <c r="S17">
        <v>4.6479999999999997</v>
      </c>
      <c r="T17">
        <v>-0.1479</v>
      </c>
      <c r="U17">
        <v>-14.473000000000001</v>
      </c>
      <c r="V17">
        <f t="shared" si="0"/>
        <v>-7.7664015797890035E-2</v>
      </c>
      <c r="W17">
        <f t="shared" si="1"/>
        <v>1.57412E-4</v>
      </c>
      <c r="X17">
        <f t="shared" si="2"/>
        <v>1.5557099999999999E-4</v>
      </c>
      <c r="Y17">
        <f t="shared" si="3"/>
        <v>1.5652999999999999E-4</v>
      </c>
      <c r="Z17">
        <f t="shared" si="4"/>
        <v>1.5836999999999999E-4</v>
      </c>
      <c r="AA17">
        <f t="shared" si="5"/>
        <v>1.5697074999999999E-4</v>
      </c>
    </row>
    <row r="18" spans="1:27" x14ac:dyDescent="0.3">
      <c r="A18">
        <v>13</v>
      </c>
      <c r="B18">
        <v>1.5405099999999999E-4</v>
      </c>
      <c r="C18">
        <v>8.4959600000000003E-3</v>
      </c>
      <c r="D18">
        <v>55.158900000000003</v>
      </c>
      <c r="E18">
        <v>55.150399999999998</v>
      </c>
      <c r="F18">
        <v>1.62917E-4</v>
      </c>
      <c r="G18">
        <v>8.9472600000000003E-3</v>
      </c>
      <c r="H18">
        <v>54.928100000000001</v>
      </c>
      <c r="I18">
        <v>54.919199999999996</v>
      </c>
      <c r="J18">
        <v>1.60135E-4</v>
      </c>
      <c r="K18">
        <v>8.7260900000000006E-3</v>
      </c>
      <c r="L18">
        <v>54.500700000000002</v>
      </c>
      <c r="M18">
        <v>54.491999999999997</v>
      </c>
      <c r="N18">
        <v>1.6688099999999999E-4</v>
      </c>
      <c r="O18">
        <v>9.0761599999999998E-3</v>
      </c>
      <c r="P18">
        <v>54.396000000000001</v>
      </c>
      <c r="Q18">
        <v>54.386899999999997</v>
      </c>
      <c r="R18">
        <v>4.8360000000000003</v>
      </c>
      <c r="S18">
        <v>4.8360000000000003</v>
      </c>
      <c r="T18">
        <v>-0.1434</v>
      </c>
      <c r="U18">
        <v>-14.0206</v>
      </c>
      <c r="V18">
        <f t="shared" si="0"/>
        <v>-7.5236378076134675E-2</v>
      </c>
      <c r="W18">
        <f t="shared" si="1"/>
        <v>1.5405099999999999E-4</v>
      </c>
      <c r="X18">
        <f t="shared" si="2"/>
        <v>1.62917E-4</v>
      </c>
      <c r="Y18">
        <f t="shared" si="3"/>
        <v>1.60135E-4</v>
      </c>
      <c r="Z18">
        <f t="shared" si="4"/>
        <v>1.6688099999999999E-4</v>
      </c>
      <c r="AA18">
        <f t="shared" si="5"/>
        <v>1.60996E-4</v>
      </c>
    </row>
    <row r="19" spans="1:27" x14ac:dyDescent="0.3">
      <c r="A19">
        <v>14</v>
      </c>
      <c r="B19">
        <v>2.1733700000000001E-4</v>
      </c>
      <c r="C19">
        <v>1.1986200000000001E-2</v>
      </c>
      <c r="D19">
        <v>55.162399999999998</v>
      </c>
      <c r="E19">
        <v>55.150399999999998</v>
      </c>
      <c r="F19">
        <v>2.2055100000000001E-4</v>
      </c>
      <c r="G19">
        <v>1.21125E-2</v>
      </c>
      <c r="H19">
        <v>54.9313</v>
      </c>
      <c r="I19">
        <v>54.919199999999996</v>
      </c>
      <c r="J19">
        <v>2.1602700000000001E-4</v>
      </c>
      <c r="K19">
        <v>1.17717E-2</v>
      </c>
      <c r="L19">
        <v>54.503799999999998</v>
      </c>
      <c r="M19">
        <v>54.491999999999997</v>
      </c>
      <c r="N19">
        <v>2.1823599999999999E-4</v>
      </c>
      <c r="O19">
        <v>1.18692E-2</v>
      </c>
      <c r="P19">
        <v>54.398800000000001</v>
      </c>
      <c r="Q19">
        <v>54.386899999999997</v>
      </c>
      <c r="R19">
        <v>4.9589999999999996</v>
      </c>
      <c r="S19">
        <v>4.9589999999999996</v>
      </c>
      <c r="T19">
        <v>-0.13469999999999999</v>
      </c>
      <c r="U19">
        <v>-13.148300000000001</v>
      </c>
      <c r="V19">
        <f t="shared" si="0"/>
        <v>-7.0555501894244296E-2</v>
      </c>
      <c r="W19">
        <f t="shared" si="1"/>
        <v>2.1733700000000001E-4</v>
      </c>
      <c r="X19">
        <f t="shared" si="2"/>
        <v>2.2055100000000001E-4</v>
      </c>
      <c r="Y19">
        <f t="shared" si="3"/>
        <v>2.1602700000000001E-4</v>
      </c>
      <c r="Z19">
        <f t="shared" si="4"/>
        <v>2.1823599999999999E-4</v>
      </c>
      <c r="AA19">
        <f t="shared" si="5"/>
        <v>2.1803775000000001E-4</v>
      </c>
    </row>
    <row r="20" spans="1:27" x14ac:dyDescent="0.3">
      <c r="A20">
        <v>15</v>
      </c>
      <c r="B20">
        <v>2.2737199999999999E-4</v>
      </c>
      <c r="C20">
        <v>1.2539700000000001E-2</v>
      </c>
      <c r="D20">
        <v>55.1629</v>
      </c>
      <c r="E20">
        <v>55.150399999999998</v>
      </c>
      <c r="F20">
        <v>2.2961699999999999E-4</v>
      </c>
      <c r="G20">
        <v>1.2610400000000001E-2</v>
      </c>
      <c r="H20">
        <v>54.931800000000003</v>
      </c>
      <c r="I20">
        <v>54.919199999999996</v>
      </c>
      <c r="J20">
        <v>2.29836E-4</v>
      </c>
      <c r="K20">
        <v>1.2524199999999999E-2</v>
      </c>
      <c r="L20">
        <v>54.5045</v>
      </c>
      <c r="M20">
        <v>54.491999999999997</v>
      </c>
      <c r="N20">
        <v>2.3496300000000001E-4</v>
      </c>
      <c r="O20">
        <v>1.2778899999999999E-2</v>
      </c>
      <c r="P20">
        <v>54.399700000000003</v>
      </c>
      <c r="Q20">
        <v>54.386899999999997</v>
      </c>
      <c r="R20">
        <v>5.149</v>
      </c>
      <c r="S20">
        <v>5.149</v>
      </c>
      <c r="T20">
        <v>-0.126</v>
      </c>
      <c r="U20">
        <v>-12.2759</v>
      </c>
      <c r="V20">
        <f t="shared" si="0"/>
        <v>-6.5874089099241223E-2</v>
      </c>
      <c r="W20">
        <f t="shared" si="1"/>
        <v>2.2737199999999999E-4</v>
      </c>
      <c r="X20">
        <f t="shared" si="2"/>
        <v>2.2961699999999999E-4</v>
      </c>
      <c r="Y20">
        <f t="shared" si="3"/>
        <v>2.29836E-4</v>
      </c>
      <c r="Z20">
        <f t="shared" si="4"/>
        <v>2.3496300000000001E-4</v>
      </c>
      <c r="AA20">
        <f t="shared" si="5"/>
        <v>2.30447E-4</v>
      </c>
    </row>
    <row r="21" spans="1:27" x14ac:dyDescent="0.3">
      <c r="A21">
        <v>16</v>
      </c>
      <c r="B21">
        <v>2.2036500000000001E-4</v>
      </c>
      <c r="C21">
        <v>1.2153199999999999E-2</v>
      </c>
      <c r="D21">
        <v>55.162500000000001</v>
      </c>
      <c r="E21">
        <v>55.150399999999998</v>
      </c>
      <c r="F21">
        <v>2.2597700000000001E-4</v>
      </c>
      <c r="G21">
        <v>1.24105E-2</v>
      </c>
      <c r="H21">
        <v>54.931600000000003</v>
      </c>
      <c r="I21">
        <v>54.919199999999996</v>
      </c>
      <c r="J21">
        <v>2.3681799999999999E-4</v>
      </c>
      <c r="K21">
        <v>1.29047E-2</v>
      </c>
      <c r="L21">
        <v>54.504899999999999</v>
      </c>
      <c r="M21">
        <v>54.491999999999997</v>
      </c>
      <c r="N21">
        <v>2.4451399999999998E-4</v>
      </c>
      <c r="O21">
        <v>1.3298300000000001E-2</v>
      </c>
      <c r="P21">
        <v>54.400199999999998</v>
      </c>
      <c r="Q21">
        <v>54.386899999999997</v>
      </c>
      <c r="R21">
        <v>5.3959999999999999</v>
      </c>
      <c r="S21">
        <v>5.3970000000000002</v>
      </c>
      <c r="T21">
        <v>-0.1125</v>
      </c>
      <c r="U21">
        <v>-10.919</v>
      </c>
      <c r="V21">
        <f t="shared" si="0"/>
        <v>-5.8592785773313158E-2</v>
      </c>
      <c r="W21">
        <f t="shared" si="1"/>
        <v>2.2036500000000001E-4</v>
      </c>
      <c r="X21">
        <f t="shared" si="2"/>
        <v>2.2597700000000001E-4</v>
      </c>
      <c r="Y21">
        <f t="shared" si="3"/>
        <v>2.3681799999999999E-4</v>
      </c>
      <c r="Z21">
        <f t="shared" si="4"/>
        <v>2.4451399999999998E-4</v>
      </c>
      <c r="AA21">
        <f t="shared" si="5"/>
        <v>2.3191850000000002E-4</v>
      </c>
    </row>
    <row r="22" spans="1:27" x14ac:dyDescent="0.3">
      <c r="A22">
        <v>17</v>
      </c>
      <c r="B22">
        <v>2.3369999999999999E-4</v>
      </c>
      <c r="C22">
        <v>1.2888699999999999E-2</v>
      </c>
      <c r="D22">
        <v>55.1633</v>
      </c>
      <c r="E22">
        <v>55.150399999999998</v>
      </c>
      <c r="F22">
        <v>2.3673999999999999E-4</v>
      </c>
      <c r="G22">
        <v>1.30016E-2</v>
      </c>
      <c r="H22">
        <v>54.932200000000002</v>
      </c>
      <c r="I22">
        <v>54.919199999999996</v>
      </c>
      <c r="J22">
        <v>2.38738E-4</v>
      </c>
      <c r="K22">
        <v>1.30093E-2</v>
      </c>
      <c r="L22">
        <v>54.505000000000003</v>
      </c>
      <c r="M22">
        <v>54.491999999999997</v>
      </c>
      <c r="N22">
        <v>2.4908100000000001E-4</v>
      </c>
      <c r="O22">
        <v>1.3546799999999999E-2</v>
      </c>
      <c r="P22">
        <v>54.400399999999998</v>
      </c>
      <c r="Q22">
        <v>54.386899999999997</v>
      </c>
      <c r="R22">
        <v>5.5220000000000002</v>
      </c>
      <c r="S22">
        <v>5.5220000000000002</v>
      </c>
      <c r="T22">
        <v>-0.1028</v>
      </c>
      <c r="U22">
        <v>-9.9497</v>
      </c>
      <c r="V22">
        <f t="shared" si="0"/>
        <v>-5.3391394872125096E-2</v>
      </c>
      <c r="W22">
        <f t="shared" si="1"/>
        <v>2.3369999999999999E-4</v>
      </c>
      <c r="X22">
        <f t="shared" si="2"/>
        <v>2.3673999999999999E-4</v>
      </c>
      <c r="Y22">
        <f t="shared" si="3"/>
        <v>2.38738E-4</v>
      </c>
      <c r="Z22">
        <f t="shared" si="4"/>
        <v>2.4908100000000001E-4</v>
      </c>
      <c r="AA22">
        <f t="shared" si="5"/>
        <v>2.3956474999999998E-4</v>
      </c>
    </row>
    <row r="23" spans="1:27" x14ac:dyDescent="0.3">
      <c r="A23">
        <v>18</v>
      </c>
      <c r="B23">
        <v>2.8524399999999998E-4</v>
      </c>
      <c r="C23">
        <v>1.57313E-2</v>
      </c>
      <c r="D23">
        <v>55.1661</v>
      </c>
      <c r="E23">
        <v>55.150399999999998</v>
      </c>
      <c r="F23">
        <v>2.91346E-4</v>
      </c>
      <c r="G23">
        <v>1.6000500000000001E-2</v>
      </c>
      <c r="H23">
        <v>54.935200000000002</v>
      </c>
      <c r="I23">
        <v>54.919199999999996</v>
      </c>
      <c r="J23">
        <v>2.8926199999999998E-4</v>
      </c>
      <c r="K23">
        <v>1.5762499999999999E-2</v>
      </c>
      <c r="L23">
        <v>54.507800000000003</v>
      </c>
      <c r="M23">
        <v>54.491999999999997</v>
      </c>
      <c r="N23">
        <v>2.8985300000000002E-4</v>
      </c>
      <c r="O23">
        <v>1.5764199999999999E-2</v>
      </c>
      <c r="P23">
        <v>54.402700000000003</v>
      </c>
      <c r="Q23">
        <v>54.386899999999997</v>
      </c>
      <c r="R23">
        <v>5.7130000000000001</v>
      </c>
      <c r="S23">
        <v>5.7130000000000001</v>
      </c>
      <c r="T23">
        <v>-9.0899999999999995E-2</v>
      </c>
      <c r="U23">
        <v>-8.7542000000000009</v>
      </c>
      <c r="V23">
        <f t="shared" si="0"/>
        <v>-4.6976185110059354E-2</v>
      </c>
      <c r="W23">
        <f t="shared" si="1"/>
        <v>2.8524399999999998E-4</v>
      </c>
      <c r="X23">
        <f t="shared" si="2"/>
        <v>2.91346E-4</v>
      </c>
      <c r="Y23">
        <f t="shared" si="3"/>
        <v>2.8926199999999998E-4</v>
      </c>
      <c r="Z23">
        <f t="shared" si="4"/>
        <v>2.8985300000000002E-4</v>
      </c>
      <c r="AA23">
        <f t="shared" si="5"/>
        <v>2.8892624999999998E-4</v>
      </c>
    </row>
    <row r="24" spans="1:27" x14ac:dyDescent="0.3">
      <c r="A24">
        <v>19</v>
      </c>
      <c r="B24">
        <v>2.7984499999999997E-4</v>
      </c>
      <c r="C24">
        <v>1.5433499999999999E-2</v>
      </c>
      <c r="D24">
        <v>55.165799999999997</v>
      </c>
      <c r="E24">
        <v>55.150399999999998</v>
      </c>
      <c r="F24">
        <v>2.8066099999999997E-4</v>
      </c>
      <c r="G24">
        <v>1.5413700000000001E-2</v>
      </c>
      <c r="H24">
        <v>54.934600000000003</v>
      </c>
      <c r="I24">
        <v>54.919199999999996</v>
      </c>
      <c r="J24">
        <v>2.8610099999999998E-4</v>
      </c>
      <c r="K24">
        <v>1.55902E-2</v>
      </c>
      <c r="L24">
        <v>54.507599999999996</v>
      </c>
      <c r="M24">
        <v>54.491999999999997</v>
      </c>
      <c r="N24">
        <v>2.9003500000000001E-4</v>
      </c>
      <c r="O24">
        <v>1.5774099999999999E-2</v>
      </c>
      <c r="P24">
        <v>54.402700000000003</v>
      </c>
      <c r="Q24">
        <v>54.386899999999997</v>
      </c>
      <c r="R24">
        <v>5.8339999999999996</v>
      </c>
      <c r="S24">
        <v>5.8339999999999996</v>
      </c>
      <c r="T24">
        <v>-8.7999999999999995E-2</v>
      </c>
      <c r="U24">
        <v>-8.4634</v>
      </c>
      <c r="V24">
        <f t="shared" si="0"/>
        <v>-4.5415714178391665E-2</v>
      </c>
      <c r="W24">
        <f t="shared" si="1"/>
        <v>2.7984499999999997E-4</v>
      </c>
      <c r="X24">
        <f t="shared" si="2"/>
        <v>2.8066099999999997E-4</v>
      </c>
      <c r="Y24">
        <f t="shared" si="3"/>
        <v>2.8610099999999998E-4</v>
      </c>
      <c r="Z24">
        <f t="shared" si="4"/>
        <v>2.9003500000000001E-4</v>
      </c>
      <c r="AA24">
        <f t="shared" si="5"/>
        <v>2.8416049999999994E-4</v>
      </c>
    </row>
    <row r="25" spans="1:27" x14ac:dyDescent="0.3">
      <c r="A25">
        <v>20</v>
      </c>
      <c r="B25">
        <v>2.8800499999999998E-4</v>
      </c>
      <c r="C25">
        <v>1.5883600000000001E-2</v>
      </c>
      <c r="D25">
        <v>55.1663</v>
      </c>
      <c r="E25">
        <v>55.150399999999998</v>
      </c>
      <c r="F25">
        <v>2.8727499999999998E-4</v>
      </c>
      <c r="G25">
        <v>1.57769E-2</v>
      </c>
      <c r="H25">
        <v>54.934899999999999</v>
      </c>
      <c r="I25">
        <v>54.919199999999996</v>
      </c>
      <c r="J25">
        <v>2.9228099999999998E-4</v>
      </c>
      <c r="K25">
        <v>1.5927E-2</v>
      </c>
      <c r="L25">
        <v>54.507899999999999</v>
      </c>
      <c r="M25">
        <v>54.491999999999997</v>
      </c>
      <c r="N25">
        <v>2.9888899999999999E-4</v>
      </c>
      <c r="O25">
        <v>1.6255700000000001E-2</v>
      </c>
      <c r="P25">
        <v>54.403199999999998</v>
      </c>
      <c r="Q25">
        <v>54.386899999999997</v>
      </c>
      <c r="R25">
        <v>6.0830000000000002</v>
      </c>
      <c r="S25">
        <v>6.0830000000000002</v>
      </c>
      <c r="T25">
        <v>-7.1499999999999994E-2</v>
      </c>
      <c r="U25">
        <v>-6.8156999999999996</v>
      </c>
      <c r="V25">
        <f t="shared" si="0"/>
        <v>-3.6573939920795905E-2</v>
      </c>
      <c r="W25">
        <f t="shared" si="1"/>
        <v>2.8800499999999998E-4</v>
      </c>
      <c r="X25">
        <f t="shared" si="2"/>
        <v>2.8727499999999998E-4</v>
      </c>
      <c r="Y25">
        <f t="shared" si="3"/>
        <v>2.9228099999999998E-4</v>
      </c>
      <c r="Z25">
        <f t="shared" si="4"/>
        <v>2.9888899999999999E-4</v>
      </c>
      <c r="AA25">
        <f t="shared" si="5"/>
        <v>2.9161249999999997E-4</v>
      </c>
    </row>
    <row r="26" spans="1:27" x14ac:dyDescent="0.3">
      <c r="A26">
        <v>21</v>
      </c>
      <c r="B26">
        <v>3.2517899999999998E-4</v>
      </c>
      <c r="C26">
        <v>1.79338E-2</v>
      </c>
      <c r="D26">
        <v>55.168300000000002</v>
      </c>
      <c r="E26">
        <v>55.150399999999998</v>
      </c>
      <c r="F26">
        <v>3.3799299999999997E-4</v>
      </c>
      <c r="G26">
        <v>1.85623E-2</v>
      </c>
      <c r="H26">
        <v>54.9377</v>
      </c>
      <c r="I26">
        <v>54.919199999999996</v>
      </c>
      <c r="J26">
        <v>3.3606199999999998E-4</v>
      </c>
      <c r="K26">
        <v>1.8312700000000001E-2</v>
      </c>
      <c r="L26">
        <v>54.510300000000001</v>
      </c>
      <c r="M26">
        <v>54.491999999999997</v>
      </c>
      <c r="N26">
        <v>3.4038299999999998E-4</v>
      </c>
      <c r="O26">
        <v>1.8512399999999998E-2</v>
      </c>
      <c r="P26">
        <v>54.4054</v>
      </c>
      <c r="Q26">
        <v>54.386899999999997</v>
      </c>
      <c r="R26">
        <v>6.3319999999999999</v>
      </c>
      <c r="S26">
        <v>6.3319999999999999</v>
      </c>
      <c r="T26">
        <v>-5.6000000000000001E-2</v>
      </c>
      <c r="U26">
        <v>-5.2648000000000001</v>
      </c>
      <c r="V26">
        <f t="shared" si="0"/>
        <v>-2.8251607156272472E-2</v>
      </c>
      <c r="W26">
        <f t="shared" si="1"/>
        <v>3.2517899999999998E-4</v>
      </c>
      <c r="X26">
        <f t="shared" si="2"/>
        <v>3.3799299999999997E-4</v>
      </c>
      <c r="Y26">
        <f t="shared" si="3"/>
        <v>3.3606199999999998E-4</v>
      </c>
      <c r="Z26">
        <f t="shared" si="4"/>
        <v>3.4038299999999998E-4</v>
      </c>
      <c r="AA26">
        <f t="shared" si="5"/>
        <v>3.3490424999999999E-4</v>
      </c>
    </row>
    <row r="27" spans="1:27" x14ac:dyDescent="0.3">
      <c r="A27">
        <v>22</v>
      </c>
      <c r="B27">
        <v>3.5660899999999997E-4</v>
      </c>
      <c r="C27">
        <v>1.96671E-2</v>
      </c>
      <c r="D27">
        <v>55.17</v>
      </c>
      <c r="E27">
        <v>55.150399999999998</v>
      </c>
      <c r="F27">
        <v>3.6569599999999999E-4</v>
      </c>
      <c r="G27">
        <v>2.0083699999999999E-2</v>
      </c>
      <c r="H27">
        <v>54.939300000000003</v>
      </c>
      <c r="I27">
        <v>54.919199999999996</v>
      </c>
      <c r="J27">
        <v>3.6169300000000001E-4</v>
      </c>
      <c r="K27">
        <v>1.9709399999999998E-2</v>
      </c>
      <c r="L27">
        <v>54.511699999999998</v>
      </c>
      <c r="M27">
        <v>54.491999999999997</v>
      </c>
      <c r="N27">
        <v>3.6379899999999999E-4</v>
      </c>
      <c r="O27">
        <v>1.9785899999999999E-2</v>
      </c>
      <c r="P27">
        <v>54.406700000000001</v>
      </c>
      <c r="Q27">
        <v>54.386899999999997</v>
      </c>
      <c r="R27">
        <v>6.5819999999999999</v>
      </c>
      <c r="S27">
        <v>6.5819999999999999</v>
      </c>
      <c r="T27">
        <v>-4.7699999999999999E-2</v>
      </c>
      <c r="U27">
        <v>-4.4248000000000003</v>
      </c>
      <c r="V27">
        <f t="shared" si="0"/>
        <v>-2.3744057009777091E-2</v>
      </c>
      <c r="W27">
        <f t="shared" si="1"/>
        <v>3.5660899999999997E-4</v>
      </c>
      <c r="X27">
        <f t="shared" si="2"/>
        <v>3.6569599999999999E-4</v>
      </c>
      <c r="Y27">
        <f t="shared" si="3"/>
        <v>3.6169300000000001E-4</v>
      </c>
      <c r="Z27">
        <f t="shared" si="4"/>
        <v>3.6379899999999999E-4</v>
      </c>
      <c r="AA27">
        <f t="shared" si="5"/>
        <v>3.6194924999999995E-4</v>
      </c>
    </row>
    <row r="28" spans="1:27" x14ac:dyDescent="0.3">
      <c r="A28">
        <v>23</v>
      </c>
      <c r="B28">
        <v>3.8651000000000001E-4</v>
      </c>
      <c r="C28">
        <v>2.13162E-2</v>
      </c>
      <c r="D28">
        <v>55.171700000000001</v>
      </c>
      <c r="E28">
        <v>55.150399999999998</v>
      </c>
      <c r="F28">
        <v>3.9404400000000002E-4</v>
      </c>
      <c r="G28">
        <v>2.1640599999999999E-2</v>
      </c>
      <c r="H28">
        <v>54.940800000000003</v>
      </c>
      <c r="I28">
        <v>54.919199999999996</v>
      </c>
      <c r="J28">
        <v>3.9364100000000002E-4</v>
      </c>
      <c r="K28">
        <v>2.1450299999999999E-2</v>
      </c>
      <c r="L28">
        <v>54.513399999999997</v>
      </c>
      <c r="M28">
        <v>54.491999999999997</v>
      </c>
      <c r="N28">
        <v>3.9863700000000003E-4</v>
      </c>
      <c r="O28">
        <v>2.1680700000000001E-2</v>
      </c>
      <c r="P28">
        <v>54.4086</v>
      </c>
      <c r="Q28">
        <v>54.386899999999997</v>
      </c>
      <c r="R28">
        <v>6.8330000000000002</v>
      </c>
      <c r="S28">
        <v>6.8330000000000002</v>
      </c>
      <c r="T28">
        <v>-3.32E-2</v>
      </c>
      <c r="U28">
        <v>-2.9708999999999999</v>
      </c>
      <c r="V28">
        <f t="shared" si="0"/>
        <v>-1.5942238964551336E-2</v>
      </c>
      <c r="W28">
        <f t="shared" si="1"/>
        <v>3.8651000000000001E-4</v>
      </c>
      <c r="X28">
        <f t="shared" si="2"/>
        <v>3.9404400000000002E-4</v>
      </c>
      <c r="Y28">
        <f t="shared" si="3"/>
        <v>3.9364100000000002E-4</v>
      </c>
      <c r="Z28">
        <f t="shared" si="4"/>
        <v>3.9863700000000003E-4</v>
      </c>
      <c r="AA28">
        <f t="shared" si="5"/>
        <v>3.9320800000000003E-4</v>
      </c>
    </row>
    <row r="29" spans="1:27" x14ac:dyDescent="0.3">
      <c r="A29">
        <v>24</v>
      </c>
      <c r="B29">
        <v>4.0249799999999999E-4</v>
      </c>
      <c r="C29">
        <v>2.21979E-2</v>
      </c>
      <c r="D29">
        <v>55.172600000000003</v>
      </c>
      <c r="E29">
        <v>55.150399999999998</v>
      </c>
      <c r="F29">
        <v>4.1454799999999999E-4</v>
      </c>
      <c r="G29">
        <v>2.2766600000000001E-2</v>
      </c>
      <c r="H29">
        <v>54.941899999999997</v>
      </c>
      <c r="I29">
        <v>54.919199999999996</v>
      </c>
      <c r="J29">
        <v>4.0605200000000001E-4</v>
      </c>
      <c r="K29">
        <v>2.21266E-2</v>
      </c>
      <c r="L29">
        <v>54.514099999999999</v>
      </c>
      <c r="M29">
        <v>54.491999999999997</v>
      </c>
      <c r="N29">
        <v>4.1658299999999999E-4</v>
      </c>
      <c r="O29">
        <v>2.2656699999999998E-2</v>
      </c>
      <c r="P29">
        <v>54.409599999999998</v>
      </c>
      <c r="Q29">
        <v>54.386899999999997</v>
      </c>
      <c r="R29">
        <v>7.02</v>
      </c>
      <c r="S29">
        <v>7.02</v>
      </c>
      <c r="T29">
        <v>-3.1199999999999999E-2</v>
      </c>
      <c r="U29">
        <v>-2.7770000000000001</v>
      </c>
      <c r="V29">
        <f t="shared" si="0"/>
        <v>-1.4901746139068655E-2</v>
      </c>
      <c r="W29">
        <f t="shared" si="1"/>
        <v>4.0249799999999999E-4</v>
      </c>
      <c r="X29">
        <f t="shared" si="2"/>
        <v>4.1454799999999999E-4</v>
      </c>
      <c r="Y29">
        <f t="shared" si="3"/>
        <v>4.0605200000000001E-4</v>
      </c>
      <c r="Z29">
        <f t="shared" si="4"/>
        <v>4.1658299999999999E-4</v>
      </c>
      <c r="AA29">
        <f t="shared" si="5"/>
        <v>4.0992025000000001E-4</v>
      </c>
    </row>
    <row r="30" spans="1:27" x14ac:dyDescent="0.3">
      <c r="A30">
        <v>25</v>
      </c>
      <c r="B30">
        <v>4.32077E-4</v>
      </c>
      <c r="C30">
        <v>2.3829199999999998E-2</v>
      </c>
      <c r="D30">
        <v>55.174199999999999</v>
      </c>
      <c r="E30">
        <v>55.150399999999998</v>
      </c>
      <c r="F30">
        <v>4.42736E-4</v>
      </c>
      <c r="G30">
        <v>2.4314700000000002E-2</v>
      </c>
      <c r="H30">
        <v>54.9435</v>
      </c>
      <c r="I30">
        <v>54.919199999999996</v>
      </c>
      <c r="J30">
        <v>4.4228099999999999E-4</v>
      </c>
      <c r="K30">
        <v>2.4100799999999999E-2</v>
      </c>
      <c r="L30">
        <v>54.516100000000002</v>
      </c>
      <c r="M30">
        <v>54.491999999999997</v>
      </c>
      <c r="N30">
        <v>4.4615600000000002E-4</v>
      </c>
      <c r="O30">
        <v>2.4264999999999998E-2</v>
      </c>
      <c r="P30">
        <v>54.411200000000001</v>
      </c>
      <c r="Q30">
        <v>54.386899999999997</v>
      </c>
      <c r="R30">
        <v>7.2080000000000002</v>
      </c>
      <c r="S30">
        <v>7.2080000000000002</v>
      </c>
      <c r="T30">
        <v>-1.54E-2</v>
      </c>
      <c r="U30">
        <v>-1.1939</v>
      </c>
      <c r="V30">
        <f t="shared" si="0"/>
        <v>-6.4066239522628972E-3</v>
      </c>
      <c r="W30">
        <f t="shared" si="1"/>
        <v>4.32077E-4</v>
      </c>
      <c r="X30">
        <f t="shared" si="2"/>
        <v>4.42736E-4</v>
      </c>
      <c r="Y30">
        <f t="shared" si="3"/>
        <v>4.4228099999999999E-4</v>
      </c>
      <c r="Z30">
        <f t="shared" si="4"/>
        <v>4.4615600000000002E-4</v>
      </c>
      <c r="AA30">
        <f t="shared" si="5"/>
        <v>4.4081250000000002E-4</v>
      </c>
    </row>
    <row r="31" spans="1:27" x14ac:dyDescent="0.3">
      <c r="A31">
        <v>26</v>
      </c>
      <c r="B31">
        <v>4.6222199999999998E-4</v>
      </c>
      <c r="C31">
        <v>2.5491699999999999E-2</v>
      </c>
      <c r="D31">
        <v>55.175899999999999</v>
      </c>
      <c r="E31">
        <v>55.150399999999998</v>
      </c>
      <c r="F31">
        <v>4.7133400000000001E-4</v>
      </c>
      <c r="G31">
        <v>2.58853E-2</v>
      </c>
      <c r="H31">
        <v>54.945099999999996</v>
      </c>
      <c r="I31">
        <v>54.919199999999996</v>
      </c>
      <c r="J31">
        <v>4.73031E-4</v>
      </c>
      <c r="K31">
        <v>2.5776400000000001E-2</v>
      </c>
      <c r="L31">
        <v>54.517800000000001</v>
      </c>
      <c r="M31">
        <v>54.491999999999997</v>
      </c>
      <c r="N31">
        <v>4.7981800000000002E-4</v>
      </c>
      <c r="O31">
        <v>2.6095799999999999E-2</v>
      </c>
      <c r="P31">
        <v>54.412999999999997</v>
      </c>
      <c r="Q31">
        <v>54.386899999999997</v>
      </c>
      <c r="R31">
        <v>7.3929999999999998</v>
      </c>
      <c r="S31">
        <v>7.3940000000000001</v>
      </c>
      <c r="T31">
        <v>-7.1000000000000004E-3</v>
      </c>
      <c r="U31">
        <v>-0.3538</v>
      </c>
      <c r="V31">
        <f t="shared" si="0"/>
        <v>-1.8985371926548398E-3</v>
      </c>
      <c r="W31">
        <f t="shared" si="1"/>
        <v>4.6222199999999998E-4</v>
      </c>
      <c r="X31">
        <f t="shared" si="2"/>
        <v>4.7133400000000001E-4</v>
      </c>
      <c r="Y31">
        <f t="shared" si="3"/>
        <v>4.73031E-4</v>
      </c>
      <c r="Z31">
        <f t="shared" si="4"/>
        <v>4.7981800000000002E-4</v>
      </c>
      <c r="AA31">
        <f t="shared" si="5"/>
        <v>4.7160124999999996E-4</v>
      </c>
    </row>
    <row r="32" spans="1:27" x14ac:dyDescent="0.3">
      <c r="A32">
        <v>27</v>
      </c>
      <c r="B32">
        <v>4.5880200000000002E-4</v>
      </c>
      <c r="C32">
        <v>2.5303099999999999E-2</v>
      </c>
      <c r="D32">
        <v>55.175699999999999</v>
      </c>
      <c r="E32">
        <v>55.150399999999998</v>
      </c>
      <c r="F32">
        <v>4.74026E-4</v>
      </c>
      <c r="G32">
        <v>2.60331E-2</v>
      </c>
      <c r="H32">
        <v>54.9452</v>
      </c>
      <c r="I32">
        <v>54.919199999999996</v>
      </c>
      <c r="J32">
        <v>4.8153600000000002E-4</v>
      </c>
      <c r="K32">
        <v>2.6239800000000001E-2</v>
      </c>
      <c r="L32">
        <v>54.5182</v>
      </c>
      <c r="M32">
        <v>54.491999999999997</v>
      </c>
      <c r="N32">
        <v>4.8599599999999999E-4</v>
      </c>
      <c r="O32">
        <v>2.6431799999999998E-2</v>
      </c>
      <c r="P32">
        <v>54.4133</v>
      </c>
      <c r="Q32">
        <v>54.386899999999997</v>
      </c>
      <c r="R32">
        <v>7.7050000000000001</v>
      </c>
      <c r="S32">
        <v>7.7060000000000004</v>
      </c>
      <c r="T32">
        <v>8.0999999999999996E-3</v>
      </c>
      <c r="U32">
        <v>1.1647000000000001</v>
      </c>
      <c r="V32">
        <f t="shared" si="0"/>
        <v>6.2499329233609152E-3</v>
      </c>
      <c r="W32">
        <f t="shared" si="1"/>
        <v>4.5880200000000002E-4</v>
      </c>
      <c r="X32">
        <f t="shared" si="2"/>
        <v>4.74026E-4</v>
      </c>
      <c r="Y32">
        <f t="shared" si="3"/>
        <v>4.8153600000000002E-4</v>
      </c>
      <c r="Z32">
        <f t="shared" si="4"/>
        <v>4.8599599999999999E-4</v>
      </c>
      <c r="AA32">
        <f t="shared" si="5"/>
        <v>4.7509000000000001E-4</v>
      </c>
    </row>
    <row r="33" spans="1:27" x14ac:dyDescent="0.3">
      <c r="A33">
        <v>28</v>
      </c>
      <c r="B33">
        <v>4.9948500000000003E-4</v>
      </c>
      <c r="C33">
        <v>2.75468E-2</v>
      </c>
      <c r="D33">
        <v>55.177900000000001</v>
      </c>
      <c r="E33">
        <v>55.150399999999998</v>
      </c>
      <c r="F33">
        <v>5.0611199999999997E-4</v>
      </c>
      <c r="G33">
        <v>2.7795199999999999E-2</v>
      </c>
      <c r="H33">
        <v>54.947000000000003</v>
      </c>
      <c r="I33">
        <v>54.919199999999996</v>
      </c>
      <c r="J33">
        <v>4.9868199999999997E-4</v>
      </c>
      <c r="K33">
        <v>2.7174199999999999E-2</v>
      </c>
      <c r="L33">
        <v>54.519199999999998</v>
      </c>
      <c r="M33">
        <v>54.491999999999997</v>
      </c>
      <c r="N33">
        <v>5.0935399999999995E-4</v>
      </c>
      <c r="O33">
        <v>2.77022E-2</v>
      </c>
      <c r="P33">
        <v>54.4146</v>
      </c>
      <c r="Q33">
        <v>54.386899999999997</v>
      </c>
      <c r="R33">
        <v>7.9539999999999997</v>
      </c>
      <c r="S33">
        <v>7.9550000000000001</v>
      </c>
      <c r="T33">
        <v>1.9699999999999999E-2</v>
      </c>
      <c r="U33">
        <v>2.3279000000000001</v>
      </c>
      <c r="V33">
        <f t="shared" si="0"/>
        <v>1.249181665003166E-2</v>
      </c>
      <c r="W33">
        <f t="shared" si="1"/>
        <v>4.9948500000000003E-4</v>
      </c>
      <c r="X33">
        <f t="shared" si="2"/>
        <v>5.0611199999999997E-4</v>
      </c>
      <c r="Y33">
        <f t="shared" si="3"/>
        <v>4.9868199999999997E-4</v>
      </c>
      <c r="Z33">
        <f t="shared" si="4"/>
        <v>5.0935399999999995E-4</v>
      </c>
      <c r="AA33">
        <f t="shared" si="5"/>
        <v>5.0340824999999998E-4</v>
      </c>
    </row>
    <row r="34" spans="1:27" x14ac:dyDescent="0.3">
      <c r="A34">
        <v>29</v>
      </c>
      <c r="B34">
        <v>5.0635999999999997E-4</v>
      </c>
      <c r="C34">
        <v>2.7925999999999999E-2</v>
      </c>
      <c r="D34">
        <v>55.1783</v>
      </c>
      <c r="E34">
        <v>55.150399999999998</v>
      </c>
      <c r="F34">
        <v>5.2057799999999995E-4</v>
      </c>
      <c r="G34">
        <v>2.8589699999999999E-2</v>
      </c>
      <c r="H34">
        <v>54.947800000000001</v>
      </c>
      <c r="I34">
        <v>54.919199999999996</v>
      </c>
      <c r="J34">
        <v>5.2073600000000005E-4</v>
      </c>
      <c r="K34">
        <v>2.8375999999999998E-2</v>
      </c>
      <c r="L34">
        <v>54.520400000000002</v>
      </c>
      <c r="M34">
        <v>54.491999999999997</v>
      </c>
      <c r="N34">
        <v>5.3218000000000004E-4</v>
      </c>
      <c r="O34">
        <v>2.89436E-2</v>
      </c>
      <c r="P34">
        <v>54.415799999999997</v>
      </c>
      <c r="Q34">
        <v>54.386899999999997</v>
      </c>
      <c r="R34">
        <v>8.0809999999999995</v>
      </c>
      <c r="S34">
        <v>8.0809999999999995</v>
      </c>
      <c r="T34">
        <v>2.4799999999999999E-2</v>
      </c>
      <c r="U34">
        <v>2.8448000000000002</v>
      </c>
      <c r="V34">
        <f t="shared" si="0"/>
        <v>1.5265569829464355E-2</v>
      </c>
      <c r="W34">
        <f t="shared" si="1"/>
        <v>5.0635999999999997E-4</v>
      </c>
      <c r="X34">
        <f t="shared" si="2"/>
        <v>5.2057799999999995E-4</v>
      </c>
      <c r="Y34">
        <f t="shared" si="3"/>
        <v>5.2073600000000005E-4</v>
      </c>
      <c r="Z34">
        <f t="shared" si="4"/>
        <v>5.3218000000000004E-4</v>
      </c>
      <c r="AA34">
        <f t="shared" si="5"/>
        <v>5.1996349999999998E-4</v>
      </c>
    </row>
    <row r="35" spans="1:27" x14ac:dyDescent="0.3">
      <c r="A35">
        <v>30</v>
      </c>
      <c r="B35">
        <v>5.1890400000000004E-4</v>
      </c>
      <c r="C35">
        <v>2.8617799999999999E-2</v>
      </c>
      <c r="D35">
        <v>55.179000000000002</v>
      </c>
      <c r="E35">
        <v>55.150399999999998</v>
      </c>
      <c r="F35">
        <v>5.3303200000000002E-4</v>
      </c>
      <c r="G35">
        <v>2.92736E-2</v>
      </c>
      <c r="H35">
        <v>54.948399999999999</v>
      </c>
      <c r="I35">
        <v>54.919199999999996</v>
      </c>
      <c r="J35">
        <v>5.3627000000000004E-4</v>
      </c>
      <c r="K35">
        <v>2.9222399999999999E-2</v>
      </c>
      <c r="L35">
        <v>54.5212</v>
      </c>
      <c r="M35">
        <v>54.491999999999997</v>
      </c>
      <c r="N35">
        <v>5.3845599999999998E-4</v>
      </c>
      <c r="O35">
        <v>2.9284899999999999E-2</v>
      </c>
      <c r="P35">
        <v>54.416200000000003</v>
      </c>
      <c r="Q35">
        <v>54.386899999999997</v>
      </c>
      <c r="R35">
        <v>8.516</v>
      </c>
      <c r="S35">
        <v>8.5169999999999995</v>
      </c>
      <c r="T35">
        <v>4.6800000000000001E-2</v>
      </c>
      <c r="U35">
        <v>5.0418000000000003</v>
      </c>
      <c r="V35">
        <f t="shared" si="0"/>
        <v>2.7054959915000485E-2</v>
      </c>
      <c r="W35">
        <f t="shared" si="1"/>
        <v>5.1890400000000004E-4</v>
      </c>
      <c r="X35">
        <f t="shared" si="2"/>
        <v>5.3303200000000002E-4</v>
      </c>
      <c r="Y35">
        <f t="shared" si="3"/>
        <v>5.3627000000000004E-4</v>
      </c>
      <c r="Z35">
        <f t="shared" si="4"/>
        <v>5.3845599999999998E-4</v>
      </c>
      <c r="AA35">
        <f t="shared" si="5"/>
        <v>5.3166550000000002E-4</v>
      </c>
    </row>
    <row r="36" spans="1:27" x14ac:dyDescent="0.3">
      <c r="A36">
        <v>31</v>
      </c>
      <c r="B36">
        <v>5.2235200000000002E-4</v>
      </c>
      <c r="C36">
        <v>2.8807900000000001E-2</v>
      </c>
      <c r="D36">
        <v>55.179200000000002</v>
      </c>
      <c r="E36">
        <v>55.150399999999998</v>
      </c>
      <c r="F36">
        <v>5.3228300000000004E-4</v>
      </c>
      <c r="G36">
        <v>2.9232500000000002E-2</v>
      </c>
      <c r="H36">
        <v>54.948399999999999</v>
      </c>
      <c r="I36">
        <v>54.919199999999996</v>
      </c>
      <c r="J36">
        <v>5.2577199999999998E-4</v>
      </c>
      <c r="K36">
        <v>2.8650399999999999E-2</v>
      </c>
      <c r="L36">
        <v>54.520600000000002</v>
      </c>
      <c r="M36">
        <v>54.491999999999997</v>
      </c>
      <c r="N36">
        <v>5.3342099999999996E-4</v>
      </c>
      <c r="O36">
        <v>2.9011100000000001E-2</v>
      </c>
      <c r="P36">
        <v>54.415900000000001</v>
      </c>
      <c r="Q36">
        <v>54.386899999999997</v>
      </c>
      <c r="R36">
        <v>8.7040000000000006</v>
      </c>
      <c r="S36">
        <v>8.7040000000000006</v>
      </c>
      <c r="T36">
        <v>5.0900000000000001E-2</v>
      </c>
      <c r="U36">
        <v>5.4619</v>
      </c>
      <c r="V36">
        <f t="shared" si="0"/>
        <v>2.9309271601360848E-2</v>
      </c>
      <c r="W36">
        <f t="shared" si="1"/>
        <v>5.2235200000000002E-4</v>
      </c>
      <c r="X36">
        <f t="shared" si="2"/>
        <v>5.3228300000000004E-4</v>
      </c>
      <c r="Y36">
        <f t="shared" si="3"/>
        <v>5.2577199999999998E-4</v>
      </c>
      <c r="Z36">
        <f t="shared" si="4"/>
        <v>5.3342099999999996E-4</v>
      </c>
      <c r="AA36">
        <f t="shared" si="5"/>
        <v>5.2845699999999997E-4</v>
      </c>
    </row>
    <row r="37" spans="1:27" x14ac:dyDescent="0.3">
      <c r="A37">
        <v>32</v>
      </c>
      <c r="B37">
        <v>5.7285099999999998E-4</v>
      </c>
      <c r="C37">
        <v>3.15929E-2</v>
      </c>
      <c r="D37">
        <v>55.182000000000002</v>
      </c>
      <c r="E37">
        <v>55.150399999999998</v>
      </c>
      <c r="F37">
        <v>5.8272399999999996E-4</v>
      </c>
      <c r="G37">
        <v>3.2002700000000002E-2</v>
      </c>
      <c r="H37">
        <v>54.9512</v>
      </c>
      <c r="I37">
        <v>54.919199999999996</v>
      </c>
      <c r="J37">
        <v>5.7407499999999995E-4</v>
      </c>
      <c r="K37">
        <v>3.1282499999999998E-2</v>
      </c>
      <c r="L37">
        <v>54.523299999999999</v>
      </c>
      <c r="M37">
        <v>54.491999999999997</v>
      </c>
      <c r="N37">
        <v>5.7778699999999996E-4</v>
      </c>
      <c r="O37">
        <v>3.1424000000000001E-2</v>
      </c>
      <c r="P37">
        <v>54.418300000000002</v>
      </c>
      <c r="Q37">
        <v>54.386899999999997</v>
      </c>
      <c r="R37">
        <v>9.016</v>
      </c>
      <c r="S37">
        <v>9.0169999999999995</v>
      </c>
      <c r="T37">
        <v>7.0000000000000007E-2</v>
      </c>
      <c r="U37">
        <v>7.3681000000000001</v>
      </c>
      <c r="V37">
        <f t="shared" si="0"/>
        <v>3.9538190755229297E-2</v>
      </c>
      <c r="W37">
        <f t="shared" si="1"/>
        <v>5.7285099999999998E-4</v>
      </c>
      <c r="X37">
        <f t="shared" si="2"/>
        <v>5.8272399999999996E-4</v>
      </c>
      <c r="Y37">
        <f t="shared" si="3"/>
        <v>5.7407499999999995E-4</v>
      </c>
      <c r="Z37">
        <f t="shared" si="4"/>
        <v>5.7778699999999996E-4</v>
      </c>
      <c r="AA37">
        <f t="shared" si="5"/>
        <v>5.7685924999999996E-4</v>
      </c>
    </row>
    <row r="38" spans="1:27" x14ac:dyDescent="0.3">
      <c r="A38">
        <v>33</v>
      </c>
      <c r="B38">
        <v>6.2135399999999996E-4</v>
      </c>
      <c r="C38">
        <v>3.4267899999999997E-2</v>
      </c>
      <c r="D38">
        <v>55.184600000000003</v>
      </c>
      <c r="E38">
        <v>55.150399999999998</v>
      </c>
      <c r="F38">
        <v>6.2689199999999999E-4</v>
      </c>
      <c r="G38">
        <v>3.4428399999999998E-2</v>
      </c>
      <c r="H38">
        <v>54.953600000000002</v>
      </c>
      <c r="I38">
        <v>54.919199999999996</v>
      </c>
      <c r="J38">
        <v>6.2730499999999999E-4</v>
      </c>
      <c r="K38">
        <v>3.4183100000000001E-2</v>
      </c>
      <c r="L38">
        <v>54.526200000000003</v>
      </c>
      <c r="M38">
        <v>54.491999999999997</v>
      </c>
      <c r="N38">
        <v>6.2814299999999995E-4</v>
      </c>
      <c r="O38">
        <v>3.4162699999999997E-2</v>
      </c>
      <c r="P38">
        <v>54.421100000000003</v>
      </c>
      <c r="Q38">
        <v>54.386899999999997</v>
      </c>
      <c r="R38">
        <v>9.202</v>
      </c>
      <c r="S38">
        <v>9.2029999999999994</v>
      </c>
      <c r="T38">
        <v>7.8E-2</v>
      </c>
      <c r="U38">
        <v>8.1758000000000006</v>
      </c>
      <c r="V38">
        <f t="shared" si="0"/>
        <v>4.387241486632968E-2</v>
      </c>
      <c r="W38">
        <f t="shared" si="1"/>
        <v>6.2135399999999996E-4</v>
      </c>
      <c r="X38">
        <f t="shared" si="2"/>
        <v>6.2689199999999999E-4</v>
      </c>
      <c r="Y38">
        <f t="shared" si="3"/>
        <v>6.2730499999999999E-4</v>
      </c>
      <c r="Z38">
        <f t="shared" si="4"/>
        <v>6.2814299999999995E-4</v>
      </c>
      <c r="AA38">
        <f t="shared" si="5"/>
        <v>6.2592349999999997E-4</v>
      </c>
    </row>
    <row r="39" spans="1:27" x14ac:dyDescent="0.3">
      <c r="A39">
        <v>34</v>
      </c>
      <c r="B39">
        <v>6.5800199999999998E-4</v>
      </c>
      <c r="C39">
        <v>3.6289099999999998E-2</v>
      </c>
      <c r="D39">
        <v>55.186700000000002</v>
      </c>
      <c r="E39">
        <v>55.150399999999998</v>
      </c>
      <c r="F39">
        <v>6.7182099999999996E-4</v>
      </c>
      <c r="G39">
        <v>3.6895799999999999E-2</v>
      </c>
      <c r="H39">
        <v>54.956099999999999</v>
      </c>
      <c r="I39">
        <v>54.919199999999996</v>
      </c>
      <c r="J39">
        <v>6.7929700000000004E-4</v>
      </c>
      <c r="K39">
        <v>3.7016300000000002E-2</v>
      </c>
      <c r="L39">
        <v>54.529000000000003</v>
      </c>
      <c r="M39">
        <v>54.491999999999997</v>
      </c>
      <c r="N39">
        <v>6.7694800000000002E-4</v>
      </c>
      <c r="O39">
        <v>3.6817099999999998E-2</v>
      </c>
      <c r="P39">
        <v>54.423699999999997</v>
      </c>
      <c r="Q39">
        <v>54.386899999999997</v>
      </c>
      <c r="R39">
        <v>9.6419999999999995</v>
      </c>
      <c r="S39">
        <v>9.6419999999999995</v>
      </c>
      <c r="T39">
        <v>9.3200000000000005E-2</v>
      </c>
      <c r="U39">
        <v>9.6943999999999999</v>
      </c>
      <c r="V39">
        <f t="shared" si="0"/>
        <v>5.2021421595458105E-2</v>
      </c>
      <c r="W39">
        <f t="shared" si="1"/>
        <v>6.5800199999999998E-4</v>
      </c>
      <c r="X39">
        <f t="shared" si="2"/>
        <v>6.7182099999999996E-4</v>
      </c>
      <c r="Y39">
        <f t="shared" si="3"/>
        <v>6.7929700000000004E-4</v>
      </c>
      <c r="Z39">
        <f t="shared" si="4"/>
        <v>6.7694800000000002E-4</v>
      </c>
      <c r="AA39">
        <f t="shared" si="5"/>
        <v>6.7151700000000006E-4</v>
      </c>
    </row>
    <row r="40" spans="1:27" x14ac:dyDescent="0.3">
      <c r="A40">
        <v>35</v>
      </c>
      <c r="B40">
        <v>6.9238600000000002E-4</v>
      </c>
      <c r="C40">
        <v>3.8185299999999998E-2</v>
      </c>
      <c r="D40">
        <v>55.188600000000001</v>
      </c>
      <c r="E40">
        <v>55.150399999999998</v>
      </c>
      <c r="F40">
        <v>7.1075399999999996E-4</v>
      </c>
      <c r="G40">
        <v>3.9033999999999999E-2</v>
      </c>
      <c r="H40">
        <v>54.958199999999998</v>
      </c>
      <c r="I40">
        <v>54.919199999999996</v>
      </c>
      <c r="J40">
        <v>7.1193600000000004E-4</v>
      </c>
      <c r="K40">
        <v>3.8794799999999997E-2</v>
      </c>
      <c r="L40">
        <v>54.530799999999999</v>
      </c>
      <c r="M40">
        <v>54.491999999999997</v>
      </c>
      <c r="N40">
        <v>7.1154699999999998E-4</v>
      </c>
      <c r="O40">
        <v>3.8698799999999998E-2</v>
      </c>
      <c r="P40">
        <v>54.425600000000003</v>
      </c>
      <c r="Q40">
        <v>54.386899999999997</v>
      </c>
      <c r="R40">
        <v>9.8290000000000006</v>
      </c>
      <c r="S40">
        <v>9.8290000000000006</v>
      </c>
      <c r="T40">
        <v>0.1028</v>
      </c>
      <c r="U40">
        <v>10.663600000000001</v>
      </c>
      <c r="V40">
        <f t="shared" si="0"/>
        <v>5.7222275883533492E-2</v>
      </c>
      <c r="W40">
        <f t="shared" si="1"/>
        <v>6.9238600000000002E-4</v>
      </c>
      <c r="X40">
        <f t="shared" si="2"/>
        <v>7.1075399999999996E-4</v>
      </c>
      <c r="Y40">
        <f t="shared" si="3"/>
        <v>7.1193600000000004E-4</v>
      </c>
      <c r="Z40">
        <f t="shared" si="4"/>
        <v>7.1154699999999998E-4</v>
      </c>
      <c r="AA40">
        <f t="shared" si="5"/>
        <v>7.0665574999999997E-4</v>
      </c>
    </row>
    <row r="41" spans="1:27" x14ac:dyDescent="0.3">
      <c r="A41">
        <v>36</v>
      </c>
      <c r="B41">
        <v>7.5003099999999996E-4</v>
      </c>
      <c r="C41">
        <v>4.1364499999999998E-2</v>
      </c>
      <c r="D41">
        <v>55.191699999999997</v>
      </c>
      <c r="E41">
        <v>55.150399999999998</v>
      </c>
      <c r="F41">
        <v>7.5881500000000003E-4</v>
      </c>
      <c r="G41">
        <v>4.1673500000000002E-2</v>
      </c>
      <c r="H41">
        <v>54.960799999999999</v>
      </c>
      <c r="I41">
        <v>54.919199999999996</v>
      </c>
      <c r="J41">
        <v>7.5031700000000002E-4</v>
      </c>
      <c r="K41">
        <v>4.08863E-2</v>
      </c>
      <c r="L41">
        <v>54.532899999999998</v>
      </c>
      <c r="M41">
        <v>54.491999999999997</v>
      </c>
      <c r="N41">
        <v>7.4091800000000002E-4</v>
      </c>
      <c r="O41">
        <v>4.0296199999999997E-2</v>
      </c>
      <c r="P41">
        <v>54.427199999999999</v>
      </c>
      <c r="Q41">
        <v>54.386899999999997</v>
      </c>
      <c r="R41">
        <v>10.077999999999999</v>
      </c>
      <c r="S41">
        <v>10.077999999999999</v>
      </c>
      <c r="T41">
        <v>0.1128</v>
      </c>
      <c r="U41">
        <v>11.6652</v>
      </c>
      <c r="V41">
        <f t="shared" si="0"/>
        <v>6.2596992820116548E-2</v>
      </c>
      <c r="W41">
        <f t="shared" si="1"/>
        <v>7.5003099999999996E-4</v>
      </c>
      <c r="X41">
        <f t="shared" si="2"/>
        <v>7.5881500000000003E-4</v>
      </c>
      <c r="Y41">
        <f t="shared" si="3"/>
        <v>7.5031700000000002E-4</v>
      </c>
      <c r="Z41">
        <f t="shared" si="4"/>
        <v>7.4091800000000002E-4</v>
      </c>
      <c r="AA41">
        <f t="shared" si="5"/>
        <v>7.5002024999999998E-4</v>
      </c>
    </row>
    <row r="42" spans="1:27" x14ac:dyDescent="0.3">
      <c r="A42">
        <v>37</v>
      </c>
      <c r="B42">
        <v>7.3156399999999998E-4</v>
      </c>
      <c r="C42">
        <v>4.0346E-2</v>
      </c>
      <c r="D42">
        <v>55.1907</v>
      </c>
      <c r="E42">
        <v>55.150399999999998</v>
      </c>
      <c r="F42">
        <v>7.3919899999999995E-4</v>
      </c>
      <c r="G42">
        <v>4.0596199999999999E-2</v>
      </c>
      <c r="H42">
        <v>54.959800000000001</v>
      </c>
      <c r="I42">
        <v>54.919199999999996</v>
      </c>
      <c r="J42">
        <v>7.4310100000000003E-4</v>
      </c>
      <c r="K42">
        <v>4.0493099999999997E-2</v>
      </c>
      <c r="L42">
        <v>54.532499999999999</v>
      </c>
      <c r="M42">
        <v>54.491999999999997</v>
      </c>
      <c r="N42">
        <v>7.4394800000000003E-4</v>
      </c>
      <c r="O42">
        <v>4.0460999999999997E-2</v>
      </c>
      <c r="P42">
        <v>54.427399999999999</v>
      </c>
      <c r="Q42">
        <v>54.386899999999997</v>
      </c>
      <c r="R42">
        <v>10.388999999999999</v>
      </c>
      <c r="S42">
        <v>10.39</v>
      </c>
      <c r="T42">
        <v>0.1202</v>
      </c>
      <c r="U42">
        <v>12.408300000000001</v>
      </c>
      <c r="V42">
        <f t="shared" si="0"/>
        <v>6.6584564860426937E-2</v>
      </c>
      <c r="W42">
        <f t="shared" si="1"/>
        <v>7.3156399999999998E-4</v>
      </c>
      <c r="X42">
        <f t="shared" si="2"/>
        <v>7.3919899999999995E-4</v>
      </c>
      <c r="Y42">
        <f t="shared" si="3"/>
        <v>7.4310100000000003E-4</v>
      </c>
      <c r="Z42">
        <f t="shared" si="4"/>
        <v>7.4394800000000003E-4</v>
      </c>
      <c r="AA42">
        <f t="shared" si="5"/>
        <v>7.3945299999999994E-4</v>
      </c>
    </row>
    <row r="43" spans="1:27" x14ac:dyDescent="0.3">
      <c r="A43">
        <v>38</v>
      </c>
      <c r="B43">
        <v>7.6371100000000003E-4</v>
      </c>
      <c r="C43">
        <v>4.2118999999999997E-2</v>
      </c>
      <c r="D43">
        <v>55.192500000000003</v>
      </c>
      <c r="E43">
        <v>55.150399999999998</v>
      </c>
      <c r="F43">
        <v>7.7951799999999999E-4</v>
      </c>
      <c r="G43">
        <v>4.2810500000000001E-2</v>
      </c>
      <c r="H43">
        <v>54.962000000000003</v>
      </c>
      <c r="I43">
        <v>54.919199999999996</v>
      </c>
      <c r="J43">
        <v>7.7521299999999997E-4</v>
      </c>
      <c r="K43">
        <v>4.22429E-2</v>
      </c>
      <c r="L43">
        <v>54.534199999999998</v>
      </c>
      <c r="M43">
        <v>54.491999999999997</v>
      </c>
      <c r="N43">
        <v>7.79746E-4</v>
      </c>
      <c r="O43">
        <v>4.2408000000000001E-2</v>
      </c>
      <c r="P43">
        <v>54.429299999999998</v>
      </c>
      <c r="Q43">
        <v>54.386899999999997</v>
      </c>
      <c r="R43">
        <v>10.64</v>
      </c>
      <c r="S43">
        <v>10.641</v>
      </c>
      <c r="T43">
        <v>0.1351</v>
      </c>
      <c r="U43">
        <v>13.894600000000001</v>
      </c>
      <c r="V43">
        <f t="shared" si="0"/>
        <v>7.4560245554160354E-2</v>
      </c>
      <c r="W43">
        <f t="shared" si="1"/>
        <v>7.6371100000000003E-4</v>
      </c>
      <c r="X43">
        <f t="shared" si="2"/>
        <v>7.7951799999999999E-4</v>
      </c>
      <c r="Y43">
        <f t="shared" si="3"/>
        <v>7.7521299999999997E-4</v>
      </c>
      <c r="Z43">
        <f t="shared" si="4"/>
        <v>7.79746E-4</v>
      </c>
      <c r="AA43">
        <f t="shared" si="5"/>
        <v>7.74547E-4</v>
      </c>
    </row>
    <row r="44" spans="1:27" x14ac:dyDescent="0.3">
      <c r="A44">
        <v>39</v>
      </c>
      <c r="B44">
        <v>7.7743199999999999E-4</v>
      </c>
      <c r="C44">
        <v>4.2875700000000003E-2</v>
      </c>
      <c r="D44">
        <v>55.193300000000001</v>
      </c>
      <c r="E44">
        <v>55.150399999999998</v>
      </c>
      <c r="F44">
        <v>7.8356400000000005E-4</v>
      </c>
      <c r="G44">
        <v>4.30327E-2</v>
      </c>
      <c r="H44">
        <v>54.962200000000003</v>
      </c>
      <c r="I44">
        <v>54.919199999999996</v>
      </c>
      <c r="J44">
        <v>7.80435E-4</v>
      </c>
      <c r="K44">
        <v>4.2527500000000003E-2</v>
      </c>
      <c r="L44">
        <v>54.534500000000001</v>
      </c>
      <c r="M44">
        <v>54.491999999999997</v>
      </c>
      <c r="N44">
        <v>7.8614699999999995E-4</v>
      </c>
      <c r="O44">
        <v>4.2756099999999998E-2</v>
      </c>
      <c r="P44">
        <v>54.429699999999997</v>
      </c>
      <c r="Q44">
        <v>54.386899999999997</v>
      </c>
      <c r="R44">
        <v>10.888</v>
      </c>
      <c r="S44">
        <v>10.888999999999999</v>
      </c>
      <c r="T44">
        <v>0.1444</v>
      </c>
      <c r="U44">
        <v>14.8315</v>
      </c>
      <c r="V44">
        <f t="shared" si="0"/>
        <v>7.9587773806840748E-2</v>
      </c>
      <c r="W44">
        <f t="shared" si="1"/>
        <v>7.7743199999999999E-4</v>
      </c>
      <c r="X44">
        <f t="shared" si="2"/>
        <v>7.8356400000000005E-4</v>
      </c>
      <c r="Y44">
        <f t="shared" si="3"/>
        <v>7.80435E-4</v>
      </c>
      <c r="Z44">
        <f t="shared" si="4"/>
        <v>7.8614699999999995E-4</v>
      </c>
      <c r="AA44">
        <f t="shared" si="5"/>
        <v>7.8189450000000005E-4</v>
      </c>
    </row>
    <row r="45" spans="1:27" x14ac:dyDescent="0.3">
      <c r="A45">
        <v>40</v>
      </c>
      <c r="B45">
        <v>8.3952400000000002E-4</v>
      </c>
      <c r="C45">
        <v>4.6300000000000001E-2</v>
      </c>
      <c r="D45">
        <v>55.1967</v>
      </c>
      <c r="E45">
        <v>55.150399999999998</v>
      </c>
      <c r="F45">
        <v>8.4772500000000002E-4</v>
      </c>
      <c r="G45">
        <v>4.6556300000000002E-2</v>
      </c>
      <c r="H45">
        <v>54.965699999999998</v>
      </c>
      <c r="I45">
        <v>54.919199999999996</v>
      </c>
      <c r="J45">
        <v>8.4326500000000005E-4</v>
      </c>
      <c r="K45">
        <v>4.5951199999999998E-2</v>
      </c>
      <c r="L45">
        <v>54.5379</v>
      </c>
      <c r="M45">
        <v>54.491999999999997</v>
      </c>
      <c r="N45">
        <v>8.3688999999999996E-4</v>
      </c>
      <c r="O45">
        <v>4.5515800000000002E-2</v>
      </c>
      <c r="P45">
        <v>54.432400000000001</v>
      </c>
      <c r="Q45">
        <v>54.386899999999997</v>
      </c>
      <c r="R45">
        <v>11.138</v>
      </c>
      <c r="S45">
        <v>11.138</v>
      </c>
      <c r="T45">
        <v>0.14960000000000001</v>
      </c>
      <c r="U45">
        <v>15.3485</v>
      </c>
      <c r="V45">
        <f t="shared" si="0"/>
        <v>8.2362063599386109E-2</v>
      </c>
      <c r="W45">
        <f t="shared" si="1"/>
        <v>8.3952400000000002E-4</v>
      </c>
      <c r="X45">
        <f t="shared" si="2"/>
        <v>8.4772500000000002E-4</v>
      </c>
      <c r="Y45">
        <f t="shared" si="3"/>
        <v>8.4326500000000005E-4</v>
      </c>
      <c r="Z45">
        <f t="shared" si="4"/>
        <v>8.3688999999999996E-4</v>
      </c>
      <c r="AA45">
        <f t="shared" si="5"/>
        <v>8.4185100000000001E-4</v>
      </c>
    </row>
    <row r="46" spans="1:27" x14ac:dyDescent="0.3">
      <c r="A46">
        <v>41</v>
      </c>
      <c r="B46">
        <v>8.3111899999999996E-4</v>
      </c>
      <c r="C46">
        <v>4.5836500000000002E-2</v>
      </c>
      <c r="D46">
        <v>55.196199999999997</v>
      </c>
      <c r="E46">
        <v>55.150399999999998</v>
      </c>
      <c r="F46">
        <v>8.3608100000000002E-4</v>
      </c>
      <c r="G46">
        <v>4.5916899999999997E-2</v>
      </c>
      <c r="H46">
        <v>54.9651</v>
      </c>
      <c r="I46">
        <v>54.919199999999996</v>
      </c>
      <c r="J46">
        <v>8.3124800000000003E-4</v>
      </c>
      <c r="K46">
        <v>4.5296400000000001E-2</v>
      </c>
      <c r="L46">
        <v>54.537300000000002</v>
      </c>
      <c r="M46">
        <v>54.491999999999997</v>
      </c>
      <c r="N46">
        <v>8.2964900000000001E-4</v>
      </c>
      <c r="O46">
        <v>4.5122000000000002E-2</v>
      </c>
      <c r="P46">
        <v>54.432000000000002</v>
      </c>
      <c r="Q46">
        <v>54.386899999999997</v>
      </c>
      <c r="R46">
        <v>11.326000000000001</v>
      </c>
      <c r="S46">
        <v>11.326000000000001</v>
      </c>
      <c r="T46">
        <v>0.16789999999999999</v>
      </c>
      <c r="U46">
        <v>17.190100000000001</v>
      </c>
      <c r="V46">
        <f t="shared" si="0"/>
        <v>9.2244330682464556E-2</v>
      </c>
      <c r="W46">
        <f t="shared" si="1"/>
        <v>8.3111899999999996E-4</v>
      </c>
      <c r="X46">
        <f t="shared" si="2"/>
        <v>8.3608100000000002E-4</v>
      </c>
      <c r="Y46">
        <f t="shared" si="3"/>
        <v>8.3124800000000003E-4</v>
      </c>
      <c r="Z46">
        <f t="shared" si="4"/>
        <v>8.2964900000000001E-4</v>
      </c>
      <c r="AA46">
        <f t="shared" si="5"/>
        <v>8.3202424999999998E-4</v>
      </c>
    </row>
    <row r="47" spans="1:27" x14ac:dyDescent="0.3">
      <c r="A47">
        <v>42</v>
      </c>
      <c r="B47">
        <v>8.5372499999999995E-4</v>
      </c>
      <c r="C47">
        <v>4.7083199999999999E-2</v>
      </c>
      <c r="D47">
        <v>55.197499999999998</v>
      </c>
      <c r="E47">
        <v>55.150399999999998</v>
      </c>
      <c r="F47">
        <v>8.61406E-4</v>
      </c>
      <c r="G47">
        <v>4.7307700000000001E-2</v>
      </c>
      <c r="H47">
        <v>54.966500000000003</v>
      </c>
      <c r="I47">
        <v>54.919199999999996</v>
      </c>
      <c r="J47">
        <v>8.5570999999999998E-4</v>
      </c>
      <c r="K47">
        <v>4.6629400000000001E-2</v>
      </c>
      <c r="L47">
        <v>54.538600000000002</v>
      </c>
      <c r="M47">
        <v>54.491999999999997</v>
      </c>
      <c r="N47">
        <v>8.54754E-4</v>
      </c>
      <c r="O47">
        <v>4.6487399999999998E-2</v>
      </c>
      <c r="P47">
        <v>54.433399999999999</v>
      </c>
      <c r="Q47">
        <v>54.386899999999997</v>
      </c>
      <c r="R47">
        <v>11.574999999999999</v>
      </c>
      <c r="S47">
        <v>11.574999999999999</v>
      </c>
      <c r="T47">
        <v>0.16569999999999999</v>
      </c>
      <c r="U47">
        <v>16.963999999999999</v>
      </c>
      <c r="V47">
        <f t="shared" si="0"/>
        <v>9.1031048434699544E-2</v>
      </c>
      <c r="W47">
        <f t="shared" si="1"/>
        <v>8.5372499999999995E-4</v>
      </c>
      <c r="X47">
        <f t="shared" si="2"/>
        <v>8.61406E-4</v>
      </c>
      <c r="Y47">
        <f t="shared" si="3"/>
        <v>8.5570999999999998E-4</v>
      </c>
      <c r="Z47">
        <f t="shared" si="4"/>
        <v>8.54754E-4</v>
      </c>
      <c r="AA47">
        <f t="shared" si="5"/>
        <v>8.5639875000000001E-4</v>
      </c>
    </row>
    <row r="48" spans="1:27" x14ac:dyDescent="0.3">
      <c r="A48">
        <v>43</v>
      </c>
      <c r="B48">
        <v>8.9043900000000003E-4</v>
      </c>
      <c r="C48">
        <v>4.9107999999999999E-2</v>
      </c>
      <c r="D48">
        <v>55.1995</v>
      </c>
      <c r="E48">
        <v>55.150399999999998</v>
      </c>
      <c r="F48">
        <v>8.9737499999999995E-4</v>
      </c>
      <c r="G48">
        <v>4.9283100000000003E-2</v>
      </c>
      <c r="H48">
        <v>54.968400000000003</v>
      </c>
      <c r="I48">
        <v>54.919199999999996</v>
      </c>
      <c r="J48">
        <v>8.8745000000000002E-4</v>
      </c>
      <c r="K48">
        <v>4.8358900000000003E-2</v>
      </c>
      <c r="L48">
        <v>54.540300000000002</v>
      </c>
      <c r="M48">
        <v>54.491999999999997</v>
      </c>
      <c r="N48">
        <v>8.8345100000000005E-4</v>
      </c>
      <c r="O48">
        <v>4.8048199999999999E-2</v>
      </c>
      <c r="P48">
        <v>54.434899999999999</v>
      </c>
      <c r="Q48">
        <v>54.386899999999997</v>
      </c>
      <c r="R48">
        <v>11.823</v>
      </c>
      <c r="S48">
        <v>11.824</v>
      </c>
      <c r="T48">
        <v>0.1731</v>
      </c>
      <c r="U48">
        <v>17.707100000000001</v>
      </c>
      <c r="V48">
        <f t="shared" si="0"/>
        <v>9.5018620475009932E-2</v>
      </c>
      <c r="W48">
        <f t="shared" si="1"/>
        <v>8.9043900000000003E-4</v>
      </c>
      <c r="X48">
        <f t="shared" si="2"/>
        <v>8.9737499999999995E-4</v>
      </c>
      <c r="Y48">
        <f t="shared" si="3"/>
        <v>8.8745000000000002E-4</v>
      </c>
      <c r="Z48">
        <f t="shared" si="4"/>
        <v>8.8345100000000005E-4</v>
      </c>
      <c r="AA48">
        <f t="shared" si="5"/>
        <v>8.8967875000000001E-4</v>
      </c>
    </row>
    <row r="49" spans="1:27" x14ac:dyDescent="0.3">
      <c r="A49">
        <v>44</v>
      </c>
      <c r="B49">
        <v>9.3041599999999999E-4</v>
      </c>
      <c r="C49">
        <v>5.1312799999999999E-2</v>
      </c>
      <c r="D49">
        <v>55.201700000000002</v>
      </c>
      <c r="E49">
        <v>55.150399999999998</v>
      </c>
      <c r="F49">
        <v>9.3535600000000003E-4</v>
      </c>
      <c r="G49">
        <v>5.1368999999999998E-2</v>
      </c>
      <c r="H49">
        <v>54.970500000000001</v>
      </c>
      <c r="I49">
        <v>54.919199999999996</v>
      </c>
      <c r="J49">
        <v>9.3530999999999996E-4</v>
      </c>
      <c r="K49">
        <v>5.0966900000000002E-2</v>
      </c>
      <c r="L49">
        <v>54.542999999999999</v>
      </c>
      <c r="M49">
        <v>54.491999999999997</v>
      </c>
      <c r="N49">
        <v>9.3182400000000004E-4</v>
      </c>
      <c r="O49">
        <v>5.0679000000000002E-2</v>
      </c>
      <c r="P49">
        <v>54.437600000000003</v>
      </c>
      <c r="Q49">
        <v>54.386899999999997</v>
      </c>
      <c r="R49">
        <v>12.262</v>
      </c>
      <c r="S49">
        <v>12.263</v>
      </c>
      <c r="T49">
        <v>0.19689999999999999</v>
      </c>
      <c r="U49">
        <v>20.097999999999999</v>
      </c>
      <c r="V49">
        <f t="shared" si="0"/>
        <v>0.10784850338602874</v>
      </c>
      <c r="W49">
        <f t="shared" si="1"/>
        <v>9.3041599999999999E-4</v>
      </c>
      <c r="X49">
        <f t="shared" si="2"/>
        <v>9.3535600000000003E-4</v>
      </c>
      <c r="Y49">
        <f t="shared" si="3"/>
        <v>9.3530999999999996E-4</v>
      </c>
      <c r="Z49">
        <f t="shared" si="4"/>
        <v>9.3182400000000004E-4</v>
      </c>
      <c r="AA49">
        <f t="shared" si="5"/>
        <v>9.3322649999999995E-4</v>
      </c>
    </row>
    <row r="50" spans="1:27" x14ac:dyDescent="0.3">
      <c r="A50">
        <v>45</v>
      </c>
      <c r="B50">
        <v>9.5666299999999996E-4</v>
      </c>
      <c r="C50">
        <v>5.2760300000000003E-2</v>
      </c>
      <c r="D50">
        <v>55.203099999999999</v>
      </c>
      <c r="E50">
        <v>55.150399999999998</v>
      </c>
      <c r="F50">
        <v>9.6691799999999999E-4</v>
      </c>
      <c r="G50">
        <v>5.3102299999999998E-2</v>
      </c>
      <c r="H50">
        <v>54.972299999999997</v>
      </c>
      <c r="I50">
        <v>54.919199999999996</v>
      </c>
      <c r="J50">
        <v>9.6861600000000005E-4</v>
      </c>
      <c r="K50">
        <v>5.2781799999999997E-2</v>
      </c>
      <c r="L50">
        <v>54.544800000000002</v>
      </c>
      <c r="M50">
        <v>54.491999999999997</v>
      </c>
      <c r="N50">
        <v>9.7086899999999996E-4</v>
      </c>
      <c r="O50">
        <v>5.2802500000000002E-2</v>
      </c>
      <c r="P50">
        <v>54.439700000000002</v>
      </c>
      <c r="Q50">
        <v>54.386899999999997</v>
      </c>
      <c r="R50">
        <v>12.510999999999999</v>
      </c>
      <c r="S50">
        <v>12.510999999999999</v>
      </c>
      <c r="T50">
        <v>0.2102</v>
      </c>
      <c r="U50">
        <v>21.422599999999999</v>
      </c>
      <c r="V50">
        <f t="shared" si="0"/>
        <v>0.11495648067656181</v>
      </c>
      <c r="W50">
        <f t="shared" si="1"/>
        <v>9.5666299999999996E-4</v>
      </c>
      <c r="X50">
        <f t="shared" si="2"/>
        <v>9.6691799999999999E-4</v>
      </c>
      <c r="Y50">
        <f t="shared" si="3"/>
        <v>9.6861600000000005E-4</v>
      </c>
      <c r="Z50">
        <f t="shared" si="4"/>
        <v>9.7086899999999996E-4</v>
      </c>
      <c r="AA50">
        <f t="shared" si="5"/>
        <v>9.6576650000000002E-4</v>
      </c>
    </row>
    <row r="51" spans="1:27" x14ac:dyDescent="0.3">
      <c r="A51">
        <v>46</v>
      </c>
      <c r="B51">
        <v>9.6872799999999997E-4</v>
      </c>
      <c r="C51">
        <v>5.34257E-2</v>
      </c>
      <c r="D51">
        <v>55.203800000000001</v>
      </c>
      <c r="E51">
        <v>55.150399999999998</v>
      </c>
      <c r="F51">
        <v>9.8411000000000006E-4</v>
      </c>
      <c r="G51">
        <v>5.4046499999999997E-2</v>
      </c>
      <c r="H51">
        <v>54.973199999999999</v>
      </c>
      <c r="I51">
        <v>54.919199999999996</v>
      </c>
      <c r="J51">
        <v>9.7967999999999992E-4</v>
      </c>
      <c r="K51">
        <v>5.33847E-2</v>
      </c>
      <c r="L51">
        <v>54.545400000000001</v>
      </c>
      <c r="M51">
        <v>54.491999999999997</v>
      </c>
      <c r="N51">
        <v>9.7828200000000002E-4</v>
      </c>
      <c r="O51">
        <v>5.3205700000000002E-2</v>
      </c>
      <c r="P51">
        <v>54.440100000000001</v>
      </c>
      <c r="Q51">
        <v>54.386899999999997</v>
      </c>
      <c r="R51">
        <v>12.7</v>
      </c>
      <c r="S51">
        <v>12.7</v>
      </c>
      <c r="T51">
        <v>0.2127</v>
      </c>
      <c r="U51">
        <v>21.681100000000001</v>
      </c>
      <c r="V51">
        <f t="shared" si="0"/>
        <v>0.11634362557283449</v>
      </c>
      <c r="W51">
        <f t="shared" si="1"/>
        <v>9.6872799999999997E-4</v>
      </c>
      <c r="X51">
        <f t="shared" si="2"/>
        <v>9.8411000000000006E-4</v>
      </c>
      <c r="Y51">
        <f t="shared" si="3"/>
        <v>9.7967999999999992E-4</v>
      </c>
      <c r="Z51">
        <f t="shared" si="4"/>
        <v>9.7828200000000002E-4</v>
      </c>
      <c r="AA51">
        <f t="shared" si="5"/>
        <v>9.7770000000000018E-4</v>
      </c>
    </row>
    <row r="52" spans="1:27" x14ac:dyDescent="0.3">
      <c r="A52">
        <v>47</v>
      </c>
      <c r="B52">
        <v>1.00686E-3</v>
      </c>
      <c r="C52">
        <v>5.5528800000000003E-2</v>
      </c>
      <c r="D52">
        <v>55.2059</v>
      </c>
      <c r="E52">
        <v>55.150399999999998</v>
      </c>
      <c r="F52">
        <v>1.0050599999999999E-3</v>
      </c>
      <c r="G52">
        <v>5.5197099999999999E-2</v>
      </c>
      <c r="H52">
        <v>54.974400000000003</v>
      </c>
      <c r="I52">
        <v>54.919199999999996</v>
      </c>
      <c r="J52">
        <v>9.9715299999999997E-4</v>
      </c>
      <c r="K52">
        <v>5.4336799999999998E-2</v>
      </c>
      <c r="L52">
        <v>54.546300000000002</v>
      </c>
      <c r="M52">
        <v>54.491999999999997</v>
      </c>
      <c r="N52">
        <v>9.8499500000000001E-4</v>
      </c>
      <c r="O52">
        <v>5.3570800000000002E-2</v>
      </c>
      <c r="P52">
        <v>54.4405</v>
      </c>
      <c r="Q52">
        <v>54.386899999999997</v>
      </c>
      <c r="R52">
        <v>13.013</v>
      </c>
      <c r="S52">
        <v>13.013</v>
      </c>
      <c r="T52">
        <v>0.2253</v>
      </c>
      <c r="U52">
        <v>22.941199999999998</v>
      </c>
      <c r="V52">
        <f t="shared" si="0"/>
        <v>0.12310548740569024</v>
      </c>
      <c r="W52">
        <f t="shared" si="1"/>
        <v>1.00686E-3</v>
      </c>
      <c r="X52">
        <f t="shared" si="2"/>
        <v>1.0050599999999999E-3</v>
      </c>
      <c r="Y52">
        <f t="shared" si="3"/>
        <v>9.9715299999999997E-4</v>
      </c>
      <c r="Z52">
        <f t="shared" si="4"/>
        <v>9.8499500000000001E-4</v>
      </c>
      <c r="AA52">
        <f t="shared" si="5"/>
        <v>9.9851699999999998E-4</v>
      </c>
    </row>
    <row r="53" spans="1:27" x14ac:dyDescent="0.3">
      <c r="A53">
        <v>48</v>
      </c>
      <c r="B53">
        <v>1.0534100000000001E-3</v>
      </c>
      <c r="C53">
        <v>5.8096000000000002E-2</v>
      </c>
      <c r="D53">
        <v>55.208500000000001</v>
      </c>
      <c r="E53">
        <v>55.150399999999998</v>
      </c>
      <c r="F53">
        <v>1.0583599999999999E-3</v>
      </c>
      <c r="G53">
        <v>5.8124099999999998E-2</v>
      </c>
      <c r="H53">
        <v>54.9773</v>
      </c>
      <c r="I53">
        <v>54.919199999999996</v>
      </c>
      <c r="J53">
        <v>1.0545000000000001E-3</v>
      </c>
      <c r="K53">
        <v>5.7461600000000002E-2</v>
      </c>
      <c r="L53">
        <v>54.549399999999999</v>
      </c>
      <c r="M53">
        <v>54.491999999999997</v>
      </c>
      <c r="N53">
        <v>1.0522299999999999E-3</v>
      </c>
      <c r="O53">
        <v>5.7227399999999998E-2</v>
      </c>
      <c r="P53">
        <v>54.444099999999999</v>
      </c>
      <c r="Q53">
        <v>54.386899999999997</v>
      </c>
      <c r="R53">
        <v>13.199</v>
      </c>
      <c r="S53">
        <v>13.199</v>
      </c>
      <c r="T53">
        <v>0.2321</v>
      </c>
      <c r="U53">
        <v>23.619700000000002</v>
      </c>
      <c r="V53">
        <f t="shared" si="0"/>
        <v>0.12674640737521062</v>
      </c>
      <c r="W53">
        <f t="shared" si="1"/>
        <v>1.0534100000000001E-3</v>
      </c>
      <c r="X53">
        <f t="shared" si="2"/>
        <v>1.0583599999999999E-3</v>
      </c>
      <c r="Y53">
        <f t="shared" si="3"/>
        <v>1.0545000000000001E-3</v>
      </c>
      <c r="Z53">
        <f t="shared" si="4"/>
        <v>1.0522299999999999E-3</v>
      </c>
      <c r="AA53">
        <f t="shared" si="5"/>
        <v>1.054625E-3</v>
      </c>
    </row>
    <row r="54" spans="1:27" x14ac:dyDescent="0.3">
      <c r="A54">
        <v>49</v>
      </c>
      <c r="B54">
        <v>1.07427E-3</v>
      </c>
      <c r="C54">
        <v>5.9246500000000001E-2</v>
      </c>
      <c r="D54">
        <v>55.209600000000002</v>
      </c>
      <c r="E54">
        <v>55.150399999999998</v>
      </c>
      <c r="F54">
        <v>1.0794299999999999E-3</v>
      </c>
      <c r="G54">
        <v>5.9281199999999999E-2</v>
      </c>
      <c r="H54">
        <v>54.978400000000001</v>
      </c>
      <c r="I54">
        <v>54.919199999999996</v>
      </c>
      <c r="J54">
        <v>1.0682000000000001E-3</v>
      </c>
      <c r="K54">
        <v>5.8208099999999999E-2</v>
      </c>
      <c r="L54">
        <v>54.550199999999997</v>
      </c>
      <c r="M54">
        <v>54.491999999999997</v>
      </c>
      <c r="N54">
        <v>1.0662200000000001E-3</v>
      </c>
      <c r="O54">
        <v>5.7988199999999997E-2</v>
      </c>
      <c r="P54">
        <v>54.444899999999997</v>
      </c>
      <c r="Q54">
        <v>54.386899999999997</v>
      </c>
      <c r="R54">
        <v>13.509</v>
      </c>
      <c r="S54">
        <v>13.509</v>
      </c>
      <c r="T54">
        <v>0.24590000000000001</v>
      </c>
      <c r="U54">
        <v>25.009</v>
      </c>
      <c r="V54">
        <f t="shared" si="0"/>
        <v>0.13420157334964639</v>
      </c>
      <c r="W54">
        <f t="shared" si="1"/>
        <v>1.07427E-3</v>
      </c>
      <c r="X54">
        <f t="shared" si="2"/>
        <v>1.0794299999999999E-3</v>
      </c>
      <c r="Y54">
        <f t="shared" si="3"/>
        <v>1.0682000000000001E-3</v>
      </c>
      <c r="Z54">
        <f t="shared" si="4"/>
        <v>1.0662200000000001E-3</v>
      </c>
      <c r="AA54">
        <f t="shared" si="5"/>
        <v>1.0720299999999999E-3</v>
      </c>
    </row>
    <row r="55" spans="1:27" x14ac:dyDescent="0.3">
      <c r="A55">
        <v>50</v>
      </c>
      <c r="B55">
        <v>1.0975900000000001E-3</v>
      </c>
      <c r="C55">
        <v>6.0532299999999997E-2</v>
      </c>
      <c r="D55">
        <v>55.210900000000002</v>
      </c>
      <c r="E55">
        <v>55.150399999999998</v>
      </c>
      <c r="F55">
        <v>1.1037499999999999E-3</v>
      </c>
      <c r="G55">
        <v>6.0617200000000003E-2</v>
      </c>
      <c r="H55">
        <v>54.979799999999997</v>
      </c>
      <c r="I55">
        <v>54.919199999999996</v>
      </c>
      <c r="J55">
        <v>1.09735E-3</v>
      </c>
      <c r="K55">
        <v>5.9796799999999997E-2</v>
      </c>
      <c r="L55">
        <v>54.5518</v>
      </c>
      <c r="M55">
        <v>54.491999999999997</v>
      </c>
      <c r="N55">
        <v>1.0945200000000001E-3</v>
      </c>
      <c r="O55">
        <v>5.95276E-2</v>
      </c>
      <c r="P55">
        <v>54.446399999999997</v>
      </c>
      <c r="Q55">
        <v>54.386899999999997</v>
      </c>
      <c r="R55">
        <v>13.885</v>
      </c>
      <c r="S55">
        <v>13.885</v>
      </c>
      <c r="T55">
        <v>0.26169999999999999</v>
      </c>
      <c r="U55">
        <v>26.592099999999999</v>
      </c>
      <c r="V55">
        <f t="shared" si="0"/>
        <v>0.14269669553645212</v>
      </c>
      <c r="W55">
        <f t="shared" si="1"/>
        <v>1.0975900000000001E-3</v>
      </c>
      <c r="X55">
        <f t="shared" si="2"/>
        <v>1.1037499999999999E-3</v>
      </c>
      <c r="Y55">
        <f t="shared" si="3"/>
        <v>1.09735E-3</v>
      </c>
      <c r="Z55">
        <f t="shared" si="4"/>
        <v>1.0945200000000001E-3</v>
      </c>
      <c r="AA55">
        <f t="shared" si="5"/>
        <v>1.0983025E-3</v>
      </c>
    </row>
    <row r="56" spans="1:27" x14ac:dyDescent="0.3">
      <c r="A56">
        <v>51</v>
      </c>
      <c r="B56">
        <v>1.14737E-3</v>
      </c>
      <c r="C56">
        <v>6.3277700000000006E-2</v>
      </c>
      <c r="D56">
        <v>55.213700000000003</v>
      </c>
      <c r="E56">
        <v>55.150399999999998</v>
      </c>
      <c r="F56">
        <v>1.15533E-3</v>
      </c>
      <c r="G56">
        <v>6.3449699999999998E-2</v>
      </c>
      <c r="H56">
        <v>54.982599999999998</v>
      </c>
      <c r="I56">
        <v>54.919199999999996</v>
      </c>
      <c r="J56">
        <v>1.1582599999999999E-3</v>
      </c>
      <c r="K56">
        <v>6.3116000000000005E-2</v>
      </c>
      <c r="L56">
        <v>54.555100000000003</v>
      </c>
      <c r="M56">
        <v>54.491999999999997</v>
      </c>
      <c r="N56">
        <v>1.14868E-3</v>
      </c>
      <c r="O56">
        <v>6.2473399999999998E-2</v>
      </c>
      <c r="P56">
        <v>54.449399999999997</v>
      </c>
      <c r="Q56">
        <v>54.386899999999997</v>
      </c>
      <c r="R56">
        <v>14.321</v>
      </c>
      <c r="S56">
        <v>14.321</v>
      </c>
      <c r="T56">
        <v>0.27329999999999999</v>
      </c>
      <c r="U56">
        <v>27.755299999999998</v>
      </c>
      <c r="V56">
        <f t="shared" si="0"/>
        <v>0.14893857926312287</v>
      </c>
      <c r="W56">
        <f t="shared" si="1"/>
        <v>1.14737E-3</v>
      </c>
      <c r="X56">
        <f t="shared" si="2"/>
        <v>1.15533E-3</v>
      </c>
      <c r="Y56">
        <f t="shared" si="3"/>
        <v>1.1582599999999999E-3</v>
      </c>
      <c r="Z56">
        <f t="shared" si="4"/>
        <v>1.14868E-3</v>
      </c>
      <c r="AA56">
        <f t="shared" si="5"/>
        <v>1.15241E-3</v>
      </c>
    </row>
    <row r="57" spans="1:27" x14ac:dyDescent="0.3">
      <c r="A57">
        <v>52</v>
      </c>
      <c r="B57">
        <v>1.17797E-3</v>
      </c>
      <c r="C57">
        <v>6.4965400000000006E-2</v>
      </c>
      <c r="D57">
        <v>55.215299999999999</v>
      </c>
      <c r="E57">
        <v>55.150399999999998</v>
      </c>
      <c r="F57">
        <v>1.1786100000000001E-3</v>
      </c>
      <c r="G57">
        <v>6.4728300000000003E-2</v>
      </c>
      <c r="H57">
        <v>54.983899999999998</v>
      </c>
      <c r="I57">
        <v>54.919199999999996</v>
      </c>
      <c r="J57">
        <v>1.16975E-3</v>
      </c>
      <c r="K57">
        <v>6.3742099999999996E-2</v>
      </c>
      <c r="L57">
        <v>54.555700000000002</v>
      </c>
      <c r="M57">
        <v>54.491999999999997</v>
      </c>
      <c r="N57">
        <v>1.1695200000000001E-3</v>
      </c>
      <c r="O57">
        <v>6.3606800000000005E-2</v>
      </c>
      <c r="P57">
        <v>54.450499999999998</v>
      </c>
      <c r="Q57">
        <v>54.386899999999997</v>
      </c>
      <c r="R57">
        <v>14.507</v>
      </c>
      <c r="S57">
        <v>14.507</v>
      </c>
      <c r="T57">
        <v>0.27329999999999999</v>
      </c>
      <c r="U57">
        <v>27.755299999999998</v>
      </c>
      <c r="V57">
        <f t="shared" si="0"/>
        <v>0.14893857926312287</v>
      </c>
      <c r="W57">
        <f t="shared" si="1"/>
        <v>1.17797E-3</v>
      </c>
      <c r="X57">
        <f t="shared" si="2"/>
        <v>1.1786100000000001E-3</v>
      </c>
      <c r="Y57">
        <f t="shared" si="3"/>
        <v>1.16975E-3</v>
      </c>
      <c r="Z57">
        <f t="shared" si="4"/>
        <v>1.1695200000000001E-3</v>
      </c>
      <c r="AA57">
        <f t="shared" si="5"/>
        <v>1.1739625000000001E-3</v>
      </c>
    </row>
    <row r="58" spans="1:27" x14ac:dyDescent="0.3">
      <c r="A58">
        <v>53</v>
      </c>
      <c r="B58">
        <v>1.2097799999999999E-3</v>
      </c>
      <c r="C58">
        <v>6.6719899999999999E-2</v>
      </c>
      <c r="D58">
        <v>55.217100000000002</v>
      </c>
      <c r="E58">
        <v>55.150399999999998</v>
      </c>
      <c r="F58">
        <v>1.2258099999999999E-3</v>
      </c>
      <c r="G58">
        <v>6.7320199999999997E-2</v>
      </c>
      <c r="H58">
        <v>54.986499999999999</v>
      </c>
      <c r="I58">
        <v>54.919199999999996</v>
      </c>
      <c r="J58">
        <v>1.2277E-3</v>
      </c>
      <c r="K58">
        <v>6.6899600000000004E-2</v>
      </c>
      <c r="L58">
        <v>54.558900000000001</v>
      </c>
      <c r="M58">
        <v>54.491999999999997</v>
      </c>
      <c r="N58">
        <v>1.23135E-3</v>
      </c>
      <c r="O58">
        <v>6.6969200000000007E-2</v>
      </c>
      <c r="P58">
        <v>54.453899999999997</v>
      </c>
      <c r="Q58">
        <v>54.386899999999997</v>
      </c>
      <c r="R58">
        <v>14.882</v>
      </c>
      <c r="S58">
        <v>14.882</v>
      </c>
      <c r="T58">
        <v>0.29070000000000001</v>
      </c>
      <c r="U58">
        <v>29.5</v>
      </c>
      <c r="V58">
        <f t="shared" si="0"/>
        <v>0.15830086824001632</v>
      </c>
      <c r="W58">
        <f t="shared" si="1"/>
        <v>1.2097799999999999E-3</v>
      </c>
      <c r="X58">
        <f t="shared" si="2"/>
        <v>1.2258099999999999E-3</v>
      </c>
      <c r="Y58">
        <f t="shared" si="3"/>
        <v>1.2277E-3</v>
      </c>
      <c r="Z58">
        <f t="shared" si="4"/>
        <v>1.23135E-3</v>
      </c>
      <c r="AA58">
        <f t="shared" si="5"/>
        <v>1.2236599999999999E-3</v>
      </c>
    </row>
    <row r="59" spans="1:27" x14ac:dyDescent="0.3">
      <c r="A59">
        <v>54</v>
      </c>
      <c r="B59">
        <v>1.2694200000000001E-3</v>
      </c>
      <c r="C59">
        <v>7.0009100000000005E-2</v>
      </c>
      <c r="D59">
        <v>55.220399999999998</v>
      </c>
      <c r="E59">
        <v>55.150399999999998</v>
      </c>
      <c r="F59">
        <v>1.2695199999999999E-3</v>
      </c>
      <c r="G59">
        <v>6.9720900000000002E-2</v>
      </c>
      <c r="H59">
        <v>54.988900000000001</v>
      </c>
      <c r="I59">
        <v>54.919199999999996</v>
      </c>
      <c r="J59">
        <v>1.26012E-3</v>
      </c>
      <c r="K59">
        <v>6.8666599999999994E-2</v>
      </c>
      <c r="L59">
        <v>54.560699999999997</v>
      </c>
      <c r="M59">
        <v>54.491999999999997</v>
      </c>
      <c r="N59">
        <v>1.2547000000000001E-3</v>
      </c>
      <c r="O59">
        <v>6.8239499999999995E-2</v>
      </c>
      <c r="P59">
        <v>54.455100000000002</v>
      </c>
      <c r="Q59">
        <v>54.386899999999997</v>
      </c>
      <c r="R59">
        <v>15.192</v>
      </c>
      <c r="S59">
        <v>15.193</v>
      </c>
      <c r="T59">
        <v>0.30590000000000001</v>
      </c>
      <c r="U59">
        <v>31.0185</v>
      </c>
      <c r="V59">
        <f t="shared" si="0"/>
        <v>0.16644933835603207</v>
      </c>
      <c r="W59">
        <f t="shared" si="1"/>
        <v>1.2694200000000001E-3</v>
      </c>
      <c r="X59">
        <f t="shared" si="2"/>
        <v>1.2695199999999999E-3</v>
      </c>
      <c r="Y59">
        <f t="shared" si="3"/>
        <v>1.26012E-3</v>
      </c>
      <c r="Z59">
        <f t="shared" si="4"/>
        <v>1.2547000000000001E-3</v>
      </c>
      <c r="AA59">
        <f t="shared" si="5"/>
        <v>1.26344E-3</v>
      </c>
    </row>
    <row r="60" spans="1:27" x14ac:dyDescent="0.3">
      <c r="A60">
        <v>55</v>
      </c>
      <c r="B60">
        <v>1.2754999999999999E-3</v>
      </c>
      <c r="C60">
        <v>7.0344400000000001E-2</v>
      </c>
      <c r="D60">
        <v>55.220700000000001</v>
      </c>
      <c r="E60">
        <v>55.150399999999998</v>
      </c>
      <c r="F60">
        <v>1.27644E-3</v>
      </c>
      <c r="G60">
        <v>7.01011E-2</v>
      </c>
      <c r="H60">
        <v>54.9893</v>
      </c>
      <c r="I60">
        <v>54.919199999999996</v>
      </c>
      <c r="J60">
        <v>1.2713399999999999E-3</v>
      </c>
      <c r="K60">
        <v>6.9277699999999998E-2</v>
      </c>
      <c r="L60">
        <v>54.561300000000003</v>
      </c>
      <c r="M60">
        <v>54.491999999999997</v>
      </c>
      <c r="N60">
        <v>1.26238E-3</v>
      </c>
      <c r="O60">
        <v>6.8656700000000001E-2</v>
      </c>
      <c r="P60">
        <v>54.455599999999997</v>
      </c>
      <c r="Q60">
        <v>54.386899999999997</v>
      </c>
      <c r="R60">
        <v>15.382999999999999</v>
      </c>
      <c r="S60">
        <v>15.382999999999999</v>
      </c>
      <c r="T60">
        <v>0.313</v>
      </c>
      <c r="U60">
        <v>31.729299999999999</v>
      </c>
      <c r="V60">
        <f t="shared" si="0"/>
        <v>0.17026358436094743</v>
      </c>
      <c r="W60">
        <f t="shared" si="1"/>
        <v>1.2754999999999999E-3</v>
      </c>
      <c r="X60">
        <f t="shared" si="2"/>
        <v>1.27644E-3</v>
      </c>
      <c r="Y60">
        <f t="shared" si="3"/>
        <v>1.2713399999999999E-3</v>
      </c>
      <c r="Z60">
        <f t="shared" si="4"/>
        <v>1.26238E-3</v>
      </c>
      <c r="AA60">
        <f t="shared" si="5"/>
        <v>1.2714150000000001E-3</v>
      </c>
    </row>
    <row r="61" spans="1:27" x14ac:dyDescent="0.3">
      <c r="A61">
        <v>56</v>
      </c>
      <c r="B61">
        <v>1.2918300000000001E-3</v>
      </c>
      <c r="C61">
        <v>7.1245100000000006E-2</v>
      </c>
      <c r="D61">
        <v>55.221600000000002</v>
      </c>
      <c r="E61">
        <v>55.150399999999998</v>
      </c>
      <c r="F61">
        <v>1.3079599999999999E-3</v>
      </c>
      <c r="G61">
        <v>7.1832199999999999E-2</v>
      </c>
      <c r="H61">
        <v>54.991</v>
      </c>
      <c r="I61">
        <v>54.919199999999996</v>
      </c>
      <c r="J61">
        <v>1.30138E-3</v>
      </c>
      <c r="K61">
        <v>7.09148E-2</v>
      </c>
      <c r="L61">
        <v>54.562899999999999</v>
      </c>
      <c r="M61">
        <v>54.491999999999997</v>
      </c>
      <c r="N61">
        <v>1.28773E-3</v>
      </c>
      <c r="O61">
        <v>7.0035799999999995E-2</v>
      </c>
      <c r="P61">
        <v>54.456899999999997</v>
      </c>
      <c r="Q61">
        <v>54.386899999999997</v>
      </c>
      <c r="R61">
        <v>15.755000000000001</v>
      </c>
      <c r="S61">
        <v>15.755000000000001</v>
      </c>
      <c r="T61">
        <v>0.32490000000000002</v>
      </c>
      <c r="U61">
        <v>32.924700000000001</v>
      </c>
      <c r="V61">
        <f t="shared" si="0"/>
        <v>0.17667825750990052</v>
      </c>
      <c r="W61">
        <f t="shared" si="1"/>
        <v>1.2918300000000001E-3</v>
      </c>
      <c r="X61">
        <f t="shared" si="2"/>
        <v>1.3079599999999999E-3</v>
      </c>
      <c r="Y61">
        <f t="shared" si="3"/>
        <v>1.30138E-3</v>
      </c>
      <c r="Z61">
        <f t="shared" si="4"/>
        <v>1.28773E-3</v>
      </c>
      <c r="AA61">
        <f t="shared" si="5"/>
        <v>1.2972249999999999E-3</v>
      </c>
    </row>
    <row r="62" spans="1:27" x14ac:dyDescent="0.3">
      <c r="A62">
        <v>57</v>
      </c>
      <c r="B62">
        <v>1.3132E-3</v>
      </c>
      <c r="C62">
        <v>7.2423199999999993E-2</v>
      </c>
      <c r="D62">
        <v>55.222799999999999</v>
      </c>
      <c r="E62">
        <v>55.150399999999998</v>
      </c>
      <c r="F62">
        <v>1.31707E-3</v>
      </c>
      <c r="G62">
        <v>7.2332499999999994E-2</v>
      </c>
      <c r="H62">
        <v>54.991500000000002</v>
      </c>
      <c r="I62">
        <v>54.919199999999996</v>
      </c>
      <c r="J62">
        <v>1.3042900000000001E-3</v>
      </c>
      <c r="K62">
        <v>7.1073600000000001E-2</v>
      </c>
      <c r="L62">
        <v>54.563099999999999</v>
      </c>
      <c r="M62">
        <v>54.491999999999997</v>
      </c>
      <c r="N62">
        <v>1.29981E-3</v>
      </c>
      <c r="O62">
        <v>7.0692599999999994E-2</v>
      </c>
      <c r="P62">
        <v>54.457599999999999</v>
      </c>
      <c r="Q62">
        <v>54.386899999999997</v>
      </c>
      <c r="R62">
        <v>16.007000000000001</v>
      </c>
      <c r="S62">
        <v>16.007000000000001</v>
      </c>
      <c r="T62">
        <v>0.33300000000000002</v>
      </c>
      <c r="U62">
        <v>33.732500000000002</v>
      </c>
      <c r="V62">
        <f t="shared" si="0"/>
        <v>0.18101301823411356</v>
      </c>
      <c r="W62">
        <f t="shared" si="1"/>
        <v>1.3132E-3</v>
      </c>
      <c r="X62">
        <f t="shared" si="2"/>
        <v>1.31707E-3</v>
      </c>
      <c r="Y62">
        <f t="shared" si="3"/>
        <v>1.3042900000000001E-3</v>
      </c>
      <c r="Z62">
        <f t="shared" si="4"/>
        <v>1.29981E-3</v>
      </c>
      <c r="AA62">
        <f t="shared" si="5"/>
        <v>1.3085925000000001E-3</v>
      </c>
    </row>
    <row r="63" spans="1:27" x14ac:dyDescent="0.3">
      <c r="A63">
        <v>58</v>
      </c>
      <c r="B63">
        <v>1.36035E-3</v>
      </c>
      <c r="C63">
        <v>7.5023800000000002E-2</v>
      </c>
      <c r="D63">
        <v>55.2254</v>
      </c>
      <c r="E63">
        <v>55.150399999999998</v>
      </c>
      <c r="F63">
        <v>1.36852E-3</v>
      </c>
      <c r="G63">
        <v>7.51579E-2</v>
      </c>
      <c r="H63">
        <v>54.994300000000003</v>
      </c>
      <c r="I63">
        <v>54.919199999999996</v>
      </c>
      <c r="J63">
        <v>1.3593399999999999E-3</v>
      </c>
      <c r="K63">
        <v>7.4072899999999997E-2</v>
      </c>
      <c r="L63">
        <v>54.566099999999999</v>
      </c>
      <c r="M63">
        <v>54.491999999999997</v>
      </c>
      <c r="N63">
        <v>1.3605500000000001E-3</v>
      </c>
      <c r="O63">
        <v>7.3996300000000001E-2</v>
      </c>
      <c r="P63">
        <v>54.460900000000002</v>
      </c>
      <c r="Q63">
        <v>54.386899999999997</v>
      </c>
      <c r="R63">
        <v>16.318999999999999</v>
      </c>
      <c r="S63">
        <v>16.318999999999999</v>
      </c>
      <c r="T63">
        <v>0.34520000000000001</v>
      </c>
      <c r="U63">
        <v>34.9602</v>
      </c>
      <c r="V63">
        <f t="shared" si="0"/>
        <v>0.18760101741846164</v>
      </c>
      <c r="W63">
        <f t="shared" si="1"/>
        <v>1.36035E-3</v>
      </c>
      <c r="X63">
        <f t="shared" si="2"/>
        <v>1.36852E-3</v>
      </c>
      <c r="Y63">
        <f t="shared" si="3"/>
        <v>1.3593399999999999E-3</v>
      </c>
      <c r="Z63">
        <f t="shared" si="4"/>
        <v>1.3605500000000001E-3</v>
      </c>
      <c r="AA63">
        <f t="shared" si="5"/>
        <v>1.3621900000000001E-3</v>
      </c>
    </row>
    <row r="64" spans="1:27" x14ac:dyDescent="0.3">
      <c r="A64">
        <v>59</v>
      </c>
      <c r="B64">
        <v>1.39083E-3</v>
      </c>
      <c r="C64">
        <v>7.6704499999999995E-2</v>
      </c>
      <c r="D64">
        <v>55.2271</v>
      </c>
      <c r="E64">
        <v>55.150399999999998</v>
      </c>
      <c r="F64">
        <v>1.39028E-3</v>
      </c>
      <c r="G64">
        <v>7.6352799999999998E-2</v>
      </c>
      <c r="H64">
        <v>54.9955</v>
      </c>
      <c r="I64">
        <v>54.919199999999996</v>
      </c>
      <c r="J64">
        <v>1.37787E-3</v>
      </c>
      <c r="K64">
        <v>7.50831E-2</v>
      </c>
      <c r="L64">
        <v>54.567100000000003</v>
      </c>
      <c r="M64">
        <v>54.491999999999997</v>
      </c>
      <c r="N64">
        <v>1.3707000000000001E-3</v>
      </c>
      <c r="O64">
        <v>7.45479E-2</v>
      </c>
      <c r="P64">
        <v>54.461399999999998</v>
      </c>
      <c r="Q64">
        <v>54.386899999999997</v>
      </c>
      <c r="R64">
        <v>16.629000000000001</v>
      </c>
      <c r="S64">
        <v>16.629000000000001</v>
      </c>
      <c r="T64">
        <v>0.35649999999999998</v>
      </c>
      <c r="U64">
        <v>36.091000000000001</v>
      </c>
      <c r="V64">
        <f t="shared" si="0"/>
        <v>0.1936690384966247</v>
      </c>
      <c r="W64">
        <f t="shared" si="1"/>
        <v>1.39083E-3</v>
      </c>
      <c r="X64">
        <f t="shared" si="2"/>
        <v>1.39028E-3</v>
      </c>
      <c r="Y64">
        <f t="shared" si="3"/>
        <v>1.37787E-3</v>
      </c>
      <c r="Z64">
        <f t="shared" si="4"/>
        <v>1.3707000000000001E-3</v>
      </c>
      <c r="AA64">
        <f t="shared" si="5"/>
        <v>1.3824199999999999E-3</v>
      </c>
    </row>
    <row r="65" spans="1:27" x14ac:dyDescent="0.3">
      <c r="A65">
        <v>60</v>
      </c>
      <c r="B65">
        <v>1.40459E-3</v>
      </c>
      <c r="C65">
        <v>7.7463400000000002E-2</v>
      </c>
      <c r="D65">
        <v>55.227800000000002</v>
      </c>
      <c r="E65">
        <v>55.150399999999998</v>
      </c>
      <c r="F65">
        <v>1.4166599999999999E-3</v>
      </c>
      <c r="G65">
        <v>7.7801599999999999E-2</v>
      </c>
      <c r="H65">
        <v>54.997</v>
      </c>
      <c r="I65">
        <v>54.919199999999996</v>
      </c>
      <c r="J65">
        <v>1.41121E-3</v>
      </c>
      <c r="K65">
        <v>7.6899800000000004E-2</v>
      </c>
      <c r="L65">
        <v>54.568899999999999</v>
      </c>
      <c r="M65">
        <v>54.491999999999997</v>
      </c>
      <c r="N65">
        <v>1.4002999999999999E-3</v>
      </c>
      <c r="O65">
        <v>7.6158199999999995E-2</v>
      </c>
      <c r="P65">
        <v>54.463099999999997</v>
      </c>
      <c r="Q65">
        <v>54.386899999999997</v>
      </c>
      <c r="R65">
        <v>16.940999999999999</v>
      </c>
      <c r="S65">
        <v>16.940999999999999</v>
      </c>
      <c r="T65">
        <v>0.36840000000000001</v>
      </c>
      <c r="U65">
        <v>37.286499999999997</v>
      </c>
      <c r="V65">
        <f t="shared" si="0"/>
        <v>0.20008424825869042</v>
      </c>
      <c r="W65">
        <f t="shared" si="1"/>
        <v>1.40459E-3</v>
      </c>
      <c r="X65">
        <f t="shared" si="2"/>
        <v>1.4166599999999999E-3</v>
      </c>
      <c r="Y65">
        <f t="shared" si="3"/>
        <v>1.41121E-3</v>
      </c>
      <c r="Z65">
        <f t="shared" si="4"/>
        <v>1.4002999999999999E-3</v>
      </c>
      <c r="AA65">
        <f t="shared" si="5"/>
        <v>1.4081900000000001E-3</v>
      </c>
    </row>
    <row r="66" spans="1:27" x14ac:dyDescent="0.3">
      <c r="A66">
        <v>61</v>
      </c>
      <c r="B66">
        <v>1.41347E-3</v>
      </c>
      <c r="C66">
        <v>7.7953599999999998E-2</v>
      </c>
      <c r="D66">
        <v>55.228299999999997</v>
      </c>
      <c r="E66">
        <v>55.150399999999998</v>
      </c>
      <c r="F66">
        <v>1.41573E-3</v>
      </c>
      <c r="G66">
        <v>7.7750899999999998E-2</v>
      </c>
      <c r="H66">
        <v>54.996899999999997</v>
      </c>
      <c r="I66">
        <v>54.919199999999996</v>
      </c>
      <c r="J66">
        <v>1.41347E-3</v>
      </c>
      <c r="K66">
        <v>7.7022900000000005E-2</v>
      </c>
      <c r="L66">
        <v>54.569000000000003</v>
      </c>
      <c r="M66">
        <v>54.491999999999997</v>
      </c>
      <c r="N66">
        <v>1.4103799999999999E-3</v>
      </c>
      <c r="O66">
        <v>7.6706200000000002E-2</v>
      </c>
      <c r="P66">
        <v>54.4636</v>
      </c>
      <c r="Q66">
        <v>54.386899999999997</v>
      </c>
      <c r="R66">
        <v>17.193000000000001</v>
      </c>
      <c r="S66">
        <v>17.193000000000001</v>
      </c>
      <c r="T66">
        <v>0.37359999999999999</v>
      </c>
      <c r="U66">
        <v>37.803400000000003</v>
      </c>
      <c r="V66">
        <f t="shared" si="0"/>
        <v>0.20285800143812316</v>
      </c>
      <c r="W66">
        <f t="shared" si="1"/>
        <v>1.41347E-3</v>
      </c>
      <c r="X66">
        <f t="shared" si="2"/>
        <v>1.41573E-3</v>
      </c>
      <c r="Y66">
        <f t="shared" si="3"/>
        <v>1.41347E-3</v>
      </c>
      <c r="Z66">
        <f t="shared" si="4"/>
        <v>1.4103799999999999E-3</v>
      </c>
      <c r="AA66">
        <f t="shared" si="5"/>
        <v>1.4132625000000002E-3</v>
      </c>
    </row>
    <row r="67" spans="1:27" x14ac:dyDescent="0.3">
      <c r="A67">
        <v>62</v>
      </c>
      <c r="B67">
        <v>1.4609200000000001E-3</v>
      </c>
      <c r="C67">
        <v>8.0570000000000003E-2</v>
      </c>
      <c r="D67">
        <v>55.230899999999998</v>
      </c>
      <c r="E67">
        <v>55.150399999999998</v>
      </c>
      <c r="F67">
        <v>1.4678600000000001E-3</v>
      </c>
      <c r="G67">
        <v>8.0613699999999996E-2</v>
      </c>
      <c r="H67">
        <v>54.9998</v>
      </c>
      <c r="I67">
        <v>54.919199999999996</v>
      </c>
      <c r="J67">
        <v>1.45601E-3</v>
      </c>
      <c r="K67">
        <v>7.93407E-2</v>
      </c>
      <c r="L67">
        <v>54.571300000000001</v>
      </c>
      <c r="M67">
        <v>54.491999999999997</v>
      </c>
      <c r="N67">
        <v>1.44589E-3</v>
      </c>
      <c r="O67">
        <v>7.8637700000000005E-2</v>
      </c>
      <c r="P67">
        <v>54.465499999999999</v>
      </c>
      <c r="Q67">
        <v>54.386899999999997</v>
      </c>
      <c r="R67">
        <v>17.378</v>
      </c>
      <c r="S67">
        <v>17.378</v>
      </c>
      <c r="T67">
        <v>0.38290000000000002</v>
      </c>
      <c r="U67">
        <v>38.740400000000001</v>
      </c>
      <c r="V67">
        <f t="shared" si="0"/>
        <v>0.20788606630391621</v>
      </c>
      <c r="W67">
        <f t="shared" si="1"/>
        <v>1.4609200000000001E-3</v>
      </c>
      <c r="X67">
        <f t="shared" si="2"/>
        <v>1.4678600000000001E-3</v>
      </c>
      <c r="Y67">
        <f t="shared" si="3"/>
        <v>1.45601E-3</v>
      </c>
      <c r="Z67">
        <f t="shared" si="4"/>
        <v>1.44589E-3</v>
      </c>
      <c r="AA67">
        <f t="shared" si="5"/>
        <v>1.4576700000000001E-3</v>
      </c>
    </row>
    <row r="68" spans="1:27" x14ac:dyDescent="0.3">
      <c r="A68">
        <v>63</v>
      </c>
      <c r="B68">
        <v>1.4876900000000001E-3</v>
      </c>
      <c r="C68">
        <v>8.2046599999999997E-2</v>
      </c>
      <c r="D68">
        <v>55.232399999999998</v>
      </c>
      <c r="E68">
        <v>55.150399999999998</v>
      </c>
      <c r="F68">
        <v>1.4925800000000001E-3</v>
      </c>
      <c r="G68">
        <v>8.1971199999999994E-2</v>
      </c>
      <c r="H68">
        <v>55.001100000000001</v>
      </c>
      <c r="I68">
        <v>54.919199999999996</v>
      </c>
      <c r="J68">
        <v>1.47802E-3</v>
      </c>
      <c r="K68">
        <v>8.0540399999999998E-2</v>
      </c>
      <c r="L68">
        <v>54.572499999999998</v>
      </c>
      <c r="M68">
        <v>54.491999999999997</v>
      </c>
      <c r="N68">
        <v>1.46188E-3</v>
      </c>
      <c r="O68">
        <v>7.95072E-2</v>
      </c>
      <c r="P68">
        <v>54.4664</v>
      </c>
      <c r="Q68">
        <v>54.386899999999997</v>
      </c>
      <c r="R68">
        <v>17.751999999999999</v>
      </c>
      <c r="S68">
        <v>17.751999999999999</v>
      </c>
      <c r="T68">
        <v>0.3977</v>
      </c>
      <c r="U68">
        <v>40.226599999999998</v>
      </c>
      <c r="V68">
        <f t="shared" si="0"/>
        <v>0.21586121038453696</v>
      </c>
      <c r="W68">
        <f t="shared" si="1"/>
        <v>1.4876900000000001E-3</v>
      </c>
      <c r="X68">
        <f t="shared" si="2"/>
        <v>1.4925800000000001E-3</v>
      </c>
      <c r="Y68">
        <f t="shared" si="3"/>
        <v>1.47802E-3</v>
      </c>
      <c r="Z68">
        <f t="shared" si="4"/>
        <v>1.46188E-3</v>
      </c>
      <c r="AA68">
        <f t="shared" si="5"/>
        <v>1.4800425000000002E-3</v>
      </c>
    </row>
    <row r="69" spans="1:27" x14ac:dyDescent="0.3">
      <c r="A69">
        <v>64</v>
      </c>
      <c r="B69">
        <v>1.5299000000000001E-3</v>
      </c>
      <c r="C69">
        <v>8.4374599999999994E-2</v>
      </c>
      <c r="D69">
        <v>55.2348</v>
      </c>
      <c r="E69">
        <v>55.150399999999998</v>
      </c>
      <c r="F69">
        <v>1.5285699999999999E-3</v>
      </c>
      <c r="G69">
        <v>8.3947999999999995E-2</v>
      </c>
      <c r="H69">
        <v>55.003100000000003</v>
      </c>
      <c r="I69">
        <v>54.919199999999996</v>
      </c>
      <c r="J69">
        <v>1.5113699999999999E-3</v>
      </c>
      <c r="K69">
        <v>8.2357600000000003E-2</v>
      </c>
      <c r="L69">
        <v>54.574300000000001</v>
      </c>
      <c r="M69">
        <v>54.491999999999997</v>
      </c>
      <c r="N69">
        <v>1.5007E-3</v>
      </c>
      <c r="O69">
        <v>8.1618399999999994E-2</v>
      </c>
      <c r="P69">
        <v>54.468499999999999</v>
      </c>
      <c r="Q69">
        <v>54.386899999999997</v>
      </c>
      <c r="R69">
        <v>18.001999999999999</v>
      </c>
      <c r="S69">
        <v>18.001999999999999</v>
      </c>
      <c r="T69">
        <v>0.40160000000000001</v>
      </c>
      <c r="U69">
        <v>40.6143</v>
      </c>
      <c r="V69">
        <f t="shared" si="0"/>
        <v>0.21794165942238963</v>
      </c>
      <c r="W69">
        <f t="shared" si="1"/>
        <v>1.5299000000000001E-3</v>
      </c>
      <c r="X69">
        <f t="shared" si="2"/>
        <v>1.5285699999999999E-3</v>
      </c>
      <c r="Y69">
        <f t="shared" si="3"/>
        <v>1.5113699999999999E-3</v>
      </c>
      <c r="Z69">
        <f t="shared" si="4"/>
        <v>1.5007E-3</v>
      </c>
      <c r="AA69">
        <f t="shared" si="5"/>
        <v>1.5176349999999998E-3</v>
      </c>
    </row>
    <row r="70" spans="1:27" x14ac:dyDescent="0.3">
      <c r="A70">
        <v>65</v>
      </c>
      <c r="B70">
        <v>1.5558799999999999E-3</v>
      </c>
      <c r="C70">
        <v>8.5807400000000006E-2</v>
      </c>
      <c r="D70">
        <v>55.236199999999997</v>
      </c>
      <c r="E70">
        <v>55.150399999999998</v>
      </c>
      <c r="F70">
        <v>1.5595100000000001E-3</v>
      </c>
      <c r="G70">
        <v>8.5646799999999995E-2</v>
      </c>
      <c r="H70">
        <v>55.004800000000003</v>
      </c>
      <c r="I70">
        <v>54.919199999999996</v>
      </c>
      <c r="J70">
        <v>1.54324E-3</v>
      </c>
      <c r="K70">
        <v>8.40944E-2</v>
      </c>
      <c r="L70">
        <v>54.576099999999997</v>
      </c>
      <c r="M70">
        <v>54.491999999999997</v>
      </c>
      <c r="N70">
        <v>1.53421E-3</v>
      </c>
      <c r="O70">
        <v>8.3440899999999998E-2</v>
      </c>
      <c r="P70">
        <v>54.470300000000002</v>
      </c>
      <c r="Q70">
        <v>54.386899999999997</v>
      </c>
      <c r="R70">
        <v>18.190000000000001</v>
      </c>
      <c r="S70">
        <v>18.190000000000001</v>
      </c>
      <c r="T70">
        <v>0.40839999999999999</v>
      </c>
      <c r="U70">
        <v>41.2928</v>
      </c>
      <c r="V70">
        <f t="shared" ref="V70:V133" si="6">U70/$A$2/$B$2</f>
        <v>0.22158257939191003</v>
      </c>
      <c r="W70">
        <f t="shared" ref="W70:W133" si="7">B70</f>
        <v>1.5558799999999999E-3</v>
      </c>
      <c r="X70">
        <f t="shared" ref="X70:X133" si="8">F70</f>
        <v>1.5595100000000001E-3</v>
      </c>
      <c r="Y70">
        <f t="shared" ref="Y70:Y133" si="9">J70</f>
        <v>1.54324E-3</v>
      </c>
      <c r="Z70">
        <f t="shared" ref="Z70:Z133" si="10">N70</f>
        <v>1.53421E-3</v>
      </c>
      <c r="AA70">
        <f t="shared" ref="AA70:AA133" si="11">AVERAGE(W70:Z70)</f>
        <v>1.5482100000000002E-3</v>
      </c>
    </row>
    <row r="71" spans="1:27" x14ac:dyDescent="0.3">
      <c r="A71">
        <v>66</v>
      </c>
      <c r="B71">
        <v>1.5880200000000001E-3</v>
      </c>
      <c r="C71">
        <v>8.7579799999999999E-2</v>
      </c>
      <c r="D71">
        <v>55.238</v>
      </c>
      <c r="E71">
        <v>55.150399999999998</v>
      </c>
      <c r="F71">
        <v>1.5907600000000001E-3</v>
      </c>
      <c r="G71">
        <v>8.7363399999999994E-2</v>
      </c>
      <c r="H71">
        <v>55.006500000000003</v>
      </c>
      <c r="I71">
        <v>54.919199999999996</v>
      </c>
      <c r="J71">
        <v>1.5835999999999999E-3</v>
      </c>
      <c r="K71">
        <v>8.6293300000000003E-2</v>
      </c>
      <c r="L71">
        <v>54.578299999999999</v>
      </c>
      <c r="M71">
        <v>54.491999999999997</v>
      </c>
      <c r="N71">
        <v>1.5590999999999999E-3</v>
      </c>
      <c r="O71">
        <v>8.4794900000000006E-2</v>
      </c>
      <c r="P71">
        <v>54.471699999999998</v>
      </c>
      <c r="Q71">
        <v>54.386899999999997</v>
      </c>
      <c r="R71">
        <v>18.692</v>
      </c>
      <c r="S71">
        <v>18.692</v>
      </c>
      <c r="T71">
        <v>0.42380000000000001</v>
      </c>
      <c r="U71">
        <v>42.843699999999998</v>
      </c>
      <c r="V71">
        <f t="shared" si="6"/>
        <v>0.22990491215643344</v>
      </c>
      <c r="W71">
        <f t="shared" si="7"/>
        <v>1.5880200000000001E-3</v>
      </c>
      <c r="X71">
        <f t="shared" si="8"/>
        <v>1.5907600000000001E-3</v>
      </c>
      <c r="Y71">
        <f t="shared" si="9"/>
        <v>1.5835999999999999E-3</v>
      </c>
      <c r="Z71">
        <f t="shared" si="10"/>
        <v>1.5590999999999999E-3</v>
      </c>
      <c r="AA71">
        <f t="shared" si="11"/>
        <v>1.58037E-3</v>
      </c>
    </row>
    <row r="72" spans="1:27" x14ac:dyDescent="0.3">
      <c r="A72">
        <v>67</v>
      </c>
      <c r="B72">
        <v>1.5991099999999999E-3</v>
      </c>
      <c r="C72">
        <v>8.8191500000000006E-2</v>
      </c>
      <c r="D72">
        <v>55.238599999999998</v>
      </c>
      <c r="E72">
        <v>55.150399999999998</v>
      </c>
      <c r="F72">
        <v>1.5971099999999999E-3</v>
      </c>
      <c r="G72">
        <v>8.7711899999999995E-2</v>
      </c>
      <c r="H72">
        <v>55.006900000000002</v>
      </c>
      <c r="I72">
        <v>54.919199999999996</v>
      </c>
      <c r="J72">
        <v>1.5848399999999999E-3</v>
      </c>
      <c r="K72">
        <v>8.6361099999999996E-2</v>
      </c>
      <c r="L72">
        <v>54.578400000000002</v>
      </c>
      <c r="M72">
        <v>54.491999999999997</v>
      </c>
      <c r="N72">
        <v>1.56402E-3</v>
      </c>
      <c r="O72">
        <v>8.5062100000000002E-2</v>
      </c>
      <c r="P72">
        <v>54.472000000000001</v>
      </c>
      <c r="Q72">
        <v>54.386899999999997</v>
      </c>
      <c r="R72">
        <v>19.001999999999999</v>
      </c>
      <c r="S72">
        <v>19.001999999999999</v>
      </c>
      <c r="T72">
        <v>0.43640000000000001</v>
      </c>
      <c r="U72">
        <v>44.103700000000003</v>
      </c>
      <c r="V72">
        <f t="shared" si="6"/>
        <v>0.23666623737617654</v>
      </c>
      <c r="W72">
        <f t="shared" si="7"/>
        <v>1.5991099999999999E-3</v>
      </c>
      <c r="X72">
        <f t="shared" si="8"/>
        <v>1.5971099999999999E-3</v>
      </c>
      <c r="Y72">
        <f t="shared" si="9"/>
        <v>1.5848399999999999E-3</v>
      </c>
      <c r="Z72">
        <f t="shared" si="10"/>
        <v>1.56402E-3</v>
      </c>
      <c r="AA72">
        <f t="shared" si="11"/>
        <v>1.5862699999999999E-3</v>
      </c>
    </row>
    <row r="73" spans="1:27" x14ac:dyDescent="0.3">
      <c r="A73">
        <v>68</v>
      </c>
      <c r="B73">
        <v>1.6255499999999999E-3</v>
      </c>
      <c r="C73">
        <v>8.9649400000000004E-2</v>
      </c>
      <c r="D73">
        <v>55.24</v>
      </c>
      <c r="E73">
        <v>55.150399999999998</v>
      </c>
      <c r="F73">
        <v>1.6148899999999999E-3</v>
      </c>
      <c r="G73">
        <v>8.8688199999999995E-2</v>
      </c>
      <c r="H73">
        <v>55.007899999999999</v>
      </c>
      <c r="I73">
        <v>54.919199999999996</v>
      </c>
      <c r="J73">
        <v>1.5982800000000001E-3</v>
      </c>
      <c r="K73">
        <v>8.7093400000000001E-2</v>
      </c>
      <c r="L73">
        <v>54.579099999999997</v>
      </c>
      <c r="M73">
        <v>54.491999999999997</v>
      </c>
      <c r="N73">
        <v>1.5778400000000001E-3</v>
      </c>
      <c r="O73">
        <v>8.5813600000000004E-2</v>
      </c>
      <c r="P73">
        <v>54.472700000000003</v>
      </c>
      <c r="Q73">
        <v>54.386899999999997</v>
      </c>
      <c r="R73">
        <v>19.126000000000001</v>
      </c>
      <c r="S73">
        <v>19.126000000000001</v>
      </c>
      <c r="T73">
        <v>0.43769999999999998</v>
      </c>
      <c r="U73">
        <v>44.232999999999997</v>
      </c>
      <c r="V73">
        <f t="shared" si="6"/>
        <v>0.23736007813086921</v>
      </c>
      <c r="W73">
        <f t="shared" si="7"/>
        <v>1.6255499999999999E-3</v>
      </c>
      <c r="X73">
        <f t="shared" si="8"/>
        <v>1.6148899999999999E-3</v>
      </c>
      <c r="Y73">
        <f t="shared" si="9"/>
        <v>1.5982800000000001E-3</v>
      </c>
      <c r="Z73">
        <f t="shared" si="10"/>
        <v>1.5778400000000001E-3</v>
      </c>
      <c r="AA73">
        <f t="shared" si="11"/>
        <v>1.60414E-3</v>
      </c>
    </row>
    <row r="74" spans="1:27" x14ac:dyDescent="0.3">
      <c r="A74">
        <v>69</v>
      </c>
      <c r="B74">
        <v>1.6714200000000001E-3</v>
      </c>
      <c r="C74">
        <v>9.21796E-2</v>
      </c>
      <c r="D74">
        <v>55.242600000000003</v>
      </c>
      <c r="E74">
        <v>55.150399999999998</v>
      </c>
      <c r="F74">
        <v>1.6667800000000001E-3</v>
      </c>
      <c r="G74">
        <v>9.1538300000000003E-2</v>
      </c>
      <c r="H74">
        <v>55.0107</v>
      </c>
      <c r="I74">
        <v>54.919199999999996</v>
      </c>
      <c r="J74">
        <v>1.63517E-3</v>
      </c>
      <c r="K74">
        <v>8.9103799999999997E-2</v>
      </c>
      <c r="L74">
        <v>54.581099999999999</v>
      </c>
      <c r="M74">
        <v>54.491999999999997</v>
      </c>
      <c r="N74">
        <v>1.6262799999999999E-3</v>
      </c>
      <c r="O74">
        <v>8.8448100000000002E-2</v>
      </c>
      <c r="P74">
        <v>54.475299999999997</v>
      </c>
      <c r="Q74">
        <v>54.386899999999997</v>
      </c>
      <c r="R74">
        <v>19.504000000000001</v>
      </c>
      <c r="S74">
        <v>19.504000000000001</v>
      </c>
      <c r="T74">
        <v>0.45119999999999999</v>
      </c>
      <c r="U74">
        <v>45.59</v>
      </c>
      <c r="V74">
        <f t="shared" si="6"/>
        <v>0.24464191806990995</v>
      </c>
      <c r="W74">
        <f t="shared" si="7"/>
        <v>1.6714200000000001E-3</v>
      </c>
      <c r="X74">
        <f t="shared" si="8"/>
        <v>1.6667800000000001E-3</v>
      </c>
      <c r="Y74">
        <f t="shared" si="9"/>
        <v>1.63517E-3</v>
      </c>
      <c r="Z74">
        <f t="shared" si="10"/>
        <v>1.6262799999999999E-3</v>
      </c>
      <c r="AA74">
        <f t="shared" si="11"/>
        <v>1.6499125000000001E-3</v>
      </c>
    </row>
    <row r="75" spans="1:27" x14ac:dyDescent="0.3">
      <c r="A75">
        <v>70</v>
      </c>
      <c r="B75">
        <v>1.67767E-3</v>
      </c>
      <c r="C75">
        <v>9.2524099999999998E-2</v>
      </c>
      <c r="D75">
        <v>55.242899999999999</v>
      </c>
      <c r="E75">
        <v>55.150399999999998</v>
      </c>
      <c r="F75">
        <v>1.67888E-3</v>
      </c>
      <c r="G75">
        <v>9.2202599999999996E-2</v>
      </c>
      <c r="H75">
        <v>55.011400000000002</v>
      </c>
      <c r="I75">
        <v>54.919199999999996</v>
      </c>
      <c r="J75">
        <v>1.6627600000000001E-3</v>
      </c>
      <c r="K75">
        <v>9.0607099999999996E-2</v>
      </c>
      <c r="L75">
        <v>54.582599999999999</v>
      </c>
      <c r="M75">
        <v>54.491999999999997</v>
      </c>
      <c r="N75">
        <v>1.6505199999999999E-3</v>
      </c>
      <c r="O75">
        <v>8.9766700000000005E-2</v>
      </c>
      <c r="P75">
        <v>54.476700000000001</v>
      </c>
      <c r="Q75">
        <v>54.386899999999997</v>
      </c>
      <c r="R75">
        <v>19.812999999999999</v>
      </c>
      <c r="S75">
        <v>19.812999999999999</v>
      </c>
      <c r="T75">
        <v>0.45860000000000001</v>
      </c>
      <c r="U75">
        <v>46.333100000000002</v>
      </c>
      <c r="V75">
        <f t="shared" si="6"/>
        <v>0.24862949011022034</v>
      </c>
      <c r="W75">
        <f t="shared" si="7"/>
        <v>1.67767E-3</v>
      </c>
      <c r="X75">
        <f t="shared" si="8"/>
        <v>1.67888E-3</v>
      </c>
      <c r="Y75">
        <f t="shared" si="9"/>
        <v>1.6627600000000001E-3</v>
      </c>
      <c r="Z75">
        <f t="shared" si="10"/>
        <v>1.6505199999999999E-3</v>
      </c>
      <c r="AA75">
        <f t="shared" si="11"/>
        <v>1.6674575E-3</v>
      </c>
    </row>
    <row r="76" spans="1:27" x14ac:dyDescent="0.3">
      <c r="A76">
        <v>71</v>
      </c>
      <c r="B76">
        <v>1.7127900000000001E-3</v>
      </c>
      <c r="C76">
        <v>9.4461199999999995E-2</v>
      </c>
      <c r="D76">
        <v>55.244799999999998</v>
      </c>
      <c r="E76">
        <v>55.150399999999998</v>
      </c>
      <c r="F76">
        <v>1.7179000000000001E-3</v>
      </c>
      <c r="G76">
        <v>9.4345899999999996E-2</v>
      </c>
      <c r="H76">
        <v>55.013500000000001</v>
      </c>
      <c r="I76">
        <v>54.919199999999996</v>
      </c>
      <c r="J76">
        <v>1.6952499999999999E-3</v>
      </c>
      <c r="K76">
        <v>9.2377500000000001E-2</v>
      </c>
      <c r="L76">
        <v>54.584400000000002</v>
      </c>
      <c r="M76">
        <v>54.491999999999997</v>
      </c>
      <c r="N76">
        <v>1.67688E-3</v>
      </c>
      <c r="O76">
        <v>9.1200100000000006E-2</v>
      </c>
      <c r="P76">
        <v>54.478099999999998</v>
      </c>
      <c r="Q76">
        <v>54.386899999999997</v>
      </c>
      <c r="R76">
        <v>20.123999999999999</v>
      </c>
      <c r="S76">
        <v>20.123999999999999</v>
      </c>
      <c r="T76">
        <v>0.46350000000000002</v>
      </c>
      <c r="U76">
        <v>46.817700000000002</v>
      </c>
      <c r="V76">
        <f t="shared" si="6"/>
        <v>0.25122991725425803</v>
      </c>
      <c r="W76">
        <f t="shared" si="7"/>
        <v>1.7127900000000001E-3</v>
      </c>
      <c r="X76">
        <f t="shared" si="8"/>
        <v>1.7179000000000001E-3</v>
      </c>
      <c r="Y76">
        <f t="shared" si="9"/>
        <v>1.6952499999999999E-3</v>
      </c>
      <c r="Z76">
        <f t="shared" si="10"/>
        <v>1.67688E-3</v>
      </c>
      <c r="AA76">
        <f t="shared" si="11"/>
        <v>1.7007049999999998E-3</v>
      </c>
    </row>
    <row r="77" spans="1:27" x14ac:dyDescent="0.3">
      <c r="A77">
        <v>72</v>
      </c>
      <c r="B77">
        <v>1.74913E-3</v>
      </c>
      <c r="C77">
        <v>9.6465200000000001E-2</v>
      </c>
      <c r="D77">
        <v>55.2468</v>
      </c>
      <c r="E77">
        <v>55.150399999999998</v>
      </c>
      <c r="F77">
        <v>1.74832E-3</v>
      </c>
      <c r="G77">
        <v>9.6016500000000005E-2</v>
      </c>
      <c r="H77">
        <v>55.0152</v>
      </c>
      <c r="I77">
        <v>54.919199999999996</v>
      </c>
      <c r="J77">
        <v>1.71882E-3</v>
      </c>
      <c r="K77">
        <v>9.3661700000000001E-2</v>
      </c>
      <c r="L77">
        <v>54.585700000000003</v>
      </c>
      <c r="M77">
        <v>54.491999999999997</v>
      </c>
      <c r="N77">
        <v>1.7072999999999999E-3</v>
      </c>
      <c r="O77">
        <v>9.2854900000000004E-2</v>
      </c>
      <c r="P77">
        <v>54.479799999999997</v>
      </c>
      <c r="Q77">
        <v>54.386899999999997</v>
      </c>
      <c r="R77">
        <v>20.372</v>
      </c>
      <c r="S77">
        <v>20.372</v>
      </c>
      <c r="T77">
        <v>0.47699999999999998</v>
      </c>
      <c r="U77">
        <v>48.174700000000001</v>
      </c>
      <c r="V77">
        <f t="shared" si="6"/>
        <v>0.25851175719329877</v>
      </c>
      <c r="W77">
        <f t="shared" si="7"/>
        <v>1.74913E-3</v>
      </c>
      <c r="X77">
        <f t="shared" si="8"/>
        <v>1.74832E-3</v>
      </c>
      <c r="Y77">
        <f t="shared" si="9"/>
        <v>1.71882E-3</v>
      </c>
      <c r="Z77">
        <f t="shared" si="10"/>
        <v>1.7072999999999999E-3</v>
      </c>
      <c r="AA77">
        <f t="shared" si="11"/>
        <v>1.7308925000000001E-3</v>
      </c>
    </row>
    <row r="78" spans="1:27" x14ac:dyDescent="0.3">
      <c r="A78">
        <v>73</v>
      </c>
      <c r="B78">
        <v>1.77472E-3</v>
      </c>
      <c r="C78">
        <v>9.7876199999999997E-2</v>
      </c>
      <c r="D78">
        <v>55.2483</v>
      </c>
      <c r="E78">
        <v>55.150399999999998</v>
      </c>
      <c r="F78">
        <v>1.77926E-3</v>
      </c>
      <c r="G78">
        <v>9.7715700000000003E-2</v>
      </c>
      <c r="H78">
        <v>55.0169</v>
      </c>
      <c r="I78">
        <v>54.919199999999996</v>
      </c>
      <c r="J78">
        <v>1.7651800000000001E-3</v>
      </c>
      <c r="K78">
        <v>9.6188300000000004E-2</v>
      </c>
      <c r="L78">
        <v>54.588200000000001</v>
      </c>
      <c r="M78">
        <v>54.491999999999997</v>
      </c>
      <c r="N78">
        <v>1.7515899999999999E-3</v>
      </c>
      <c r="O78">
        <v>9.5263600000000004E-2</v>
      </c>
      <c r="P78">
        <v>54.482199999999999</v>
      </c>
      <c r="Q78">
        <v>54.386899999999997</v>
      </c>
      <c r="R78">
        <v>20.684000000000001</v>
      </c>
      <c r="S78">
        <v>20.684000000000001</v>
      </c>
      <c r="T78">
        <v>0.49020000000000002</v>
      </c>
      <c r="U78">
        <v>49.499400000000001</v>
      </c>
      <c r="V78">
        <f t="shared" si="6"/>
        <v>0.26562027109694453</v>
      </c>
      <c r="W78">
        <f t="shared" si="7"/>
        <v>1.77472E-3</v>
      </c>
      <c r="X78">
        <f t="shared" si="8"/>
        <v>1.77926E-3</v>
      </c>
      <c r="Y78">
        <f t="shared" si="9"/>
        <v>1.7651800000000001E-3</v>
      </c>
      <c r="Z78">
        <f t="shared" si="10"/>
        <v>1.7515899999999999E-3</v>
      </c>
      <c r="AA78">
        <f t="shared" si="11"/>
        <v>1.7676874999999999E-3</v>
      </c>
    </row>
    <row r="79" spans="1:27" x14ac:dyDescent="0.3">
      <c r="A79">
        <v>74</v>
      </c>
      <c r="B79">
        <v>1.7800299999999999E-3</v>
      </c>
      <c r="C79">
        <v>9.8169599999999996E-2</v>
      </c>
      <c r="D79">
        <v>55.248600000000003</v>
      </c>
      <c r="E79">
        <v>55.150399999999998</v>
      </c>
      <c r="F79">
        <v>1.7780700000000001E-3</v>
      </c>
      <c r="G79">
        <v>9.7650000000000001E-2</v>
      </c>
      <c r="H79">
        <v>55.016800000000003</v>
      </c>
      <c r="I79">
        <v>54.919199999999996</v>
      </c>
      <c r="J79">
        <v>1.76082E-3</v>
      </c>
      <c r="K79">
        <v>9.5950599999999997E-2</v>
      </c>
      <c r="L79">
        <v>54.587899999999998</v>
      </c>
      <c r="M79">
        <v>54.491999999999997</v>
      </c>
      <c r="N79">
        <v>1.7414500000000001E-3</v>
      </c>
      <c r="O79">
        <v>9.4712000000000005E-2</v>
      </c>
      <c r="P79">
        <v>54.4816</v>
      </c>
      <c r="Q79">
        <v>54.386899999999997</v>
      </c>
      <c r="R79">
        <v>21.126000000000001</v>
      </c>
      <c r="S79">
        <v>21.126000000000001</v>
      </c>
      <c r="T79">
        <v>0.50119999999999998</v>
      </c>
      <c r="U79">
        <v>50.597900000000003</v>
      </c>
      <c r="V79">
        <f t="shared" si="6"/>
        <v>0.2715149661397126</v>
      </c>
      <c r="W79">
        <f t="shared" si="7"/>
        <v>1.7800299999999999E-3</v>
      </c>
      <c r="X79">
        <f t="shared" si="8"/>
        <v>1.7780700000000001E-3</v>
      </c>
      <c r="Y79">
        <f t="shared" si="9"/>
        <v>1.76082E-3</v>
      </c>
      <c r="Z79">
        <f t="shared" si="10"/>
        <v>1.7414500000000001E-3</v>
      </c>
      <c r="AA79">
        <f t="shared" si="11"/>
        <v>1.7650925E-3</v>
      </c>
    </row>
    <row r="80" spans="1:27" x14ac:dyDescent="0.3">
      <c r="A80">
        <v>75</v>
      </c>
      <c r="B80">
        <v>1.8148800000000001E-3</v>
      </c>
      <c r="C80">
        <v>0.100091</v>
      </c>
      <c r="D80">
        <v>55.250500000000002</v>
      </c>
      <c r="E80">
        <v>55.150399999999998</v>
      </c>
      <c r="F80">
        <v>1.81909E-3</v>
      </c>
      <c r="G80">
        <v>9.9903199999999998E-2</v>
      </c>
      <c r="H80">
        <v>55.019100000000002</v>
      </c>
      <c r="I80">
        <v>54.919199999999996</v>
      </c>
      <c r="J80">
        <v>1.7981799999999999E-3</v>
      </c>
      <c r="K80">
        <v>9.7986500000000004E-2</v>
      </c>
      <c r="L80">
        <v>54.59</v>
      </c>
      <c r="M80">
        <v>54.491999999999997</v>
      </c>
      <c r="N80">
        <v>1.77951E-3</v>
      </c>
      <c r="O80">
        <v>9.6782099999999996E-2</v>
      </c>
      <c r="P80">
        <v>54.483699999999999</v>
      </c>
      <c r="Q80">
        <v>54.386899999999997</v>
      </c>
      <c r="R80">
        <v>21.373000000000001</v>
      </c>
      <c r="S80">
        <v>21.373000000000001</v>
      </c>
      <c r="T80">
        <v>0.51439999999999997</v>
      </c>
      <c r="U80">
        <v>51.922600000000003</v>
      </c>
      <c r="V80">
        <f t="shared" si="6"/>
        <v>0.27862348004335835</v>
      </c>
      <c r="W80">
        <f t="shared" si="7"/>
        <v>1.8148800000000001E-3</v>
      </c>
      <c r="X80">
        <f t="shared" si="8"/>
        <v>1.81909E-3</v>
      </c>
      <c r="Y80">
        <f t="shared" si="9"/>
        <v>1.7981799999999999E-3</v>
      </c>
      <c r="Z80">
        <f t="shared" si="10"/>
        <v>1.77951E-3</v>
      </c>
      <c r="AA80">
        <f t="shared" si="11"/>
        <v>1.802915E-3</v>
      </c>
    </row>
    <row r="81" spans="1:27" x14ac:dyDescent="0.3">
      <c r="A81">
        <v>76</v>
      </c>
      <c r="B81">
        <v>1.86499E-3</v>
      </c>
      <c r="C81">
        <v>0.102855</v>
      </c>
      <c r="D81">
        <v>55.2532</v>
      </c>
      <c r="E81">
        <v>55.150399999999998</v>
      </c>
      <c r="F81">
        <v>1.85856E-3</v>
      </c>
      <c r="G81">
        <v>0.10206999999999999</v>
      </c>
      <c r="H81">
        <v>55.0212</v>
      </c>
      <c r="I81">
        <v>54.919199999999996</v>
      </c>
      <c r="J81">
        <v>1.83501E-3</v>
      </c>
      <c r="K81">
        <v>9.9993200000000004E-2</v>
      </c>
      <c r="L81">
        <v>54.591999999999999</v>
      </c>
      <c r="M81">
        <v>54.491999999999997</v>
      </c>
      <c r="N81">
        <v>1.81416E-3</v>
      </c>
      <c r="O81">
        <v>9.8666799999999999E-2</v>
      </c>
      <c r="P81">
        <v>54.485599999999998</v>
      </c>
      <c r="Q81">
        <v>54.386899999999997</v>
      </c>
      <c r="R81">
        <v>21.56</v>
      </c>
      <c r="S81">
        <v>21.56</v>
      </c>
      <c r="T81">
        <v>0.51829999999999998</v>
      </c>
      <c r="U81">
        <v>52.310299999999998</v>
      </c>
      <c r="V81">
        <f t="shared" si="6"/>
        <v>0.280703929081211</v>
      </c>
      <c r="W81">
        <f t="shared" si="7"/>
        <v>1.86499E-3</v>
      </c>
      <c r="X81">
        <f t="shared" si="8"/>
        <v>1.85856E-3</v>
      </c>
      <c r="Y81">
        <f t="shared" si="9"/>
        <v>1.83501E-3</v>
      </c>
      <c r="Z81">
        <f t="shared" si="10"/>
        <v>1.81416E-3</v>
      </c>
      <c r="AA81">
        <f t="shared" si="11"/>
        <v>1.8431799999999998E-3</v>
      </c>
    </row>
    <row r="82" spans="1:27" x14ac:dyDescent="0.3">
      <c r="A82">
        <v>77</v>
      </c>
      <c r="B82">
        <v>1.9331999999999999E-3</v>
      </c>
      <c r="C82">
        <v>0.106616</v>
      </c>
      <c r="D82">
        <v>55.256999999999998</v>
      </c>
      <c r="E82">
        <v>55.150399999999998</v>
      </c>
      <c r="F82">
        <v>1.9333899999999999E-3</v>
      </c>
      <c r="G82">
        <v>0.10618</v>
      </c>
      <c r="H82">
        <v>55.025300000000001</v>
      </c>
      <c r="I82">
        <v>54.919199999999996</v>
      </c>
      <c r="J82">
        <v>1.9216000000000001E-3</v>
      </c>
      <c r="K82">
        <v>0.104712</v>
      </c>
      <c r="L82">
        <v>54.596699999999998</v>
      </c>
      <c r="M82">
        <v>54.491999999999997</v>
      </c>
      <c r="N82">
        <v>1.9014100000000001E-3</v>
      </c>
      <c r="O82">
        <v>0.103412</v>
      </c>
      <c r="P82">
        <v>54.490299999999998</v>
      </c>
      <c r="Q82">
        <v>54.386899999999997</v>
      </c>
      <c r="R82">
        <v>22.058</v>
      </c>
      <c r="S82">
        <v>22.058</v>
      </c>
      <c r="T82">
        <v>0.53759999999999997</v>
      </c>
      <c r="U82">
        <v>54.248899999999999</v>
      </c>
      <c r="V82">
        <f t="shared" si="6"/>
        <v>0.29110671088358714</v>
      </c>
      <c r="W82">
        <f t="shared" si="7"/>
        <v>1.9331999999999999E-3</v>
      </c>
      <c r="X82">
        <f t="shared" si="8"/>
        <v>1.9333899999999999E-3</v>
      </c>
      <c r="Y82">
        <f t="shared" si="9"/>
        <v>1.9216000000000001E-3</v>
      </c>
      <c r="Z82">
        <f t="shared" si="10"/>
        <v>1.9014100000000001E-3</v>
      </c>
      <c r="AA82">
        <f t="shared" si="11"/>
        <v>1.9223999999999999E-3</v>
      </c>
    </row>
    <row r="83" spans="1:27" x14ac:dyDescent="0.3">
      <c r="A83">
        <v>78</v>
      </c>
      <c r="B83">
        <v>1.9729399999999999E-3</v>
      </c>
      <c r="C83">
        <v>0.108808</v>
      </c>
      <c r="D83">
        <v>55.2592</v>
      </c>
      <c r="E83">
        <v>55.150399999999998</v>
      </c>
      <c r="F83">
        <v>1.9721500000000002E-3</v>
      </c>
      <c r="G83">
        <v>0.108309</v>
      </c>
      <c r="H83">
        <v>55.027500000000003</v>
      </c>
      <c r="I83">
        <v>54.919199999999996</v>
      </c>
      <c r="J83">
        <v>1.9452E-3</v>
      </c>
      <c r="K83">
        <v>0.105998</v>
      </c>
      <c r="L83">
        <v>54.597999999999999</v>
      </c>
      <c r="M83">
        <v>54.491999999999997</v>
      </c>
      <c r="N83">
        <v>1.92147E-3</v>
      </c>
      <c r="O83">
        <v>0.104503</v>
      </c>
      <c r="P83">
        <v>54.491399999999999</v>
      </c>
      <c r="Q83">
        <v>54.386899999999997</v>
      </c>
      <c r="R83">
        <v>22.620999999999999</v>
      </c>
      <c r="S83">
        <v>22.620999999999999</v>
      </c>
      <c r="T83">
        <v>0.55279999999999996</v>
      </c>
      <c r="U83">
        <v>55.767400000000002</v>
      </c>
      <c r="V83">
        <f t="shared" si="6"/>
        <v>0.29925518099960291</v>
      </c>
      <c r="W83">
        <f t="shared" si="7"/>
        <v>1.9729399999999999E-3</v>
      </c>
      <c r="X83">
        <f t="shared" si="8"/>
        <v>1.9721500000000002E-3</v>
      </c>
      <c r="Y83">
        <f t="shared" si="9"/>
        <v>1.9452E-3</v>
      </c>
      <c r="Z83">
        <f t="shared" si="10"/>
        <v>1.92147E-3</v>
      </c>
      <c r="AA83">
        <f t="shared" si="11"/>
        <v>1.95294E-3</v>
      </c>
    </row>
    <row r="84" spans="1:27" x14ac:dyDescent="0.3">
      <c r="A84">
        <v>79</v>
      </c>
      <c r="B84">
        <v>2.02841E-3</v>
      </c>
      <c r="C84">
        <v>0.11186699999999999</v>
      </c>
      <c r="D84">
        <v>55.2622</v>
      </c>
      <c r="E84">
        <v>55.150399999999998</v>
      </c>
      <c r="F84">
        <v>2.0250400000000001E-3</v>
      </c>
      <c r="G84">
        <v>0.11121300000000001</v>
      </c>
      <c r="H84">
        <v>55.0304</v>
      </c>
      <c r="I84">
        <v>54.919199999999996</v>
      </c>
      <c r="J84">
        <v>2.00066E-3</v>
      </c>
      <c r="K84">
        <v>0.10902000000000001</v>
      </c>
      <c r="L84">
        <v>54.600999999999999</v>
      </c>
      <c r="M84">
        <v>54.491999999999997</v>
      </c>
      <c r="N84">
        <v>1.9740299999999999E-3</v>
      </c>
      <c r="O84">
        <v>0.107361</v>
      </c>
      <c r="P84">
        <v>54.494300000000003</v>
      </c>
      <c r="Q84">
        <v>54.386899999999997</v>
      </c>
      <c r="R84">
        <v>22.869</v>
      </c>
      <c r="S84">
        <v>22.87</v>
      </c>
      <c r="T84">
        <v>0.55500000000000005</v>
      </c>
      <c r="U84">
        <v>55.993600000000001</v>
      </c>
      <c r="V84">
        <f t="shared" si="6"/>
        <v>0.30046899986048059</v>
      </c>
      <c r="W84">
        <f t="shared" si="7"/>
        <v>2.02841E-3</v>
      </c>
      <c r="X84">
        <f t="shared" si="8"/>
        <v>2.0250400000000001E-3</v>
      </c>
      <c r="Y84">
        <f t="shared" si="9"/>
        <v>2.00066E-3</v>
      </c>
      <c r="Z84">
        <f t="shared" si="10"/>
        <v>1.9740299999999999E-3</v>
      </c>
      <c r="AA84">
        <f t="shared" si="11"/>
        <v>2.0070349999999999E-3</v>
      </c>
    </row>
    <row r="85" spans="1:27" x14ac:dyDescent="0.3">
      <c r="A85">
        <v>80</v>
      </c>
      <c r="B85">
        <v>2.02337E-3</v>
      </c>
      <c r="C85">
        <v>0.11158899999999999</v>
      </c>
      <c r="D85">
        <v>55.262</v>
      </c>
      <c r="E85">
        <v>55.150399999999998</v>
      </c>
      <c r="F85">
        <v>2.02389E-3</v>
      </c>
      <c r="G85">
        <v>0.111151</v>
      </c>
      <c r="H85">
        <v>55.030299999999997</v>
      </c>
      <c r="I85">
        <v>54.919199999999996</v>
      </c>
      <c r="J85">
        <v>2.0023699999999998E-3</v>
      </c>
      <c r="K85">
        <v>0.109113</v>
      </c>
      <c r="L85">
        <v>54.601100000000002</v>
      </c>
      <c r="M85">
        <v>54.491999999999997</v>
      </c>
      <c r="N85">
        <v>1.97635E-3</v>
      </c>
      <c r="O85">
        <v>0.107488</v>
      </c>
      <c r="P85">
        <v>54.494399999999999</v>
      </c>
      <c r="Q85">
        <v>54.386899999999997</v>
      </c>
      <c r="R85">
        <v>23.120999999999999</v>
      </c>
      <c r="S85">
        <v>23.120999999999999</v>
      </c>
      <c r="T85">
        <v>0.57050000000000001</v>
      </c>
      <c r="U85">
        <v>57.544400000000003</v>
      </c>
      <c r="V85">
        <f t="shared" si="6"/>
        <v>0.30879079601189136</v>
      </c>
      <c r="W85">
        <f t="shared" si="7"/>
        <v>2.02337E-3</v>
      </c>
      <c r="X85">
        <f t="shared" si="8"/>
        <v>2.02389E-3</v>
      </c>
      <c r="Y85">
        <f t="shared" si="9"/>
        <v>2.0023699999999998E-3</v>
      </c>
      <c r="Z85">
        <f t="shared" si="10"/>
        <v>1.97635E-3</v>
      </c>
      <c r="AA85">
        <f t="shared" si="11"/>
        <v>2.0064950000000001E-3</v>
      </c>
    </row>
    <row r="86" spans="1:27" x14ac:dyDescent="0.3">
      <c r="A86">
        <v>81</v>
      </c>
      <c r="B86">
        <v>2.0466099999999999E-3</v>
      </c>
      <c r="C86">
        <v>0.112871</v>
      </c>
      <c r="D86">
        <v>55.263300000000001</v>
      </c>
      <c r="E86">
        <v>55.150399999999998</v>
      </c>
      <c r="F86">
        <v>2.0402699999999998E-3</v>
      </c>
      <c r="G86">
        <v>0.11205</v>
      </c>
      <c r="H86">
        <v>55.031199999999998</v>
      </c>
      <c r="I86">
        <v>54.919199999999996</v>
      </c>
      <c r="J86">
        <v>2.0204300000000001E-3</v>
      </c>
      <c r="K86">
        <v>0.110097</v>
      </c>
      <c r="L86">
        <v>54.6021</v>
      </c>
      <c r="M86">
        <v>54.491999999999997</v>
      </c>
      <c r="N86">
        <v>1.9961200000000001E-3</v>
      </c>
      <c r="O86">
        <v>0.10856300000000001</v>
      </c>
      <c r="P86">
        <v>54.4955</v>
      </c>
      <c r="Q86">
        <v>54.386899999999997</v>
      </c>
      <c r="R86">
        <v>23.494</v>
      </c>
      <c r="S86">
        <v>23.494</v>
      </c>
      <c r="T86">
        <v>0.58140000000000003</v>
      </c>
      <c r="U86">
        <v>58.642899999999997</v>
      </c>
      <c r="V86">
        <f t="shared" si="6"/>
        <v>0.31468549105465937</v>
      </c>
      <c r="W86">
        <f t="shared" si="7"/>
        <v>2.0466099999999999E-3</v>
      </c>
      <c r="X86">
        <f t="shared" si="8"/>
        <v>2.0402699999999998E-3</v>
      </c>
      <c r="Y86">
        <f t="shared" si="9"/>
        <v>2.0204300000000001E-3</v>
      </c>
      <c r="Z86">
        <f t="shared" si="10"/>
        <v>1.9961200000000001E-3</v>
      </c>
      <c r="AA86">
        <f t="shared" si="11"/>
        <v>2.0258575E-3</v>
      </c>
    </row>
    <row r="87" spans="1:27" x14ac:dyDescent="0.3">
      <c r="A87">
        <v>82</v>
      </c>
      <c r="B87">
        <v>2.08063E-3</v>
      </c>
      <c r="C87">
        <v>0.114747</v>
      </c>
      <c r="D87">
        <v>55.265099999999997</v>
      </c>
      <c r="E87">
        <v>55.150399999999998</v>
      </c>
      <c r="F87">
        <v>2.0772999999999998E-3</v>
      </c>
      <c r="G87">
        <v>0.114084</v>
      </c>
      <c r="H87">
        <v>55.033200000000001</v>
      </c>
      <c r="I87">
        <v>54.919199999999996</v>
      </c>
      <c r="J87">
        <v>2.05741E-3</v>
      </c>
      <c r="K87">
        <v>0.112112</v>
      </c>
      <c r="L87">
        <v>54.604100000000003</v>
      </c>
      <c r="M87">
        <v>54.491999999999997</v>
      </c>
      <c r="N87">
        <v>2.0275599999999999E-3</v>
      </c>
      <c r="O87">
        <v>0.110273</v>
      </c>
      <c r="P87">
        <v>54.497199999999999</v>
      </c>
      <c r="Q87">
        <v>54.386899999999997</v>
      </c>
      <c r="R87">
        <v>23.678999999999998</v>
      </c>
      <c r="S87">
        <v>23.678999999999998</v>
      </c>
      <c r="T87">
        <v>0.58660000000000001</v>
      </c>
      <c r="U87">
        <v>59.1599</v>
      </c>
      <c r="V87">
        <f t="shared" si="6"/>
        <v>0.31745978084720478</v>
      </c>
      <c r="W87">
        <f t="shared" si="7"/>
        <v>2.08063E-3</v>
      </c>
      <c r="X87">
        <f t="shared" si="8"/>
        <v>2.0772999999999998E-3</v>
      </c>
      <c r="Y87">
        <f t="shared" si="9"/>
        <v>2.05741E-3</v>
      </c>
      <c r="Z87">
        <f t="shared" si="10"/>
        <v>2.0275599999999999E-3</v>
      </c>
      <c r="AA87">
        <f t="shared" si="11"/>
        <v>2.0607249999999998E-3</v>
      </c>
    </row>
    <row r="88" spans="1:27" x14ac:dyDescent="0.3">
      <c r="A88">
        <v>83</v>
      </c>
      <c r="B88">
        <v>2.1811399999999998E-3</v>
      </c>
      <c r="C88">
        <v>0.120291</v>
      </c>
      <c r="D88">
        <v>55.270699999999998</v>
      </c>
      <c r="E88">
        <v>55.150399999999998</v>
      </c>
      <c r="F88">
        <v>2.1768199999999999E-3</v>
      </c>
      <c r="G88">
        <v>0.119549</v>
      </c>
      <c r="H88">
        <v>55.038699999999999</v>
      </c>
      <c r="I88">
        <v>54.919199999999996</v>
      </c>
      <c r="J88">
        <v>2.1510499999999998E-3</v>
      </c>
      <c r="K88">
        <v>0.117215</v>
      </c>
      <c r="L88">
        <v>54.609200000000001</v>
      </c>
      <c r="M88">
        <v>54.491999999999997</v>
      </c>
      <c r="N88">
        <v>2.12028E-3</v>
      </c>
      <c r="O88">
        <v>0.115315</v>
      </c>
      <c r="P88">
        <v>54.502200000000002</v>
      </c>
      <c r="Q88">
        <v>54.386899999999997</v>
      </c>
      <c r="R88">
        <v>24.305</v>
      </c>
      <c r="S88">
        <v>24.306000000000001</v>
      </c>
      <c r="T88">
        <v>0.60529999999999995</v>
      </c>
      <c r="U88">
        <v>61.033799999999999</v>
      </c>
      <c r="V88">
        <f t="shared" si="6"/>
        <v>0.3275153739656782</v>
      </c>
      <c r="W88">
        <f t="shared" si="7"/>
        <v>2.1811399999999998E-3</v>
      </c>
      <c r="X88">
        <f t="shared" si="8"/>
        <v>2.1768199999999999E-3</v>
      </c>
      <c r="Y88">
        <f t="shared" si="9"/>
        <v>2.1510499999999998E-3</v>
      </c>
      <c r="Z88">
        <f t="shared" si="10"/>
        <v>2.12028E-3</v>
      </c>
      <c r="AA88">
        <f t="shared" si="11"/>
        <v>2.1573224999999999E-3</v>
      </c>
    </row>
    <row r="89" spans="1:27" x14ac:dyDescent="0.3">
      <c r="A89">
        <v>84</v>
      </c>
      <c r="B89">
        <v>2.22777E-3</v>
      </c>
      <c r="C89">
        <v>0.122863</v>
      </c>
      <c r="D89">
        <v>55.273200000000003</v>
      </c>
      <c r="E89">
        <v>55.150399999999998</v>
      </c>
      <c r="F89">
        <v>2.2217399999999998E-3</v>
      </c>
      <c r="G89">
        <v>0.122016</v>
      </c>
      <c r="H89">
        <v>55.041200000000003</v>
      </c>
      <c r="I89">
        <v>54.919199999999996</v>
      </c>
      <c r="J89">
        <v>2.1903000000000001E-3</v>
      </c>
      <c r="K89">
        <v>0.119354</v>
      </c>
      <c r="L89">
        <v>54.6113</v>
      </c>
      <c r="M89">
        <v>54.491999999999997</v>
      </c>
      <c r="N89">
        <v>2.15862E-3</v>
      </c>
      <c r="O89">
        <v>0.11740100000000001</v>
      </c>
      <c r="P89">
        <v>54.504300000000001</v>
      </c>
      <c r="Q89">
        <v>54.386899999999997</v>
      </c>
      <c r="R89">
        <v>24.992000000000001</v>
      </c>
      <c r="S89">
        <v>24.992000000000001</v>
      </c>
      <c r="T89">
        <v>0.62529999999999997</v>
      </c>
      <c r="U89">
        <v>63.036999999999999</v>
      </c>
      <c r="V89">
        <f t="shared" si="6"/>
        <v>0.33826480783884433</v>
      </c>
      <c r="W89">
        <f t="shared" si="7"/>
        <v>2.22777E-3</v>
      </c>
      <c r="X89">
        <f t="shared" si="8"/>
        <v>2.2217399999999998E-3</v>
      </c>
      <c r="Y89">
        <f t="shared" si="9"/>
        <v>2.1903000000000001E-3</v>
      </c>
      <c r="Z89">
        <f t="shared" si="10"/>
        <v>2.15862E-3</v>
      </c>
      <c r="AA89">
        <f t="shared" si="11"/>
        <v>2.1996074999999999E-3</v>
      </c>
    </row>
    <row r="90" spans="1:27" x14ac:dyDescent="0.3">
      <c r="A90">
        <v>85</v>
      </c>
      <c r="B90">
        <v>2.2419900000000001E-3</v>
      </c>
      <c r="C90">
        <v>0.12364600000000001</v>
      </c>
      <c r="D90">
        <v>55.274000000000001</v>
      </c>
      <c r="E90">
        <v>55.150399999999998</v>
      </c>
      <c r="F90">
        <v>2.2403900000000001E-3</v>
      </c>
      <c r="G90">
        <v>0.12304</v>
      </c>
      <c r="H90">
        <v>55.042200000000001</v>
      </c>
      <c r="I90">
        <v>54.919199999999996</v>
      </c>
      <c r="J90">
        <v>2.225E-3</v>
      </c>
      <c r="K90">
        <v>0.12124500000000001</v>
      </c>
      <c r="L90">
        <v>54.613199999999999</v>
      </c>
      <c r="M90">
        <v>54.491999999999997</v>
      </c>
      <c r="N90">
        <v>2.1954100000000001E-3</v>
      </c>
      <c r="O90">
        <v>0.11940099999999999</v>
      </c>
      <c r="P90">
        <v>54.506300000000003</v>
      </c>
      <c r="Q90">
        <v>54.386899999999997</v>
      </c>
      <c r="R90">
        <v>25.303000000000001</v>
      </c>
      <c r="S90">
        <v>25.303000000000001</v>
      </c>
      <c r="T90">
        <v>0.63619999999999999</v>
      </c>
      <c r="U90">
        <v>64.135499999999993</v>
      </c>
      <c r="V90">
        <f t="shared" si="6"/>
        <v>0.34415950288161234</v>
      </c>
      <c r="W90">
        <f t="shared" si="7"/>
        <v>2.2419900000000001E-3</v>
      </c>
      <c r="X90">
        <f t="shared" si="8"/>
        <v>2.2403900000000001E-3</v>
      </c>
      <c r="Y90">
        <f t="shared" si="9"/>
        <v>2.225E-3</v>
      </c>
      <c r="Z90">
        <f t="shared" si="10"/>
        <v>2.1954100000000001E-3</v>
      </c>
      <c r="AA90">
        <f t="shared" si="11"/>
        <v>2.2256975000000002E-3</v>
      </c>
    </row>
    <row r="91" spans="1:27" x14ac:dyDescent="0.3">
      <c r="A91">
        <v>86</v>
      </c>
      <c r="B91">
        <v>2.23419E-3</v>
      </c>
      <c r="C91">
        <v>0.12321600000000001</v>
      </c>
      <c r="D91">
        <v>55.273600000000002</v>
      </c>
      <c r="E91">
        <v>55.150399999999998</v>
      </c>
      <c r="F91">
        <v>2.2369500000000001E-3</v>
      </c>
      <c r="G91">
        <v>0.122851</v>
      </c>
      <c r="H91">
        <v>55.042000000000002</v>
      </c>
      <c r="I91">
        <v>54.919199999999996</v>
      </c>
      <c r="J91">
        <v>2.2107699999999999E-3</v>
      </c>
      <c r="K91">
        <v>0.12046900000000001</v>
      </c>
      <c r="L91">
        <v>54.612499999999997</v>
      </c>
      <c r="M91">
        <v>54.491999999999997</v>
      </c>
      <c r="N91">
        <v>2.1886599999999998E-3</v>
      </c>
      <c r="O91">
        <v>0.119035</v>
      </c>
      <c r="P91">
        <v>54.505899999999997</v>
      </c>
      <c r="Q91">
        <v>54.386899999999997</v>
      </c>
      <c r="R91">
        <v>25.616</v>
      </c>
      <c r="S91">
        <v>25.616</v>
      </c>
      <c r="T91">
        <v>0.64070000000000005</v>
      </c>
      <c r="U91">
        <v>64.587800000000001</v>
      </c>
      <c r="V91">
        <f t="shared" si="6"/>
        <v>0.34658660399025509</v>
      </c>
      <c r="W91">
        <f t="shared" si="7"/>
        <v>2.23419E-3</v>
      </c>
      <c r="X91">
        <f t="shared" si="8"/>
        <v>2.2369500000000001E-3</v>
      </c>
      <c r="Y91">
        <f t="shared" si="9"/>
        <v>2.2107699999999999E-3</v>
      </c>
      <c r="Z91">
        <f t="shared" si="10"/>
        <v>2.1886599999999998E-3</v>
      </c>
      <c r="AA91">
        <f t="shared" si="11"/>
        <v>2.2176424999999999E-3</v>
      </c>
    </row>
    <row r="92" spans="1:27" x14ac:dyDescent="0.3">
      <c r="A92">
        <v>87</v>
      </c>
      <c r="B92">
        <v>2.27948E-3</v>
      </c>
      <c r="C92">
        <v>0.12571399999999999</v>
      </c>
      <c r="D92">
        <v>55.2761</v>
      </c>
      <c r="E92">
        <v>55.150399999999998</v>
      </c>
      <c r="F92">
        <v>2.27517E-3</v>
      </c>
      <c r="G92">
        <v>0.12495100000000001</v>
      </c>
      <c r="H92">
        <v>55.0441</v>
      </c>
      <c r="I92">
        <v>54.919199999999996</v>
      </c>
      <c r="J92">
        <v>2.2438900000000001E-3</v>
      </c>
      <c r="K92">
        <v>0.12227399999999999</v>
      </c>
      <c r="L92">
        <v>54.6143</v>
      </c>
      <c r="M92">
        <v>54.491999999999997</v>
      </c>
      <c r="N92">
        <v>2.2132100000000002E-3</v>
      </c>
      <c r="O92">
        <v>0.12037</v>
      </c>
      <c r="P92">
        <v>54.507300000000001</v>
      </c>
      <c r="Q92">
        <v>54.386899999999997</v>
      </c>
      <c r="R92">
        <v>25.803000000000001</v>
      </c>
      <c r="S92">
        <v>25.803000000000001</v>
      </c>
      <c r="T92">
        <v>0.65200000000000002</v>
      </c>
      <c r="U92">
        <v>65.718599999999995</v>
      </c>
      <c r="V92">
        <f t="shared" si="6"/>
        <v>0.35265462506841816</v>
      </c>
      <c r="W92">
        <f t="shared" si="7"/>
        <v>2.27948E-3</v>
      </c>
      <c r="X92">
        <f t="shared" si="8"/>
        <v>2.27517E-3</v>
      </c>
      <c r="Y92">
        <f t="shared" si="9"/>
        <v>2.2438900000000001E-3</v>
      </c>
      <c r="Z92">
        <f t="shared" si="10"/>
        <v>2.2132100000000002E-3</v>
      </c>
      <c r="AA92">
        <f t="shared" si="11"/>
        <v>2.2529375000000002E-3</v>
      </c>
    </row>
    <row r="93" spans="1:27" x14ac:dyDescent="0.3">
      <c r="A93">
        <v>88</v>
      </c>
      <c r="B93">
        <v>2.3407300000000001E-3</v>
      </c>
      <c r="C93">
        <v>0.12909200000000001</v>
      </c>
      <c r="D93">
        <v>55.279499999999999</v>
      </c>
      <c r="E93">
        <v>55.150399999999998</v>
      </c>
      <c r="F93">
        <v>2.3328200000000002E-3</v>
      </c>
      <c r="G93">
        <v>0.12811700000000001</v>
      </c>
      <c r="H93">
        <v>55.0473</v>
      </c>
      <c r="I93">
        <v>54.919199999999996</v>
      </c>
      <c r="J93">
        <v>2.3042700000000002E-3</v>
      </c>
      <c r="K93">
        <v>0.12556400000000001</v>
      </c>
      <c r="L93">
        <v>54.617600000000003</v>
      </c>
      <c r="M93">
        <v>54.491999999999997</v>
      </c>
      <c r="N93">
        <v>2.2726399999999998E-3</v>
      </c>
      <c r="O93">
        <v>0.123602</v>
      </c>
      <c r="P93">
        <v>54.5105</v>
      </c>
      <c r="Q93">
        <v>54.386899999999997</v>
      </c>
      <c r="R93">
        <v>26.175999999999998</v>
      </c>
      <c r="S93">
        <v>26.177</v>
      </c>
      <c r="T93">
        <v>0.66039999999999999</v>
      </c>
      <c r="U93">
        <v>66.558700000000002</v>
      </c>
      <c r="V93">
        <f t="shared" si="6"/>
        <v>0.35716271182802622</v>
      </c>
      <c r="W93">
        <f t="shared" si="7"/>
        <v>2.3407300000000001E-3</v>
      </c>
      <c r="X93">
        <f t="shared" si="8"/>
        <v>2.3328200000000002E-3</v>
      </c>
      <c r="Y93">
        <f t="shared" si="9"/>
        <v>2.3042700000000002E-3</v>
      </c>
      <c r="Z93">
        <f t="shared" si="10"/>
        <v>2.2726399999999998E-3</v>
      </c>
      <c r="AA93">
        <f t="shared" si="11"/>
        <v>2.3126150000000001E-3</v>
      </c>
    </row>
    <row r="94" spans="1:27" x14ac:dyDescent="0.3">
      <c r="A94">
        <v>89</v>
      </c>
      <c r="B94">
        <v>2.3708599999999998E-3</v>
      </c>
      <c r="C94">
        <v>0.13075400000000001</v>
      </c>
      <c r="D94">
        <v>55.281100000000002</v>
      </c>
      <c r="E94">
        <v>55.150399999999998</v>
      </c>
      <c r="F94">
        <v>2.3715799999999999E-3</v>
      </c>
      <c r="G94">
        <v>0.130245</v>
      </c>
      <c r="H94">
        <v>55.049399999999999</v>
      </c>
      <c r="I94">
        <v>54.919199999999996</v>
      </c>
      <c r="J94">
        <v>2.3383000000000002E-3</v>
      </c>
      <c r="K94">
        <v>0.127419</v>
      </c>
      <c r="L94">
        <v>54.619399999999999</v>
      </c>
      <c r="M94">
        <v>54.491999999999997</v>
      </c>
      <c r="N94">
        <v>2.3026100000000001E-3</v>
      </c>
      <c r="O94">
        <v>0.12523200000000001</v>
      </c>
      <c r="P94">
        <v>54.512099999999997</v>
      </c>
      <c r="Q94">
        <v>54.386899999999997</v>
      </c>
      <c r="R94">
        <v>26.489000000000001</v>
      </c>
      <c r="S94">
        <v>26.49</v>
      </c>
      <c r="T94">
        <v>0.67620000000000002</v>
      </c>
      <c r="U94">
        <v>68.141800000000003</v>
      </c>
      <c r="V94">
        <f t="shared" si="6"/>
        <v>0.36565783401483198</v>
      </c>
      <c r="W94">
        <f t="shared" si="7"/>
        <v>2.3708599999999998E-3</v>
      </c>
      <c r="X94">
        <f t="shared" si="8"/>
        <v>2.3715799999999999E-3</v>
      </c>
      <c r="Y94">
        <f t="shared" si="9"/>
        <v>2.3383000000000002E-3</v>
      </c>
      <c r="Z94">
        <f t="shared" si="10"/>
        <v>2.3026100000000001E-3</v>
      </c>
      <c r="AA94">
        <f t="shared" si="11"/>
        <v>2.3458375000000001E-3</v>
      </c>
    </row>
    <row r="95" spans="1:27" x14ac:dyDescent="0.3">
      <c r="A95">
        <v>90</v>
      </c>
      <c r="B95">
        <v>2.4628100000000002E-3</v>
      </c>
      <c r="C95">
        <v>0.135825</v>
      </c>
      <c r="D95">
        <v>55.286200000000001</v>
      </c>
      <c r="E95">
        <v>55.150399999999998</v>
      </c>
      <c r="F95">
        <v>2.4604800000000001E-3</v>
      </c>
      <c r="G95">
        <v>0.135128</v>
      </c>
      <c r="H95">
        <v>55.054299999999998</v>
      </c>
      <c r="I95">
        <v>54.919199999999996</v>
      </c>
      <c r="J95">
        <v>2.4226500000000002E-3</v>
      </c>
      <c r="K95">
        <v>0.13201499999999999</v>
      </c>
      <c r="L95">
        <v>54.624000000000002</v>
      </c>
      <c r="M95">
        <v>54.491999999999997</v>
      </c>
      <c r="N95">
        <v>2.3884599999999998E-3</v>
      </c>
      <c r="O95">
        <v>0.12990099999999999</v>
      </c>
      <c r="P95">
        <v>54.516800000000003</v>
      </c>
      <c r="Q95">
        <v>54.386899999999997</v>
      </c>
      <c r="R95">
        <v>26.864999999999998</v>
      </c>
      <c r="S95">
        <v>26.866</v>
      </c>
      <c r="T95">
        <v>0.68130000000000002</v>
      </c>
      <c r="U95">
        <v>68.658799999999999</v>
      </c>
      <c r="V95">
        <f t="shared" si="6"/>
        <v>0.36843212380737733</v>
      </c>
      <c r="W95">
        <f t="shared" si="7"/>
        <v>2.4628100000000002E-3</v>
      </c>
      <c r="X95">
        <f t="shared" si="8"/>
        <v>2.4604800000000001E-3</v>
      </c>
      <c r="Y95">
        <f t="shared" si="9"/>
        <v>2.4226500000000002E-3</v>
      </c>
      <c r="Z95">
        <f t="shared" si="10"/>
        <v>2.3884599999999998E-3</v>
      </c>
      <c r="AA95">
        <f t="shared" si="11"/>
        <v>2.4336000000000002E-3</v>
      </c>
    </row>
    <row r="96" spans="1:27" x14ac:dyDescent="0.3">
      <c r="A96">
        <v>91</v>
      </c>
      <c r="B96">
        <v>2.4794800000000001E-3</v>
      </c>
      <c r="C96">
        <v>0.136744</v>
      </c>
      <c r="D96">
        <v>55.287100000000002</v>
      </c>
      <c r="E96">
        <v>55.150399999999998</v>
      </c>
      <c r="F96">
        <v>2.4775600000000002E-3</v>
      </c>
      <c r="G96">
        <v>0.13606499999999999</v>
      </c>
      <c r="H96">
        <v>55.055199999999999</v>
      </c>
      <c r="I96">
        <v>54.919199999999996</v>
      </c>
      <c r="J96">
        <v>2.4463900000000001E-3</v>
      </c>
      <c r="K96">
        <v>0.13330900000000001</v>
      </c>
      <c r="L96">
        <v>54.625300000000003</v>
      </c>
      <c r="M96">
        <v>54.491999999999997</v>
      </c>
      <c r="N96">
        <v>2.3991899999999998E-3</v>
      </c>
      <c r="O96">
        <v>0.13048499999999999</v>
      </c>
      <c r="P96">
        <v>54.517400000000002</v>
      </c>
      <c r="Q96">
        <v>54.386899999999997</v>
      </c>
      <c r="R96">
        <v>27.175000000000001</v>
      </c>
      <c r="S96">
        <v>27.175999999999998</v>
      </c>
      <c r="T96">
        <v>0.69550000000000001</v>
      </c>
      <c r="U96">
        <v>70.080399999999997</v>
      </c>
      <c r="V96">
        <f t="shared" si="6"/>
        <v>0.37606061581720807</v>
      </c>
      <c r="W96">
        <f t="shared" si="7"/>
        <v>2.4794800000000001E-3</v>
      </c>
      <c r="X96">
        <f t="shared" si="8"/>
        <v>2.4775600000000002E-3</v>
      </c>
      <c r="Y96">
        <f t="shared" si="9"/>
        <v>2.4463900000000001E-3</v>
      </c>
      <c r="Z96">
        <f t="shared" si="10"/>
        <v>2.3991899999999998E-3</v>
      </c>
      <c r="AA96">
        <f t="shared" si="11"/>
        <v>2.4506550000000004E-3</v>
      </c>
    </row>
    <row r="97" spans="1:27" x14ac:dyDescent="0.3">
      <c r="A97">
        <v>92</v>
      </c>
      <c r="B97">
        <v>2.5132499999999999E-3</v>
      </c>
      <c r="C97">
        <v>0.13860700000000001</v>
      </c>
      <c r="D97">
        <v>55.289000000000001</v>
      </c>
      <c r="E97">
        <v>55.150399999999998</v>
      </c>
      <c r="F97">
        <v>2.4928099999999998E-3</v>
      </c>
      <c r="G97">
        <v>0.136903</v>
      </c>
      <c r="H97">
        <v>55.056100000000001</v>
      </c>
      <c r="I97">
        <v>54.919199999999996</v>
      </c>
      <c r="J97">
        <v>2.4540299999999998E-3</v>
      </c>
      <c r="K97">
        <v>0.13372500000000001</v>
      </c>
      <c r="L97">
        <v>54.625700000000002</v>
      </c>
      <c r="M97">
        <v>54.491999999999997</v>
      </c>
      <c r="N97">
        <v>2.4118E-3</v>
      </c>
      <c r="O97">
        <v>0.13117000000000001</v>
      </c>
      <c r="P97">
        <v>54.518099999999997</v>
      </c>
      <c r="Q97">
        <v>54.386899999999997</v>
      </c>
      <c r="R97">
        <v>27.548999999999999</v>
      </c>
      <c r="S97">
        <v>27.548999999999999</v>
      </c>
      <c r="T97">
        <v>0.70389999999999997</v>
      </c>
      <c r="U97">
        <v>70.920400000000001</v>
      </c>
      <c r="V97">
        <f t="shared" si="6"/>
        <v>0.38056816596370352</v>
      </c>
      <c r="W97">
        <f t="shared" si="7"/>
        <v>2.5132499999999999E-3</v>
      </c>
      <c r="X97">
        <f t="shared" si="8"/>
        <v>2.4928099999999998E-3</v>
      </c>
      <c r="Y97">
        <f t="shared" si="9"/>
        <v>2.4540299999999998E-3</v>
      </c>
      <c r="Z97">
        <f t="shared" si="10"/>
        <v>2.4118E-3</v>
      </c>
      <c r="AA97">
        <f t="shared" si="11"/>
        <v>2.4679724999999999E-3</v>
      </c>
    </row>
    <row r="98" spans="1:27" x14ac:dyDescent="0.3">
      <c r="A98">
        <v>93</v>
      </c>
      <c r="B98">
        <v>2.5025899999999998E-3</v>
      </c>
      <c r="C98">
        <v>0.138019</v>
      </c>
      <c r="D98">
        <v>55.288400000000003</v>
      </c>
      <c r="E98">
        <v>55.150399999999998</v>
      </c>
      <c r="F98">
        <v>2.4935399999999998E-3</v>
      </c>
      <c r="G98">
        <v>0.13694300000000001</v>
      </c>
      <c r="H98">
        <v>55.056100000000001</v>
      </c>
      <c r="I98">
        <v>54.919199999999996</v>
      </c>
      <c r="J98">
        <v>2.4792799999999999E-3</v>
      </c>
      <c r="K98">
        <v>0.135101</v>
      </c>
      <c r="L98">
        <v>54.627099999999999</v>
      </c>
      <c r="M98">
        <v>54.491999999999997</v>
      </c>
      <c r="N98">
        <v>2.4563300000000001E-3</v>
      </c>
      <c r="O98">
        <v>0.13359199999999999</v>
      </c>
      <c r="P98">
        <v>54.520499999999998</v>
      </c>
      <c r="Q98">
        <v>54.386899999999997</v>
      </c>
      <c r="R98">
        <v>27.861000000000001</v>
      </c>
      <c r="S98">
        <v>27.861000000000001</v>
      </c>
      <c r="T98">
        <v>0.71579999999999999</v>
      </c>
      <c r="U98">
        <v>72.115899999999996</v>
      </c>
      <c r="V98">
        <f t="shared" si="6"/>
        <v>0.38698337572576919</v>
      </c>
      <c r="W98">
        <f t="shared" si="7"/>
        <v>2.5025899999999998E-3</v>
      </c>
      <c r="X98">
        <f t="shared" si="8"/>
        <v>2.4935399999999998E-3</v>
      </c>
      <c r="Y98">
        <f t="shared" si="9"/>
        <v>2.4792799999999999E-3</v>
      </c>
      <c r="Z98">
        <f t="shared" si="10"/>
        <v>2.4563300000000001E-3</v>
      </c>
      <c r="AA98">
        <f t="shared" si="11"/>
        <v>2.4829349999999999E-3</v>
      </c>
    </row>
    <row r="99" spans="1:27" x14ac:dyDescent="0.3">
      <c r="A99">
        <v>94</v>
      </c>
      <c r="B99">
        <v>2.5644000000000001E-3</v>
      </c>
      <c r="C99">
        <v>0.141428</v>
      </c>
      <c r="D99">
        <v>55.291800000000002</v>
      </c>
      <c r="E99">
        <v>55.150399999999998</v>
      </c>
      <c r="F99">
        <v>2.5500599999999998E-3</v>
      </c>
      <c r="G99">
        <v>0.140047</v>
      </c>
      <c r="H99">
        <v>55.059199999999997</v>
      </c>
      <c r="I99">
        <v>54.919199999999996</v>
      </c>
      <c r="J99">
        <v>2.5192499999999998E-3</v>
      </c>
      <c r="K99">
        <v>0.13727900000000001</v>
      </c>
      <c r="L99">
        <v>54.629300000000001</v>
      </c>
      <c r="M99">
        <v>54.491999999999997</v>
      </c>
      <c r="N99">
        <v>2.4796000000000002E-3</v>
      </c>
      <c r="O99">
        <v>0.13485800000000001</v>
      </c>
      <c r="P99">
        <v>54.521799999999999</v>
      </c>
      <c r="Q99">
        <v>54.386899999999997</v>
      </c>
      <c r="R99">
        <v>28.236000000000001</v>
      </c>
      <c r="S99">
        <v>28.236000000000001</v>
      </c>
      <c r="T99">
        <v>0.7278</v>
      </c>
      <c r="U99">
        <v>73.311300000000003</v>
      </c>
      <c r="V99">
        <f t="shared" si="6"/>
        <v>0.39339804887472235</v>
      </c>
      <c r="W99">
        <f t="shared" si="7"/>
        <v>2.5644000000000001E-3</v>
      </c>
      <c r="X99">
        <f t="shared" si="8"/>
        <v>2.5500599999999998E-3</v>
      </c>
      <c r="Y99">
        <f t="shared" si="9"/>
        <v>2.5192499999999998E-3</v>
      </c>
      <c r="Z99">
        <f t="shared" si="10"/>
        <v>2.4796000000000002E-3</v>
      </c>
      <c r="AA99">
        <f t="shared" si="11"/>
        <v>2.5283275000000001E-3</v>
      </c>
    </row>
    <row r="100" spans="1:27" x14ac:dyDescent="0.3">
      <c r="A100">
        <v>95</v>
      </c>
      <c r="B100">
        <v>2.5819800000000002E-3</v>
      </c>
      <c r="C100">
        <v>0.142397</v>
      </c>
      <c r="D100">
        <v>55.2928</v>
      </c>
      <c r="E100">
        <v>55.150399999999998</v>
      </c>
      <c r="F100">
        <v>2.5727900000000001E-3</v>
      </c>
      <c r="G100">
        <v>0.141295</v>
      </c>
      <c r="H100">
        <v>55.060499999999998</v>
      </c>
      <c r="I100">
        <v>54.919199999999996</v>
      </c>
      <c r="J100">
        <v>2.5370900000000001E-3</v>
      </c>
      <c r="K100">
        <v>0.13825100000000001</v>
      </c>
      <c r="L100">
        <v>54.630200000000002</v>
      </c>
      <c r="M100">
        <v>54.491999999999997</v>
      </c>
      <c r="N100">
        <v>2.5024600000000002E-3</v>
      </c>
      <c r="O100">
        <v>0.136101</v>
      </c>
      <c r="P100">
        <v>54.523000000000003</v>
      </c>
      <c r="Q100">
        <v>54.386899999999997</v>
      </c>
      <c r="R100">
        <v>28.425999999999998</v>
      </c>
      <c r="S100">
        <v>28.427</v>
      </c>
      <c r="T100">
        <v>0.73229999999999995</v>
      </c>
      <c r="U100">
        <v>73.7637</v>
      </c>
      <c r="V100">
        <f t="shared" si="6"/>
        <v>0.39582568659647765</v>
      </c>
      <c r="W100">
        <f t="shared" si="7"/>
        <v>2.5819800000000002E-3</v>
      </c>
      <c r="X100">
        <f t="shared" si="8"/>
        <v>2.5727900000000001E-3</v>
      </c>
      <c r="Y100">
        <f t="shared" si="9"/>
        <v>2.5370900000000001E-3</v>
      </c>
      <c r="Z100">
        <f t="shared" si="10"/>
        <v>2.5024600000000002E-3</v>
      </c>
      <c r="AA100">
        <f t="shared" si="11"/>
        <v>2.5485799999999999E-3</v>
      </c>
    </row>
    <row r="101" spans="1:27" x14ac:dyDescent="0.3">
      <c r="A101">
        <v>96</v>
      </c>
      <c r="B101">
        <v>2.5886099999999999E-3</v>
      </c>
      <c r="C101">
        <v>0.142763</v>
      </c>
      <c r="D101">
        <v>55.293100000000003</v>
      </c>
      <c r="E101">
        <v>55.150399999999998</v>
      </c>
      <c r="F101">
        <v>2.5786699999999999E-3</v>
      </c>
      <c r="G101">
        <v>0.14161899999999999</v>
      </c>
      <c r="H101">
        <v>55.0608</v>
      </c>
      <c r="I101">
        <v>54.919199999999996</v>
      </c>
      <c r="J101">
        <v>2.5425399999999998E-3</v>
      </c>
      <c r="K101">
        <v>0.138548</v>
      </c>
      <c r="L101">
        <v>54.630499999999998</v>
      </c>
      <c r="M101">
        <v>54.491999999999997</v>
      </c>
      <c r="N101">
        <v>2.5045900000000001E-3</v>
      </c>
      <c r="O101">
        <v>0.136217</v>
      </c>
      <c r="P101">
        <v>54.523099999999999</v>
      </c>
      <c r="Q101">
        <v>54.386899999999997</v>
      </c>
      <c r="R101">
        <v>28.734999999999999</v>
      </c>
      <c r="S101">
        <v>28.734999999999999</v>
      </c>
      <c r="T101">
        <v>0.73939999999999995</v>
      </c>
      <c r="U101">
        <v>74.474500000000006</v>
      </c>
      <c r="V101">
        <f t="shared" si="6"/>
        <v>0.39963993260139308</v>
      </c>
      <c r="W101">
        <f t="shared" si="7"/>
        <v>2.5886099999999999E-3</v>
      </c>
      <c r="X101">
        <f t="shared" si="8"/>
        <v>2.5786699999999999E-3</v>
      </c>
      <c r="Y101">
        <f t="shared" si="9"/>
        <v>2.5425399999999998E-3</v>
      </c>
      <c r="Z101">
        <f t="shared" si="10"/>
        <v>2.5045900000000001E-3</v>
      </c>
      <c r="AA101">
        <f t="shared" si="11"/>
        <v>2.5536025E-3</v>
      </c>
    </row>
    <row r="102" spans="1:27" x14ac:dyDescent="0.3">
      <c r="A102">
        <v>97</v>
      </c>
      <c r="B102">
        <v>2.6130699999999999E-3</v>
      </c>
      <c r="C102">
        <v>0.14411199999999999</v>
      </c>
      <c r="D102">
        <v>55.294499999999999</v>
      </c>
      <c r="E102">
        <v>55.150399999999998</v>
      </c>
      <c r="F102">
        <v>2.6016099999999999E-3</v>
      </c>
      <c r="G102">
        <v>0.14287900000000001</v>
      </c>
      <c r="H102">
        <v>55.061999999999998</v>
      </c>
      <c r="I102">
        <v>54.919199999999996</v>
      </c>
      <c r="J102">
        <v>2.5665100000000001E-3</v>
      </c>
      <c r="K102">
        <v>0.13985400000000001</v>
      </c>
      <c r="L102">
        <v>54.631799999999998</v>
      </c>
      <c r="M102">
        <v>54.491999999999997</v>
      </c>
      <c r="N102">
        <v>2.5272900000000002E-3</v>
      </c>
      <c r="O102">
        <v>0.13745099999999999</v>
      </c>
      <c r="P102">
        <v>54.5244</v>
      </c>
      <c r="Q102">
        <v>54.386899999999997</v>
      </c>
      <c r="R102">
        <v>29.11</v>
      </c>
      <c r="S102">
        <v>29.11</v>
      </c>
      <c r="T102">
        <v>0.75029999999999997</v>
      </c>
      <c r="U102">
        <v>75.572999999999993</v>
      </c>
      <c r="V102">
        <f t="shared" si="6"/>
        <v>0.40553462764416104</v>
      </c>
      <c r="W102">
        <f t="shared" si="7"/>
        <v>2.6130699999999999E-3</v>
      </c>
      <c r="X102">
        <f t="shared" si="8"/>
        <v>2.6016099999999999E-3</v>
      </c>
      <c r="Y102">
        <f t="shared" si="9"/>
        <v>2.5665100000000001E-3</v>
      </c>
      <c r="Z102">
        <f t="shared" si="10"/>
        <v>2.5272900000000002E-3</v>
      </c>
      <c r="AA102">
        <f t="shared" si="11"/>
        <v>2.57712E-3</v>
      </c>
    </row>
    <row r="103" spans="1:27" x14ac:dyDescent="0.3">
      <c r="A103">
        <v>98</v>
      </c>
      <c r="B103">
        <v>2.68228E-3</v>
      </c>
      <c r="C103">
        <v>0.147929</v>
      </c>
      <c r="D103">
        <v>55.298299999999998</v>
      </c>
      <c r="E103">
        <v>55.150399999999998</v>
      </c>
      <c r="F103">
        <v>2.6689999999999999E-3</v>
      </c>
      <c r="G103">
        <v>0.14657899999999999</v>
      </c>
      <c r="H103">
        <v>55.0657</v>
      </c>
      <c r="I103">
        <v>54.919199999999996</v>
      </c>
      <c r="J103">
        <v>2.6389899999999999E-3</v>
      </c>
      <c r="K103">
        <v>0.14380399999999999</v>
      </c>
      <c r="L103">
        <v>54.635800000000003</v>
      </c>
      <c r="M103">
        <v>54.491999999999997</v>
      </c>
      <c r="N103">
        <v>2.59129E-3</v>
      </c>
      <c r="O103">
        <v>0.140932</v>
      </c>
      <c r="P103">
        <v>54.527799999999999</v>
      </c>
      <c r="Q103">
        <v>54.386899999999997</v>
      </c>
      <c r="R103">
        <v>29.484000000000002</v>
      </c>
      <c r="S103">
        <v>29.484000000000002</v>
      </c>
      <c r="T103">
        <v>0.75929999999999997</v>
      </c>
      <c r="U103">
        <v>76.477599999999995</v>
      </c>
      <c r="V103">
        <f t="shared" si="6"/>
        <v>0.41038882986144648</v>
      </c>
      <c r="W103">
        <f t="shared" si="7"/>
        <v>2.68228E-3</v>
      </c>
      <c r="X103">
        <f t="shared" si="8"/>
        <v>2.6689999999999999E-3</v>
      </c>
      <c r="Y103">
        <f t="shared" si="9"/>
        <v>2.6389899999999999E-3</v>
      </c>
      <c r="Z103">
        <f t="shared" si="10"/>
        <v>2.59129E-3</v>
      </c>
      <c r="AA103">
        <f t="shared" si="11"/>
        <v>2.6453900000000001E-3</v>
      </c>
    </row>
    <row r="104" spans="1:27" x14ac:dyDescent="0.3">
      <c r="A104">
        <v>99</v>
      </c>
      <c r="B104">
        <v>2.73026E-3</v>
      </c>
      <c r="C104">
        <v>0.15057499999999999</v>
      </c>
      <c r="D104">
        <v>55.301000000000002</v>
      </c>
      <c r="E104">
        <v>55.150399999999998</v>
      </c>
      <c r="F104">
        <v>2.7104899999999999E-3</v>
      </c>
      <c r="G104">
        <v>0.14885799999999999</v>
      </c>
      <c r="H104">
        <v>55.067999999999998</v>
      </c>
      <c r="I104">
        <v>54.919199999999996</v>
      </c>
      <c r="J104">
        <v>2.6748399999999999E-3</v>
      </c>
      <c r="K104">
        <v>0.145757</v>
      </c>
      <c r="L104">
        <v>54.637700000000002</v>
      </c>
      <c r="M104">
        <v>54.491999999999997</v>
      </c>
      <c r="N104">
        <v>2.6291299999999999E-3</v>
      </c>
      <c r="O104">
        <v>0.14299000000000001</v>
      </c>
      <c r="P104">
        <v>54.529899999999998</v>
      </c>
      <c r="Q104">
        <v>54.386899999999997</v>
      </c>
      <c r="R104">
        <v>29.859000000000002</v>
      </c>
      <c r="S104">
        <v>29.859000000000002</v>
      </c>
      <c r="T104">
        <v>0.77190000000000003</v>
      </c>
      <c r="U104">
        <v>77.737700000000004</v>
      </c>
      <c r="V104">
        <f t="shared" si="6"/>
        <v>0.41715069169430224</v>
      </c>
      <c r="W104">
        <f t="shared" si="7"/>
        <v>2.73026E-3</v>
      </c>
      <c r="X104">
        <f t="shared" si="8"/>
        <v>2.7104899999999999E-3</v>
      </c>
      <c r="Y104">
        <f t="shared" si="9"/>
        <v>2.6748399999999999E-3</v>
      </c>
      <c r="Z104">
        <f t="shared" si="10"/>
        <v>2.6291299999999999E-3</v>
      </c>
      <c r="AA104">
        <f t="shared" si="11"/>
        <v>2.6861799999999998E-3</v>
      </c>
    </row>
    <row r="105" spans="1:27" x14ac:dyDescent="0.3">
      <c r="A105">
        <v>100</v>
      </c>
      <c r="B105">
        <v>2.7499899999999999E-3</v>
      </c>
      <c r="C105">
        <v>0.15166299999999999</v>
      </c>
      <c r="D105">
        <v>55.302</v>
      </c>
      <c r="E105">
        <v>55.150399999999998</v>
      </c>
      <c r="F105">
        <v>2.7326199999999998E-3</v>
      </c>
      <c r="G105">
        <v>0.15007300000000001</v>
      </c>
      <c r="H105">
        <v>55.069200000000002</v>
      </c>
      <c r="I105">
        <v>54.919199999999996</v>
      </c>
      <c r="J105">
        <v>2.6908000000000001E-3</v>
      </c>
      <c r="K105">
        <v>0.14662700000000001</v>
      </c>
      <c r="L105">
        <v>54.638599999999997</v>
      </c>
      <c r="M105">
        <v>54.491999999999997</v>
      </c>
      <c r="N105">
        <v>2.6423200000000001E-3</v>
      </c>
      <c r="O105">
        <v>0.143708</v>
      </c>
      <c r="P105">
        <v>54.5306</v>
      </c>
      <c r="Q105">
        <v>54.386899999999997</v>
      </c>
      <c r="R105">
        <v>30.170999999999999</v>
      </c>
      <c r="S105">
        <v>30.170999999999999</v>
      </c>
      <c r="T105">
        <v>0.78249999999999997</v>
      </c>
      <c r="U105">
        <v>78.803899999999999</v>
      </c>
      <c r="V105">
        <f t="shared" si="6"/>
        <v>0.42287206070167532</v>
      </c>
      <c r="W105">
        <f t="shared" si="7"/>
        <v>2.7499899999999999E-3</v>
      </c>
      <c r="X105">
        <f t="shared" si="8"/>
        <v>2.7326199999999998E-3</v>
      </c>
      <c r="Y105">
        <f t="shared" si="9"/>
        <v>2.6908000000000001E-3</v>
      </c>
      <c r="Z105">
        <f t="shared" si="10"/>
        <v>2.6423200000000001E-3</v>
      </c>
      <c r="AA105">
        <f t="shared" si="11"/>
        <v>2.7039324999999998E-3</v>
      </c>
    </row>
    <row r="106" spans="1:27" x14ac:dyDescent="0.3">
      <c r="A106">
        <v>101</v>
      </c>
      <c r="B106">
        <v>2.7834499999999998E-3</v>
      </c>
      <c r="C106">
        <v>0.15350800000000001</v>
      </c>
      <c r="D106">
        <v>55.303899999999999</v>
      </c>
      <c r="E106">
        <v>55.150399999999998</v>
      </c>
      <c r="F106">
        <v>2.7629799999999999E-3</v>
      </c>
      <c r="G106">
        <v>0.15174099999999999</v>
      </c>
      <c r="H106">
        <v>55.070900000000002</v>
      </c>
      <c r="I106">
        <v>54.919199999999996</v>
      </c>
      <c r="J106">
        <v>2.72661E-3</v>
      </c>
      <c r="K106">
        <v>0.14857799999999999</v>
      </c>
      <c r="L106">
        <v>54.640599999999999</v>
      </c>
      <c r="M106">
        <v>54.491999999999997</v>
      </c>
      <c r="N106">
        <v>2.67935E-3</v>
      </c>
      <c r="O106">
        <v>0.14572199999999999</v>
      </c>
      <c r="P106">
        <v>54.532600000000002</v>
      </c>
      <c r="Q106">
        <v>54.386899999999997</v>
      </c>
      <c r="R106">
        <v>30.545000000000002</v>
      </c>
      <c r="S106">
        <v>30.545999999999999</v>
      </c>
      <c r="T106">
        <v>0.78900000000000003</v>
      </c>
      <c r="U106">
        <v>79.450100000000006</v>
      </c>
      <c r="V106">
        <f t="shared" si="6"/>
        <v>0.4263396546358007</v>
      </c>
      <c r="W106">
        <f t="shared" si="7"/>
        <v>2.7834499999999998E-3</v>
      </c>
      <c r="X106">
        <f t="shared" si="8"/>
        <v>2.7629799999999999E-3</v>
      </c>
      <c r="Y106">
        <f t="shared" si="9"/>
        <v>2.72661E-3</v>
      </c>
      <c r="Z106">
        <f t="shared" si="10"/>
        <v>2.67935E-3</v>
      </c>
      <c r="AA106">
        <f t="shared" si="11"/>
        <v>2.7380974999999998E-3</v>
      </c>
    </row>
    <row r="107" spans="1:27" x14ac:dyDescent="0.3">
      <c r="A107">
        <v>102</v>
      </c>
      <c r="B107">
        <v>2.8043399999999998E-3</v>
      </c>
      <c r="C107">
        <v>0.15465999999999999</v>
      </c>
      <c r="D107">
        <v>55.305</v>
      </c>
      <c r="E107">
        <v>55.150399999999998</v>
      </c>
      <c r="F107">
        <v>2.7881799999999999E-3</v>
      </c>
      <c r="G107">
        <v>0.15312500000000001</v>
      </c>
      <c r="H107">
        <v>55.072299999999998</v>
      </c>
      <c r="I107">
        <v>54.919199999999996</v>
      </c>
      <c r="J107">
        <v>2.7463800000000001E-3</v>
      </c>
      <c r="K107">
        <v>0.14965600000000001</v>
      </c>
      <c r="L107">
        <v>54.641599999999997</v>
      </c>
      <c r="M107">
        <v>54.491999999999997</v>
      </c>
      <c r="N107">
        <v>2.6953900000000002E-3</v>
      </c>
      <c r="O107">
        <v>0.146594</v>
      </c>
      <c r="P107">
        <v>54.533499999999997</v>
      </c>
      <c r="Q107">
        <v>54.386899999999997</v>
      </c>
      <c r="R107">
        <v>30.792999999999999</v>
      </c>
      <c r="S107">
        <v>30.794</v>
      </c>
      <c r="T107">
        <v>0.79900000000000004</v>
      </c>
      <c r="U107">
        <v>80.451700000000002</v>
      </c>
      <c r="V107">
        <f t="shared" si="6"/>
        <v>0.43171437157238379</v>
      </c>
      <c r="W107">
        <f t="shared" si="7"/>
        <v>2.8043399999999998E-3</v>
      </c>
      <c r="X107">
        <f t="shared" si="8"/>
        <v>2.7881799999999999E-3</v>
      </c>
      <c r="Y107">
        <f t="shared" si="9"/>
        <v>2.7463800000000001E-3</v>
      </c>
      <c r="Z107">
        <f t="shared" si="10"/>
        <v>2.6953900000000002E-3</v>
      </c>
      <c r="AA107">
        <f t="shared" si="11"/>
        <v>2.7585725000000001E-3</v>
      </c>
    </row>
    <row r="108" spans="1:27" x14ac:dyDescent="0.3">
      <c r="A108">
        <v>103</v>
      </c>
      <c r="B108">
        <v>2.8323599999999999E-3</v>
      </c>
      <c r="C108">
        <v>0.15620600000000001</v>
      </c>
      <c r="D108">
        <v>55.306600000000003</v>
      </c>
      <c r="E108">
        <v>55.150399999999998</v>
      </c>
      <c r="F108">
        <v>2.8196100000000002E-3</v>
      </c>
      <c r="G108">
        <v>0.15485099999999999</v>
      </c>
      <c r="H108">
        <v>55.073999999999998</v>
      </c>
      <c r="I108">
        <v>54.919199999999996</v>
      </c>
      <c r="J108">
        <v>2.7798300000000001E-3</v>
      </c>
      <c r="K108">
        <v>0.151478</v>
      </c>
      <c r="L108">
        <v>54.643500000000003</v>
      </c>
      <c r="M108">
        <v>54.491999999999997</v>
      </c>
      <c r="N108">
        <v>2.73062E-3</v>
      </c>
      <c r="O108">
        <v>0.14851</v>
      </c>
      <c r="P108">
        <v>54.535400000000003</v>
      </c>
      <c r="Q108">
        <v>54.386899999999997</v>
      </c>
      <c r="R108">
        <v>31.294</v>
      </c>
      <c r="S108">
        <v>31.294</v>
      </c>
      <c r="T108">
        <v>0.81320000000000003</v>
      </c>
      <c r="U108">
        <v>81.8733</v>
      </c>
      <c r="V108">
        <f t="shared" si="6"/>
        <v>0.43934286358221453</v>
      </c>
      <c r="W108">
        <f t="shared" si="7"/>
        <v>2.8323599999999999E-3</v>
      </c>
      <c r="X108">
        <f t="shared" si="8"/>
        <v>2.8196100000000002E-3</v>
      </c>
      <c r="Y108">
        <f t="shared" si="9"/>
        <v>2.7798300000000001E-3</v>
      </c>
      <c r="Z108">
        <f t="shared" si="10"/>
        <v>2.73062E-3</v>
      </c>
      <c r="AA108">
        <f t="shared" si="11"/>
        <v>2.7906049999999998E-3</v>
      </c>
    </row>
    <row r="109" spans="1:27" x14ac:dyDescent="0.3">
      <c r="A109">
        <v>104</v>
      </c>
      <c r="B109">
        <v>2.8575100000000002E-3</v>
      </c>
      <c r="C109">
        <v>0.15759300000000001</v>
      </c>
      <c r="D109">
        <v>55.308</v>
      </c>
      <c r="E109">
        <v>55.150399999999998</v>
      </c>
      <c r="F109">
        <v>2.8440800000000001E-3</v>
      </c>
      <c r="G109">
        <v>0.156194</v>
      </c>
      <c r="H109">
        <v>55.075400000000002</v>
      </c>
      <c r="I109">
        <v>54.919199999999996</v>
      </c>
      <c r="J109">
        <v>2.7980700000000002E-3</v>
      </c>
      <c r="K109">
        <v>0.152472</v>
      </c>
      <c r="L109">
        <v>54.644500000000001</v>
      </c>
      <c r="M109">
        <v>54.491999999999997</v>
      </c>
      <c r="N109">
        <v>2.7540899999999998E-3</v>
      </c>
      <c r="O109">
        <v>0.149786</v>
      </c>
      <c r="P109">
        <v>54.536700000000003</v>
      </c>
      <c r="Q109">
        <v>54.386899999999997</v>
      </c>
      <c r="R109">
        <v>31.605</v>
      </c>
      <c r="S109">
        <v>31.606000000000002</v>
      </c>
      <c r="T109">
        <v>0.82509999999999994</v>
      </c>
      <c r="U109">
        <v>83.068700000000007</v>
      </c>
      <c r="V109">
        <f t="shared" si="6"/>
        <v>0.44575753673116758</v>
      </c>
      <c r="W109">
        <f t="shared" si="7"/>
        <v>2.8575100000000002E-3</v>
      </c>
      <c r="X109">
        <f t="shared" si="8"/>
        <v>2.8440800000000001E-3</v>
      </c>
      <c r="Y109">
        <f t="shared" si="9"/>
        <v>2.7980700000000002E-3</v>
      </c>
      <c r="Z109">
        <f t="shared" si="10"/>
        <v>2.7540899999999998E-3</v>
      </c>
      <c r="AA109">
        <f t="shared" si="11"/>
        <v>2.8134375E-3</v>
      </c>
    </row>
    <row r="110" spans="1:27" x14ac:dyDescent="0.3">
      <c r="A110">
        <v>105</v>
      </c>
      <c r="B110">
        <v>2.92026E-3</v>
      </c>
      <c r="C110">
        <v>0.161053</v>
      </c>
      <c r="D110">
        <v>55.311399999999999</v>
      </c>
      <c r="E110">
        <v>55.150399999999998</v>
      </c>
      <c r="F110">
        <v>2.9036999999999999E-3</v>
      </c>
      <c r="G110">
        <v>0.159469</v>
      </c>
      <c r="H110">
        <v>55.078600000000002</v>
      </c>
      <c r="I110">
        <v>54.919199999999996</v>
      </c>
      <c r="J110">
        <v>2.8667599999999999E-3</v>
      </c>
      <c r="K110">
        <v>0.15621499999999999</v>
      </c>
      <c r="L110">
        <v>54.648200000000003</v>
      </c>
      <c r="M110">
        <v>54.491999999999997</v>
      </c>
      <c r="N110">
        <v>2.8148600000000002E-3</v>
      </c>
      <c r="O110">
        <v>0.153091</v>
      </c>
      <c r="P110">
        <v>54.54</v>
      </c>
      <c r="Q110">
        <v>54.386899999999997</v>
      </c>
      <c r="R110">
        <v>31.917000000000002</v>
      </c>
      <c r="S110">
        <v>31.917999999999999</v>
      </c>
      <c r="T110">
        <v>0.83089999999999997</v>
      </c>
      <c r="U110">
        <v>83.650300000000001</v>
      </c>
      <c r="V110">
        <f t="shared" si="6"/>
        <v>0.44887847859450292</v>
      </c>
      <c r="W110">
        <f t="shared" si="7"/>
        <v>2.92026E-3</v>
      </c>
      <c r="X110">
        <f t="shared" si="8"/>
        <v>2.9036999999999999E-3</v>
      </c>
      <c r="Y110">
        <f t="shared" si="9"/>
        <v>2.8667599999999999E-3</v>
      </c>
      <c r="Z110">
        <f t="shared" si="10"/>
        <v>2.8148600000000002E-3</v>
      </c>
      <c r="AA110">
        <f t="shared" si="11"/>
        <v>2.8763949999999999E-3</v>
      </c>
    </row>
    <row r="111" spans="1:27" x14ac:dyDescent="0.3">
      <c r="A111">
        <v>106</v>
      </c>
      <c r="B111">
        <v>2.9606699999999999E-3</v>
      </c>
      <c r="C111">
        <v>0.16328200000000001</v>
      </c>
      <c r="D111">
        <v>55.313699999999997</v>
      </c>
      <c r="E111">
        <v>55.150399999999998</v>
      </c>
      <c r="F111">
        <v>2.9443999999999998E-3</v>
      </c>
      <c r="G111">
        <v>0.16170399999999999</v>
      </c>
      <c r="H111">
        <v>55.0809</v>
      </c>
      <c r="I111">
        <v>54.919199999999996</v>
      </c>
      <c r="J111">
        <v>2.8953799999999999E-3</v>
      </c>
      <c r="K111">
        <v>0.157775</v>
      </c>
      <c r="L111">
        <v>54.649799999999999</v>
      </c>
      <c r="M111">
        <v>54.491999999999997</v>
      </c>
      <c r="N111">
        <v>2.85192E-3</v>
      </c>
      <c r="O111">
        <v>0.15510699999999999</v>
      </c>
      <c r="P111">
        <v>54.542000000000002</v>
      </c>
      <c r="Q111">
        <v>54.386899999999997</v>
      </c>
      <c r="R111">
        <v>32.045000000000002</v>
      </c>
      <c r="S111">
        <v>32.045000000000002</v>
      </c>
      <c r="T111">
        <v>0.83189999999999997</v>
      </c>
      <c r="U111">
        <v>83.747200000000007</v>
      </c>
      <c r="V111">
        <f t="shared" si="6"/>
        <v>0.44939845670068795</v>
      </c>
      <c r="W111">
        <f t="shared" si="7"/>
        <v>2.9606699999999999E-3</v>
      </c>
      <c r="X111">
        <f t="shared" si="8"/>
        <v>2.9443999999999998E-3</v>
      </c>
      <c r="Y111">
        <f t="shared" si="9"/>
        <v>2.8953799999999999E-3</v>
      </c>
      <c r="Z111">
        <f t="shared" si="10"/>
        <v>2.85192E-3</v>
      </c>
      <c r="AA111">
        <f t="shared" si="11"/>
        <v>2.9130924999999997E-3</v>
      </c>
    </row>
    <row r="112" spans="1:27" x14ac:dyDescent="0.3">
      <c r="A112">
        <v>107</v>
      </c>
      <c r="B112">
        <v>2.9553800000000001E-3</v>
      </c>
      <c r="C112">
        <v>0.162991</v>
      </c>
      <c r="D112">
        <v>55.313400000000001</v>
      </c>
      <c r="E112">
        <v>55.150399999999998</v>
      </c>
      <c r="F112">
        <v>2.9367299999999998E-3</v>
      </c>
      <c r="G112">
        <v>0.16128300000000001</v>
      </c>
      <c r="H112">
        <v>55.080399999999997</v>
      </c>
      <c r="I112">
        <v>54.919199999999996</v>
      </c>
      <c r="J112">
        <v>2.89603E-3</v>
      </c>
      <c r="K112">
        <v>0.15781000000000001</v>
      </c>
      <c r="L112">
        <v>54.649799999999999</v>
      </c>
      <c r="M112">
        <v>54.491999999999997</v>
      </c>
      <c r="N112">
        <v>2.8404900000000002E-3</v>
      </c>
      <c r="O112">
        <v>0.15448500000000001</v>
      </c>
      <c r="P112">
        <v>54.541400000000003</v>
      </c>
      <c r="Q112">
        <v>54.386899999999997</v>
      </c>
      <c r="R112">
        <v>32.292999999999999</v>
      </c>
      <c r="S112">
        <v>32.292999999999999</v>
      </c>
      <c r="T112">
        <v>0.84219999999999995</v>
      </c>
      <c r="U112">
        <v>84.781099999999995</v>
      </c>
      <c r="V112">
        <f t="shared" si="6"/>
        <v>0.45494649967266598</v>
      </c>
      <c r="W112">
        <f t="shared" si="7"/>
        <v>2.9553800000000001E-3</v>
      </c>
      <c r="X112">
        <f t="shared" si="8"/>
        <v>2.9367299999999998E-3</v>
      </c>
      <c r="Y112">
        <f t="shared" si="9"/>
        <v>2.89603E-3</v>
      </c>
      <c r="Z112">
        <f t="shared" si="10"/>
        <v>2.8404900000000002E-3</v>
      </c>
      <c r="AA112">
        <f t="shared" si="11"/>
        <v>2.9071575000000002E-3</v>
      </c>
    </row>
    <row r="113" spans="1:27" x14ac:dyDescent="0.3">
      <c r="A113">
        <v>108</v>
      </c>
      <c r="B113">
        <v>3.0038600000000001E-3</v>
      </c>
      <c r="C113">
        <v>0.16566400000000001</v>
      </c>
      <c r="D113">
        <v>55.316000000000003</v>
      </c>
      <c r="E113">
        <v>55.150399999999998</v>
      </c>
      <c r="F113">
        <v>2.9856700000000002E-3</v>
      </c>
      <c r="G113">
        <v>0.16397</v>
      </c>
      <c r="H113">
        <v>55.083100000000002</v>
      </c>
      <c r="I113">
        <v>54.919199999999996</v>
      </c>
      <c r="J113">
        <v>2.9429999999999999E-3</v>
      </c>
      <c r="K113">
        <v>0.16037000000000001</v>
      </c>
      <c r="L113">
        <v>54.6524</v>
      </c>
      <c r="M113">
        <v>54.491999999999997</v>
      </c>
      <c r="N113">
        <v>2.8824900000000001E-3</v>
      </c>
      <c r="O113">
        <v>0.15676999999999999</v>
      </c>
      <c r="P113">
        <v>54.543700000000001</v>
      </c>
      <c r="Q113">
        <v>54.386899999999997</v>
      </c>
      <c r="R113">
        <v>32.417999999999999</v>
      </c>
      <c r="S113">
        <v>32.417999999999999</v>
      </c>
      <c r="T113">
        <v>0.84150000000000003</v>
      </c>
      <c r="U113">
        <v>84.716499999999996</v>
      </c>
      <c r="V113">
        <f t="shared" si="6"/>
        <v>0.45459984760187594</v>
      </c>
      <c r="W113">
        <f t="shared" si="7"/>
        <v>3.0038600000000001E-3</v>
      </c>
      <c r="X113">
        <f t="shared" si="8"/>
        <v>2.9856700000000002E-3</v>
      </c>
      <c r="Y113">
        <f t="shared" si="9"/>
        <v>2.9429999999999999E-3</v>
      </c>
      <c r="Z113">
        <f t="shared" si="10"/>
        <v>2.8824900000000001E-3</v>
      </c>
      <c r="AA113">
        <f t="shared" si="11"/>
        <v>2.9537549999999997E-3</v>
      </c>
    </row>
    <row r="114" spans="1:27" x14ac:dyDescent="0.3">
      <c r="A114">
        <v>109</v>
      </c>
      <c r="B114">
        <v>3.0183300000000001E-3</v>
      </c>
      <c r="C114">
        <v>0.166462</v>
      </c>
      <c r="D114">
        <v>55.316800000000001</v>
      </c>
      <c r="E114">
        <v>55.150399999999998</v>
      </c>
      <c r="F114">
        <v>3.00761E-3</v>
      </c>
      <c r="G114">
        <v>0.16517599999999999</v>
      </c>
      <c r="H114">
        <v>55.084299999999999</v>
      </c>
      <c r="I114">
        <v>54.919199999999996</v>
      </c>
      <c r="J114">
        <v>2.9630799999999999E-3</v>
      </c>
      <c r="K114">
        <v>0.161464</v>
      </c>
      <c r="L114">
        <v>54.653500000000001</v>
      </c>
      <c r="M114">
        <v>54.491999999999997</v>
      </c>
      <c r="N114">
        <v>2.9058700000000001E-3</v>
      </c>
      <c r="O114">
        <v>0.15804099999999999</v>
      </c>
      <c r="P114">
        <v>54.544899999999998</v>
      </c>
      <c r="Q114">
        <v>54.386899999999997</v>
      </c>
      <c r="R114">
        <v>32.667999999999999</v>
      </c>
      <c r="S114">
        <v>32.667999999999999</v>
      </c>
      <c r="T114">
        <v>0.8528</v>
      </c>
      <c r="U114">
        <v>85.847300000000004</v>
      </c>
      <c r="V114">
        <f t="shared" si="6"/>
        <v>0.46066786868003912</v>
      </c>
      <c r="W114">
        <f t="shared" si="7"/>
        <v>3.0183300000000001E-3</v>
      </c>
      <c r="X114">
        <f t="shared" si="8"/>
        <v>3.00761E-3</v>
      </c>
      <c r="Y114">
        <f t="shared" si="9"/>
        <v>2.9630799999999999E-3</v>
      </c>
      <c r="Z114">
        <f t="shared" si="10"/>
        <v>2.9058700000000001E-3</v>
      </c>
      <c r="AA114">
        <f t="shared" si="11"/>
        <v>2.9737225E-3</v>
      </c>
    </row>
    <row r="115" spans="1:27" x14ac:dyDescent="0.3">
      <c r="A115">
        <v>110</v>
      </c>
      <c r="B115">
        <v>3.0868699999999998E-3</v>
      </c>
      <c r="C115">
        <v>0.170242</v>
      </c>
      <c r="D115">
        <v>55.320599999999999</v>
      </c>
      <c r="E115">
        <v>55.150399999999998</v>
      </c>
      <c r="F115">
        <v>3.0663000000000001E-3</v>
      </c>
      <c r="G115">
        <v>0.16839799999999999</v>
      </c>
      <c r="H115">
        <v>55.087600000000002</v>
      </c>
      <c r="I115">
        <v>54.919199999999996</v>
      </c>
      <c r="J115">
        <v>3.0225999999999999E-3</v>
      </c>
      <c r="K115">
        <v>0.16470799999999999</v>
      </c>
      <c r="L115">
        <v>54.656700000000001</v>
      </c>
      <c r="M115">
        <v>54.491999999999997</v>
      </c>
      <c r="N115">
        <v>2.9715000000000002E-3</v>
      </c>
      <c r="O115">
        <v>0.161611</v>
      </c>
      <c r="P115">
        <v>54.548499999999997</v>
      </c>
      <c r="Q115">
        <v>54.386899999999997</v>
      </c>
      <c r="R115">
        <v>32.853000000000002</v>
      </c>
      <c r="S115">
        <v>32.853000000000002</v>
      </c>
      <c r="T115">
        <v>0.85540000000000005</v>
      </c>
      <c r="U115">
        <v>86.105800000000002</v>
      </c>
      <c r="V115">
        <f t="shared" si="6"/>
        <v>0.46205501357631179</v>
      </c>
      <c r="W115">
        <f t="shared" si="7"/>
        <v>3.0868699999999998E-3</v>
      </c>
      <c r="X115">
        <f t="shared" si="8"/>
        <v>3.0663000000000001E-3</v>
      </c>
      <c r="Y115">
        <f t="shared" si="9"/>
        <v>3.0225999999999999E-3</v>
      </c>
      <c r="Z115">
        <f t="shared" si="10"/>
        <v>2.9715000000000002E-3</v>
      </c>
      <c r="AA115">
        <f t="shared" si="11"/>
        <v>3.0368175E-3</v>
      </c>
    </row>
    <row r="116" spans="1:27" x14ac:dyDescent="0.3">
      <c r="A116">
        <v>111</v>
      </c>
      <c r="B116">
        <v>3.09641E-3</v>
      </c>
      <c r="C116">
        <v>0.170768</v>
      </c>
      <c r="D116">
        <v>55.321100000000001</v>
      </c>
      <c r="E116">
        <v>55.150399999999998</v>
      </c>
      <c r="F116">
        <v>3.0803900000000001E-3</v>
      </c>
      <c r="G116">
        <v>0.16917299999999999</v>
      </c>
      <c r="H116">
        <v>55.088299999999997</v>
      </c>
      <c r="I116">
        <v>54.919199999999996</v>
      </c>
      <c r="J116">
        <v>3.0356599999999999E-3</v>
      </c>
      <c r="K116">
        <v>0.16541900000000001</v>
      </c>
      <c r="L116">
        <v>54.657400000000003</v>
      </c>
      <c r="M116">
        <v>54.491999999999997</v>
      </c>
      <c r="N116">
        <v>2.9846999999999999E-3</v>
      </c>
      <c r="O116">
        <v>0.162329</v>
      </c>
      <c r="P116">
        <v>54.549199999999999</v>
      </c>
      <c r="Q116">
        <v>54.386899999999997</v>
      </c>
      <c r="R116">
        <v>33.292999999999999</v>
      </c>
      <c r="S116">
        <v>33.292999999999999</v>
      </c>
      <c r="T116">
        <v>0.86990000000000001</v>
      </c>
      <c r="U116">
        <v>87.559700000000007</v>
      </c>
      <c r="V116">
        <f t="shared" si="6"/>
        <v>0.46985683162153752</v>
      </c>
      <c r="W116">
        <f t="shared" si="7"/>
        <v>3.09641E-3</v>
      </c>
      <c r="X116">
        <f t="shared" si="8"/>
        <v>3.0803900000000001E-3</v>
      </c>
      <c r="Y116">
        <f t="shared" si="9"/>
        <v>3.0356599999999999E-3</v>
      </c>
      <c r="Z116">
        <f t="shared" si="10"/>
        <v>2.9846999999999999E-3</v>
      </c>
      <c r="AA116">
        <f t="shared" si="11"/>
        <v>3.0492899999999996E-3</v>
      </c>
    </row>
    <row r="117" spans="1:27" x14ac:dyDescent="0.3">
      <c r="A117">
        <v>112</v>
      </c>
      <c r="B117">
        <v>3.1137000000000001E-3</v>
      </c>
      <c r="C117">
        <v>0.17172100000000001</v>
      </c>
      <c r="D117">
        <v>55.322099999999999</v>
      </c>
      <c r="E117">
        <v>55.150399999999998</v>
      </c>
      <c r="F117">
        <v>3.0976200000000001E-3</v>
      </c>
      <c r="G117">
        <v>0.17011799999999999</v>
      </c>
      <c r="H117">
        <v>55.089300000000001</v>
      </c>
      <c r="I117">
        <v>54.919199999999996</v>
      </c>
      <c r="J117">
        <v>3.0556899999999998E-3</v>
      </c>
      <c r="K117">
        <v>0.16651099999999999</v>
      </c>
      <c r="L117">
        <v>54.658499999999997</v>
      </c>
      <c r="M117">
        <v>54.491999999999997</v>
      </c>
      <c r="N117">
        <v>2.9996699999999999E-3</v>
      </c>
      <c r="O117">
        <v>0.16314300000000001</v>
      </c>
      <c r="P117">
        <v>54.55</v>
      </c>
      <c r="Q117">
        <v>54.386899999999997</v>
      </c>
      <c r="R117">
        <v>33.726999999999997</v>
      </c>
      <c r="S117">
        <v>33.726999999999997</v>
      </c>
      <c r="T117">
        <v>0.87890000000000001</v>
      </c>
      <c r="U117">
        <v>88.464399999999998</v>
      </c>
      <c r="V117">
        <f t="shared" si="6"/>
        <v>0.47471157045193552</v>
      </c>
      <c r="W117">
        <f t="shared" si="7"/>
        <v>3.1137000000000001E-3</v>
      </c>
      <c r="X117">
        <f t="shared" si="8"/>
        <v>3.0976200000000001E-3</v>
      </c>
      <c r="Y117">
        <f t="shared" si="9"/>
        <v>3.0556899999999998E-3</v>
      </c>
      <c r="Z117">
        <f t="shared" si="10"/>
        <v>2.9996699999999999E-3</v>
      </c>
      <c r="AA117">
        <f t="shared" si="11"/>
        <v>3.0666699999999996E-3</v>
      </c>
    </row>
    <row r="118" spans="1:27" x14ac:dyDescent="0.3">
      <c r="A118">
        <v>113</v>
      </c>
      <c r="B118">
        <v>3.1286399999999998E-3</v>
      </c>
      <c r="C118">
        <v>0.172546</v>
      </c>
      <c r="D118">
        <v>55.322899999999997</v>
      </c>
      <c r="E118">
        <v>55.150399999999998</v>
      </c>
      <c r="F118">
        <v>3.1112700000000002E-3</v>
      </c>
      <c r="G118">
        <v>0.17086799999999999</v>
      </c>
      <c r="H118">
        <v>55.09</v>
      </c>
      <c r="I118">
        <v>54.919199999999996</v>
      </c>
      <c r="J118">
        <v>3.0654599999999999E-3</v>
      </c>
      <c r="K118">
        <v>0.167043</v>
      </c>
      <c r="L118">
        <v>54.658999999999999</v>
      </c>
      <c r="M118">
        <v>54.491999999999997</v>
      </c>
      <c r="N118">
        <v>3.0050200000000002E-3</v>
      </c>
      <c r="O118">
        <v>0.16343299999999999</v>
      </c>
      <c r="P118">
        <v>54.5503</v>
      </c>
      <c r="Q118">
        <v>54.386899999999997</v>
      </c>
      <c r="R118">
        <v>34.037999999999997</v>
      </c>
      <c r="S118">
        <v>34.037999999999997</v>
      </c>
      <c r="T118">
        <v>0.88470000000000004</v>
      </c>
      <c r="U118">
        <v>89.045900000000003</v>
      </c>
      <c r="V118">
        <f t="shared" si="6"/>
        <v>0.4778319757021583</v>
      </c>
      <c r="W118">
        <f t="shared" si="7"/>
        <v>3.1286399999999998E-3</v>
      </c>
      <c r="X118">
        <f t="shared" si="8"/>
        <v>3.1112700000000002E-3</v>
      </c>
      <c r="Y118">
        <f t="shared" si="9"/>
        <v>3.0654599999999999E-3</v>
      </c>
      <c r="Z118">
        <f t="shared" si="10"/>
        <v>3.0050200000000002E-3</v>
      </c>
      <c r="AA118">
        <f t="shared" si="11"/>
        <v>3.0775975000000002E-3</v>
      </c>
    </row>
    <row r="119" spans="1:27" x14ac:dyDescent="0.3">
      <c r="A119">
        <v>114</v>
      </c>
      <c r="B119">
        <v>3.1611E-3</v>
      </c>
      <c r="C119">
        <v>0.17433599999999999</v>
      </c>
      <c r="D119">
        <v>55.3247</v>
      </c>
      <c r="E119">
        <v>55.150399999999998</v>
      </c>
      <c r="F119">
        <v>3.1442100000000001E-3</v>
      </c>
      <c r="G119">
        <v>0.172678</v>
      </c>
      <c r="H119">
        <v>55.091799999999999</v>
      </c>
      <c r="I119">
        <v>54.919199999999996</v>
      </c>
      <c r="J119">
        <v>3.1018600000000001E-3</v>
      </c>
      <c r="K119">
        <v>0.16902600000000001</v>
      </c>
      <c r="L119">
        <v>54.661000000000001</v>
      </c>
      <c r="M119">
        <v>54.491999999999997</v>
      </c>
      <c r="N119">
        <v>3.0416900000000001E-3</v>
      </c>
      <c r="O119">
        <v>0.16542799999999999</v>
      </c>
      <c r="P119">
        <v>54.552300000000002</v>
      </c>
      <c r="Q119">
        <v>54.386899999999997</v>
      </c>
      <c r="R119">
        <v>34.475999999999999</v>
      </c>
      <c r="S119">
        <v>34.475999999999999</v>
      </c>
      <c r="T119">
        <v>0.9002</v>
      </c>
      <c r="U119">
        <v>90.596800000000002</v>
      </c>
      <c r="V119">
        <f t="shared" si="6"/>
        <v>0.48615430846668167</v>
      </c>
      <c r="W119">
        <f t="shared" si="7"/>
        <v>3.1611E-3</v>
      </c>
      <c r="X119">
        <f t="shared" si="8"/>
        <v>3.1442100000000001E-3</v>
      </c>
      <c r="Y119">
        <f t="shared" si="9"/>
        <v>3.1018600000000001E-3</v>
      </c>
      <c r="Z119">
        <f t="shared" si="10"/>
        <v>3.0416900000000001E-3</v>
      </c>
      <c r="AA119">
        <f t="shared" si="11"/>
        <v>3.1122149999999998E-3</v>
      </c>
    </row>
    <row r="120" spans="1:27" x14ac:dyDescent="0.3">
      <c r="A120">
        <v>115</v>
      </c>
      <c r="B120">
        <v>3.2133399999999999E-3</v>
      </c>
      <c r="C120">
        <v>0.17721700000000001</v>
      </c>
      <c r="D120">
        <v>55.327599999999997</v>
      </c>
      <c r="E120">
        <v>55.150399999999998</v>
      </c>
      <c r="F120">
        <v>3.19149E-3</v>
      </c>
      <c r="G120">
        <v>0.17527400000000001</v>
      </c>
      <c r="H120">
        <v>55.0944</v>
      </c>
      <c r="I120">
        <v>54.919199999999996</v>
      </c>
      <c r="J120">
        <v>3.1458599999999999E-3</v>
      </c>
      <c r="K120">
        <v>0.17142399999999999</v>
      </c>
      <c r="L120">
        <v>54.663400000000003</v>
      </c>
      <c r="M120">
        <v>54.491999999999997</v>
      </c>
      <c r="N120">
        <v>3.0832099999999999E-3</v>
      </c>
      <c r="O120">
        <v>0.167686</v>
      </c>
      <c r="P120">
        <v>54.554600000000001</v>
      </c>
      <c r="Q120">
        <v>54.386899999999997</v>
      </c>
      <c r="R120">
        <v>34.725000000000001</v>
      </c>
      <c r="S120">
        <v>34.725000000000001</v>
      </c>
      <c r="T120">
        <v>0.91080000000000005</v>
      </c>
      <c r="U120">
        <v>91.662999999999997</v>
      </c>
      <c r="V120">
        <f t="shared" si="6"/>
        <v>0.4918756774740547</v>
      </c>
      <c r="W120">
        <f t="shared" si="7"/>
        <v>3.2133399999999999E-3</v>
      </c>
      <c r="X120">
        <f t="shared" si="8"/>
        <v>3.19149E-3</v>
      </c>
      <c r="Y120">
        <f t="shared" si="9"/>
        <v>3.1458599999999999E-3</v>
      </c>
      <c r="Z120">
        <f t="shared" si="10"/>
        <v>3.0832099999999999E-3</v>
      </c>
      <c r="AA120">
        <f t="shared" si="11"/>
        <v>3.158475E-3</v>
      </c>
    </row>
    <row r="121" spans="1:27" x14ac:dyDescent="0.3">
      <c r="A121">
        <v>116</v>
      </c>
      <c r="B121">
        <v>3.3286399999999999E-3</v>
      </c>
      <c r="C121">
        <v>0.18357599999999999</v>
      </c>
      <c r="D121">
        <v>55.334000000000003</v>
      </c>
      <c r="E121">
        <v>55.150399999999998</v>
      </c>
      <c r="F121">
        <v>3.30402E-3</v>
      </c>
      <c r="G121">
        <v>0.181454</v>
      </c>
      <c r="H121">
        <v>55.1006</v>
      </c>
      <c r="I121">
        <v>54.919199999999996</v>
      </c>
      <c r="J121">
        <v>3.2559500000000001E-3</v>
      </c>
      <c r="K121">
        <v>0.177423</v>
      </c>
      <c r="L121">
        <v>54.669400000000003</v>
      </c>
      <c r="M121">
        <v>54.491999999999997</v>
      </c>
      <c r="N121">
        <v>3.1945099999999998E-3</v>
      </c>
      <c r="O121">
        <v>0.17374000000000001</v>
      </c>
      <c r="P121">
        <v>54.560600000000001</v>
      </c>
      <c r="Q121">
        <v>54.386899999999997</v>
      </c>
      <c r="R121">
        <v>35.225999999999999</v>
      </c>
      <c r="S121">
        <v>35.225999999999999</v>
      </c>
      <c r="T121">
        <v>0.9234</v>
      </c>
      <c r="U121">
        <v>92.923100000000005</v>
      </c>
      <c r="V121">
        <f t="shared" si="6"/>
        <v>0.49863753930691052</v>
      </c>
      <c r="W121">
        <f t="shared" si="7"/>
        <v>3.3286399999999999E-3</v>
      </c>
      <c r="X121">
        <f t="shared" si="8"/>
        <v>3.30402E-3</v>
      </c>
      <c r="Y121">
        <f t="shared" si="9"/>
        <v>3.2559500000000001E-3</v>
      </c>
      <c r="Z121">
        <f t="shared" si="10"/>
        <v>3.1945099999999998E-3</v>
      </c>
      <c r="AA121">
        <f t="shared" si="11"/>
        <v>3.27078E-3</v>
      </c>
    </row>
    <row r="122" spans="1:27" x14ac:dyDescent="0.3">
      <c r="A122">
        <v>117</v>
      </c>
      <c r="B122">
        <v>3.28809E-3</v>
      </c>
      <c r="C122">
        <v>0.18134</v>
      </c>
      <c r="D122">
        <v>55.331699999999998</v>
      </c>
      <c r="E122">
        <v>55.150399999999998</v>
      </c>
      <c r="F122">
        <v>3.26458E-3</v>
      </c>
      <c r="G122">
        <v>0.179288</v>
      </c>
      <c r="H122">
        <v>55.098500000000001</v>
      </c>
      <c r="I122">
        <v>54.919199999999996</v>
      </c>
      <c r="J122">
        <v>3.2188300000000002E-3</v>
      </c>
      <c r="K122">
        <v>0.1754</v>
      </c>
      <c r="L122">
        <v>54.667400000000001</v>
      </c>
      <c r="M122">
        <v>54.491999999999997</v>
      </c>
      <c r="N122">
        <v>3.1517400000000001E-3</v>
      </c>
      <c r="O122">
        <v>0.17141400000000001</v>
      </c>
      <c r="P122">
        <v>54.558300000000003</v>
      </c>
      <c r="Q122">
        <v>54.386899999999997</v>
      </c>
      <c r="R122">
        <v>35.536000000000001</v>
      </c>
      <c r="S122">
        <v>35.536000000000001</v>
      </c>
      <c r="T122">
        <v>0.93179999999999996</v>
      </c>
      <c r="U122">
        <v>93.763099999999994</v>
      </c>
      <c r="V122">
        <f t="shared" si="6"/>
        <v>0.50314508945340586</v>
      </c>
      <c r="W122">
        <f t="shared" si="7"/>
        <v>3.28809E-3</v>
      </c>
      <c r="X122">
        <f t="shared" si="8"/>
        <v>3.26458E-3</v>
      </c>
      <c r="Y122">
        <f t="shared" si="9"/>
        <v>3.2188300000000002E-3</v>
      </c>
      <c r="Z122">
        <f t="shared" si="10"/>
        <v>3.1517400000000001E-3</v>
      </c>
      <c r="AA122">
        <f t="shared" si="11"/>
        <v>3.2308100000000002E-3</v>
      </c>
    </row>
    <row r="123" spans="1:27" x14ac:dyDescent="0.3">
      <c r="A123">
        <v>118</v>
      </c>
      <c r="B123">
        <v>3.3061200000000001E-3</v>
      </c>
      <c r="C123">
        <v>0.182334</v>
      </c>
      <c r="D123">
        <v>55.332700000000003</v>
      </c>
      <c r="E123">
        <v>55.150399999999998</v>
      </c>
      <c r="F123">
        <v>3.28356E-3</v>
      </c>
      <c r="G123">
        <v>0.18032999999999999</v>
      </c>
      <c r="H123">
        <v>55.099499999999999</v>
      </c>
      <c r="I123">
        <v>54.919199999999996</v>
      </c>
      <c r="J123">
        <v>3.23982E-3</v>
      </c>
      <c r="K123">
        <v>0.17654400000000001</v>
      </c>
      <c r="L123">
        <v>54.668500000000002</v>
      </c>
      <c r="M123">
        <v>54.491999999999997</v>
      </c>
      <c r="N123">
        <v>3.1714600000000001E-3</v>
      </c>
      <c r="O123">
        <v>0.172486</v>
      </c>
      <c r="P123">
        <v>54.559399999999997</v>
      </c>
      <c r="Q123">
        <v>54.386899999999997</v>
      </c>
      <c r="R123">
        <v>35.911000000000001</v>
      </c>
      <c r="S123">
        <v>35.911000000000001</v>
      </c>
      <c r="T123">
        <v>0.94340000000000002</v>
      </c>
      <c r="U123">
        <v>94.926199999999994</v>
      </c>
      <c r="V123">
        <f t="shared" si="6"/>
        <v>0.50938643656696392</v>
      </c>
      <c r="W123">
        <f t="shared" si="7"/>
        <v>3.3061200000000001E-3</v>
      </c>
      <c r="X123">
        <f t="shared" si="8"/>
        <v>3.28356E-3</v>
      </c>
      <c r="Y123">
        <f t="shared" si="9"/>
        <v>3.23982E-3</v>
      </c>
      <c r="Z123">
        <f t="shared" si="10"/>
        <v>3.1714600000000001E-3</v>
      </c>
      <c r="AA123">
        <f t="shared" si="11"/>
        <v>3.2502400000000006E-3</v>
      </c>
    </row>
    <row r="124" spans="1:27" x14ac:dyDescent="0.3">
      <c r="A124">
        <v>119</v>
      </c>
      <c r="B124">
        <v>3.3455899999999998E-3</v>
      </c>
      <c r="C124">
        <v>0.18451100000000001</v>
      </c>
      <c r="D124">
        <v>55.334899999999998</v>
      </c>
      <c r="E124">
        <v>55.150399999999998</v>
      </c>
      <c r="F124">
        <v>3.3230600000000001E-3</v>
      </c>
      <c r="G124">
        <v>0.1825</v>
      </c>
      <c r="H124">
        <v>55.101700000000001</v>
      </c>
      <c r="I124">
        <v>54.919199999999996</v>
      </c>
      <c r="J124">
        <v>3.2804000000000002E-3</v>
      </c>
      <c r="K124">
        <v>0.178755</v>
      </c>
      <c r="L124">
        <v>54.670699999999997</v>
      </c>
      <c r="M124">
        <v>54.491999999999997</v>
      </c>
      <c r="N124">
        <v>3.21572E-3</v>
      </c>
      <c r="O124">
        <v>0.17489299999999999</v>
      </c>
      <c r="P124">
        <v>54.561799999999998</v>
      </c>
      <c r="Q124">
        <v>54.386899999999997</v>
      </c>
      <c r="R124">
        <v>36.097000000000001</v>
      </c>
      <c r="S124">
        <v>36.097000000000001</v>
      </c>
      <c r="T124">
        <v>0.95209999999999995</v>
      </c>
      <c r="U124">
        <v>95.798599999999993</v>
      </c>
      <c r="V124">
        <f t="shared" si="6"/>
        <v>0.51406784936196703</v>
      </c>
      <c r="W124">
        <f t="shared" si="7"/>
        <v>3.3455899999999998E-3</v>
      </c>
      <c r="X124">
        <f t="shared" si="8"/>
        <v>3.3230600000000001E-3</v>
      </c>
      <c r="Y124">
        <f t="shared" si="9"/>
        <v>3.2804000000000002E-3</v>
      </c>
      <c r="Z124">
        <f t="shared" si="10"/>
        <v>3.21572E-3</v>
      </c>
      <c r="AA124">
        <f t="shared" si="11"/>
        <v>3.2911925000000002E-3</v>
      </c>
    </row>
    <row r="125" spans="1:27" x14ac:dyDescent="0.3">
      <c r="A125">
        <v>120</v>
      </c>
      <c r="B125">
        <v>3.3861E-3</v>
      </c>
      <c r="C125">
        <v>0.18674499999999999</v>
      </c>
      <c r="D125">
        <v>55.3371</v>
      </c>
      <c r="E125">
        <v>55.150399999999998</v>
      </c>
      <c r="F125">
        <v>3.3579500000000002E-3</v>
      </c>
      <c r="G125">
        <v>0.184416</v>
      </c>
      <c r="H125">
        <v>55.1036</v>
      </c>
      <c r="I125">
        <v>54.919199999999996</v>
      </c>
      <c r="J125">
        <v>3.3110700000000002E-3</v>
      </c>
      <c r="K125">
        <v>0.180427</v>
      </c>
      <c r="L125">
        <v>54.672400000000003</v>
      </c>
      <c r="M125">
        <v>54.491999999999997</v>
      </c>
      <c r="N125">
        <v>3.2501800000000001E-3</v>
      </c>
      <c r="O125">
        <v>0.17676700000000001</v>
      </c>
      <c r="P125">
        <v>54.563699999999997</v>
      </c>
      <c r="Q125">
        <v>54.386899999999997</v>
      </c>
      <c r="R125">
        <v>36.659999999999997</v>
      </c>
      <c r="S125">
        <v>36.659999999999997</v>
      </c>
      <c r="T125">
        <v>0.96499999999999997</v>
      </c>
      <c r="U125">
        <v>97.090999999999994</v>
      </c>
      <c r="V125">
        <f t="shared" si="6"/>
        <v>0.52100303723021768</v>
      </c>
      <c r="W125">
        <f t="shared" si="7"/>
        <v>3.3861E-3</v>
      </c>
      <c r="X125">
        <f t="shared" si="8"/>
        <v>3.3579500000000002E-3</v>
      </c>
      <c r="Y125">
        <f t="shared" si="9"/>
        <v>3.3110700000000002E-3</v>
      </c>
      <c r="Z125">
        <f t="shared" si="10"/>
        <v>3.2501800000000001E-3</v>
      </c>
      <c r="AA125">
        <f t="shared" si="11"/>
        <v>3.3263250000000002E-3</v>
      </c>
    </row>
    <row r="126" spans="1:27" x14ac:dyDescent="0.3">
      <c r="A126">
        <v>121</v>
      </c>
      <c r="B126">
        <v>3.4600500000000001E-3</v>
      </c>
      <c r="C126">
        <v>0.19082299999999999</v>
      </c>
      <c r="D126">
        <v>55.341200000000001</v>
      </c>
      <c r="E126">
        <v>55.150399999999998</v>
      </c>
      <c r="F126">
        <v>3.4364199999999999E-3</v>
      </c>
      <c r="G126">
        <v>0.188725</v>
      </c>
      <c r="H126">
        <v>55.107900000000001</v>
      </c>
      <c r="I126">
        <v>54.919199999999996</v>
      </c>
      <c r="J126">
        <v>3.3853400000000001E-3</v>
      </c>
      <c r="K126">
        <v>0.184474</v>
      </c>
      <c r="L126">
        <v>54.676499999999997</v>
      </c>
      <c r="M126">
        <v>54.491999999999997</v>
      </c>
      <c r="N126">
        <v>3.32257E-3</v>
      </c>
      <c r="O126">
        <v>0.180704</v>
      </c>
      <c r="P126">
        <v>54.567599999999999</v>
      </c>
      <c r="Q126">
        <v>54.386899999999997</v>
      </c>
      <c r="R126">
        <v>37.095999999999997</v>
      </c>
      <c r="S126">
        <v>37.095999999999997</v>
      </c>
      <c r="T126">
        <v>0.97270000000000001</v>
      </c>
      <c r="U126">
        <v>97.866399999999999</v>
      </c>
      <c r="V126">
        <f t="shared" si="6"/>
        <v>0.52516393530592309</v>
      </c>
      <c r="W126">
        <f t="shared" si="7"/>
        <v>3.4600500000000001E-3</v>
      </c>
      <c r="X126">
        <f t="shared" si="8"/>
        <v>3.4364199999999999E-3</v>
      </c>
      <c r="Y126">
        <f t="shared" si="9"/>
        <v>3.3853400000000001E-3</v>
      </c>
      <c r="Z126">
        <f t="shared" si="10"/>
        <v>3.32257E-3</v>
      </c>
      <c r="AA126">
        <f t="shared" si="11"/>
        <v>3.4010950000000002E-3</v>
      </c>
    </row>
    <row r="127" spans="1:27" x14ac:dyDescent="0.3">
      <c r="A127">
        <v>122</v>
      </c>
      <c r="B127">
        <v>3.4685800000000002E-3</v>
      </c>
      <c r="C127">
        <v>0.19129299999999999</v>
      </c>
      <c r="D127">
        <v>55.341700000000003</v>
      </c>
      <c r="E127">
        <v>55.150399999999998</v>
      </c>
      <c r="F127">
        <v>3.4485200000000001E-3</v>
      </c>
      <c r="G127">
        <v>0.18939</v>
      </c>
      <c r="H127">
        <v>55.108600000000003</v>
      </c>
      <c r="I127">
        <v>54.919199999999996</v>
      </c>
      <c r="J127">
        <v>3.3883699999999999E-3</v>
      </c>
      <c r="K127">
        <v>0.184639</v>
      </c>
      <c r="L127">
        <v>54.676600000000001</v>
      </c>
      <c r="M127">
        <v>54.491999999999997</v>
      </c>
      <c r="N127">
        <v>3.32468E-3</v>
      </c>
      <c r="O127">
        <v>0.18081900000000001</v>
      </c>
      <c r="P127">
        <v>54.567700000000002</v>
      </c>
      <c r="Q127">
        <v>54.386899999999997</v>
      </c>
      <c r="R127">
        <v>37.283999999999999</v>
      </c>
      <c r="S127">
        <v>37.283999999999999</v>
      </c>
      <c r="T127">
        <v>0.97750000000000004</v>
      </c>
      <c r="U127">
        <v>98.350999999999999</v>
      </c>
      <c r="V127">
        <f t="shared" si="6"/>
        <v>0.52776436244996083</v>
      </c>
      <c r="W127">
        <f t="shared" si="7"/>
        <v>3.4685800000000002E-3</v>
      </c>
      <c r="X127">
        <f t="shared" si="8"/>
        <v>3.4485200000000001E-3</v>
      </c>
      <c r="Y127">
        <f t="shared" si="9"/>
        <v>3.3883699999999999E-3</v>
      </c>
      <c r="Z127">
        <f t="shared" si="10"/>
        <v>3.32468E-3</v>
      </c>
      <c r="AA127">
        <f t="shared" si="11"/>
        <v>3.4075375000000001E-3</v>
      </c>
    </row>
    <row r="128" spans="1:27" x14ac:dyDescent="0.3">
      <c r="A128">
        <v>123</v>
      </c>
      <c r="B128">
        <v>3.4930400000000002E-3</v>
      </c>
      <c r="C128">
        <v>0.19264300000000001</v>
      </c>
      <c r="D128">
        <v>55.343000000000004</v>
      </c>
      <c r="E128">
        <v>55.150399999999998</v>
      </c>
      <c r="F128">
        <v>3.4604900000000001E-3</v>
      </c>
      <c r="G128">
        <v>0.19004699999999999</v>
      </c>
      <c r="H128">
        <v>55.109200000000001</v>
      </c>
      <c r="I128">
        <v>54.919199999999996</v>
      </c>
      <c r="J128">
        <v>3.4091600000000001E-3</v>
      </c>
      <c r="K128">
        <v>0.18577199999999999</v>
      </c>
      <c r="L128">
        <v>54.677799999999998</v>
      </c>
      <c r="M128">
        <v>54.491999999999997</v>
      </c>
      <c r="N128">
        <v>3.3328300000000002E-3</v>
      </c>
      <c r="O128">
        <v>0.18126200000000001</v>
      </c>
      <c r="P128">
        <v>54.568199999999997</v>
      </c>
      <c r="Q128">
        <v>54.386899999999997</v>
      </c>
      <c r="R128">
        <v>37.472000000000001</v>
      </c>
      <c r="S128">
        <v>37.472000000000001</v>
      </c>
      <c r="T128">
        <v>0.98529999999999995</v>
      </c>
      <c r="U128">
        <v>99.126400000000004</v>
      </c>
      <c r="V128">
        <f t="shared" si="6"/>
        <v>0.53192526052566624</v>
      </c>
      <c r="W128">
        <f t="shared" si="7"/>
        <v>3.4930400000000002E-3</v>
      </c>
      <c r="X128">
        <f t="shared" si="8"/>
        <v>3.4604900000000001E-3</v>
      </c>
      <c r="Y128">
        <f t="shared" si="9"/>
        <v>3.4091600000000001E-3</v>
      </c>
      <c r="Z128">
        <f t="shared" si="10"/>
        <v>3.3328300000000002E-3</v>
      </c>
      <c r="AA128">
        <f t="shared" si="11"/>
        <v>3.4238800000000002E-3</v>
      </c>
    </row>
    <row r="129" spans="1:27" x14ac:dyDescent="0.3">
      <c r="A129">
        <v>124</v>
      </c>
      <c r="B129">
        <v>3.5304300000000002E-3</v>
      </c>
      <c r="C129">
        <v>0.19470499999999999</v>
      </c>
      <c r="D129">
        <v>55.345100000000002</v>
      </c>
      <c r="E129">
        <v>55.150399999999998</v>
      </c>
      <c r="F129">
        <v>3.4992299999999999E-3</v>
      </c>
      <c r="G129">
        <v>0.19217500000000001</v>
      </c>
      <c r="H129">
        <v>55.1113</v>
      </c>
      <c r="I129">
        <v>54.919199999999996</v>
      </c>
      <c r="J129">
        <v>3.4432400000000002E-3</v>
      </c>
      <c r="K129">
        <v>0.18762899999999999</v>
      </c>
      <c r="L129">
        <v>54.679600000000001</v>
      </c>
      <c r="M129">
        <v>54.491999999999997</v>
      </c>
      <c r="N129">
        <v>3.3752600000000002E-3</v>
      </c>
      <c r="O129">
        <v>0.18357000000000001</v>
      </c>
      <c r="P129">
        <v>54.570500000000003</v>
      </c>
      <c r="Q129">
        <v>54.386899999999997</v>
      </c>
      <c r="R129">
        <v>37.845999999999997</v>
      </c>
      <c r="S129">
        <v>37.845999999999997</v>
      </c>
      <c r="T129">
        <v>0.99619999999999997</v>
      </c>
      <c r="U129">
        <v>100.22499999999999</v>
      </c>
      <c r="V129">
        <f t="shared" si="6"/>
        <v>0.53782049218154693</v>
      </c>
      <c r="W129">
        <f t="shared" si="7"/>
        <v>3.5304300000000002E-3</v>
      </c>
      <c r="X129">
        <f t="shared" si="8"/>
        <v>3.4992299999999999E-3</v>
      </c>
      <c r="Y129">
        <f t="shared" si="9"/>
        <v>3.4432400000000002E-3</v>
      </c>
      <c r="Z129">
        <f t="shared" si="10"/>
        <v>3.3752600000000002E-3</v>
      </c>
      <c r="AA129">
        <f t="shared" si="11"/>
        <v>3.46204E-3</v>
      </c>
    </row>
    <row r="130" spans="1:27" x14ac:dyDescent="0.3">
      <c r="A130">
        <v>125</v>
      </c>
      <c r="B130">
        <v>3.5879800000000002E-3</v>
      </c>
      <c r="C130">
        <v>0.197879</v>
      </c>
      <c r="D130">
        <v>55.348300000000002</v>
      </c>
      <c r="E130">
        <v>55.150399999999998</v>
      </c>
      <c r="F130">
        <v>3.5607199999999999E-3</v>
      </c>
      <c r="G130">
        <v>0.195552</v>
      </c>
      <c r="H130">
        <v>55.114699999999999</v>
      </c>
      <c r="I130">
        <v>54.919199999999996</v>
      </c>
      <c r="J130">
        <v>3.4970299999999999E-3</v>
      </c>
      <c r="K130">
        <v>0.19056000000000001</v>
      </c>
      <c r="L130">
        <v>54.682499999999997</v>
      </c>
      <c r="M130">
        <v>54.491999999999997</v>
      </c>
      <c r="N130">
        <v>3.42348E-3</v>
      </c>
      <c r="O130">
        <v>0.186193</v>
      </c>
      <c r="P130">
        <v>54.573099999999997</v>
      </c>
      <c r="Q130">
        <v>54.386899999999997</v>
      </c>
      <c r="R130">
        <v>38.280999999999999</v>
      </c>
      <c r="S130">
        <v>38.280999999999999</v>
      </c>
      <c r="T130">
        <v>1.0106999999999999</v>
      </c>
      <c r="U130">
        <v>101.679</v>
      </c>
      <c r="V130">
        <f t="shared" si="6"/>
        <v>0.54562284683988538</v>
      </c>
      <c r="W130">
        <f t="shared" si="7"/>
        <v>3.5879800000000002E-3</v>
      </c>
      <c r="X130">
        <f t="shared" si="8"/>
        <v>3.5607199999999999E-3</v>
      </c>
      <c r="Y130">
        <f t="shared" si="9"/>
        <v>3.4970299999999999E-3</v>
      </c>
      <c r="Z130">
        <f t="shared" si="10"/>
        <v>3.42348E-3</v>
      </c>
      <c r="AA130">
        <f t="shared" si="11"/>
        <v>3.5173024999999997E-3</v>
      </c>
    </row>
    <row r="131" spans="1:27" x14ac:dyDescent="0.3">
      <c r="A131">
        <v>126</v>
      </c>
      <c r="B131">
        <v>3.61963E-3</v>
      </c>
      <c r="C131">
        <v>0.199624</v>
      </c>
      <c r="D131">
        <v>55.35</v>
      </c>
      <c r="E131">
        <v>55.150399999999998</v>
      </c>
      <c r="F131">
        <v>3.5964999999999999E-3</v>
      </c>
      <c r="G131">
        <v>0.197517</v>
      </c>
      <c r="H131">
        <v>55.116700000000002</v>
      </c>
      <c r="I131">
        <v>54.919199999999996</v>
      </c>
      <c r="J131">
        <v>3.5329200000000002E-3</v>
      </c>
      <c r="K131">
        <v>0.19251599999999999</v>
      </c>
      <c r="L131">
        <v>54.6845</v>
      </c>
      <c r="M131">
        <v>54.491999999999997</v>
      </c>
      <c r="N131">
        <v>3.4699000000000002E-3</v>
      </c>
      <c r="O131">
        <v>0.188717</v>
      </c>
      <c r="P131">
        <v>54.575600000000001</v>
      </c>
      <c r="Q131">
        <v>54.386899999999997</v>
      </c>
      <c r="R131">
        <v>38.658000000000001</v>
      </c>
      <c r="S131">
        <v>38.658000000000001</v>
      </c>
      <c r="T131">
        <v>1.0159</v>
      </c>
      <c r="U131">
        <v>102.196</v>
      </c>
      <c r="V131">
        <f t="shared" si="6"/>
        <v>0.54839713663243073</v>
      </c>
      <c r="W131">
        <f t="shared" si="7"/>
        <v>3.61963E-3</v>
      </c>
      <c r="X131">
        <f t="shared" si="8"/>
        <v>3.5964999999999999E-3</v>
      </c>
      <c r="Y131">
        <f t="shared" si="9"/>
        <v>3.5329200000000002E-3</v>
      </c>
      <c r="Z131">
        <f t="shared" si="10"/>
        <v>3.4699000000000002E-3</v>
      </c>
      <c r="AA131">
        <f t="shared" si="11"/>
        <v>3.5547374999999998E-3</v>
      </c>
    </row>
    <row r="132" spans="1:27" x14ac:dyDescent="0.3">
      <c r="A132">
        <v>127</v>
      </c>
      <c r="B132">
        <v>3.66381E-3</v>
      </c>
      <c r="C132">
        <v>0.20205999999999999</v>
      </c>
      <c r="D132">
        <v>55.352400000000003</v>
      </c>
      <c r="E132">
        <v>55.150399999999998</v>
      </c>
      <c r="F132">
        <v>3.6381199999999999E-3</v>
      </c>
      <c r="G132">
        <v>0.19980300000000001</v>
      </c>
      <c r="H132">
        <v>55.119</v>
      </c>
      <c r="I132">
        <v>54.919199999999996</v>
      </c>
      <c r="J132">
        <v>3.57954E-3</v>
      </c>
      <c r="K132">
        <v>0.19505600000000001</v>
      </c>
      <c r="L132">
        <v>54.686999999999998</v>
      </c>
      <c r="M132">
        <v>54.491999999999997</v>
      </c>
      <c r="N132">
        <v>3.5109400000000002E-3</v>
      </c>
      <c r="O132">
        <v>0.19094900000000001</v>
      </c>
      <c r="P132">
        <v>54.5779</v>
      </c>
      <c r="Q132">
        <v>54.386899999999997</v>
      </c>
      <c r="R132">
        <v>39.28</v>
      </c>
      <c r="S132">
        <v>39.28</v>
      </c>
      <c r="T132">
        <v>1.0248999999999999</v>
      </c>
      <c r="U132">
        <v>103.101</v>
      </c>
      <c r="V132">
        <f t="shared" si="6"/>
        <v>0.55325348530216689</v>
      </c>
      <c r="W132">
        <f t="shared" si="7"/>
        <v>3.66381E-3</v>
      </c>
      <c r="X132">
        <f t="shared" si="8"/>
        <v>3.6381199999999999E-3</v>
      </c>
      <c r="Y132">
        <f t="shared" si="9"/>
        <v>3.57954E-3</v>
      </c>
      <c r="Z132">
        <f t="shared" si="10"/>
        <v>3.5109400000000002E-3</v>
      </c>
      <c r="AA132">
        <f t="shared" si="11"/>
        <v>3.5981025000000003E-3</v>
      </c>
    </row>
    <row r="133" spans="1:27" x14ac:dyDescent="0.3">
      <c r="A133">
        <v>128</v>
      </c>
      <c r="B133">
        <v>3.7205099999999998E-3</v>
      </c>
      <c r="C133">
        <v>0.20518800000000001</v>
      </c>
      <c r="D133">
        <v>55.355600000000003</v>
      </c>
      <c r="E133">
        <v>55.150399999999998</v>
      </c>
      <c r="F133">
        <v>3.6898999999999999E-3</v>
      </c>
      <c r="G133">
        <v>0.20264599999999999</v>
      </c>
      <c r="H133">
        <v>55.1218</v>
      </c>
      <c r="I133">
        <v>54.919199999999996</v>
      </c>
      <c r="J133">
        <v>3.6277100000000001E-3</v>
      </c>
      <c r="K133">
        <v>0.197681</v>
      </c>
      <c r="L133">
        <v>54.689700000000002</v>
      </c>
      <c r="M133">
        <v>54.491999999999997</v>
      </c>
      <c r="N133">
        <v>3.55559E-3</v>
      </c>
      <c r="O133">
        <v>0.19337799999999999</v>
      </c>
      <c r="P133">
        <v>54.580300000000001</v>
      </c>
      <c r="Q133">
        <v>54.386899999999997</v>
      </c>
      <c r="R133">
        <v>39.654000000000003</v>
      </c>
      <c r="S133">
        <v>39.654000000000003</v>
      </c>
      <c r="T133">
        <v>1.0404</v>
      </c>
      <c r="U133">
        <v>104.651</v>
      </c>
      <c r="V133">
        <f t="shared" si="6"/>
        <v>0.56157098854867604</v>
      </c>
      <c r="W133">
        <f t="shared" si="7"/>
        <v>3.7205099999999998E-3</v>
      </c>
      <c r="X133">
        <f t="shared" si="8"/>
        <v>3.6898999999999999E-3</v>
      </c>
      <c r="Y133">
        <f t="shared" si="9"/>
        <v>3.6277100000000001E-3</v>
      </c>
      <c r="Z133">
        <f t="shared" si="10"/>
        <v>3.55559E-3</v>
      </c>
      <c r="AA133">
        <f t="shared" si="11"/>
        <v>3.6484274999999998E-3</v>
      </c>
    </row>
    <row r="134" spans="1:27" x14ac:dyDescent="0.3">
      <c r="A134">
        <v>129</v>
      </c>
      <c r="B134">
        <v>3.7700699999999999E-3</v>
      </c>
      <c r="C134">
        <v>0.20792099999999999</v>
      </c>
      <c r="D134">
        <v>55.3583</v>
      </c>
      <c r="E134">
        <v>55.150399999999998</v>
      </c>
      <c r="F134">
        <v>3.7404399999999998E-3</v>
      </c>
      <c r="G134">
        <v>0.20542199999999999</v>
      </c>
      <c r="H134">
        <v>55.124600000000001</v>
      </c>
      <c r="I134">
        <v>54.919199999999996</v>
      </c>
      <c r="J134">
        <v>3.6868299999999999E-3</v>
      </c>
      <c r="K134">
        <v>0.200903</v>
      </c>
      <c r="L134">
        <v>54.692900000000002</v>
      </c>
      <c r="M134">
        <v>54.491999999999997</v>
      </c>
      <c r="N134">
        <v>3.60144E-3</v>
      </c>
      <c r="O134">
        <v>0.19587099999999999</v>
      </c>
      <c r="P134">
        <v>54.582799999999999</v>
      </c>
      <c r="Q134">
        <v>54.386899999999997</v>
      </c>
      <c r="R134">
        <v>40.03</v>
      </c>
      <c r="S134">
        <v>40.03</v>
      </c>
      <c r="T134">
        <v>1.0548999999999999</v>
      </c>
      <c r="U134">
        <v>106.105</v>
      </c>
      <c r="V134">
        <f t="shared" ref="V134:V197" si="12">U134/$A$2/$B$2</f>
        <v>0.5693733432070146</v>
      </c>
      <c r="W134">
        <f t="shared" ref="W134:W197" si="13">B134</f>
        <v>3.7700699999999999E-3</v>
      </c>
      <c r="X134">
        <f t="shared" ref="X134:X197" si="14">F134</f>
        <v>3.7404399999999998E-3</v>
      </c>
      <c r="Y134">
        <f t="shared" ref="Y134:Y197" si="15">J134</f>
        <v>3.6868299999999999E-3</v>
      </c>
      <c r="Z134">
        <f t="shared" ref="Z134:Z197" si="16">N134</f>
        <v>3.60144E-3</v>
      </c>
      <c r="AA134">
        <f t="shared" ref="AA134:AA197" si="17">AVERAGE(W134:Z134)</f>
        <v>3.6996950000000002E-3</v>
      </c>
    </row>
    <row r="135" spans="1:27" x14ac:dyDescent="0.3">
      <c r="A135">
        <v>130</v>
      </c>
      <c r="B135">
        <v>3.79284E-3</v>
      </c>
      <c r="C135">
        <v>0.209176</v>
      </c>
      <c r="D135">
        <v>55.3596</v>
      </c>
      <c r="E135">
        <v>55.150399999999998</v>
      </c>
      <c r="F135">
        <v>3.7735099999999999E-3</v>
      </c>
      <c r="G135">
        <v>0.20723800000000001</v>
      </c>
      <c r="H135">
        <v>55.126399999999997</v>
      </c>
      <c r="I135">
        <v>54.919199999999996</v>
      </c>
      <c r="J135">
        <v>3.7171800000000001E-3</v>
      </c>
      <c r="K135">
        <v>0.20255699999999999</v>
      </c>
      <c r="L135">
        <v>54.694499999999998</v>
      </c>
      <c r="M135">
        <v>54.491999999999997</v>
      </c>
      <c r="N135">
        <v>3.6369499999999999E-3</v>
      </c>
      <c r="O135">
        <v>0.19780200000000001</v>
      </c>
      <c r="P135">
        <v>54.584699999999998</v>
      </c>
      <c r="Q135">
        <v>54.386899999999997</v>
      </c>
      <c r="R135">
        <v>40.340000000000003</v>
      </c>
      <c r="S135">
        <v>40.340000000000003</v>
      </c>
      <c r="T135">
        <v>1.0578000000000001</v>
      </c>
      <c r="U135">
        <v>106.396</v>
      </c>
      <c r="V135">
        <f t="shared" si="12"/>
        <v>0.57093488736490761</v>
      </c>
      <c r="W135">
        <f t="shared" si="13"/>
        <v>3.79284E-3</v>
      </c>
      <c r="X135">
        <f t="shared" si="14"/>
        <v>3.7735099999999999E-3</v>
      </c>
      <c r="Y135">
        <f t="shared" si="15"/>
        <v>3.7171800000000001E-3</v>
      </c>
      <c r="Z135">
        <f t="shared" si="16"/>
        <v>3.6369499999999999E-3</v>
      </c>
      <c r="AA135">
        <f t="shared" si="17"/>
        <v>3.73012E-3</v>
      </c>
    </row>
    <row r="136" spans="1:27" x14ac:dyDescent="0.3">
      <c r="A136">
        <v>131</v>
      </c>
      <c r="B136">
        <v>3.8550699999999999E-3</v>
      </c>
      <c r="C136">
        <v>0.21260899999999999</v>
      </c>
      <c r="D136">
        <v>55.363</v>
      </c>
      <c r="E136">
        <v>55.150399999999998</v>
      </c>
      <c r="F136">
        <v>3.82716E-3</v>
      </c>
      <c r="G136">
        <v>0.21018400000000001</v>
      </c>
      <c r="H136">
        <v>55.129399999999997</v>
      </c>
      <c r="I136">
        <v>54.919199999999996</v>
      </c>
      <c r="J136">
        <v>3.7752900000000002E-3</v>
      </c>
      <c r="K136">
        <v>0.20572299999999999</v>
      </c>
      <c r="L136">
        <v>54.697699999999998</v>
      </c>
      <c r="M136">
        <v>54.491999999999997</v>
      </c>
      <c r="N136">
        <v>3.6871E-3</v>
      </c>
      <c r="O136">
        <v>0.20053000000000001</v>
      </c>
      <c r="P136">
        <v>54.587400000000002</v>
      </c>
      <c r="Q136">
        <v>54.386899999999997</v>
      </c>
      <c r="R136">
        <v>40.777000000000001</v>
      </c>
      <c r="S136">
        <v>40.777000000000001</v>
      </c>
      <c r="T136">
        <v>1.0726</v>
      </c>
      <c r="U136">
        <v>107.88200000000001</v>
      </c>
      <c r="V136">
        <f t="shared" si="12"/>
        <v>0.5789089582193031</v>
      </c>
      <c r="W136">
        <f t="shared" si="13"/>
        <v>3.8550699999999999E-3</v>
      </c>
      <c r="X136">
        <f t="shared" si="14"/>
        <v>3.82716E-3</v>
      </c>
      <c r="Y136">
        <f t="shared" si="15"/>
        <v>3.7752900000000002E-3</v>
      </c>
      <c r="Z136">
        <f t="shared" si="16"/>
        <v>3.6871E-3</v>
      </c>
      <c r="AA136">
        <f t="shared" si="17"/>
        <v>3.7861550000000002E-3</v>
      </c>
    </row>
    <row r="137" spans="1:27" x14ac:dyDescent="0.3">
      <c r="A137">
        <v>132</v>
      </c>
      <c r="B137">
        <v>3.9359499999999997E-3</v>
      </c>
      <c r="C137">
        <v>0.21706900000000001</v>
      </c>
      <c r="D137">
        <v>55.367400000000004</v>
      </c>
      <c r="E137">
        <v>55.150399999999998</v>
      </c>
      <c r="F137">
        <v>3.8979599999999998E-3</v>
      </c>
      <c r="G137">
        <v>0.21407300000000001</v>
      </c>
      <c r="H137">
        <v>55.133200000000002</v>
      </c>
      <c r="I137">
        <v>54.919199999999996</v>
      </c>
      <c r="J137">
        <v>3.8391599999999999E-3</v>
      </c>
      <c r="K137">
        <v>0.209204</v>
      </c>
      <c r="L137">
        <v>54.7012</v>
      </c>
      <c r="M137">
        <v>54.491999999999997</v>
      </c>
      <c r="N137">
        <v>3.7502600000000001E-3</v>
      </c>
      <c r="O137">
        <v>0.20396500000000001</v>
      </c>
      <c r="P137">
        <v>54.590899999999998</v>
      </c>
      <c r="Q137">
        <v>54.386899999999997</v>
      </c>
      <c r="R137">
        <v>41.527999999999999</v>
      </c>
      <c r="S137">
        <v>41.527999999999999</v>
      </c>
      <c r="T137">
        <v>1.0961000000000001</v>
      </c>
      <c r="U137">
        <v>110.241</v>
      </c>
      <c r="V137">
        <f t="shared" si="12"/>
        <v>0.5915676615473775</v>
      </c>
      <c r="W137">
        <f t="shared" si="13"/>
        <v>3.9359499999999997E-3</v>
      </c>
      <c r="X137">
        <f t="shared" si="14"/>
        <v>3.8979599999999998E-3</v>
      </c>
      <c r="Y137">
        <f t="shared" si="15"/>
        <v>3.8391599999999999E-3</v>
      </c>
      <c r="Z137">
        <f t="shared" si="16"/>
        <v>3.7502600000000001E-3</v>
      </c>
      <c r="AA137">
        <f t="shared" si="17"/>
        <v>3.8558324999999997E-3</v>
      </c>
    </row>
    <row r="138" spans="1:27" x14ac:dyDescent="0.3">
      <c r="A138">
        <v>133</v>
      </c>
      <c r="B138">
        <v>3.9391699999999997E-3</v>
      </c>
      <c r="C138">
        <v>0.217247</v>
      </c>
      <c r="D138">
        <v>55.367600000000003</v>
      </c>
      <c r="E138">
        <v>55.150399999999998</v>
      </c>
      <c r="F138">
        <v>3.9099099999999999E-3</v>
      </c>
      <c r="G138">
        <v>0.214729</v>
      </c>
      <c r="H138">
        <v>55.133899999999997</v>
      </c>
      <c r="I138">
        <v>54.919199999999996</v>
      </c>
      <c r="J138">
        <v>3.8591900000000002E-3</v>
      </c>
      <c r="K138">
        <v>0.21029500000000001</v>
      </c>
      <c r="L138">
        <v>54.702300000000001</v>
      </c>
      <c r="M138">
        <v>54.491999999999997</v>
      </c>
      <c r="N138">
        <v>3.7693599999999998E-3</v>
      </c>
      <c r="O138">
        <v>0.20500399999999999</v>
      </c>
      <c r="P138">
        <v>54.591900000000003</v>
      </c>
      <c r="Q138">
        <v>54.386899999999997</v>
      </c>
      <c r="R138">
        <v>42.026000000000003</v>
      </c>
      <c r="S138">
        <v>42.026000000000003</v>
      </c>
      <c r="T138">
        <v>1.1015999999999999</v>
      </c>
      <c r="U138">
        <v>110.79</v>
      </c>
      <c r="V138">
        <f t="shared" si="12"/>
        <v>0.5945136675359799</v>
      </c>
      <c r="W138">
        <f t="shared" si="13"/>
        <v>3.9391699999999997E-3</v>
      </c>
      <c r="X138">
        <f t="shared" si="14"/>
        <v>3.9099099999999999E-3</v>
      </c>
      <c r="Y138">
        <f t="shared" si="15"/>
        <v>3.8591900000000002E-3</v>
      </c>
      <c r="Z138">
        <f t="shared" si="16"/>
        <v>3.7693599999999998E-3</v>
      </c>
      <c r="AA138">
        <f t="shared" si="17"/>
        <v>3.8694074999999998E-3</v>
      </c>
    </row>
    <row r="139" spans="1:27" x14ac:dyDescent="0.3">
      <c r="A139">
        <v>134</v>
      </c>
      <c r="B139">
        <v>3.9936800000000003E-3</v>
      </c>
      <c r="C139">
        <v>0.220253</v>
      </c>
      <c r="D139">
        <v>55.370600000000003</v>
      </c>
      <c r="E139">
        <v>55.150399999999998</v>
      </c>
      <c r="F139">
        <v>3.9623899999999997E-3</v>
      </c>
      <c r="G139">
        <v>0.217611</v>
      </c>
      <c r="H139">
        <v>55.136800000000001</v>
      </c>
      <c r="I139">
        <v>54.919199999999996</v>
      </c>
      <c r="J139">
        <v>3.9027599999999999E-3</v>
      </c>
      <c r="K139">
        <v>0.212669</v>
      </c>
      <c r="L139">
        <v>54.704700000000003</v>
      </c>
      <c r="M139">
        <v>54.491999999999997</v>
      </c>
      <c r="N139">
        <v>3.8153200000000001E-3</v>
      </c>
      <c r="O139">
        <v>0.20750299999999999</v>
      </c>
      <c r="P139">
        <v>54.5944</v>
      </c>
      <c r="Q139">
        <v>54.386899999999997</v>
      </c>
      <c r="R139">
        <v>42.4</v>
      </c>
      <c r="S139">
        <v>42.4</v>
      </c>
      <c r="T139">
        <v>1.1132</v>
      </c>
      <c r="U139">
        <v>111.953</v>
      </c>
      <c r="V139">
        <f t="shared" si="12"/>
        <v>0.60075447803642534</v>
      </c>
      <c r="W139">
        <f t="shared" si="13"/>
        <v>3.9936800000000003E-3</v>
      </c>
      <c r="X139">
        <f t="shared" si="14"/>
        <v>3.9623899999999997E-3</v>
      </c>
      <c r="Y139">
        <f t="shared" si="15"/>
        <v>3.9027599999999999E-3</v>
      </c>
      <c r="Z139">
        <f t="shared" si="16"/>
        <v>3.8153200000000001E-3</v>
      </c>
      <c r="AA139">
        <f t="shared" si="17"/>
        <v>3.9185374999999995E-3</v>
      </c>
    </row>
    <row r="140" spans="1:27" x14ac:dyDescent="0.3">
      <c r="A140">
        <v>135</v>
      </c>
      <c r="B140">
        <v>4.0589399999999996E-3</v>
      </c>
      <c r="C140">
        <v>0.223852</v>
      </c>
      <c r="D140">
        <v>55.374200000000002</v>
      </c>
      <c r="E140">
        <v>55.150399999999998</v>
      </c>
      <c r="F140">
        <v>4.0224199999999996E-3</v>
      </c>
      <c r="G140">
        <v>0.22090799999999999</v>
      </c>
      <c r="H140">
        <v>55.140099999999997</v>
      </c>
      <c r="I140">
        <v>54.919199999999996</v>
      </c>
      <c r="J140">
        <v>3.9630500000000001E-3</v>
      </c>
      <c r="K140">
        <v>0.21595400000000001</v>
      </c>
      <c r="L140">
        <v>54.707900000000002</v>
      </c>
      <c r="M140">
        <v>54.491999999999997</v>
      </c>
      <c r="N140">
        <v>3.8699699999999999E-3</v>
      </c>
      <c r="O140">
        <v>0.210476</v>
      </c>
      <c r="P140">
        <v>54.5974</v>
      </c>
      <c r="Q140">
        <v>54.386899999999997</v>
      </c>
      <c r="R140">
        <v>42.776000000000003</v>
      </c>
      <c r="S140">
        <v>42.776000000000003</v>
      </c>
      <c r="T140">
        <v>1.1229</v>
      </c>
      <c r="U140">
        <v>112.923</v>
      </c>
      <c r="V140">
        <f t="shared" si="12"/>
        <v>0.60595962522940217</v>
      </c>
      <c r="W140">
        <f t="shared" si="13"/>
        <v>4.0589399999999996E-3</v>
      </c>
      <c r="X140">
        <f t="shared" si="14"/>
        <v>4.0224199999999996E-3</v>
      </c>
      <c r="Y140">
        <f t="shared" si="15"/>
        <v>3.9630500000000001E-3</v>
      </c>
      <c r="Z140">
        <f t="shared" si="16"/>
        <v>3.8699699999999999E-3</v>
      </c>
      <c r="AA140">
        <f t="shared" si="17"/>
        <v>3.9785949999999997E-3</v>
      </c>
    </row>
    <row r="141" spans="1:27" x14ac:dyDescent="0.3">
      <c r="A141">
        <v>136</v>
      </c>
      <c r="B141">
        <v>4.0486599999999999E-3</v>
      </c>
      <c r="C141">
        <v>0.22328500000000001</v>
      </c>
      <c r="D141">
        <v>55.373699999999999</v>
      </c>
      <c r="E141">
        <v>55.150399999999998</v>
      </c>
      <c r="F141">
        <v>4.0089599999999998E-3</v>
      </c>
      <c r="G141">
        <v>0.220169</v>
      </c>
      <c r="H141">
        <v>55.139299999999999</v>
      </c>
      <c r="I141">
        <v>54.919199999999996</v>
      </c>
      <c r="J141">
        <v>3.9468699999999999E-3</v>
      </c>
      <c r="K141">
        <v>0.21507299999999999</v>
      </c>
      <c r="L141">
        <v>54.707099999999997</v>
      </c>
      <c r="M141">
        <v>54.491999999999997</v>
      </c>
      <c r="N141">
        <v>3.8639400000000002E-3</v>
      </c>
      <c r="O141">
        <v>0.210148</v>
      </c>
      <c r="P141">
        <v>54.597000000000001</v>
      </c>
      <c r="Q141">
        <v>54.386899999999997</v>
      </c>
      <c r="R141">
        <v>43.087000000000003</v>
      </c>
      <c r="S141">
        <v>43.087000000000003</v>
      </c>
      <c r="T141">
        <v>1.1299999999999999</v>
      </c>
      <c r="U141">
        <v>113.633</v>
      </c>
      <c r="V141">
        <f t="shared" si="12"/>
        <v>0.60976957832941603</v>
      </c>
      <c r="W141">
        <f t="shared" si="13"/>
        <v>4.0486599999999999E-3</v>
      </c>
      <c r="X141">
        <f t="shared" si="14"/>
        <v>4.0089599999999998E-3</v>
      </c>
      <c r="Y141">
        <f t="shared" si="15"/>
        <v>3.9468699999999999E-3</v>
      </c>
      <c r="Z141">
        <f t="shared" si="16"/>
        <v>3.8639400000000002E-3</v>
      </c>
      <c r="AA141">
        <f t="shared" si="17"/>
        <v>3.9671074999999998E-3</v>
      </c>
    </row>
    <row r="142" spans="1:27" x14ac:dyDescent="0.3">
      <c r="A142">
        <v>137</v>
      </c>
      <c r="B142">
        <v>4.1125700000000003E-3</v>
      </c>
      <c r="C142">
        <v>0.22681000000000001</v>
      </c>
      <c r="D142">
        <v>55.377200000000002</v>
      </c>
      <c r="E142">
        <v>55.150399999999998</v>
      </c>
      <c r="F142">
        <v>4.0831000000000001E-3</v>
      </c>
      <c r="G142">
        <v>0.22423999999999999</v>
      </c>
      <c r="H142">
        <v>55.1434</v>
      </c>
      <c r="I142">
        <v>54.919199999999996</v>
      </c>
      <c r="J142">
        <v>4.01695E-3</v>
      </c>
      <c r="K142">
        <v>0.218892</v>
      </c>
      <c r="L142">
        <v>54.710900000000002</v>
      </c>
      <c r="M142">
        <v>54.491999999999997</v>
      </c>
      <c r="N142">
        <v>3.92523E-3</v>
      </c>
      <c r="O142">
        <v>0.213481</v>
      </c>
      <c r="P142">
        <v>54.6004</v>
      </c>
      <c r="Q142">
        <v>54.386899999999997</v>
      </c>
      <c r="R142">
        <v>43.460999999999999</v>
      </c>
      <c r="S142">
        <v>43.460999999999999</v>
      </c>
      <c r="T142">
        <v>1.1393</v>
      </c>
      <c r="U142">
        <v>114.57</v>
      </c>
      <c r="V142">
        <f t="shared" si="12"/>
        <v>0.61479764319520913</v>
      </c>
      <c r="W142">
        <f t="shared" si="13"/>
        <v>4.1125700000000003E-3</v>
      </c>
      <c r="X142">
        <f t="shared" si="14"/>
        <v>4.0831000000000001E-3</v>
      </c>
      <c r="Y142">
        <f t="shared" si="15"/>
        <v>4.01695E-3</v>
      </c>
      <c r="Z142">
        <f t="shared" si="16"/>
        <v>3.92523E-3</v>
      </c>
      <c r="AA142">
        <f t="shared" si="17"/>
        <v>4.0344625000000005E-3</v>
      </c>
    </row>
    <row r="143" spans="1:27" x14ac:dyDescent="0.3">
      <c r="A143">
        <v>138</v>
      </c>
      <c r="B143">
        <v>4.1780799999999998E-3</v>
      </c>
      <c r="C143">
        <v>0.23042299999999999</v>
      </c>
      <c r="D143">
        <v>55.380800000000001</v>
      </c>
      <c r="E143">
        <v>55.150399999999998</v>
      </c>
      <c r="F143">
        <v>4.1549300000000003E-3</v>
      </c>
      <c r="G143">
        <v>0.228185</v>
      </c>
      <c r="H143">
        <v>55.147399999999998</v>
      </c>
      <c r="I143">
        <v>54.919199999999996</v>
      </c>
      <c r="J143">
        <v>4.0898899999999997E-3</v>
      </c>
      <c r="K143">
        <v>0.22286700000000001</v>
      </c>
      <c r="L143">
        <v>54.7149</v>
      </c>
      <c r="M143">
        <v>54.491999999999997</v>
      </c>
      <c r="N143">
        <v>3.9936599999999996E-3</v>
      </c>
      <c r="O143">
        <v>0.21720300000000001</v>
      </c>
      <c r="P143">
        <v>54.604100000000003</v>
      </c>
      <c r="Q143">
        <v>54.386899999999997</v>
      </c>
      <c r="R143">
        <v>43.896999999999998</v>
      </c>
      <c r="S143">
        <v>43.896999999999998</v>
      </c>
      <c r="T143">
        <v>1.1516</v>
      </c>
      <c r="U143">
        <v>115.798</v>
      </c>
      <c r="V143">
        <f t="shared" si="12"/>
        <v>0.62138725221889524</v>
      </c>
      <c r="W143">
        <f t="shared" si="13"/>
        <v>4.1780799999999998E-3</v>
      </c>
      <c r="X143">
        <f t="shared" si="14"/>
        <v>4.1549300000000003E-3</v>
      </c>
      <c r="Y143">
        <f t="shared" si="15"/>
        <v>4.0898899999999997E-3</v>
      </c>
      <c r="Z143">
        <f t="shared" si="16"/>
        <v>3.9936599999999996E-3</v>
      </c>
      <c r="AA143">
        <f t="shared" si="17"/>
        <v>4.10414E-3</v>
      </c>
    </row>
    <row r="144" spans="1:27" x14ac:dyDescent="0.3">
      <c r="A144">
        <v>139</v>
      </c>
      <c r="B144">
        <v>4.15833E-3</v>
      </c>
      <c r="C144">
        <v>0.22933300000000001</v>
      </c>
      <c r="D144">
        <v>55.3797</v>
      </c>
      <c r="E144">
        <v>55.150399999999998</v>
      </c>
      <c r="F144">
        <v>4.1247300000000001E-3</v>
      </c>
      <c r="G144">
        <v>0.22652700000000001</v>
      </c>
      <c r="H144">
        <v>55.145699999999998</v>
      </c>
      <c r="I144">
        <v>54.919199999999996</v>
      </c>
      <c r="J144">
        <v>4.0596599999999997E-3</v>
      </c>
      <c r="K144">
        <v>0.221219</v>
      </c>
      <c r="L144">
        <v>54.713200000000001</v>
      </c>
      <c r="M144">
        <v>54.491999999999997</v>
      </c>
      <c r="N144">
        <v>3.9616299999999998E-3</v>
      </c>
      <c r="O144">
        <v>0.21546100000000001</v>
      </c>
      <c r="P144">
        <v>54.602400000000003</v>
      </c>
      <c r="Q144">
        <v>54.386899999999997</v>
      </c>
      <c r="R144">
        <v>44.335000000000001</v>
      </c>
      <c r="S144">
        <v>44.335999999999999</v>
      </c>
      <c r="T144">
        <v>1.1682999999999999</v>
      </c>
      <c r="U144">
        <v>117.47799999999999</v>
      </c>
      <c r="V144">
        <f t="shared" si="12"/>
        <v>0.63040235251188592</v>
      </c>
      <c r="W144">
        <f t="shared" si="13"/>
        <v>4.15833E-3</v>
      </c>
      <c r="X144">
        <f t="shared" si="14"/>
        <v>4.1247300000000001E-3</v>
      </c>
      <c r="Y144">
        <f t="shared" si="15"/>
        <v>4.0596599999999997E-3</v>
      </c>
      <c r="Z144">
        <f t="shared" si="16"/>
        <v>3.9616299999999998E-3</v>
      </c>
      <c r="AA144">
        <f t="shared" si="17"/>
        <v>4.0760874999999997E-3</v>
      </c>
    </row>
    <row r="145" spans="1:27" x14ac:dyDescent="0.3">
      <c r="A145">
        <v>140</v>
      </c>
      <c r="B145">
        <v>4.2564200000000003E-3</v>
      </c>
      <c r="C145">
        <v>0.23474300000000001</v>
      </c>
      <c r="D145">
        <v>55.385100000000001</v>
      </c>
      <c r="E145">
        <v>55.150399999999998</v>
      </c>
      <c r="F145">
        <v>4.2261199999999999E-3</v>
      </c>
      <c r="G145">
        <v>0.232095</v>
      </c>
      <c r="H145">
        <v>55.151299999999999</v>
      </c>
      <c r="I145">
        <v>54.919199999999996</v>
      </c>
      <c r="J145">
        <v>4.1522199999999999E-3</v>
      </c>
      <c r="K145">
        <v>0.22626199999999999</v>
      </c>
      <c r="L145">
        <v>54.718299999999999</v>
      </c>
      <c r="M145">
        <v>54.491999999999997</v>
      </c>
      <c r="N145">
        <v>4.0545800000000003E-3</v>
      </c>
      <c r="O145">
        <v>0.22051599999999999</v>
      </c>
      <c r="P145">
        <v>54.607399999999998</v>
      </c>
      <c r="Q145">
        <v>54.386899999999997</v>
      </c>
      <c r="R145">
        <v>45.146000000000001</v>
      </c>
      <c r="S145">
        <v>45.146000000000001</v>
      </c>
      <c r="T145">
        <v>1.1815</v>
      </c>
      <c r="U145">
        <v>118.803</v>
      </c>
      <c r="V145">
        <f t="shared" si="12"/>
        <v>0.63751247625486973</v>
      </c>
      <c r="W145">
        <f t="shared" si="13"/>
        <v>4.2564200000000003E-3</v>
      </c>
      <c r="X145">
        <f t="shared" si="14"/>
        <v>4.2261199999999999E-3</v>
      </c>
      <c r="Y145">
        <f t="shared" si="15"/>
        <v>4.1522199999999999E-3</v>
      </c>
      <c r="Z145">
        <f t="shared" si="16"/>
        <v>4.0545800000000003E-3</v>
      </c>
      <c r="AA145">
        <f t="shared" si="17"/>
        <v>4.1723350000000001E-3</v>
      </c>
    </row>
    <row r="146" spans="1:27" x14ac:dyDescent="0.3">
      <c r="A146">
        <v>141</v>
      </c>
      <c r="B146">
        <v>4.3409700000000004E-3</v>
      </c>
      <c r="C146">
        <v>0.23940600000000001</v>
      </c>
      <c r="D146">
        <v>55.389800000000001</v>
      </c>
      <c r="E146">
        <v>55.150399999999998</v>
      </c>
      <c r="F146">
        <v>4.3028800000000002E-3</v>
      </c>
      <c r="G146">
        <v>0.23631099999999999</v>
      </c>
      <c r="H146">
        <v>55.155500000000004</v>
      </c>
      <c r="I146">
        <v>54.919199999999996</v>
      </c>
      <c r="J146">
        <v>4.2449200000000001E-3</v>
      </c>
      <c r="K146">
        <v>0.23131399999999999</v>
      </c>
      <c r="L146">
        <v>54.723300000000002</v>
      </c>
      <c r="M146">
        <v>54.491999999999997</v>
      </c>
      <c r="N146">
        <v>4.1479200000000003E-3</v>
      </c>
      <c r="O146">
        <v>0.22559299999999999</v>
      </c>
      <c r="P146">
        <v>54.612499999999997</v>
      </c>
      <c r="Q146">
        <v>54.386899999999997</v>
      </c>
      <c r="R146">
        <v>45.584000000000003</v>
      </c>
      <c r="S146">
        <v>45.585000000000001</v>
      </c>
      <c r="T146">
        <v>1.1915</v>
      </c>
      <c r="U146">
        <v>119.804</v>
      </c>
      <c r="V146">
        <f t="shared" si="12"/>
        <v>0.64288397351277671</v>
      </c>
      <c r="W146">
        <f t="shared" si="13"/>
        <v>4.3409700000000004E-3</v>
      </c>
      <c r="X146">
        <f t="shared" si="14"/>
        <v>4.3028800000000002E-3</v>
      </c>
      <c r="Y146">
        <f t="shared" si="15"/>
        <v>4.2449200000000001E-3</v>
      </c>
      <c r="Z146">
        <f t="shared" si="16"/>
        <v>4.1479200000000003E-3</v>
      </c>
      <c r="AA146">
        <f t="shared" si="17"/>
        <v>4.2591725E-3</v>
      </c>
    </row>
    <row r="147" spans="1:27" x14ac:dyDescent="0.3">
      <c r="A147">
        <v>142</v>
      </c>
      <c r="B147">
        <v>4.35098E-3</v>
      </c>
      <c r="C147">
        <v>0.239958</v>
      </c>
      <c r="D147">
        <v>55.390300000000003</v>
      </c>
      <c r="E147">
        <v>55.150399999999998</v>
      </c>
      <c r="F147">
        <v>4.3165299999999998E-3</v>
      </c>
      <c r="G147">
        <v>0.23705999999999999</v>
      </c>
      <c r="H147">
        <v>55.156199999999998</v>
      </c>
      <c r="I147">
        <v>54.919199999999996</v>
      </c>
      <c r="J147">
        <v>4.2534799999999996E-3</v>
      </c>
      <c r="K147">
        <v>0.23178000000000001</v>
      </c>
      <c r="L147">
        <v>54.723799999999997</v>
      </c>
      <c r="M147">
        <v>54.491999999999997</v>
      </c>
      <c r="N147">
        <v>4.1515500000000004E-3</v>
      </c>
      <c r="O147">
        <v>0.22578999999999999</v>
      </c>
      <c r="P147">
        <v>54.612699999999997</v>
      </c>
      <c r="Q147">
        <v>54.386899999999997</v>
      </c>
      <c r="R147">
        <v>46.018999999999998</v>
      </c>
      <c r="S147">
        <v>46.02</v>
      </c>
      <c r="T147">
        <v>1.2012</v>
      </c>
      <c r="U147">
        <v>120.774</v>
      </c>
      <c r="V147">
        <f t="shared" si="12"/>
        <v>0.64808912070575364</v>
      </c>
      <c r="W147">
        <f t="shared" si="13"/>
        <v>4.35098E-3</v>
      </c>
      <c r="X147">
        <f t="shared" si="14"/>
        <v>4.3165299999999998E-3</v>
      </c>
      <c r="Y147">
        <f t="shared" si="15"/>
        <v>4.2534799999999996E-3</v>
      </c>
      <c r="Z147">
        <f t="shared" si="16"/>
        <v>4.1515500000000004E-3</v>
      </c>
      <c r="AA147">
        <f t="shared" si="17"/>
        <v>4.2681350000000002E-3</v>
      </c>
    </row>
    <row r="148" spans="1:27" x14ac:dyDescent="0.3">
      <c r="A148">
        <v>143</v>
      </c>
      <c r="B148">
        <v>4.3989199999999997E-3</v>
      </c>
      <c r="C148">
        <v>0.24260200000000001</v>
      </c>
      <c r="D148">
        <v>55.393000000000001</v>
      </c>
      <c r="E148">
        <v>55.150399999999998</v>
      </c>
      <c r="F148">
        <v>4.3515899999999998E-3</v>
      </c>
      <c r="G148">
        <v>0.238985</v>
      </c>
      <c r="H148">
        <v>55.158200000000001</v>
      </c>
      <c r="I148">
        <v>54.919199999999996</v>
      </c>
      <c r="J148">
        <v>4.2750399999999999E-3</v>
      </c>
      <c r="K148">
        <v>0.232955</v>
      </c>
      <c r="L148">
        <v>54.724899999999998</v>
      </c>
      <c r="M148">
        <v>54.491999999999997</v>
      </c>
      <c r="N148">
        <v>4.1738699999999997E-3</v>
      </c>
      <c r="O148">
        <v>0.22700400000000001</v>
      </c>
      <c r="P148">
        <v>54.613900000000001</v>
      </c>
      <c r="Q148">
        <v>54.386899999999997</v>
      </c>
      <c r="R148">
        <v>46.393000000000001</v>
      </c>
      <c r="S148">
        <v>46.393000000000001</v>
      </c>
      <c r="T148">
        <v>1.2131000000000001</v>
      </c>
      <c r="U148">
        <v>121.96899999999999</v>
      </c>
      <c r="V148">
        <f t="shared" si="12"/>
        <v>0.65450164740225591</v>
      </c>
      <c r="W148">
        <f t="shared" si="13"/>
        <v>4.3989199999999997E-3</v>
      </c>
      <c r="X148">
        <f t="shared" si="14"/>
        <v>4.3515899999999998E-3</v>
      </c>
      <c r="Y148">
        <f t="shared" si="15"/>
        <v>4.2750399999999999E-3</v>
      </c>
      <c r="Z148">
        <f t="shared" si="16"/>
        <v>4.1738699999999997E-3</v>
      </c>
      <c r="AA148">
        <f t="shared" si="17"/>
        <v>4.299855E-3</v>
      </c>
    </row>
    <row r="149" spans="1:27" x14ac:dyDescent="0.3">
      <c r="A149">
        <v>144</v>
      </c>
      <c r="B149">
        <v>4.4301499999999999E-3</v>
      </c>
      <c r="C149">
        <v>0.24432400000000001</v>
      </c>
      <c r="D149">
        <v>55.3947</v>
      </c>
      <c r="E149">
        <v>55.150399999999998</v>
      </c>
      <c r="F149">
        <v>4.3890600000000002E-3</v>
      </c>
      <c r="G149">
        <v>0.24104400000000001</v>
      </c>
      <c r="H149">
        <v>55.160200000000003</v>
      </c>
      <c r="I149">
        <v>54.919199999999996</v>
      </c>
      <c r="J149">
        <v>4.3277200000000002E-3</v>
      </c>
      <c r="K149">
        <v>0.23582600000000001</v>
      </c>
      <c r="L149">
        <v>54.727800000000002</v>
      </c>
      <c r="M149">
        <v>54.491999999999997</v>
      </c>
      <c r="N149">
        <v>4.2122499999999998E-3</v>
      </c>
      <c r="O149">
        <v>0.22909099999999999</v>
      </c>
      <c r="P149">
        <v>54.616</v>
      </c>
      <c r="Q149">
        <v>54.386899999999997</v>
      </c>
      <c r="R149">
        <v>46.582000000000001</v>
      </c>
      <c r="S149">
        <v>46.582999999999998</v>
      </c>
      <c r="T149">
        <v>1.2143999999999999</v>
      </c>
      <c r="U149">
        <v>122.098</v>
      </c>
      <c r="V149">
        <f t="shared" si="12"/>
        <v>0.65519387831761056</v>
      </c>
      <c r="W149">
        <f t="shared" si="13"/>
        <v>4.4301499999999999E-3</v>
      </c>
      <c r="X149">
        <f t="shared" si="14"/>
        <v>4.3890600000000002E-3</v>
      </c>
      <c r="Y149">
        <f t="shared" si="15"/>
        <v>4.3277200000000002E-3</v>
      </c>
      <c r="Z149">
        <f t="shared" si="16"/>
        <v>4.2122499999999998E-3</v>
      </c>
      <c r="AA149">
        <f t="shared" si="17"/>
        <v>4.3397950000000005E-3</v>
      </c>
    </row>
    <row r="150" spans="1:27" x14ac:dyDescent="0.3">
      <c r="A150">
        <v>145</v>
      </c>
      <c r="B150">
        <v>4.4980300000000001E-3</v>
      </c>
      <c r="C150">
        <v>0.24806800000000001</v>
      </c>
      <c r="D150">
        <v>55.398400000000002</v>
      </c>
      <c r="E150">
        <v>55.150399999999998</v>
      </c>
      <c r="F150">
        <v>4.4569800000000001E-3</v>
      </c>
      <c r="G150">
        <v>0.24477399999999999</v>
      </c>
      <c r="H150">
        <v>55.163899999999998</v>
      </c>
      <c r="I150">
        <v>54.919199999999996</v>
      </c>
      <c r="J150">
        <v>4.3813100000000002E-3</v>
      </c>
      <c r="K150">
        <v>0.23874600000000001</v>
      </c>
      <c r="L150">
        <v>54.730699999999999</v>
      </c>
      <c r="M150">
        <v>54.491999999999997</v>
      </c>
      <c r="N150">
        <v>4.2715399999999999E-3</v>
      </c>
      <c r="O150">
        <v>0.23231599999999999</v>
      </c>
      <c r="P150">
        <v>54.619199999999999</v>
      </c>
      <c r="Q150">
        <v>54.386899999999997</v>
      </c>
      <c r="R150">
        <v>47.267000000000003</v>
      </c>
      <c r="S150">
        <v>47.268000000000001</v>
      </c>
      <c r="T150">
        <v>1.2292000000000001</v>
      </c>
      <c r="U150">
        <v>123.58499999999999</v>
      </c>
      <c r="V150">
        <f t="shared" si="12"/>
        <v>0.66317331530313273</v>
      </c>
      <c r="W150">
        <f t="shared" si="13"/>
        <v>4.4980300000000001E-3</v>
      </c>
      <c r="X150">
        <f t="shared" si="14"/>
        <v>4.4569800000000001E-3</v>
      </c>
      <c r="Y150">
        <f t="shared" si="15"/>
        <v>4.3813100000000002E-3</v>
      </c>
      <c r="Z150">
        <f t="shared" si="16"/>
        <v>4.2715399999999999E-3</v>
      </c>
      <c r="AA150">
        <f t="shared" si="17"/>
        <v>4.4019649999999999E-3</v>
      </c>
    </row>
    <row r="151" spans="1:27" x14ac:dyDescent="0.3">
      <c r="A151">
        <v>146</v>
      </c>
      <c r="B151">
        <v>4.50331E-3</v>
      </c>
      <c r="C151">
        <v>0.248359</v>
      </c>
      <c r="D151">
        <v>55.398699999999998</v>
      </c>
      <c r="E151">
        <v>55.150399999999998</v>
      </c>
      <c r="F151">
        <v>4.4668900000000003E-3</v>
      </c>
      <c r="G151">
        <v>0.24531800000000001</v>
      </c>
      <c r="H151">
        <v>55.164499999999997</v>
      </c>
      <c r="I151">
        <v>54.919199999999996</v>
      </c>
      <c r="J151">
        <v>4.3902000000000004E-3</v>
      </c>
      <c r="K151">
        <v>0.239231</v>
      </c>
      <c r="L151">
        <v>54.731200000000001</v>
      </c>
      <c r="M151">
        <v>54.491999999999997</v>
      </c>
      <c r="N151">
        <v>4.2849100000000003E-3</v>
      </c>
      <c r="O151">
        <v>0.233043</v>
      </c>
      <c r="P151">
        <v>54.619900000000001</v>
      </c>
      <c r="Q151">
        <v>54.386899999999997</v>
      </c>
      <c r="R151">
        <v>47.393000000000001</v>
      </c>
      <c r="S151">
        <v>47.393000000000001</v>
      </c>
      <c r="T151">
        <v>1.2343999999999999</v>
      </c>
      <c r="U151">
        <v>124.102</v>
      </c>
      <c r="V151">
        <f t="shared" si="12"/>
        <v>0.66594760509567819</v>
      </c>
      <c r="W151">
        <f t="shared" si="13"/>
        <v>4.50331E-3</v>
      </c>
      <c r="X151">
        <f t="shared" si="14"/>
        <v>4.4668900000000003E-3</v>
      </c>
      <c r="Y151">
        <f t="shared" si="15"/>
        <v>4.3902000000000004E-3</v>
      </c>
      <c r="Z151">
        <f t="shared" si="16"/>
        <v>4.2849100000000003E-3</v>
      </c>
      <c r="AA151">
        <f t="shared" si="17"/>
        <v>4.4113275000000002E-3</v>
      </c>
    </row>
    <row r="152" spans="1:27" x14ac:dyDescent="0.3">
      <c r="A152">
        <v>147</v>
      </c>
      <c r="B152">
        <v>4.5456100000000003E-3</v>
      </c>
      <c r="C152">
        <v>0.25069200000000003</v>
      </c>
      <c r="D152">
        <v>55.4011</v>
      </c>
      <c r="E152">
        <v>55.150399999999998</v>
      </c>
      <c r="F152">
        <v>4.4999599999999999E-3</v>
      </c>
      <c r="G152">
        <v>0.24713399999999999</v>
      </c>
      <c r="H152">
        <v>55.1663</v>
      </c>
      <c r="I152">
        <v>54.919199999999996</v>
      </c>
      <c r="J152">
        <v>4.4289000000000004E-3</v>
      </c>
      <c r="K152">
        <v>0.24134</v>
      </c>
      <c r="L152">
        <v>54.7333</v>
      </c>
      <c r="M152">
        <v>54.491999999999997</v>
      </c>
      <c r="N152">
        <v>4.3230200000000003E-3</v>
      </c>
      <c r="O152">
        <v>0.23511499999999999</v>
      </c>
      <c r="P152">
        <v>54.622</v>
      </c>
      <c r="Q152">
        <v>54.386899999999997</v>
      </c>
      <c r="R152">
        <v>47.704000000000001</v>
      </c>
      <c r="S152">
        <v>47.704000000000001</v>
      </c>
      <c r="T152">
        <v>1.2418</v>
      </c>
      <c r="U152">
        <v>124.845</v>
      </c>
      <c r="V152">
        <f t="shared" si="12"/>
        <v>0.66993464052287588</v>
      </c>
      <c r="W152">
        <f t="shared" si="13"/>
        <v>4.5456100000000003E-3</v>
      </c>
      <c r="X152">
        <f t="shared" si="14"/>
        <v>4.4999599999999999E-3</v>
      </c>
      <c r="Y152">
        <f t="shared" si="15"/>
        <v>4.4289000000000004E-3</v>
      </c>
      <c r="Z152">
        <f t="shared" si="16"/>
        <v>4.3230200000000003E-3</v>
      </c>
      <c r="AA152">
        <f t="shared" si="17"/>
        <v>4.4493724999999998E-3</v>
      </c>
    </row>
    <row r="153" spans="1:27" x14ac:dyDescent="0.3">
      <c r="A153">
        <v>148</v>
      </c>
      <c r="B153">
        <v>4.6176300000000002E-3</v>
      </c>
      <c r="C153">
        <v>0.254664</v>
      </c>
      <c r="D153">
        <v>55.405000000000001</v>
      </c>
      <c r="E153">
        <v>55.150399999999998</v>
      </c>
      <c r="F153">
        <v>4.56932E-3</v>
      </c>
      <c r="G153">
        <v>0.25094300000000003</v>
      </c>
      <c r="H153">
        <v>55.170099999999998</v>
      </c>
      <c r="I153">
        <v>54.919199999999996</v>
      </c>
      <c r="J153">
        <v>4.5035600000000002E-3</v>
      </c>
      <c r="K153">
        <v>0.24540799999999999</v>
      </c>
      <c r="L153">
        <v>54.737400000000001</v>
      </c>
      <c r="M153">
        <v>54.491999999999997</v>
      </c>
      <c r="N153">
        <v>4.3955599999999997E-3</v>
      </c>
      <c r="O153">
        <v>0.239061</v>
      </c>
      <c r="P153">
        <v>54.625999999999998</v>
      </c>
      <c r="Q153">
        <v>54.386899999999997</v>
      </c>
      <c r="R153">
        <v>48.392000000000003</v>
      </c>
      <c r="S153">
        <v>48.393000000000001</v>
      </c>
      <c r="T153">
        <v>1.2585999999999999</v>
      </c>
      <c r="U153">
        <v>126.52500000000001</v>
      </c>
      <c r="V153">
        <f t="shared" si="12"/>
        <v>0.67894974081586656</v>
      </c>
      <c r="W153">
        <f t="shared" si="13"/>
        <v>4.6176300000000002E-3</v>
      </c>
      <c r="X153">
        <f t="shared" si="14"/>
        <v>4.56932E-3</v>
      </c>
      <c r="Y153">
        <f t="shared" si="15"/>
        <v>4.5035600000000002E-3</v>
      </c>
      <c r="Z153">
        <f t="shared" si="16"/>
        <v>4.3955599999999997E-3</v>
      </c>
      <c r="AA153">
        <f t="shared" si="17"/>
        <v>4.5215174999999998E-3</v>
      </c>
    </row>
    <row r="154" spans="1:27" x14ac:dyDescent="0.3">
      <c r="A154">
        <v>149</v>
      </c>
      <c r="B154">
        <v>4.6017200000000001E-3</v>
      </c>
      <c r="C154">
        <v>0.25378699999999998</v>
      </c>
      <c r="D154">
        <v>55.404200000000003</v>
      </c>
      <c r="E154">
        <v>55.150399999999998</v>
      </c>
      <c r="F154">
        <v>4.5560399999999999E-3</v>
      </c>
      <c r="G154">
        <v>0.25021399999999999</v>
      </c>
      <c r="H154">
        <v>55.169400000000003</v>
      </c>
      <c r="I154">
        <v>54.919199999999996</v>
      </c>
      <c r="J154">
        <v>4.4955500000000001E-3</v>
      </c>
      <c r="K154">
        <v>0.24497099999999999</v>
      </c>
      <c r="L154">
        <v>54.737000000000002</v>
      </c>
      <c r="M154">
        <v>54.491999999999997</v>
      </c>
      <c r="N154">
        <v>4.3856299999999997E-3</v>
      </c>
      <c r="O154">
        <v>0.23852100000000001</v>
      </c>
      <c r="P154">
        <v>54.625399999999999</v>
      </c>
      <c r="Q154">
        <v>54.386899999999997</v>
      </c>
      <c r="R154">
        <v>48.515000000000001</v>
      </c>
      <c r="S154">
        <v>48.515000000000001</v>
      </c>
      <c r="T154">
        <v>1.2585999999999999</v>
      </c>
      <c r="U154">
        <v>126.52500000000001</v>
      </c>
      <c r="V154">
        <f t="shared" si="12"/>
        <v>0.67894974081586656</v>
      </c>
      <c r="W154">
        <f t="shared" si="13"/>
        <v>4.6017200000000001E-3</v>
      </c>
      <c r="X154">
        <f t="shared" si="14"/>
        <v>4.5560399999999999E-3</v>
      </c>
      <c r="Y154">
        <f t="shared" si="15"/>
        <v>4.4955500000000001E-3</v>
      </c>
      <c r="Z154">
        <f t="shared" si="16"/>
        <v>4.3856299999999997E-3</v>
      </c>
      <c r="AA154">
        <f t="shared" si="17"/>
        <v>4.5097350000000008E-3</v>
      </c>
    </row>
    <row r="155" spans="1:27" x14ac:dyDescent="0.3">
      <c r="A155">
        <v>150</v>
      </c>
      <c r="B155">
        <v>4.6180199999999996E-3</v>
      </c>
      <c r="C155">
        <v>0.25468600000000002</v>
      </c>
      <c r="D155">
        <v>55.405099999999997</v>
      </c>
      <c r="E155">
        <v>55.150399999999998</v>
      </c>
      <c r="F155">
        <v>4.5726200000000003E-3</v>
      </c>
      <c r="G155">
        <v>0.25112400000000001</v>
      </c>
      <c r="H155">
        <v>55.170299999999997</v>
      </c>
      <c r="I155">
        <v>54.919199999999996</v>
      </c>
      <c r="J155">
        <v>4.5035099999999996E-3</v>
      </c>
      <c r="K155">
        <v>0.24540500000000001</v>
      </c>
      <c r="L155">
        <v>54.737400000000001</v>
      </c>
      <c r="M155">
        <v>54.491999999999997</v>
      </c>
      <c r="N155">
        <v>4.3797000000000003E-3</v>
      </c>
      <c r="O155">
        <v>0.23819799999999999</v>
      </c>
      <c r="P155">
        <v>54.625100000000003</v>
      </c>
      <c r="Q155">
        <v>54.386899999999997</v>
      </c>
      <c r="R155">
        <v>48.639000000000003</v>
      </c>
      <c r="S155">
        <v>48.639000000000003</v>
      </c>
      <c r="T155">
        <v>1.2656000000000001</v>
      </c>
      <c r="U155">
        <v>127.235</v>
      </c>
      <c r="V155">
        <f t="shared" si="12"/>
        <v>0.68275969391588054</v>
      </c>
      <c r="W155">
        <f t="shared" si="13"/>
        <v>4.6180199999999996E-3</v>
      </c>
      <c r="X155">
        <f t="shared" si="14"/>
        <v>4.5726200000000003E-3</v>
      </c>
      <c r="Y155">
        <f t="shared" si="15"/>
        <v>4.5035099999999996E-3</v>
      </c>
      <c r="Z155">
        <f t="shared" si="16"/>
        <v>4.3797000000000003E-3</v>
      </c>
      <c r="AA155">
        <f t="shared" si="17"/>
        <v>4.5184624999999997E-3</v>
      </c>
    </row>
    <row r="156" spans="1:27" x14ac:dyDescent="0.3">
      <c r="A156">
        <v>151</v>
      </c>
      <c r="B156">
        <v>4.6691199999999997E-3</v>
      </c>
      <c r="C156">
        <v>0.25750400000000001</v>
      </c>
      <c r="D156">
        <v>55.407899999999998</v>
      </c>
      <c r="E156">
        <v>55.150399999999998</v>
      </c>
      <c r="F156">
        <v>4.6287799999999999E-3</v>
      </c>
      <c r="G156">
        <v>0.25420900000000002</v>
      </c>
      <c r="H156">
        <v>55.173400000000001</v>
      </c>
      <c r="I156">
        <v>54.919199999999996</v>
      </c>
      <c r="J156">
        <v>4.5700899999999997E-3</v>
      </c>
      <c r="K156">
        <v>0.249033</v>
      </c>
      <c r="L156">
        <v>54.741</v>
      </c>
      <c r="M156">
        <v>54.491999999999997</v>
      </c>
      <c r="N156">
        <v>4.4544399999999996E-3</v>
      </c>
      <c r="O156">
        <v>0.24226300000000001</v>
      </c>
      <c r="P156">
        <v>54.629199999999997</v>
      </c>
      <c r="Q156">
        <v>54.386899999999997</v>
      </c>
      <c r="R156">
        <v>48.890999999999998</v>
      </c>
      <c r="S156">
        <v>48.890999999999998</v>
      </c>
      <c r="T156">
        <v>1.2679</v>
      </c>
      <c r="U156">
        <v>127.462</v>
      </c>
      <c r="V156">
        <f t="shared" si="12"/>
        <v>0.68397780568165967</v>
      </c>
      <c r="W156">
        <f t="shared" si="13"/>
        <v>4.6691199999999997E-3</v>
      </c>
      <c r="X156">
        <f t="shared" si="14"/>
        <v>4.6287799999999999E-3</v>
      </c>
      <c r="Y156">
        <f t="shared" si="15"/>
        <v>4.5700899999999997E-3</v>
      </c>
      <c r="Z156">
        <f t="shared" si="16"/>
        <v>4.4544399999999996E-3</v>
      </c>
      <c r="AA156">
        <f t="shared" si="17"/>
        <v>4.5806075000000002E-3</v>
      </c>
    </row>
    <row r="157" spans="1:27" x14ac:dyDescent="0.3">
      <c r="A157">
        <v>152</v>
      </c>
      <c r="B157">
        <v>4.6764600000000003E-3</v>
      </c>
      <c r="C157">
        <v>0.25790800000000003</v>
      </c>
      <c r="D157">
        <v>55.408299999999997</v>
      </c>
      <c r="E157">
        <v>55.150399999999998</v>
      </c>
      <c r="F157">
        <v>4.6246000000000004E-3</v>
      </c>
      <c r="G157">
        <v>0.25397900000000001</v>
      </c>
      <c r="H157">
        <v>55.173099999999998</v>
      </c>
      <c r="I157">
        <v>54.919199999999996</v>
      </c>
      <c r="J157">
        <v>4.5512599999999997E-3</v>
      </c>
      <c r="K157">
        <v>0.24800700000000001</v>
      </c>
      <c r="L157">
        <v>54.74</v>
      </c>
      <c r="M157">
        <v>54.491999999999997</v>
      </c>
      <c r="N157">
        <v>4.43319E-3</v>
      </c>
      <c r="O157">
        <v>0.24110799999999999</v>
      </c>
      <c r="P157">
        <v>54.628</v>
      </c>
      <c r="Q157">
        <v>54.386899999999997</v>
      </c>
      <c r="R157">
        <v>49.326000000000001</v>
      </c>
      <c r="S157">
        <v>49.326000000000001</v>
      </c>
      <c r="T157">
        <v>1.2821</v>
      </c>
      <c r="U157">
        <v>128.88300000000001</v>
      </c>
      <c r="V157">
        <f t="shared" si="12"/>
        <v>0.6916030780128144</v>
      </c>
      <c r="W157">
        <f t="shared" si="13"/>
        <v>4.6764600000000003E-3</v>
      </c>
      <c r="X157">
        <f t="shared" si="14"/>
        <v>4.6246000000000004E-3</v>
      </c>
      <c r="Y157">
        <f t="shared" si="15"/>
        <v>4.5512599999999997E-3</v>
      </c>
      <c r="Z157">
        <f t="shared" si="16"/>
        <v>4.43319E-3</v>
      </c>
      <c r="AA157">
        <f t="shared" si="17"/>
        <v>4.5713774999999995E-3</v>
      </c>
    </row>
    <row r="158" spans="1:27" x14ac:dyDescent="0.3">
      <c r="A158">
        <v>153</v>
      </c>
      <c r="B158">
        <v>4.7624399999999997E-3</v>
      </c>
      <c r="C158">
        <v>0.26265100000000002</v>
      </c>
      <c r="D158">
        <v>55.412999999999997</v>
      </c>
      <c r="E158">
        <v>55.150399999999998</v>
      </c>
      <c r="F158">
        <v>4.7242999999999999E-3</v>
      </c>
      <c r="G158">
        <v>0.25945499999999999</v>
      </c>
      <c r="H158">
        <v>55.178600000000003</v>
      </c>
      <c r="I158">
        <v>54.919199999999996</v>
      </c>
      <c r="J158">
        <v>4.6609499999999996E-3</v>
      </c>
      <c r="K158">
        <v>0.25398399999999999</v>
      </c>
      <c r="L158">
        <v>54.746000000000002</v>
      </c>
      <c r="M158">
        <v>54.491999999999997</v>
      </c>
      <c r="N158">
        <v>4.5454800000000002E-3</v>
      </c>
      <c r="O158">
        <v>0.24721499999999999</v>
      </c>
      <c r="P158">
        <v>54.634099999999997</v>
      </c>
      <c r="Q158">
        <v>54.386899999999997</v>
      </c>
      <c r="R158">
        <v>49.889000000000003</v>
      </c>
      <c r="S158">
        <v>49.889000000000003</v>
      </c>
      <c r="T158">
        <v>1.2907999999999999</v>
      </c>
      <c r="U158">
        <v>129.756</v>
      </c>
      <c r="V158">
        <f t="shared" si="12"/>
        <v>0.69628771048649341</v>
      </c>
      <c r="W158">
        <f t="shared" si="13"/>
        <v>4.7624399999999997E-3</v>
      </c>
      <c r="X158">
        <f t="shared" si="14"/>
        <v>4.7242999999999999E-3</v>
      </c>
      <c r="Y158">
        <f t="shared" si="15"/>
        <v>4.6609499999999996E-3</v>
      </c>
      <c r="Z158">
        <f t="shared" si="16"/>
        <v>4.5454800000000002E-3</v>
      </c>
      <c r="AA158">
        <f t="shared" si="17"/>
        <v>4.6732925000000005E-3</v>
      </c>
    </row>
    <row r="159" spans="1:27" x14ac:dyDescent="0.3">
      <c r="A159">
        <v>154</v>
      </c>
      <c r="B159">
        <v>4.8000200000000003E-3</v>
      </c>
      <c r="C159">
        <v>0.26472299999999999</v>
      </c>
      <c r="D159">
        <v>55.415100000000002</v>
      </c>
      <c r="E159">
        <v>55.150399999999998</v>
      </c>
      <c r="F159">
        <v>4.7672299999999999E-3</v>
      </c>
      <c r="G159">
        <v>0.26181199999999999</v>
      </c>
      <c r="H159">
        <v>55.180999999999997</v>
      </c>
      <c r="I159">
        <v>54.919199999999996</v>
      </c>
      <c r="J159">
        <v>4.6981699999999998E-3</v>
      </c>
      <c r="K159">
        <v>0.25601299999999999</v>
      </c>
      <c r="L159">
        <v>54.747999999999998</v>
      </c>
      <c r="M159">
        <v>54.491999999999997</v>
      </c>
      <c r="N159">
        <v>4.5864E-3</v>
      </c>
      <c r="O159">
        <v>0.24944</v>
      </c>
      <c r="P159">
        <v>54.636299999999999</v>
      </c>
      <c r="Q159">
        <v>54.386899999999997</v>
      </c>
      <c r="R159">
        <v>50.387</v>
      </c>
      <c r="S159">
        <v>50.387999999999998</v>
      </c>
      <c r="T159">
        <v>1.2959000000000001</v>
      </c>
      <c r="U159">
        <v>130.273</v>
      </c>
      <c r="V159">
        <f t="shared" si="12"/>
        <v>0.69906200027903875</v>
      </c>
      <c r="W159">
        <f t="shared" si="13"/>
        <v>4.8000200000000003E-3</v>
      </c>
      <c r="X159">
        <f t="shared" si="14"/>
        <v>4.7672299999999999E-3</v>
      </c>
      <c r="Y159">
        <f t="shared" si="15"/>
        <v>4.6981699999999998E-3</v>
      </c>
      <c r="Z159">
        <f t="shared" si="16"/>
        <v>4.5864E-3</v>
      </c>
      <c r="AA159">
        <f t="shared" si="17"/>
        <v>4.7129549999999996E-3</v>
      </c>
    </row>
    <row r="160" spans="1:27" x14ac:dyDescent="0.3">
      <c r="A160">
        <v>155</v>
      </c>
      <c r="B160">
        <v>4.9304500000000003E-3</v>
      </c>
      <c r="C160">
        <v>0.27191599999999999</v>
      </c>
      <c r="D160">
        <v>55.4223</v>
      </c>
      <c r="E160">
        <v>55.150399999999998</v>
      </c>
      <c r="F160">
        <v>4.8880399999999997E-3</v>
      </c>
      <c r="G160">
        <v>0.26844699999999999</v>
      </c>
      <c r="H160">
        <v>55.187600000000003</v>
      </c>
      <c r="I160">
        <v>54.919199999999996</v>
      </c>
      <c r="J160">
        <v>4.8095300000000002E-3</v>
      </c>
      <c r="K160">
        <v>0.26208100000000001</v>
      </c>
      <c r="L160">
        <v>54.754100000000001</v>
      </c>
      <c r="M160">
        <v>54.491999999999997</v>
      </c>
      <c r="N160">
        <v>4.6818399999999996E-3</v>
      </c>
      <c r="O160">
        <v>0.254631</v>
      </c>
      <c r="P160">
        <v>54.641500000000001</v>
      </c>
      <c r="Q160">
        <v>54.386899999999997</v>
      </c>
      <c r="R160">
        <v>51.2</v>
      </c>
      <c r="S160">
        <v>51.2</v>
      </c>
      <c r="T160">
        <v>1.3129999999999999</v>
      </c>
      <c r="U160">
        <v>131.98500000000001</v>
      </c>
      <c r="V160">
        <f t="shared" si="12"/>
        <v>0.7082488167680866</v>
      </c>
      <c r="W160">
        <f t="shared" si="13"/>
        <v>4.9304500000000003E-3</v>
      </c>
      <c r="X160">
        <f t="shared" si="14"/>
        <v>4.8880399999999997E-3</v>
      </c>
      <c r="Y160">
        <f t="shared" si="15"/>
        <v>4.8095300000000002E-3</v>
      </c>
      <c r="Z160">
        <f t="shared" si="16"/>
        <v>4.6818399999999996E-3</v>
      </c>
      <c r="AA160">
        <f t="shared" si="17"/>
        <v>4.8274649999999995E-3</v>
      </c>
    </row>
    <row r="161" spans="1:27" x14ac:dyDescent="0.3">
      <c r="A161">
        <v>156</v>
      </c>
      <c r="B161">
        <v>4.93503E-3</v>
      </c>
      <c r="C161">
        <v>0.27216899999999999</v>
      </c>
      <c r="D161">
        <v>55.422600000000003</v>
      </c>
      <c r="E161">
        <v>55.150399999999998</v>
      </c>
      <c r="F161">
        <v>4.8984900000000001E-3</v>
      </c>
      <c r="G161">
        <v>0.26902100000000001</v>
      </c>
      <c r="H161">
        <v>55.188200000000002</v>
      </c>
      <c r="I161">
        <v>54.919199999999996</v>
      </c>
      <c r="J161">
        <v>4.8291100000000002E-3</v>
      </c>
      <c r="K161">
        <v>0.26314799999999999</v>
      </c>
      <c r="L161">
        <v>54.755099999999999</v>
      </c>
      <c r="M161">
        <v>54.491999999999997</v>
      </c>
      <c r="N161">
        <v>4.7064899999999998E-3</v>
      </c>
      <c r="O161">
        <v>0.255971</v>
      </c>
      <c r="P161">
        <v>54.642899999999997</v>
      </c>
      <c r="Q161">
        <v>54.386899999999997</v>
      </c>
      <c r="R161">
        <v>51.322000000000003</v>
      </c>
      <c r="S161">
        <v>51.323</v>
      </c>
      <c r="T161">
        <v>1.3143</v>
      </c>
      <c r="U161">
        <v>132.114</v>
      </c>
      <c r="V161">
        <f t="shared" si="12"/>
        <v>0.70894104768344124</v>
      </c>
      <c r="W161">
        <f t="shared" si="13"/>
        <v>4.93503E-3</v>
      </c>
      <c r="X161">
        <f t="shared" si="14"/>
        <v>4.8984900000000001E-3</v>
      </c>
      <c r="Y161">
        <f t="shared" si="15"/>
        <v>4.8291100000000002E-3</v>
      </c>
      <c r="Z161">
        <f t="shared" si="16"/>
        <v>4.7064899999999998E-3</v>
      </c>
      <c r="AA161">
        <f t="shared" si="17"/>
        <v>4.84228E-3</v>
      </c>
    </row>
    <row r="162" spans="1:27" x14ac:dyDescent="0.3">
      <c r="A162">
        <v>157</v>
      </c>
      <c r="B162">
        <v>5.0065400000000003E-3</v>
      </c>
      <c r="C162">
        <v>0.276113</v>
      </c>
      <c r="D162">
        <v>55.426499999999997</v>
      </c>
      <c r="E162">
        <v>55.150399999999998</v>
      </c>
      <c r="F162">
        <v>4.9717700000000004E-3</v>
      </c>
      <c r="G162">
        <v>0.27304499999999998</v>
      </c>
      <c r="H162">
        <v>55.1922</v>
      </c>
      <c r="I162">
        <v>54.919199999999996</v>
      </c>
      <c r="J162">
        <v>4.8981399999999996E-3</v>
      </c>
      <c r="K162">
        <v>0.26690900000000001</v>
      </c>
      <c r="L162">
        <v>54.758899999999997</v>
      </c>
      <c r="M162">
        <v>54.491999999999997</v>
      </c>
      <c r="N162">
        <v>4.77948E-3</v>
      </c>
      <c r="O162">
        <v>0.25994099999999998</v>
      </c>
      <c r="P162">
        <v>54.646799999999999</v>
      </c>
      <c r="Q162">
        <v>54.386899999999997</v>
      </c>
      <c r="R162">
        <v>52.072000000000003</v>
      </c>
      <c r="S162">
        <v>52.072000000000003</v>
      </c>
      <c r="T162">
        <v>1.3346</v>
      </c>
      <c r="U162">
        <v>134.15</v>
      </c>
      <c r="V162">
        <f t="shared" si="12"/>
        <v>0.71986649065756569</v>
      </c>
      <c r="W162">
        <f t="shared" si="13"/>
        <v>5.0065400000000003E-3</v>
      </c>
      <c r="X162">
        <f t="shared" si="14"/>
        <v>4.9717700000000004E-3</v>
      </c>
      <c r="Y162">
        <f t="shared" si="15"/>
        <v>4.8981399999999996E-3</v>
      </c>
      <c r="Z162">
        <f t="shared" si="16"/>
        <v>4.77948E-3</v>
      </c>
      <c r="AA162">
        <f t="shared" si="17"/>
        <v>4.9139824999999996E-3</v>
      </c>
    </row>
    <row r="163" spans="1:27" x14ac:dyDescent="0.3">
      <c r="A163">
        <v>158</v>
      </c>
      <c r="B163">
        <v>5.0349399999999999E-3</v>
      </c>
      <c r="C163">
        <v>0.27767900000000001</v>
      </c>
      <c r="D163">
        <v>55.428100000000001</v>
      </c>
      <c r="E163">
        <v>55.150399999999998</v>
      </c>
      <c r="F163">
        <v>4.9949499999999997E-3</v>
      </c>
      <c r="G163">
        <v>0.27431800000000001</v>
      </c>
      <c r="H163">
        <v>55.1935</v>
      </c>
      <c r="I163">
        <v>54.919199999999996</v>
      </c>
      <c r="J163">
        <v>4.92977E-3</v>
      </c>
      <c r="K163">
        <v>0.26863300000000001</v>
      </c>
      <c r="L163">
        <v>54.760599999999997</v>
      </c>
      <c r="M163">
        <v>54.491999999999997</v>
      </c>
      <c r="N163">
        <v>4.7918700000000002E-3</v>
      </c>
      <c r="O163">
        <v>0.26061499999999999</v>
      </c>
      <c r="P163">
        <v>54.647500000000001</v>
      </c>
      <c r="Q163">
        <v>54.386899999999997</v>
      </c>
      <c r="R163">
        <v>52.445999999999998</v>
      </c>
      <c r="S163">
        <v>52.445999999999998</v>
      </c>
      <c r="T163">
        <v>1.3404</v>
      </c>
      <c r="U163">
        <v>134.73099999999999</v>
      </c>
      <c r="V163">
        <f t="shared" si="12"/>
        <v>0.72298421284222492</v>
      </c>
      <c r="W163">
        <f t="shared" si="13"/>
        <v>5.0349399999999999E-3</v>
      </c>
      <c r="X163">
        <f t="shared" si="14"/>
        <v>4.9949499999999997E-3</v>
      </c>
      <c r="Y163">
        <f t="shared" si="15"/>
        <v>4.92977E-3</v>
      </c>
      <c r="Z163">
        <f t="shared" si="16"/>
        <v>4.7918700000000002E-3</v>
      </c>
      <c r="AA163">
        <f t="shared" si="17"/>
        <v>4.9378824999999999E-3</v>
      </c>
    </row>
    <row r="164" spans="1:27" x14ac:dyDescent="0.3">
      <c r="A164">
        <v>159</v>
      </c>
      <c r="B164">
        <v>5.0637599999999996E-3</v>
      </c>
      <c r="C164">
        <v>0.27926800000000002</v>
      </c>
      <c r="D164">
        <v>55.429600000000001</v>
      </c>
      <c r="E164">
        <v>55.150399999999998</v>
      </c>
      <c r="F164">
        <v>5.0305300000000001E-3</v>
      </c>
      <c r="G164">
        <v>0.27627299999999999</v>
      </c>
      <c r="H164">
        <v>55.195399999999999</v>
      </c>
      <c r="I164">
        <v>54.919199999999996</v>
      </c>
      <c r="J164">
        <v>4.9670399999999998E-3</v>
      </c>
      <c r="K164">
        <v>0.27066400000000002</v>
      </c>
      <c r="L164">
        <v>54.762700000000002</v>
      </c>
      <c r="M164">
        <v>54.491999999999997</v>
      </c>
      <c r="N164">
        <v>4.8458700000000004E-3</v>
      </c>
      <c r="O164">
        <v>0.26355200000000001</v>
      </c>
      <c r="P164">
        <v>54.650500000000001</v>
      </c>
      <c r="Q164">
        <v>54.386899999999997</v>
      </c>
      <c r="R164">
        <v>53.070999999999998</v>
      </c>
      <c r="S164">
        <v>53.070999999999998</v>
      </c>
      <c r="T164">
        <v>1.3511</v>
      </c>
      <c r="U164">
        <v>135.798</v>
      </c>
      <c r="V164">
        <f t="shared" si="12"/>
        <v>0.72870987475449955</v>
      </c>
      <c r="W164">
        <f t="shared" si="13"/>
        <v>5.0637599999999996E-3</v>
      </c>
      <c r="X164">
        <f t="shared" si="14"/>
        <v>5.0305300000000001E-3</v>
      </c>
      <c r="Y164">
        <f t="shared" si="15"/>
        <v>4.9670399999999998E-3</v>
      </c>
      <c r="Z164">
        <f t="shared" si="16"/>
        <v>4.8458700000000004E-3</v>
      </c>
      <c r="AA164">
        <f t="shared" si="17"/>
        <v>4.9768E-3</v>
      </c>
    </row>
    <row r="165" spans="1:27" x14ac:dyDescent="0.3">
      <c r="A165">
        <v>160</v>
      </c>
      <c r="B165">
        <v>5.1149899999999998E-3</v>
      </c>
      <c r="C165">
        <v>0.28209299999999998</v>
      </c>
      <c r="D165">
        <v>55.432499999999997</v>
      </c>
      <c r="E165">
        <v>55.150399999999998</v>
      </c>
      <c r="F165">
        <v>5.0740200000000003E-3</v>
      </c>
      <c r="G165">
        <v>0.27866099999999999</v>
      </c>
      <c r="H165">
        <v>55.197800000000001</v>
      </c>
      <c r="I165">
        <v>54.919199999999996</v>
      </c>
      <c r="J165">
        <v>5.0118599999999999E-3</v>
      </c>
      <c r="K165">
        <v>0.27310600000000002</v>
      </c>
      <c r="L165">
        <v>54.765099999999997</v>
      </c>
      <c r="M165">
        <v>54.491999999999997</v>
      </c>
      <c r="N165">
        <v>4.8778800000000002E-3</v>
      </c>
      <c r="O165">
        <v>0.265293</v>
      </c>
      <c r="P165">
        <v>54.652200000000001</v>
      </c>
      <c r="Q165">
        <v>54.386899999999997</v>
      </c>
      <c r="R165">
        <v>53.381999999999998</v>
      </c>
      <c r="S165">
        <v>53.383000000000003</v>
      </c>
      <c r="T165">
        <v>1.3546</v>
      </c>
      <c r="U165">
        <v>136.15299999999999</v>
      </c>
      <c r="V165">
        <f t="shared" si="12"/>
        <v>0.73061485130450643</v>
      </c>
      <c r="W165">
        <f t="shared" si="13"/>
        <v>5.1149899999999998E-3</v>
      </c>
      <c r="X165">
        <f t="shared" si="14"/>
        <v>5.0740200000000003E-3</v>
      </c>
      <c r="Y165">
        <f t="shared" si="15"/>
        <v>5.0118599999999999E-3</v>
      </c>
      <c r="Z165">
        <f t="shared" si="16"/>
        <v>4.8778800000000002E-3</v>
      </c>
      <c r="AA165">
        <f t="shared" si="17"/>
        <v>5.0196874999999998E-3</v>
      </c>
    </row>
    <row r="166" spans="1:27" x14ac:dyDescent="0.3">
      <c r="A166">
        <v>161</v>
      </c>
      <c r="B166">
        <v>5.20521E-3</v>
      </c>
      <c r="C166">
        <v>0.28706900000000002</v>
      </c>
      <c r="D166">
        <v>55.4375</v>
      </c>
      <c r="E166">
        <v>55.150399999999998</v>
      </c>
      <c r="F166">
        <v>5.1676400000000003E-3</v>
      </c>
      <c r="G166">
        <v>0.283802</v>
      </c>
      <c r="H166">
        <v>55.203000000000003</v>
      </c>
      <c r="I166">
        <v>54.919199999999996</v>
      </c>
      <c r="J166">
        <v>5.0959000000000004E-3</v>
      </c>
      <c r="K166">
        <v>0.27768599999999999</v>
      </c>
      <c r="L166">
        <v>54.7697</v>
      </c>
      <c r="M166">
        <v>54.491999999999997</v>
      </c>
      <c r="N166">
        <v>4.95898E-3</v>
      </c>
      <c r="O166">
        <v>0.269704</v>
      </c>
      <c r="P166">
        <v>54.656599999999997</v>
      </c>
      <c r="Q166">
        <v>54.386899999999997</v>
      </c>
      <c r="R166">
        <v>53.944000000000003</v>
      </c>
      <c r="S166">
        <v>53.944000000000003</v>
      </c>
      <c r="T166">
        <v>1.3714</v>
      </c>
      <c r="U166">
        <v>137.833</v>
      </c>
      <c r="V166">
        <f t="shared" si="12"/>
        <v>0.73962995159749723</v>
      </c>
      <c r="W166">
        <f t="shared" si="13"/>
        <v>5.20521E-3</v>
      </c>
      <c r="X166">
        <f t="shared" si="14"/>
        <v>5.1676400000000003E-3</v>
      </c>
      <c r="Y166">
        <f t="shared" si="15"/>
        <v>5.0959000000000004E-3</v>
      </c>
      <c r="Z166">
        <f t="shared" si="16"/>
        <v>4.95898E-3</v>
      </c>
      <c r="AA166">
        <f t="shared" si="17"/>
        <v>5.1069324999999995E-3</v>
      </c>
    </row>
    <row r="167" spans="1:27" x14ac:dyDescent="0.3">
      <c r="A167">
        <v>162</v>
      </c>
      <c r="B167">
        <v>5.2584099999999998E-3</v>
      </c>
      <c r="C167">
        <v>0.29000300000000001</v>
      </c>
      <c r="D167">
        <v>55.440399999999997</v>
      </c>
      <c r="E167">
        <v>55.150399999999998</v>
      </c>
      <c r="F167">
        <v>5.2183200000000002E-3</v>
      </c>
      <c r="G167">
        <v>0.28658600000000001</v>
      </c>
      <c r="H167">
        <v>55.205800000000004</v>
      </c>
      <c r="I167">
        <v>54.919199999999996</v>
      </c>
      <c r="J167">
        <v>5.1485200000000002E-3</v>
      </c>
      <c r="K167">
        <v>0.280553</v>
      </c>
      <c r="L167">
        <v>54.772500000000001</v>
      </c>
      <c r="M167">
        <v>54.491999999999997</v>
      </c>
      <c r="N167">
        <v>5.0112300000000002E-3</v>
      </c>
      <c r="O167">
        <v>0.27254499999999998</v>
      </c>
      <c r="P167">
        <v>54.659399999999998</v>
      </c>
      <c r="Q167">
        <v>54.386899999999997</v>
      </c>
      <c r="R167">
        <v>54.505000000000003</v>
      </c>
      <c r="S167">
        <v>54.505000000000003</v>
      </c>
      <c r="T167">
        <v>1.3774999999999999</v>
      </c>
      <c r="U167">
        <v>138.447</v>
      </c>
      <c r="V167">
        <f t="shared" si="12"/>
        <v>0.74292475610934028</v>
      </c>
      <c r="W167">
        <f t="shared" si="13"/>
        <v>5.2584099999999998E-3</v>
      </c>
      <c r="X167">
        <f t="shared" si="14"/>
        <v>5.2183200000000002E-3</v>
      </c>
      <c r="Y167">
        <f t="shared" si="15"/>
        <v>5.1485200000000002E-3</v>
      </c>
      <c r="Z167">
        <f t="shared" si="16"/>
        <v>5.0112300000000002E-3</v>
      </c>
      <c r="AA167">
        <f t="shared" si="17"/>
        <v>5.1591199999999997E-3</v>
      </c>
    </row>
    <row r="168" spans="1:27" x14ac:dyDescent="0.3">
      <c r="A168">
        <v>163</v>
      </c>
      <c r="B168">
        <v>5.3153499999999999E-3</v>
      </c>
      <c r="C168">
        <v>0.29314299999999999</v>
      </c>
      <c r="D168">
        <v>55.4435</v>
      </c>
      <c r="E168">
        <v>55.150399999999998</v>
      </c>
      <c r="F168">
        <v>5.27064E-3</v>
      </c>
      <c r="G168">
        <v>0.28945900000000002</v>
      </c>
      <c r="H168">
        <v>55.208599999999997</v>
      </c>
      <c r="I168">
        <v>54.919199999999996</v>
      </c>
      <c r="J168">
        <v>5.1996899999999999E-3</v>
      </c>
      <c r="K168">
        <v>0.28334100000000001</v>
      </c>
      <c r="L168">
        <v>54.775300000000001</v>
      </c>
      <c r="M168">
        <v>54.491999999999997</v>
      </c>
      <c r="N168">
        <v>5.0614600000000003E-3</v>
      </c>
      <c r="O168">
        <v>0.27527699999999999</v>
      </c>
      <c r="P168">
        <v>54.662199999999999</v>
      </c>
      <c r="Q168">
        <v>54.386899999999997</v>
      </c>
      <c r="R168">
        <v>55.005000000000003</v>
      </c>
      <c r="S168">
        <v>55.005000000000003</v>
      </c>
      <c r="T168">
        <v>1.3875</v>
      </c>
      <c r="U168">
        <v>139.44800000000001</v>
      </c>
      <c r="V168">
        <f t="shared" si="12"/>
        <v>0.74829625336724737</v>
      </c>
      <c r="W168">
        <f t="shared" si="13"/>
        <v>5.3153499999999999E-3</v>
      </c>
      <c r="X168">
        <f t="shared" si="14"/>
        <v>5.27064E-3</v>
      </c>
      <c r="Y168">
        <f t="shared" si="15"/>
        <v>5.1996899999999999E-3</v>
      </c>
      <c r="Z168">
        <f t="shared" si="16"/>
        <v>5.0614600000000003E-3</v>
      </c>
      <c r="AA168">
        <f t="shared" si="17"/>
        <v>5.211785E-3</v>
      </c>
    </row>
    <row r="169" spans="1:27" x14ac:dyDescent="0.3">
      <c r="A169">
        <v>164</v>
      </c>
      <c r="B169">
        <v>5.3517E-3</v>
      </c>
      <c r="C169">
        <v>0.29514800000000002</v>
      </c>
      <c r="D169">
        <v>55.445500000000003</v>
      </c>
      <c r="E169">
        <v>55.150399999999998</v>
      </c>
      <c r="F169">
        <v>5.3159899999999996E-3</v>
      </c>
      <c r="G169">
        <v>0.29194999999999999</v>
      </c>
      <c r="H169">
        <v>55.211100000000002</v>
      </c>
      <c r="I169">
        <v>54.919199999999996</v>
      </c>
      <c r="J169">
        <v>5.2428700000000002E-3</v>
      </c>
      <c r="K169">
        <v>0.28569499999999998</v>
      </c>
      <c r="L169">
        <v>54.777700000000003</v>
      </c>
      <c r="M169">
        <v>54.491999999999997</v>
      </c>
      <c r="N169">
        <v>5.0975100000000004E-3</v>
      </c>
      <c r="O169">
        <v>0.27723799999999998</v>
      </c>
      <c r="P169">
        <v>54.664099999999998</v>
      </c>
      <c r="Q169">
        <v>54.386899999999997</v>
      </c>
      <c r="R169">
        <v>55.317999999999998</v>
      </c>
      <c r="S169">
        <v>55.317999999999998</v>
      </c>
      <c r="T169">
        <v>1.4004000000000001</v>
      </c>
      <c r="U169">
        <v>140.74100000000001</v>
      </c>
      <c r="V169">
        <f t="shared" si="12"/>
        <v>0.75523466091417413</v>
      </c>
      <c r="W169">
        <f t="shared" si="13"/>
        <v>5.3517E-3</v>
      </c>
      <c r="X169">
        <f t="shared" si="14"/>
        <v>5.3159899999999996E-3</v>
      </c>
      <c r="Y169">
        <f t="shared" si="15"/>
        <v>5.2428700000000002E-3</v>
      </c>
      <c r="Z169">
        <f t="shared" si="16"/>
        <v>5.0975100000000004E-3</v>
      </c>
      <c r="AA169">
        <f t="shared" si="17"/>
        <v>5.2520175000000001E-3</v>
      </c>
    </row>
    <row r="170" spans="1:27" x14ac:dyDescent="0.3">
      <c r="A170">
        <v>165</v>
      </c>
      <c r="B170">
        <v>5.3875599999999996E-3</v>
      </c>
      <c r="C170">
        <v>0.297126</v>
      </c>
      <c r="D170">
        <v>55.447499999999998</v>
      </c>
      <c r="E170">
        <v>55.150399999999998</v>
      </c>
      <c r="F170">
        <v>5.3376400000000003E-3</v>
      </c>
      <c r="G170">
        <v>0.29313899999999998</v>
      </c>
      <c r="H170">
        <v>55.212299999999999</v>
      </c>
      <c r="I170">
        <v>54.919199999999996</v>
      </c>
      <c r="J170">
        <v>5.2682700000000002E-3</v>
      </c>
      <c r="K170">
        <v>0.287078</v>
      </c>
      <c r="L170">
        <v>54.7791</v>
      </c>
      <c r="M170">
        <v>54.491999999999997</v>
      </c>
      <c r="N170">
        <v>5.1231799999999997E-3</v>
      </c>
      <c r="O170">
        <v>0.27863399999999999</v>
      </c>
      <c r="P170">
        <v>54.665500000000002</v>
      </c>
      <c r="Q170">
        <v>54.386899999999997</v>
      </c>
      <c r="R170">
        <v>55.631</v>
      </c>
      <c r="S170">
        <v>55.631</v>
      </c>
      <c r="T170">
        <v>1.4036</v>
      </c>
      <c r="U170">
        <v>141.06399999999999</v>
      </c>
      <c r="V170">
        <f t="shared" si="12"/>
        <v>0.75696792126812407</v>
      </c>
      <c r="W170">
        <f t="shared" si="13"/>
        <v>5.3875599999999996E-3</v>
      </c>
      <c r="X170">
        <f t="shared" si="14"/>
        <v>5.3376400000000003E-3</v>
      </c>
      <c r="Y170">
        <f t="shared" si="15"/>
        <v>5.2682700000000002E-3</v>
      </c>
      <c r="Z170">
        <f t="shared" si="16"/>
        <v>5.1231799999999997E-3</v>
      </c>
      <c r="AA170">
        <f t="shared" si="17"/>
        <v>5.2791625000000002E-3</v>
      </c>
    </row>
    <row r="171" spans="1:27" x14ac:dyDescent="0.3">
      <c r="A171">
        <v>166</v>
      </c>
      <c r="B171">
        <v>5.4497599999999997E-3</v>
      </c>
      <c r="C171">
        <v>0.30055599999999999</v>
      </c>
      <c r="D171">
        <v>55.450899999999997</v>
      </c>
      <c r="E171">
        <v>55.150399999999998</v>
      </c>
      <c r="F171">
        <v>5.4067400000000002E-3</v>
      </c>
      <c r="G171">
        <v>0.29693399999999998</v>
      </c>
      <c r="H171">
        <v>55.216099999999997</v>
      </c>
      <c r="I171">
        <v>54.919199999999996</v>
      </c>
      <c r="J171">
        <v>5.3310400000000004E-3</v>
      </c>
      <c r="K171">
        <v>0.29049900000000001</v>
      </c>
      <c r="L171">
        <v>54.782499999999999</v>
      </c>
      <c r="M171">
        <v>54.491999999999997</v>
      </c>
      <c r="N171">
        <v>5.1827000000000002E-3</v>
      </c>
      <c r="O171">
        <v>0.28187099999999998</v>
      </c>
      <c r="P171">
        <v>54.668799999999997</v>
      </c>
      <c r="Q171">
        <v>54.386899999999997</v>
      </c>
      <c r="R171">
        <v>56.627000000000002</v>
      </c>
      <c r="S171">
        <v>56.627000000000002</v>
      </c>
      <c r="T171">
        <v>1.4249000000000001</v>
      </c>
      <c r="U171">
        <v>143.196</v>
      </c>
      <c r="V171">
        <f t="shared" si="12"/>
        <v>0.76840851283041955</v>
      </c>
      <c r="W171">
        <f t="shared" si="13"/>
        <v>5.4497599999999997E-3</v>
      </c>
      <c r="X171">
        <f t="shared" si="14"/>
        <v>5.4067400000000002E-3</v>
      </c>
      <c r="Y171">
        <f t="shared" si="15"/>
        <v>5.3310400000000004E-3</v>
      </c>
      <c r="Z171">
        <f t="shared" si="16"/>
        <v>5.1827000000000002E-3</v>
      </c>
      <c r="AA171">
        <f t="shared" si="17"/>
        <v>5.3425599999999997E-3</v>
      </c>
    </row>
    <row r="172" spans="1:27" x14ac:dyDescent="0.3">
      <c r="A172">
        <v>167</v>
      </c>
      <c r="B172">
        <v>5.4914100000000004E-3</v>
      </c>
      <c r="C172">
        <v>0.30285400000000001</v>
      </c>
      <c r="D172">
        <v>55.453200000000002</v>
      </c>
      <c r="E172">
        <v>55.150399999999998</v>
      </c>
      <c r="F172">
        <v>5.45204E-3</v>
      </c>
      <c r="G172">
        <v>0.29942099999999999</v>
      </c>
      <c r="H172">
        <v>55.218600000000002</v>
      </c>
      <c r="I172">
        <v>54.919199999999996</v>
      </c>
      <c r="J172">
        <v>5.3776300000000004E-3</v>
      </c>
      <c r="K172">
        <v>0.29303800000000002</v>
      </c>
      <c r="L172">
        <v>54.784999999999997</v>
      </c>
      <c r="M172">
        <v>54.491999999999997</v>
      </c>
      <c r="N172">
        <v>5.2239599999999997E-3</v>
      </c>
      <c r="O172">
        <v>0.28411500000000001</v>
      </c>
      <c r="P172">
        <v>54.670999999999999</v>
      </c>
      <c r="Q172">
        <v>54.386899999999997</v>
      </c>
      <c r="R172">
        <v>57.250999999999998</v>
      </c>
      <c r="S172">
        <v>57.250999999999998</v>
      </c>
      <c r="T172">
        <v>1.4352</v>
      </c>
      <c r="U172">
        <v>144.22999999999999</v>
      </c>
      <c r="V172">
        <f t="shared" si="12"/>
        <v>0.77395709241551025</v>
      </c>
      <c r="W172">
        <f t="shared" si="13"/>
        <v>5.4914100000000004E-3</v>
      </c>
      <c r="X172">
        <f t="shared" si="14"/>
        <v>5.45204E-3</v>
      </c>
      <c r="Y172">
        <f t="shared" si="15"/>
        <v>5.3776300000000004E-3</v>
      </c>
      <c r="Z172">
        <f t="shared" si="16"/>
        <v>5.2239599999999997E-3</v>
      </c>
      <c r="AA172">
        <f t="shared" si="17"/>
        <v>5.3862600000000004E-3</v>
      </c>
    </row>
    <row r="173" spans="1:27" x14ac:dyDescent="0.3">
      <c r="A173">
        <v>168</v>
      </c>
      <c r="B173">
        <v>5.5332200000000002E-3</v>
      </c>
      <c r="C173">
        <v>0.30515900000000001</v>
      </c>
      <c r="D173">
        <v>55.455500000000001</v>
      </c>
      <c r="E173">
        <v>55.150399999999998</v>
      </c>
      <c r="F173">
        <v>5.4839600000000004E-3</v>
      </c>
      <c r="G173">
        <v>0.30117500000000003</v>
      </c>
      <c r="H173">
        <v>55.220300000000002</v>
      </c>
      <c r="I173">
        <v>54.919199999999996</v>
      </c>
      <c r="J173">
        <v>5.4064600000000001E-3</v>
      </c>
      <c r="K173">
        <v>0.29460900000000001</v>
      </c>
      <c r="L173">
        <v>54.7866</v>
      </c>
      <c r="M173">
        <v>54.491999999999997</v>
      </c>
      <c r="N173">
        <v>5.2579999999999997E-3</v>
      </c>
      <c r="O173">
        <v>0.285966</v>
      </c>
      <c r="P173">
        <v>54.672899999999998</v>
      </c>
      <c r="Q173">
        <v>54.386899999999997</v>
      </c>
      <c r="R173">
        <v>57.500999999999998</v>
      </c>
      <c r="S173">
        <v>57.500999999999998</v>
      </c>
      <c r="T173">
        <v>1.4378</v>
      </c>
      <c r="U173">
        <v>144.489</v>
      </c>
      <c r="V173">
        <f t="shared" si="12"/>
        <v>0.77534692037734632</v>
      </c>
      <c r="W173">
        <f t="shared" si="13"/>
        <v>5.5332200000000002E-3</v>
      </c>
      <c r="X173">
        <f t="shared" si="14"/>
        <v>5.4839600000000004E-3</v>
      </c>
      <c r="Y173">
        <f t="shared" si="15"/>
        <v>5.4064600000000001E-3</v>
      </c>
      <c r="Z173">
        <f t="shared" si="16"/>
        <v>5.2579999999999997E-3</v>
      </c>
      <c r="AA173">
        <f t="shared" si="17"/>
        <v>5.4204100000000005E-3</v>
      </c>
    </row>
    <row r="174" spans="1:27" x14ac:dyDescent="0.3">
      <c r="A174">
        <v>169</v>
      </c>
      <c r="B174">
        <v>5.5807299999999999E-3</v>
      </c>
      <c r="C174">
        <v>0.30777900000000002</v>
      </c>
      <c r="D174">
        <v>55.458199999999998</v>
      </c>
      <c r="E174">
        <v>55.150399999999998</v>
      </c>
      <c r="F174">
        <v>5.5345799999999999E-3</v>
      </c>
      <c r="G174">
        <v>0.303954</v>
      </c>
      <c r="H174">
        <v>55.223100000000002</v>
      </c>
      <c r="I174">
        <v>54.919199999999996</v>
      </c>
      <c r="J174">
        <v>5.4586599999999997E-3</v>
      </c>
      <c r="K174">
        <v>0.29745300000000002</v>
      </c>
      <c r="L174">
        <v>54.789400000000001</v>
      </c>
      <c r="M174">
        <v>54.491999999999997</v>
      </c>
      <c r="N174">
        <v>5.3017100000000003E-3</v>
      </c>
      <c r="O174">
        <v>0.28834399999999999</v>
      </c>
      <c r="P174">
        <v>54.675199999999997</v>
      </c>
      <c r="Q174">
        <v>54.386899999999997</v>
      </c>
      <c r="R174">
        <v>58.000999999999998</v>
      </c>
      <c r="S174">
        <v>58.000999999999998</v>
      </c>
      <c r="T174">
        <v>1.4510000000000001</v>
      </c>
      <c r="U174">
        <v>145.81299999999999</v>
      </c>
      <c r="V174">
        <f t="shared" si="12"/>
        <v>0.78245167798920323</v>
      </c>
      <c r="W174">
        <f t="shared" si="13"/>
        <v>5.5807299999999999E-3</v>
      </c>
      <c r="X174">
        <f t="shared" si="14"/>
        <v>5.5345799999999999E-3</v>
      </c>
      <c r="Y174">
        <f t="shared" si="15"/>
        <v>5.4586599999999997E-3</v>
      </c>
      <c r="Z174">
        <f t="shared" si="16"/>
        <v>5.3017100000000003E-3</v>
      </c>
      <c r="AA174">
        <f t="shared" si="17"/>
        <v>5.4689200000000004E-3</v>
      </c>
    </row>
    <row r="175" spans="1:27" x14ac:dyDescent="0.3">
      <c r="A175">
        <v>170</v>
      </c>
      <c r="B175">
        <v>5.6373400000000002E-3</v>
      </c>
      <c r="C175">
        <v>0.31090200000000001</v>
      </c>
      <c r="D175">
        <v>55.461300000000001</v>
      </c>
      <c r="E175">
        <v>55.150399999999998</v>
      </c>
      <c r="F175">
        <v>5.5980400000000003E-3</v>
      </c>
      <c r="G175">
        <v>0.30743999999999999</v>
      </c>
      <c r="H175">
        <v>55.226599999999998</v>
      </c>
      <c r="I175">
        <v>54.919199999999996</v>
      </c>
      <c r="J175">
        <v>5.5271799999999996E-3</v>
      </c>
      <c r="K175">
        <v>0.30118699999999998</v>
      </c>
      <c r="L175">
        <v>54.793199999999999</v>
      </c>
      <c r="M175">
        <v>54.491999999999997</v>
      </c>
      <c r="N175">
        <v>5.37873E-3</v>
      </c>
      <c r="O175">
        <v>0.29253299999999999</v>
      </c>
      <c r="P175">
        <v>54.679400000000001</v>
      </c>
      <c r="Q175">
        <v>54.386899999999997</v>
      </c>
      <c r="R175">
        <v>58.5</v>
      </c>
      <c r="S175">
        <v>58.5</v>
      </c>
      <c r="T175">
        <v>1.4587000000000001</v>
      </c>
      <c r="U175">
        <v>146.589</v>
      </c>
      <c r="V175">
        <f t="shared" si="12"/>
        <v>0.78661579574358487</v>
      </c>
      <c r="W175">
        <f t="shared" si="13"/>
        <v>5.6373400000000002E-3</v>
      </c>
      <c r="X175">
        <f t="shared" si="14"/>
        <v>5.5980400000000003E-3</v>
      </c>
      <c r="Y175">
        <f t="shared" si="15"/>
        <v>5.5271799999999996E-3</v>
      </c>
      <c r="Z175">
        <f t="shared" si="16"/>
        <v>5.37873E-3</v>
      </c>
      <c r="AA175">
        <f t="shared" si="17"/>
        <v>5.5353225000000002E-3</v>
      </c>
    </row>
    <row r="176" spans="1:27" x14ac:dyDescent="0.3">
      <c r="A176">
        <v>171</v>
      </c>
      <c r="B176">
        <v>5.7460300000000001E-3</v>
      </c>
      <c r="C176">
        <v>0.31689600000000001</v>
      </c>
      <c r="D176">
        <v>55.467300000000002</v>
      </c>
      <c r="E176">
        <v>55.150399999999998</v>
      </c>
      <c r="F176">
        <v>5.7083000000000004E-3</v>
      </c>
      <c r="G176">
        <v>0.31349500000000002</v>
      </c>
      <c r="H176">
        <v>55.232700000000001</v>
      </c>
      <c r="I176">
        <v>54.919199999999996</v>
      </c>
      <c r="J176">
        <v>5.6428399999999997E-3</v>
      </c>
      <c r="K176">
        <v>0.30748900000000001</v>
      </c>
      <c r="L176">
        <v>54.799500000000002</v>
      </c>
      <c r="M176">
        <v>54.491999999999997</v>
      </c>
      <c r="N176">
        <v>5.4809200000000002E-3</v>
      </c>
      <c r="O176">
        <v>0.29809000000000002</v>
      </c>
      <c r="P176">
        <v>54.685000000000002</v>
      </c>
      <c r="Q176">
        <v>54.386899999999997</v>
      </c>
      <c r="R176">
        <v>59.185000000000002</v>
      </c>
      <c r="S176">
        <v>59.185000000000002</v>
      </c>
      <c r="T176">
        <v>1.4725999999999999</v>
      </c>
      <c r="U176">
        <v>147.97800000000001</v>
      </c>
      <c r="V176">
        <f t="shared" si="12"/>
        <v>0.79406935187868255</v>
      </c>
      <c r="W176">
        <f t="shared" si="13"/>
        <v>5.7460300000000001E-3</v>
      </c>
      <c r="X176">
        <f t="shared" si="14"/>
        <v>5.7083000000000004E-3</v>
      </c>
      <c r="Y176">
        <f t="shared" si="15"/>
        <v>5.6428399999999997E-3</v>
      </c>
      <c r="Z176">
        <f t="shared" si="16"/>
        <v>5.4809200000000002E-3</v>
      </c>
      <c r="AA176">
        <f t="shared" si="17"/>
        <v>5.6445225000000005E-3</v>
      </c>
    </row>
    <row r="177" spans="1:27" x14ac:dyDescent="0.3">
      <c r="A177">
        <v>172</v>
      </c>
      <c r="B177">
        <v>5.7502200000000003E-3</v>
      </c>
      <c r="C177">
        <v>0.31712699999999999</v>
      </c>
      <c r="D177">
        <v>55.467500000000001</v>
      </c>
      <c r="E177">
        <v>55.150399999999998</v>
      </c>
      <c r="F177">
        <v>5.7020600000000001E-3</v>
      </c>
      <c r="G177">
        <v>0.31315300000000001</v>
      </c>
      <c r="H177">
        <v>55.232300000000002</v>
      </c>
      <c r="I177">
        <v>54.919199999999996</v>
      </c>
      <c r="J177">
        <v>5.6394399999999999E-3</v>
      </c>
      <c r="K177">
        <v>0.30730400000000002</v>
      </c>
      <c r="L177">
        <v>54.799300000000002</v>
      </c>
      <c r="M177">
        <v>54.491999999999997</v>
      </c>
      <c r="N177">
        <v>5.48534E-3</v>
      </c>
      <c r="O177">
        <v>0.29832999999999998</v>
      </c>
      <c r="P177">
        <v>54.685200000000002</v>
      </c>
      <c r="Q177">
        <v>54.386899999999997</v>
      </c>
      <c r="R177">
        <v>59.497</v>
      </c>
      <c r="S177">
        <v>59.497</v>
      </c>
      <c r="T177">
        <v>1.4796</v>
      </c>
      <c r="U177">
        <v>148.68899999999999</v>
      </c>
      <c r="V177">
        <f t="shared" si="12"/>
        <v>0.7978846711098232</v>
      </c>
      <c r="W177">
        <f t="shared" si="13"/>
        <v>5.7502200000000003E-3</v>
      </c>
      <c r="X177">
        <f t="shared" si="14"/>
        <v>5.7020600000000001E-3</v>
      </c>
      <c r="Y177">
        <f t="shared" si="15"/>
        <v>5.6394399999999999E-3</v>
      </c>
      <c r="Z177">
        <f t="shared" si="16"/>
        <v>5.48534E-3</v>
      </c>
      <c r="AA177">
        <f t="shared" si="17"/>
        <v>5.6442650000000007E-3</v>
      </c>
    </row>
    <row r="178" spans="1:27" x14ac:dyDescent="0.3">
      <c r="A178">
        <v>173</v>
      </c>
      <c r="B178">
        <v>5.8067800000000001E-3</v>
      </c>
      <c r="C178">
        <v>0.32024599999999998</v>
      </c>
      <c r="D178">
        <v>55.470599999999997</v>
      </c>
      <c r="E178">
        <v>55.150399999999998</v>
      </c>
      <c r="F178">
        <v>5.7643399999999997E-3</v>
      </c>
      <c r="G178">
        <v>0.31657299999999999</v>
      </c>
      <c r="H178">
        <v>55.235700000000001</v>
      </c>
      <c r="I178">
        <v>54.919199999999996</v>
      </c>
      <c r="J178">
        <v>5.6985300000000003E-3</v>
      </c>
      <c r="K178">
        <v>0.31052400000000002</v>
      </c>
      <c r="L178">
        <v>54.802500000000002</v>
      </c>
      <c r="M178">
        <v>54.491999999999997</v>
      </c>
      <c r="N178">
        <v>5.5423099999999999E-3</v>
      </c>
      <c r="O178">
        <v>0.301429</v>
      </c>
      <c r="P178">
        <v>54.688299999999998</v>
      </c>
      <c r="Q178">
        <v>54.386899999999997</v>
      </c>
      <c r="R178">
        <v>60.183999999999997</v>
      </c>
      <c r="S178">
        <v>60.183999999999997</v>
      </c>
      <c r="T178">
        <v>1.4896</v>
      </c>
      <c r="U178">
        <v>149.691</v>
      </c>
      <c r="V178">
        <f t="shared" si="12"/>
        <v>0.80326153449885707</v>
      </c>
      <c r="W178">
        <f t="shared" si="13"/>
        <v>5.8067800000000001E-3</v>
      </c>
      <c r="X178">
        <f t="shared" si="14"/>
        <v>5.7643399999999997E-3</v>
      </c>
      <c r="Y178">
        <f t="shared" si="15"/>
        <v>5.6985300000000003E-3</v>
      </c>
      <c r="Z178">
        <f t="shared" si="16"/>
        <v>5.5423099999999999E-3</v>
      </c>
      <c r="AA178">
        <f t="shared" si="17"/>
        <v>5.7029899999999998E-3</v>
      </c>
    </row>
    <row r="179" spans="1:27" x14ac:dyDescent="0.3">
      <c r="A179">
        <v>174</v>
      </c>
      <c r="B179">
        <v>5.8924600000000004E-3</v>
      </c>
      <c r="C179">
        <v>0.32497100000000001</v>
      </c>
      <c r="D179">
        <v>55.475299999999997</v>
      </c>
      <c r="E179">
        <v>55.150399999999998</v>
      </c>
      <c r="F179">
        <v>5.8454900000000001E-3</v>
      </c>
      <c r="G179">
        <v>0.32102999999999998</v>
      </c>
      <c r="H179">
        <v>55.240200000000002</v>
      </c>
      <c r="I179">
        <v>54.919199999999996</v>
      </c>
      <c r="J179">
        <v>5.77452E-3</v>
      </c>
      <c r="K179">
        <v>0.31466499999999997</v>
      </c>
      <c r="L179">
        <v>54.806699999999999</v>
      </c>
      <c r="M179">
        <v>54.491999999999997</v>
      </c>
      <c r="N179">
        <v>5.6075200000000004E-3</v>
      </c>
      <c r="O179">
        <v>0.30497600000000002</v>
      </c>
      <c r="P179">
        <v>54.691899999999997</v>
      </c>
      <c r="Q179">
        <v>54.386899999999997</v>
      </c>
      <c r="R179">
        <v>60.622</v>
      </c>
      <c r="S179">
        <v>60.622</v>
      </c>
      <c r="T179">
        <v>1.4951000000000001</v>
      </c>
      <c r="U179">
        <v>150.24</v>
      </c>
      <c r="V179">
        <f t="shared" si="12"/>
        <v>0.80620754048745946</v>
      </c>
      <c r="W179">
        <f t="shared" si="13"/>
        <v>5.8924600000000004E-3</v>
      </c>
      <c r="X179">
        <f t="shared" si="14"/>
        <v>5.8454900000000001E-3</v>
      </c>
      <c r="Y179">
        <f t="shared" si="15"/>
        <v>5.77452E-3</v>
      </c>
      <c r="Z179">
        <f t="shared" si="16"/>
        <v>5.6075200000000004E-3</v>
      </c>
      <c r="AA179">
        <f t="shared" si="17"/>
        <v>5.7799975000000009E-3</v>
      </c>
    </row>
    <row r="180" spans="1:27" x14ac:dyDescent="0.3">
      <c r="A180">
        <v>175</v>
      </c>
      <c r="B180">
        <v>6.0076000000000001E-3</v>
      </c>
      <c r="C180">
        <v>0.33132099999999998</v>
      </c>
      <c r="D180">
        <v>55.481699999999996</v>
      </c>
      <c r="E180">
        <v>55.150399999999998</v>
      </c>
      <c r="F180">
        <v>5.9568099999999999E-3</v>
      </c>
      <c r="G180">
        <v>0.32714300000000002</v>
      </c>
      <c r="H180">
        <v>55.246299999999998</v>
      </c>
      <c r="I180">
        <v>54.919199999999996</v>
      </c>
      <c r="J180">
        <v>5.8871699999999997E-3</v>
      </c>
      <c r="K180">
        <v>0.32080399999999998</v>
      </c>
      <c r="L180">
        <v>54.812800000000003</v>
      </c>
      <c r="M180">
        <v>54.491999999999997</v>
      </c>
      <c r="N180">
        <v>5.7189399999999996E-3</v>
      </c>
      <c r="O180">
        <v>0.31103500000000001</v>
      </c>
      <c r="P180">
        <v>54.697899999999997</v>
      </c>
      <c r="Q180">
        <v>54.386899999999997</v>
      </c>
      <c r="R180">
        <v>61.557000000000002</v>
      </c>
      <c r="S180">
        <v>61.557000000000002</v>
      </c>
      <c r="T180">
        <v>1.5122</v>
      </c>
      <c r="U180">
        <v>151.952</v>
      </c>
      <c r="V180">
        <f t="shared" si="12"/>
        <v>0.81539435697650708</v>
      </c>
      <c r="W180">
        <f t="shared" si="13"/>
        <v>6.0076000000000001E-3</v>
      </c>
      <c r="X180">
        <f t="shared" si="14"/>
        <v>5.9568099999999999E-3</v>
      </c>
      <c r="Y180">
        <f t="shared" si="15"/>
        <v>5.8871699999999997E-3</v>
      </c>
      <c r="Z180">
        <f t="shared" si="16"/>
        <v>5.7189399999999996E-3</v>
      </c>
      <c r="AA180">
        <f t="shared" si="17"/>
        <v>5.8926299999999994E-3</v>
      </c>
    </row>
    <row r="181" spans="1:27" x14ac:dyDescent="0.3">
      <c r="A181">
        <v>176</v>
      </c>
      <c r="B181">
        <v>6.02455E-3</v>
      </c>
      <c r="C181">
        <v>0.332256</v>
      </c>
      <c r="D181">
        <v>55.482599999999998</v>
      </c>
      <c r="E181">
        <v>55.150399999999998</v>
      </c>
      <c r="F181">
        <v>5.9831600000000004E-3</v>
      </c>
      <c r="G181">
        <v>0.32858999999999999</v>
      </c>
      <c r="H181">
        <v>55.247799999999998</v>
      </c>
      <c r="I181">
        <v>54.919199999999996</v>
      </c>
      <c r="J181">
        <v>5.9124700000000004E-3</v>
      </c>
      <c r="K181">
        <v>0.32218200000000002</v>
      </c>
      <c r="L181">
        <v>54.8142</v>
      </c>
      <c r="M181">
        <v>54.491999999999997</v>
      </c>
      <c r="N181">
        <v>5.74867E-3</v>
      </c>
      <c r="O181">
        <v>0.31265199999999999</v>
      </c>
      <c r="P181">
        <v>54.699599999999997</v>
      </c>
      <c r="Q181">
        <v>54.386899999999997</v>
      </c>
      <c r="R181">
        <v>61.993000000000002</v>
      </c>
      <c r="S181">
        <v>61.993000000000002</v>
      </c>
      <c r="T181">
        <v>1.5225</v>
      </c>
      <c r="U181">
        <v>152.98599999999999</v>
      </c>
      <c r="V181">
        <f t="shared" si="12"/>
        <v>0.82094293656159778</v>
      </c>
      <c r="W181">
        <f t="shared" si="13"/>
        <v>6.02455E-3</v>
      </c>
      <c r="X181">
        <f t="shared" si="14"/>
        <v>5.9831600000000004E-3</v>
      </c>
      <c r="Y181">
        <f t="shared" si="15"/>
        <v>5.9124700000000004E-3</v>
      </c>
      <c r="Z181">
        <f t="shared" si="16"/>
        <v>5.74867E-3</v>
      </c>
      <c r="AA181">
        <f t="shared" si="17"/>
        <v>5.9172125000000004E-3</v>
      </c>
    </row>
    <row r="182" spans="1:27" x14ac:dyDescent="0.3">
      <c r="A182">
        <v>177</v>
      </c>
      <c r="B182">
        <v>6.0749200000000001E-3</v>
      </c>
      <c r="C182">
        <v>0.335034</v>
      </c>
      <c r="D182">
        <v>55.485399999999998</v>
      </c>
      <c r="E182">
        <v>55.150399999999998</v>
      </c>
      <c r="F182">
        <v>6.0385500000000002E-3</v>
      </c>
      <c r="G182">
        <v>0.33163199999999998</v>
      </c>
      <c r="H182">
        <v>55.250799999999998</v>
      </c>
      <c r="I182">
        <v>54.919199999999996</v>
      </c>
      <c r="J182">
        <v>5.9718899999999997E-3</v>
      </c>
      <c r="K182">
        <v>0.32541999999999999</v>
      </c>
      <c r="L182">
        <v>54.817399999999999</v>
      </c>
      <c r="M182">
        <v>54.491999999999997</v>
      </c>
      <c r="N182">
        <v>5.8081599999999997E-3</v>
      </c>
      <c r="O182">
        <v>0.315888</v>
      </c>
      <c r="P182">
        <v>54.702800000000003</v>
      </c>
      <c r="Q182">
        <v>54.386899999999997</v>
      </c>
      <c r="R182">
        <v>62.619</v>
      </c>
      <c r="S182">
        <v>62.62</v>
      </c>
      <c r="T182">
        <v>1.5289999999999999</v>
      </c>
      <c r="U182">
        <v>153.63200000000001</v>
      </c>
      <c r="V182">
        <f t="shared" si="12"/>
        <v>0.82440945726949777</v>
      </c>
      <c r="W182">
        <f t="shared" si="13"/>
        <v>6.0749200000000001E-3</v>
      </c>
      <c r="X182">
        <f t="shared" si="14"/>
        <v>6.0385500000000002E-3</v>
      </c>
      <c r="Y182">
        <f t="shared" si="15"/>
        <v>5.9718899999999997E-3</v>
      </c>
      <c r="Z182">
        <f t="shared" si="16"/>
        <v>5.8081599999999997E-3</v>
      </c>
      <c r="AA182">
        <f t="shared" si="17"/>
        <v>5.9733800000000004E-3</v>
      </c>
    </row>
    <row r="183" spans="1:27" x14ac:dyDescent="0.3">
      <c r="A183">
        <v>178</v>
      </c>
      <c r="B183">
        <v>6.1723500000000001E-3</v>
      </c>
      <c r="C183">
        <v>0.34040799999999999</v>
      </c>
      <c r="D183">
        <v>55.4908</v>
      </c>
      <c r="E183">
        <v>55.150399999999998</v>
      </c>
      <c r="F183">
        <v>6.1243599999999997E-3</v>
      </c>
      <c r="G183">
        <v>0.33634500000000001</v>
      </c>
      <c r="H183">
        <v>55.255499999999998</v>
      </c>
      <c r="I183">
        <v>54.919199999999996</v>
      </c>
      <c r="J183">
        <v>6.0450599999999997E-3</v>
      </c>
      <c r="K183">
        <v>0.32940700000000001</v>
      </c>
      <c r="L183">
        <v>54.821399999999997</v>
      </c>
      <c r="M183">
        <v>54.491999999999997</v>
      </c>
      <c r="N183">
        <v>5.8674199999999999E-3</v>
      </c>
      <c r="O183">
        <v>0.31911099999999998</v>
      </c>
      <c r="P183">
        <v>54.706000000000003</v>
      </c>
      <c r="Q183">
        <v>54.386899999999997</v>
      </c>
      <c r="R183">
        <v>62.991</v>
      </c>
      <c r="S183">
        <v>62.991</v>
      </c>
      <c r="T183">
        <v>1.5369999999999999</v>
      </c>
      <c r="U183">
        <v>154.44</v>
      </c>
      <c r="V183">
        <f t="shared" si="12"/>
        <v>0.82874529121993623</v>
      </c>
      <c r="W183">
        <f t="shared" si="13"/>
        <v>6.1723500000000001E-3</v>
      </c>
      <c r="X183">
        <f t="shared" si="14"/>
        <v>6.1243599999999997E-3</v>
      </c>
      <c r="Y183">
        <f t="shared" si="15"/>
        <v>6.0450599999999997E-3</v>
      </c>
      <c r="Z183">
        <f t="shared" si="16"/>
        <v>5.8674199999999999E-3</v>
      </c>
      <c r="AA183">
        <f t="shared" si="17"/>
        <v>6.0522974999999996E-3</v>
      </c>
    </row>
    <row r="184" spans="1:27" x14ac:dyDescent="0.3">
      <c r="A184">
        <v>179</v>
      </c>
      <c r="B184">
        <v>6.2452699999999998E-3</v>
      </c>
      <c r="C184">
        <v>0.34442899999999999</v>
      </c>
      <c r="D184">
        <v>55.494799999999998</v>
      </c>
      <c r="E184">
        <v>55.150399999999998</v>
      </c>
      <c r="F184">
        <v>6.1989200000000001E-3</v>
      </c>
      <c r="G184">
        <v>0.34044000000000002</v>
      </c>
      <c r="H184">
        <v>55.259599999999999</v>
      </c>
      <c r="I184">
        <v>54.919199999999996</v>
      </c>
      <c r="J184">
        <v>6.1272200000000001E-3</v>
      </c>
      <c r="K184">
        <v>0.33388499999999999</v>
      </c>
      <c r="L184">
        <v>54.825899999999997</v>
      </c>
      <c r="M184">
        <v>54.491999999999997</v>
      </c>
      <c r="N184">
        <v>5.9628600000000004E-3</v>
      </c>
      <c r="O184">
        <v>0.32430100000000001</v>
      </c>
      <c r="P184">
        <v>54.711199999999998</v>
      </c>
      <c r="Q184">
        <v>54.386899999999997</v>
      </c>
      <c r="R184">
        <v>63.927999999999997</v>
      </c>
      <c r="S184">
        <v>63.927999999999997</v>
      </c>
      <c r="T184">
        <v>1.5472999999999999</v>
      </c>
      <c r="U184">
        <v>155.47399999999999</v>
      </c>
      <c r="V184">
        <f t="shared" si="12"/>
        <v>0.83429387080502693</v>
      </c>
      <c r="W184">
        <f t="shared" si="13"/>
        <v>6.2452699999999998E-3</v>
      </c>
      <c r="X184">
        <f t="shared" si="14"/>
        <v>6.1989200000000001E-3</v>
      </c>
      <c r="Y184">
        <f t="shared" si="15"/>
        <v>6.1272200000000001E-3</v>
      </c>
      <c r="Z184">
        <f t="shared" si="16"/>
        <v>5.9628600000000004E-3</v>
      </c>
      <c r="AA184">
        <f t="shared" si="17"/>
        <v>6.1335675000000001E-3</v>
      </c>
    </row>
    <row r="185" spans="1:27" x14ac:dyDescent="0.3">
      <c r="A185">
        <v>180</v>
      </c>
      <c r="B185">
        <v>6.27883E-3</v>
      </c>
      <c r="C185">
        <v>0.34627999999999998</v>
      </c>
      <c r="D185">
        <v>55.496699999999997</v>
      </c>
      <c r="E185">
        <v>55.150399999999998</v>
      </c>
      <c r="F185">
        <v>6.2317300000000004E-3</v>
      </c>
      <c r="G185">
        <v>0.34224199999999999</v>
      </c>
      <c r="H185">
        <v>55.261400000000002</v>
      </c>
      <c r="I185">
        <v>54.919199999999996</v>
      </c>
      <c r="J185">
        <v>6.1611900000000004E-3</v>
      </c>
      <c r="K185">
        <v>0.33573599999999998</v>
      </c>
      <c r="L185">
        <v>54.8277</v>
      </c>
      <c r="M185">
        <v>54.491999999999997</v>
      </c>
      <c r="N185">
        <v>5.98556E-3</v>
      </c>
      <c r="O185">
        <v>0.32553599999999999</v>
      </c>
      <c r="P185">
        <v>54.712400000000002</v>
      </c>
      <c r="Q185">
        <v>54.386899999999997</v>
      </c>
      <c r="R185">
        <v>64.302999999999997</v>
      </c>
      <c r="S185">
        <v>64.302999999999997</v>
      </c>
      <c r="T185">
        <v>1.5544</v>
      </c>
      <c r="U185">
        <v>156.185</v>
      </c>
      <c r="V185">
        <f t="shared" si="12"/>
        <v>0.83810919003616768</v>
      </c>
      <c r="W185">
        <f t="shared" si="13"/>
        <v>6.27883E-3</v>
      </c>
      <c r="X185">
        <f t="shared" si="14"/>
        <v>6.2317300000000004E-3</v>
      </c>
      <c r="Y185">
        <f t="shared" si="15"/>
        <v>6.1611900000000004E-3</v>
      </c>
      <c r="Z185">
        <f t="shared" si="16"/>
        <v>5.98556E-3</v>
      </c>
      <c r="AA185">
        <f t="shared" si="17"/>
        <v>6.1643275000000004E-3</v>
      </c>
    </row>
    <row r="186" spans="1:27" x14ac:dyDescent="0.3">
      <c r="A186">
        <v>181</v>
      </c>
      <c r="B186">
        <v>6.3960700000000002E-3</v>
      </c>
      <c r="C186">
        <v>0.352746</v>
      </c>
      <c r="D186">
        <v>55.503100000000003</v>
      </c>
      <c r="E186">
        <v>55.150399999999998</v>
      </c>
      <c r="F186">
        <v>6.3507399999999997E-3</v>
      </c>
      <c r="G186">
        <v>0.348777</v>
      </c>
      <c r="H186">
        <v>55.267899999999997</v>
      </c>
      <c r="I186">
        <v>54.919199999999996</v>
      </c>
      <c r="J186">
        <v>6.2804100000000002E-3</v>
      </c>
      <c r="K186">
        <v>0.34223199999999998</v>
      </c>
      <c r="L186">
        <v>54.834200000000003</v>
      </c>
      <c r="M186">
        <v>54.491999999999997</v>
      </c>
      <c r="N186">
        <v>6.10211E-3</v>
      </c>
      <c r="O186">
        <v>0.33187499999999998</v>
      </c>
      <c r="P186">
        <v>54.718800000000002</v>
      </c>
      <c r="Q186">
        <v>54.386899999999997</v>
      </c>
      <c r="R186">
        <v>65.363</v>
      </c>
      <c r="S186">
        <v>65.363</v>
      </c>
      <c r="T186">
        <v>1.5676000000000001</v>
      </c>
      <c r="U186">
        <v>157.50899999999999</v>
      </c>
      <c r="V186">
        <f t="shared" si="12"/>
        <v>0.8452139476480246</v>
      </c>
      <c r="W186">
        <f t="shared" si="13"/>
        <v>6.3960700000000002E-3</v>
      </c>
      <c r="X186">
        <f t="shared" si="14"/>
        <v>6.3507399999999997E-3</v>
      </c>
      <c r="Y186">
        <f t="shared" si="15"/>
        <v>6.2804100000000002E-3</v>
      </c>
      <c r="Z186">
        <f t="shared" si="16"/>
        <v>6.10211E-3</v>
      </c>
      <c r="AA186">
        <f t="shared" si="17"/>
        <v>6.2823325000000005E-3</v>
      </c>
    </row>
    <row r="187" spans="1:27" x14ac:dyDescent="0.3">
      <c r="A187">
        <v>182</v>
      </c>
      <c r="B187">
        <v>6.51265E-3</v>
      </c>
      <c r="C187">
        <v>0.35917500000000002</v>
      </c>
      <c r="D187">
        <v>55.509599999999999</v>
      </c>
      <c r="E187">
        <v>55.150399999999998</v>
      </c>
      <c r="F187">
        <v>6.4616500000000002E-3</v>
      </c>
      <c r="G187">
        <v>0.35486800000000002</v>
      </c>
      <c r="H187">
        <v>55.274000000000001</v>
      </c>
      <c r="I187">
        <v>54.919199999999996</v>
      </c>
      <c r="J187">
        <v>6.3980299999999999E-3</v>
      </c>
      <c r="K187">
        <v>0.34864099999999998</v>
      </c>
      <c r="L187">
        <v>54.840600000000002</v>
      </c>
      <c r="M187">
        <v>54.491999999999997</v>
      </c>
      <c r="N187">
        <v>6.2209400000000003E-3</v>
      </c>
      <c r="O187">
        <v>0.33833800000000003</v>
      </c>
      <c r="P187">
        <v>54.725200000000001</v>
      </c>
      <c r="Q187">
        <v>54.386899999999997</v>
      </c>
      <c r="R187">
        <v>66.236000000000004</v>
      </c>
      <c r="S187">
        <v>66.236000000000004</v>
      </c>
      <c r="T187">
        <v>1.5775999999999999</v>
      </c>
      <c r="U187">
        <v>158.511</v>
      </c>
      <c r="V187">
        <f t="shared" si="12"/>
        <v>0.85059081103705847</v>
      </c>
      <c r="W187">
        <f t="shared" si="13"/>
        <v>6.51265E-3</v>
      </c>
      <c r="X187">
        <f t="shared" si="14"/>
        <v>6.4616500000000002E-3</v>
      </c>
      <c r="Y187">
        <f t="shared" si="15"/>
        <v>6.3980299999999999E-3</v>
      </c>
      <c r="Z187">
        <f t="shared" si="16"/>
        <v>6.2209400000000003E-3</v>
      </c>
      <c r="AA187">
        <f t="shared" si="17"/>
        <v>6.3983175000000003E-3</v>
      </c>
    </row>
    <row r="188" spans="1:27" x14ac:dyDescent="0.3">
      <c r="A188">
        <v>183</v>
      </c>
      <c r="B188">
        <v>6.5881100000000003E-3</v>
      </c>
      <c r="C188">
        <v>0.36333700000000002</v>
      </c>
      <c r="D188">
        <v>55.5137</v>
      </c>
      <c r="E188">
        <v>55.150399999999998</v>
      </c>
      <c r="F188">
        <v>6.5424300000000001E-3</v>
      </c>
      <c r="G188">
        <v>0.35930499999999999</v>
      </c>
      <c r="H188">
        <v>55.278500000000001</v>
      </c>
      <c r="I188">
        <v>54.919199999999996</v>
      </c>
      <c r="J188">
        <v>6.4620099999999998E-3</v>
      </c>
      <c r="K188">
        <v>0.352128</v>
      </c>
      <c r="L188">
        <v>54.844099999999997</v>
      </c>
      <c r="M188">
        <v>54.491999999999997</v>
      </c>
      <c r="N188">
        <v>6.2843999999999999E-3</v>
      </c>
      <c r="O188">
        <v>0.34178900000000001</v>
      </c>
      <c r="P188">
        <v>54.728700000000003</v>
      </c>
      <c r="Q188">
        <v>54.386899999999997</v>
      </c>
      <c r="R188">
        <v>66.984999999999999</v>
      </c>
      <c r="S188">
        <v>66.986000000000004</v>
      </c>
      <c r="T188">
        <v>1.5899000000000001</v>
      </c>
      <c r="U188">
        <v>159.739</v>
      </c>
      <c r="V188">
        <f t="shared" si="12"/>
        <v>0.85718042006074457</v>
      </c>
      <c r="W188">
        <f t="shared" si="13"/>
        <v>6.5881100000000003E-3</v>
      </c>
      <c r="X188">
        <f t="shared" si="14"/>
        <v>6.5424300000000001E-3</v>
      </c>
      <c r="Y188">
        <f t="shared" si="15"/>
        <v>6.4620099999999998E-3</v>
      </c>
      <c r="Z188">
        <f t="shared" si="16"/>
        <v>6.2843999999999999E-3</v>
      </c>
      <c r="AA188">
        <f t="shared" si="17"/>
        <v>6.4692374999999998E-3</v>
      </c>
    </row>
    <row r="189" spans="1:27" x14ac:dyDescent="0.3">
      <c r="A189">
        <v>184</v>
      </c>
      <c r="B189">
        <v>6.6397299999999999E-3</v>
      </c>
      <c r="C189">
        <v>0.36618400000000001</v>
      </c>
      <c r="D189">
        <v>55.516599999999997</v>
      </c>
      <c r="E189">
        <v>55.150399999999998</v>
      </c>
      <c r="F189">
        <v>6.5944999999999997E-3</v>
      </c>
      <c r="G189">
        <v>0.36216399999999999</v>
      </c>
      <c r="H189">
        <v>55.281300000000002</v>
      </c>
      <c r="I189">
        <v>54.919199999999996</v>
      </c>
      <c r="J189">
        <v>6.5222800000000001E-3</v>
      </c>
      <c r="K189">
        <v>0.35541200000000001</v>
      </c>
      <c r="L189">
        <v>54.8474</v>
      </c>
      <c r="M189">
        <v>54.491999999999997</v>
      </c>
      <c r="N189">
        <v>6.33229E-3</v>
      </c>
      <c r="O189">
        <v>0.34439399999999998</v>
      </c>
      <c r="P189">
        <v>54.731299999999997</v>
      </c>
      <c r="Q189">
        <v>54.386899999999997</v>
      </c>
      <c r="R189">
        <v>67.546000000000006</v>
      </c>
      <c r="S189">
        <v>67.546999999999997</v>
      </c>
      <c r="T189">
        <v>1.597</v>
      </c>
      <c r="U189">
        <v>160.44900000000001</v>
      </c>
      <c r="V189">
        <f t="shared" si="12"/>
        <v>0.86099037316075855</v>
      </c>
      <c r="W189">
        <f t="shared" si="13"/>
        <v>6.6397299999999999E-3</v>
      </c>
      <c r="X189">
        <f t="shared" si="14"/>
        <v>6.5944999999999997E-3</v>
      </c>
      <c r="Y189">
        <f t="shared" si="15"/>
        <v>6.5222800000000001E-3</v>
      </c>
      <c r="Z189">
        <f t="shared" si="16"/>
        <v>6.33229E-3</v>
      </c>
      <c r="AA189">
        <f t="shared" si="17"/>
        <v>6.5221999999999997E-3</v>
      </c>
    </row>
    <row r="190" spans="1:27" x14ac:dyDescent="0.3">
      <c r="A190">
        <v>185</v>
      </c>
      <c r="B190">
        <v>6.7434699999999997E-3</v>
      </c>
      <c r="C190">
        <v>0.37190499999999999</v>
      </c>
      <c r="D190">
        <v>55.522300000000001</v>
      </c>
      <c r="E190">
        <v>55.150399999999998</v>
      </c>
      <c r="F190">
        <v>6.6927000000000002E-3</v>
      </c>
      <c r="G190">
        <v>0.36755700000000002</v>
      </c>
      <c r="H190">
        <v>55.286700000000003</v>
      </c>
      <c r="I190">
        <v>54.919199999999996</v>
      </c>
      <c r="J190">
        <v>6.6210000000000001E-3</v>
      </c>
      <c r="K190">
        <v>0.36079099999999997</v>
      </c>
      <c r="L190">
        <v>54.852800000000002</v>
      </c>
      <c r="M190">
        <v>54.491999999999997</v>
      </c>
      <c r="N190">
        <v>6.4346000000000004E-3</v>
      </c>
      <c r="O190">
        <v>0.34995799999999999</v>
      </c>
      <c r="P190">
        <v>54.736899999999999</v>
      </c>
      <c r="Q190">
        <v>54.386899999999997</v>
      </c>
      <c r="R190">
        <v>68.358000000000004</v>
      </c>
      <c r="S190">
        <v>68.358999999999995</v>
      </c>
      <c r="T190">
        <v>1.6094999999999999</v>
      </c>
      <c r="U190">
        <v>161.71</v>
      </c>
      <c r="V190">
        <f t="shared" si="12"/>
        <v>0.86775706451162848</v>
      </c>
      <c r="W190">
        <f t="shared" si="13"/>
        <v>6.7434699999999997E-3</v>
      </c>
      <c r="X190">
        <f t="shared" si="14"/>
        <v>6.6927000000000002E-3</v>
      </c>
      <c r="Y190">
        <f t="shared" si="15"/>
        <v>6.6210000000000001E-3</v>
      </c>
      <c r="Z190">
        <f t="shared" si="16"/>
        <v>6.4346000000000004E-3</v>
      </c>
      <c r="AA190">
        <f t="shared" si="17"/>
        <v>6.6229424999999995E-3</v>
      </c>
    </row>
    <row r="191" spans="1:27" x14ac:dyDescent="0.3">
      <c r="A191">
        <v>186</v>
      </c>
      <c r="B191">
        <v>6.7776199999999998E-3</v>
      </c>
      <c r="C191">
        <v>0.37378899999999998</v>
      </c>
      <c r="D191">
        <v>55.5242</v>
      </c>
      <c r="E191">
        <v>55.150399999999998</v>
      </c>
      <c r="F191">
        <v>6.7297800000000003E-3</v>
      </c>
      <c r="G191">
        <v>0.36959399999999998</v>
      </c>
      <c r="H191">
        <v>55.288800000000002</v>
      </c>
      <c r="I191">
        <v>54.919199999999996</v>
      </c>
      <c r="J191">
        <v>6.6575799999999997E-3</v>
      </c>
      <c r="K191">
        <v>0.36278500000000002</v>
      </c>
      <c r="L191">
        <v>54.854799999999997</v>
      </c>
      <c r="M191">
        <v>54.491999999999997</v>
      </c>
      <c r="N191">
        <v>6.4652199999999998E-3</v>
      </c>
      <c r="O191">
        <v>0.35162300000000002</v>
      </c>
      <c r="P191">
        <v>54.738500000000002</v>
      </c>
      <c r="Q191">
        <v>54.386899999999997</v>
      </c>
      <c r="R191">
        <v>68.796000000000006</v>
      </c>
      <c r="S191">
        <v>68.796000000000006</v>
      </c>
      <c r="T191">
        <v>1.6140000000000001</v>
      </c>
      <c r="U191">
        <v>162.16200000000001</v>
      </c>
      <c r="V191">
        <f t="shared" si="12"/>
        <v>0.87018255578093306</v>
      </c>
      <c r="W191">
        <f t="shared" si="13"/>
        <v>6.7776199999999998E-3</v>
      </c>
      <c r="X191">
        <f t="shared" si="14"/>
        <v>6.7297800000000003E-3</v>
      </c>
      <c r="Y191">
        <f t="shared" si="15"/>
        <v>6.6575799999999997E-3</v>
      </c>
      <c r="Z191">
        <f t="shared" si="16"/>
        <v>6.4652199999999998E-3</v>
      </c>
      <c r="AA191">
        <f t="shared" si="17"/>
        <v>6.6575499999999999E-3</v>
      </c>
    </row>
    <row r="192" spans="1:27" x14ac:dyDescent="0.3">
      <c r="A192">
        <v>187</v>
      </c>
      <c r="B192">
        <v>6.94424E-3</v>
      </c>
      <c r="C192">
        <v>0.38297700000000001</v>
      </c>
      <c r="D192">
        <v>55.5334</v>
      </c>
      <c r="E192">
        <v>55.150399999999998</v>
      </c>
      <c r="F192">
        <v>6.9118900000000004E-3</v>
      </c>
      <c r="G192">
        <v>0.37959500000000002</v>
      </c>
      <c r="H192">
        <v>55.2988</v>
      </c>
      <c r="I192">
        <v>54.919199999999996</v>
      </c>
      <c r="J192">
        <v>6.8404599999999996E-3</v>
      </c>
      <c r="K192">
        <v>0.37275000000000003</v>
      </c>
      <c r="L192">
        <v>54.864699999999999</v>
      </c>
      <c r="M192">
        <v>54.491999999999997</v>
      </c>
      <c r="N192">
        <v>6.6434399999999996E-3</v>
      </c>
      <c r="O192">
        <v>0.36131600000000003</v>
      </c>
      <c r="P192">
        <v>54.748199999999997</v>
      </c>
      <c r="Q192">
        <v>54.386899999999997</v>
      </c>
      <c r="R192">
        <v>70.356999999999999</v>
      </c>
      <c r="S192">
        <v>70.356999999999999</v>
      </c>
      <c r="T192">
        <v>1.6278999999999999</v>
      </c>
      <c r="U192">
        <v>163.55099999999999</v>
      </c>
      <c r="V192">
        <f t="shared" si="12"/>
        <v>0.87763611191603075</v>
      </c>
      <c r="W192">
        <f t="shared" si="13"/>
        <v>6.94424E-3</v>
      </c>
      <c r="X192">
        <f t="shared" si="14"/>
        <v>6.9118900000000004E-3</v>
      </c>
      <c r="Y192">
        <f t="shared" si="15"/>
        <v>6.8404599999999996E-3</v>
      </c>
      <c r="Z192">
        <f t="shared" si="16"/>
        <v>6.6434399999999996E-3</v>
      </c>
      <c r="AA192">
        <f t="shared" si="17"/>
        <v>6.8350075000000003E-3</v>
      </c>
    </row>
    <row r="193" spans="1:27" x14ac:dyDescent="0.3">
      <c r="A193">
        <v>188</v>
      </c>
      <c r="B193">
        <v>7.06195E-3</v>
      </c>
      <c r="C193">
        <v>0.38946900000000001</v>
      </c>
      <c r="D193">
        <v>55.5398</v>
      </c>
      <c r="E193">
        <v>55.150399999999998</v>
      </c>
      <c r="F193">
        <v>7.0197100000000002E-3</v>
      </c>
      <c r="G193">
        <v>0.385517</v>
      </c>
      <c r="H193">
        <v>55.304699999999997</v>
      </c>
      <c r="I193">
        <v>54.919199999999996</v>
      </c>
      <c r="J193">
        <v>6.9539900000000002E-3</v>
      </c>
      <c r="K193">
        <v>0.37893700000000002</v>
      </c>
      <c r="L193">
        <v>54.870899999999999</v>
      </c>
      <c r="M193">
        <v>54.491999999999997</v>
      </c>
      <c r="N193">
        <v>6.7592499999999996E-3</v>
      </c>
      <c r="O193">
        <v>0.36761500000000003</v>
      </c>
      <c r="P193">
        <v>54.7545</v>
      </c>
      <c r="Q193">
        <v>54.386899999999997</v>
      </c>
      <c r="R193">
        <v>71.046000000000006</v>
      </c>
      <c r="S193">
        <v>71.046000000000006</v>
      </c>
      <c r="T193">
        <v>1.6366000000000001</v>
      </c>
      <c r="U193">
        <v>164.423</v>
      </c>
      <c r="V193">
        <f t="shared" si="12"/>
        <v>0.88231537825858308</v>
      </c>
      <c r="W193">
        <f t="shared" si="13"/>
        <v>7.06195E-3</v>
      </c>
      <c r="X193">
        <f t="shared" si="14"/>
        <v>7.0197100000000002E-3</v>
      </c>
      <c r="Y193">
        <f t="shared" si="15"/>
        <v>6.9539900000000002E-3</v>
      </c>
      <c r="Z193">
        <f t="shared" si="16"/>
        <v>6.7592499999999996E-3</v>
      </c>
      <c r="AA193">
        <f t="shared" si="17"/>
        <v>6.9487249999999993E-3</v>
      </c>
    </row>
    <row r="194" spans="1:27" x14ac:dyDescent="0.3">
      <c r="A194">
        <v>189</v>
      </c>
      <c r="B194">
        <v>7.1512099999999999E-3</v>
      </c>
      <c r="C194">
        <v>0.39439200000000002</v>
      </c>
      <c r="D194">
        <v>55.544800000000002</v>
      </c>
      <c r="E194">
        <v>55.150399999999998</v>
      </c>
      <c r="F194">
        <v>7.1037000000000001E-3</v>
      </c>
      <c r="G194">
        <v>0.390129</v>
      </c>
      <c r="H194">
        <v>55.3093</v>
      </c>
      <c r="I194">
        <v>54.919199999999996</v>
      </c>
      <c r="J194">
        <v>7.03742E-3</v>
      </c>
      <c r="K194">
        <v>0.38348300000000002</v>
      </c>
      <c r="L194">
        <v>54.875500000000002</v>
      </c>
      <c r="M194">
        <v>54.491999999999997</v>
      </c>
      <c r="N194">
        <v>6.8443999999999996E-3</v>
      </c>
      <c r="O194">
        <v>0.37224600000000002</v>
      </c>
      <c r="P194">
        <v>54.759099999999997</v>
      </c>
      <c r="Q194">
        <v>54.386899999999997</v>
      </c>
      <c r="R194">
        <v>71.915000000000006</v>
      </c>
      <c r="S194">
        <v>71.915000000000006</v>
      </c>
      <c r="T194">
        <v>1.6488</v>
      </c>
      <c r="U194">
        <v>165.65100000000001</v>
      </c>
      <c r="V194">
        <f t="shared" si="12"/>
        <v>0.8889049872822693</v>
      </c>
      <c r="W194">
        <f t="shared" si="13"/>
        <v>7.1512099999999999E-3</v>
      </c>
      <c r="X194">
        <f t="shared" si="14"/>
        <v>7.1037000000000001E-3</v>
      </c>
      <c r="Y194">
        <f t="shared" si="15"/>
        <v>7.03742E-3</v>
      </c>
      <c r="Z194">
        <f t="shared" si="16"/>
        <v>6.8443999999999996E-3</v>
      </c>
      <c r="AA194">
        <f t="shared" si="17"/>
        <v>7.0341824999999997E-3</v>
      </c>
    </row>
    <row r="195" spans="1:27" x14ac:dyDescent="0.3">
      <c r="A195">
        <v>190</v>
      </c>
      <c r="B195">
        <v>7.18829E-3</v>
      </c>
      <c r="C195">
        <v>0.39643699999999998</v>
      </c>
      <c r="D195">
        <v>55.546799999999998</v>
      </c>
      <c r="E195">
        <v>55.150399999999998</v>
      </c>
      <c r="F195">
        <v>7.1407800000000002E-3</v>
      </c>
      <c r="G195">
        <v>0.39216600000000001</v>
      </c>
      <c r="H195">
        <v>55.311300000000003</v>
      </c>
      <c r="I195">
        <v>54.919199999999996</v>
      </c>
      <c r="J195">
        <v>7.0659599999999996E-3</v>
      </c>
      <c r="K195">
        <v>0.38503799999999999</v>
      </c>
      <c r="L195">
        <v>54.877000000000002</v>
      </c>
      <c r="M195">
        <v>54.491999999999997</v>
      </c>
      <c r="N195">
        <v>6.8702800000000003E-3</v>
      </c>
      <c r="O195">
        <v>0.37365300000000001</v>
      </c>
      <c r="P195">
        <v>54.760599999999997</v>
      </c>
      <c r="Q195">
        <v>54.386899999999997</v>
      </c>
      <c r="R195">
        <v>72.103999999999999</v>
      </c>
      <c r="S195">
        <v>72.103999999999999</v>
      </c>
      <c r="T195">
        <v>1.6505000000000001</v>
      </c>
      <c r="U195">
        <v>165.81299999999999</v>
      </c>
      <c r="V195">
        <f t="shared" si="12"/>
        <v>0.88977430052480755</v>
      </c>
      <c r="W195">
        <f t="shared" si="13"/>
        <v>7.18829E-3</v>
      </c>
      <c r="X195">
        <f t="shared" si="14"/>
        <v>7.1407800000000002E-3</v>
      </c>
      <c r="Y195">
        <f t="shared" si="15"/>
        <v>7.0659599999999996E-3</v>
      </c>
      <c r="Z195">
        <f t="shared" si="16"/>
        <v>6.8702800000000003E-3</v>
      </c>
      <c r="AA195">
        <f t="shared" si="17"/>
        <v>7.0663274999999996E-3</v>
      </c>
    </row>
    <row r="196" spans="1:27" x14ac:dyDescent="0.3">
      <c r="A196">
        <v>191</v>
      </c>
      <c r="B196">
        <v>7.3854999999999997E-3</v>
      </c>
      <c r="C196">
        <v>0.40731299999999998</v>
      </c>
      <c r="D196">
        <v>55.557699999999997</v>
      </c>
      <c r="E196">
        <v>55.150399999999998</v>
      </c>
      <c r="F196">
        <v>7.3499000000000004E-3</v>
      </c>
      <c r="G196">
        <v>0.40365000000000001</v>
      </c>
      <c r="H196">
        <v>55.322800000000001</v>
      </c>
      <c r="I196">
        <v>54.919199999999996</v>
      </c>
      <c r="J196">
        <v>7.28848E-3</v>
      </c>
      <c r="K196">
        <v>0.39716400000000002</v>
      </c>
      <c r="L196">
        <v>54.889200000000002</v>
      </c>
      <c r="M196">
        <v>54.491999999999997</v>
      </c>
      <c r="N196">
        <v>7.0907100000000001E-3</v>
      </c>
      <c r="O196">
        <v>0.38564199999999998</v>
      </c>
      <c r="P196">
        <v>54.772500000000001</v>
      </c>
      <c r="Q196">
        <v>54.386899999999997</v>
      </c>
      <c r="R196">
        <v>74.161000000000001</v>
      </c>
      <c r="S196">
        <v>74.161000000000001</v>
      </c>
      <c r="T196">
        <v>1.6662999999999999</v>
      </c>
      <c r="U196">
        <v>167.39599999999999</v>
      </c>
      <c r="V196">
        <f t="shared" si="12"/>
        <v>0.89826888609850064</v>
      </c>
      <c r="W196">
        <f t="shared" si="13"/>
        <v>7.3854999999999997E-3</v>
      </c>
      <c r="X196">
        <f t="shared" si="14"/>
        <v>7.3499000000000004E-3</v>
      </c>
      <c r="Y196">
        <f t="shared" si="15"/>
        <v>7.28848E-3</v>
      </c>
      <c r="Z196">
        <f t="shared" si="16"/>
        <v>7.0907100000000001E-3</v>
      </c>
      <c r="AA196">
        <f t="shared" si="17"/>
        <v>7.2786474999999998E-3</v>
      </c>
    </row>
    <row r="197" spans="1:27" x14ac:dyDescent="0.3">
      <c r="A197">
        <v>192</v>
      </c>
      <c r="B197">
        <v>7.5405699999999999E-3</v>
      </c>
      <c r="C197">
        <v>0.41586499999999998</v>
      </c>
      <c r="D197">
        <v>55.566200000000002</v>
      </c>
      <c r="E197">
        <v>55.150399999999998</v>
      </c>
      <c r="F197">
        <v>7.5162600000000003E-3</v>
      </c>
      <c r="G197">
        <v>0.41278700000000002</v>
      </c>
      <c r="H197">
        <v>55.332000000000001</v>
      </c>
      <c r="I197">
        <v>54.919199999999996</v>
      </c>
      <c r="J197">
        <v>7.4526899999999997E-3</v>
      </c>
      <c r="K197">
        <v>0.40611199999999997</v>
      </c>
      <c r="L197">
        <v>54.898099999999999</v>
      </c>
      <c r="M197">
        <v>54.491999999999997</v>
      </c>
      <c r="N197">
        <v>7.2494500000000002E-3</v>
      </c>
      <c r="O197">
        <v>0.39427499999999999</v>
      </c>
      <c r="P197">
        <v>54.781199999999998</v>
      </c>
      <c r="Q197">
        <v>54.386899999999997</v>
      </c>
      <c r="R197">
        <v>75.161000000000001</v>
      </c>
      <c r="S197">
        <v>75.161000000000001</v>
      </c>
      <c r="T197">
        <v>1.6753</v>
      </c>
      <c r="U197">
        <v>168.30099999999999</v>
      </c>
      <c r="V197">
        <f t="shared" si="12"/>
        <v>0.90312523476823681</v>
      </c>
      <c r="W197">
        <f t="shared" si="13"/>
        <v>7.5405699999999999E-3</v>
      </c>
      <c r="X197">
        <f t="shared" si="14"/>
        <v>7.5162600000000003E-3</v>
      </c>
      <c r="Y197">
        <f t="shared" si="15"/>
        <v>7.4526899999999997E-3</v>
      </c>
      <c r="Z197">
        <f t="shared" si="16"/>
        <v>7.2494500000000002E-3</v>
      </c>
      <c r="AA197">
        <f t="shared" si="17"/>
        <v>7.4397424999999998E-3</v>
      </c>
    </row>
    <row r="198" spans="1:27" x14ac:dyDescent="0.3">
      <c r="A198">
        <v>193</v>
      </c>
      <c r="B198">
        <v>7.5556199999999999E-3</v>
      </c>
      <c r="C198">
        <v>0.41669499999999998</v>
      </c>
      <c r="D198">
        <v>55.567100000000003</v>
      </c>
      <c r="E198">
        <v>55.150399999999998</v>
      </c>
      <c r="F198">
        <v>7.5170100000000002E-3</v>
      </c>
      <c r="G198">
        <v>0.41282799999999997</v>
      </c>
      <c r="H198">
        <v>55.332000000000001</v>
      </c>
      <c r="I198">
        <v>54.919199999999996</v>
      </c>
      <c r="J198">
        <v>7.4583200000000001E-3</v>
      </c>
      <c r="K198">
        <v>0.40641899999999997</v>
      </c>
      <c r="L198">
        <v>54.898400000000002</v>
      </c>
      <c r="M198">
        <v>54.491999999999997</v>
      </c>
      <c r="N198">
        <v>7.25503E-3</v>
      </c>
      <c r="O198">
        <v>0.39457900000000001</v>
      </c>
      <c r="P198">
        <v>54.781500000000001</v>
      </c>
      <c r="Q198">
        <v>54.386899999999997</v>
      </c>
      <c r="R198">
        <v>75.722999999999999</v>
      </c>
      <c r="S198">
        <v>75.722999999999999</v>
      </c>
      <c r="T198">
        <v>1.6830000000000001</v>
      </c>
      <c r="U198">
        <v>169.07599999999999</v>
      </c>
      <c r="V198">
        <f t="shared" ref="V198:V254" si="18">U198/$A$2/$B$2</f>
        <v>0.90728398639149144</v>
      </c>
      <c r="W198">
        <f t="shared" ref="W198:W254" si="19">B198</f>
        <v>7.5556199999999999E-3</v>
      </c>
      <c r="X198">
        <f t="shared" ref="X198:X254" si="20">F198</f>
        <v>7.5170100000000002E-3</v>
      </c>
      <c r="Y198">
        <f t="shared" ref="Y198:Y254" si="21">J198</f>
        <v>7.4583200000000001E-3</v>
      </c>
      <c r="Z198">
        <f t="shared" ref="Z198:Z254" si="22">N198</f>
        <v>7.25503E-3</v>
      </c>
      <c r="AA198">
        <f t="shared" ref="AA198:AA254" si="23">AVERAGE(W198:Z198)</f>
        <v>7.446495E-3</v>
      </c>
    </row>
    <row r="199" spans="1:27" x14ac:dyDescent="0.3">
      <c r="A199">
        <v>194</v>
      </c>
      <c r="B199">
        <v>7.76488E-3</v>
      </c>
      <c r="C199">
        <v>0.42823600000000001</v>
      </c>
      <c r="D199">
        <v>55.578600000000002</v>
      </c>
      <c r="E199">
        <v>55.150399999999998</v>
      </c>
      <c r="F199">
        <v>7.7415499999999998E-3</v>
      </c>
      <c r="G199">
        <v>0.42515999999999998</v>
      </c>
      <c r="H199">
        <v>55.344299999999997</v>
      </c>
      <c r="I199">
        <v>54.919199999999996</v>
      </c>
      <c r="J199">
        <v>7.6887800000000001E-3</v>
      </c>
      <c r="K199">
        <v>0.41897699999999999</v>
      </c>
      <c r="L199">
        <v>54.911000000000001</v>
      </c>
      <c r="M199">
        <v>54.491999999999997</v>
      </c>
      <c r="N199">
        <v>7.4961999999999997E-3</v>
      </c>
      <c r="O199">
        <v>0.40769499999999997</v>
      </c>
      <c r="P199">
        <v>54.794600000000003</v>
      </c>
      <c r="Q199">
        <v>54.386899999999997</v>
      </c>
      <c r="R199">
        <v>77.156000000000006</v>
      </c>
      <c r="S199">
        <v>77.156000000000006</v>
      </c>
      <c r="T199">
        <v>1.6984999999999999</v>
      </c>
      <c r="U199">
        <v>170.62700000000001</v>
      </c>
      <c r="V199">
        <f t="shared" si="18"/>
        <v>0.91560685576912759</v>
      </c>
      <c r="W199">
        <f t="shared" si="19"/>
        <v>7.76488E-3</v>
      </c>
      <c r="X199">
        <f t="shared" si="20"/>
        <v>7.7415499999999998E-3</v>
      </c>
      <c r="Y199">
        <f t="shared" si="21"/>
        <v>7.6887800000000001E-3</v>
      </c>
      <c r="Z199">
        <f t="shared" si="22"/>
        <v>7.4961999999999997E-3</v>
      </c>
      <c r="AA199">
        <f t="shared" si="23"/>
        <v>7.6728525000000006E-3</v>
      </c>
    </row>
    <row r="200" spans="1:27" x14ac:dyDescent="0.3">
      <c r="A200">
        <v>195</v>
      </c>
      <c r="B200">
        <v>7.6855200000000004E-3</v>
      </c>
      <c r="C200">
        <v>0.42385899999999999</v>
      </c>
      <c r="D200">
        <v>55.574199999999998</v>
      </c>
      <c r="E200">
        <v>55.150399999999998</v>
      </c>
      <c r="F200">
        <v>7.6640399999999996E-3</v>
      </c>
      <c r="G200">
        <v>0.420902</v>
      </c>
      <c r="H200">
        <v>55.3401</v>
      </c>
      <c r="I200">
        <v>54.919199999999996</v>
      </c>
      <c r="J200">
        <v>7.6214999999999998E-3</v>
      </c>
      <c r="K200">
        <v>0.41531099999999999</v>
      </c>
      <c r="L200">
        <v>54.907299999999999</v>
      </c>
      <c r="M200">
        <v>54.491999999999997</v>
      </c>
      <c r="N200">
        <v>7.4203000000000003E-3</v>
      </c>
      <c r="O200">
        <v>0.40356700000000001</v>
      </c>
      <c r="P200">
        <v>54.790500000000002</v>
      </c>
      <c r="Q200">
        <v>54.386899999999997</v>
      </c>
      <c r="R200">
        <v>77.47</v>
      </c>
      <c r="S200">
        <v>77.47</v>
      </c>
      <c r="T200">
        <v>1.7091000000000001</v>
      </c>
      <c r="U200">
        <v>171.69300000000001</v>
      </c>
      <c r="V200">
        <f t="shared" si="18"/>
        <v>0.92132715155027523</v>
      </c>
      <c r="W200">
        <f t="shared" si="19"/>
        <v>7.6855200000000004E-3</v>
      </c>
      <c r="X200">
        <f t="shared" si="20"/>
        <v>7.6640399999999996E-3</v>
      </c>
      <c r="Y200">
        <f t="shared" si="21"/>
        <v>7.6214999999999998E-3</v>
      </c>
      <c r="Z200">
        <f t="shared" si="22"/>
        <v>7.4203000000000003E-3</v>
      </c>
      <c r="AA200">
        <f t="shared" si="23"/>
        <v>7.5978400000000007E-3</v>
      </c>
    </row>
    <row r="201" spans="1:27" x14ac:dyDescent="0.3">
      <c r="A201">
        <v>196</v>
      </c>
      <c r="B201">
        <v>7.8436700000000005E-3</v>
      </c>
      <c r="C201">
        <v>0.43258200000000002</v>
      </c>
      <c r="D201">
        <v>55.582999999999998</v>
      </c>
      <c r="E201">
        <v>55.150399999999998</v>
      </c>
      <c r="F201">
        <v>7.8181799999999992E-3</v>
      </c>
      <c r="G201">
        <v>0.42936800000000003</v>
      </c>
      <c r="H201">
        <v>55.348500000000001</v>
      </c>
      <c r="I201">
        <v>54.919199999999996</v>
      </c>
      <c r="J201">
        <v>7.7587000000000003E-3</v>
      </c>
      <c r="K201">
        <v>0.42278700000000002</v>
      </c>
      <c r="L201">
        <v>54.9148</v>
      </c>
      <c r="M201">
        <v>54.491999999999997</v>
      </c>
      <c r="N201">
        <v>7.5620399999999999E-3</v>
      </c>
      <c r="O201">
        <v>0.41127599999999997</v>
      </c>
      <c r="P201">
        <v>54.798200000000001</v>
      </c>
      <c r="Q201">
        <v>54.386899999999997</v>
      </c>
      <c r="R201">
        <v>78.466999999999999</v>
      </c>
      <c r="S201">
        <v>78.466999999999999</v>
      </c>
      <c r="T201">
        <v>1.7152000000000001</v>
      </c>
      <c r="U201">
        <v>172.30699999999999</v>
      </c>
      <c r="V201">
        <f t="shared" si="18"/>
        <v>0.92462195606211828</v>
      </c>
      <c r="W201">
        <f t="shared" si="19"/>
        <v>7.8436700000000005E-3</v>
      </c>
      <c r="X201">
        <f t="shared" si="20"/>
        <v>7.8181799999999992E-3</v>
      </c>
      <c r="Y201">
        <f t="shared" si="21"/>
        <v>7.7587000000000003E-3</v>
      </c>
      <c r="Z201">
        <f t="shared" si="22"/>
        <v>7.5620399999999999E-3</v>
      </c>
      <c r="AA201">
        <f t="shared" si="23"/>
        <v>7.7456474999999993E-3</v>
      </c>
    </row>
    <row r="202" spans="1:27" x14ac:dyDescent="0.3">
      <c r="A202">
        <v>197</v>
      </c>
      <c r="B202">
        <v>8.0283200000000002E-3</v>
      </c>
      <c r="C202">
        <v>0.44276500000000002</v>
      </c>
      <c r="D202">
        <v>55.5931</v>
      </c>
      <c r="E202">
        <v>55.150399999999998</v>
      </c>
      <c r="F202">
        <v>8.0133800000000005E-3</v>
      </c>
      <c r="G202">
        <v>0.44008799999999998</v>
      </c>
      <c r="H202">
        <v>55.359299999999998</v>
      </c>
      <c r="I202">
        <v>54.919199999999996</v>
      </c>
      <c r="J202">
        <v>7.9656099999999997E-3</v>
      </c>
      <c r="K202">
        <v>0.434062</v>
      </c>
      <c r="L202">
        <v>54.926099999999998</v>
      </c>
      <c r="M202">
        <v>54.491999999999997</v>
      </c>
      <c r="N202">
        <v>7.7694900000000004E-3</v>
      </c>
      <c r="O202">
        <v>0.42255900000000002</v>
      </c>
      <c r="P202">
        <v>54.8095</v>
      </c>
      <c r="Q202">
        <v>54.386899999999997</v>
      </c>
      <c r="R202">
        <v>79.902000000000001</v>
      </c>
      <c r="S202">
        <v>79.902000000000001</v>
      </c>
      <c r="T202">
        <v>1.7303999999999999</v>
      </c>
      <c r="U202">
        <v>173.82599999999999</v>
      </c>
      <c r="V202">
        <f t="shared" si="18"/>
        <v>0.93277310924369738</v>
      </c>
      <c r="W202">
        <f t="shared" si="19"/>
        <v>8.0283200000000002E-3</v>
      </c>
      <c r="X202">
        <f t="shared" si="20"/>
        <v>8.0133800000000005E-3</v>
      </c>
      <c r="Y202">
        <f t="shared" si="21"/>
        <v>7.9656099999999997E-3</v>
      </c>
      <c r="Z202">
        <f t="shared" si="22"/>
        <v>7.7694900000000004E-3</v>
      </c>
      <c r="AA202">
        <f t="shared" si="23"/>
        <v>7.9441999999999985E-3</v>
      </c>
    </row>
    <row r="203" spans="1:27" x14ac:dyDescent="0.3">
      <c r="A203">
        <v>198</v>
      </c>
      <c r="B203">
        <v>8.2060899999999992E-3</v>
      </c>
      <c r="C203">
        <v>0.452569</v>
      </c>
      <c r="D203">
        <v>55.602899999999998</v>
      </c>
      <c r="E203">
        <v>55.150399999999998</v>
      </c>
      <c r="F203">
        <v>8.1886800000000003E-3</v>
      </c>
      <c r="G203">
        <v>0.44971499999999998</v>
      </c>
      <c r="H203">
        <v>55.368899999999996</v>
      </c>
      <c r="I203">
        <v>54.919199999999996</v>
      </c>
      <c r="J203">
        <v>8.1364799999999998E-3</v>
      </c>
      <c r="K203">
        <v>0.44337300000000002</v>
      </c>
      <c r="L203">
        <v>54.935400000000001</v>
      </c>
      <c r="M203">
        <v>54.491999999999997</v>
      </c>
      <c r="N203">
        <v>7.9209399999999996E-3</v>
      </c>
      <c r="O203">
        <v>0.43079499999999998</v>
      </c>
      <c r="P203">
        <v>54.817700000000002</v>
      </c>
      <c r="Q203">
        <v>54.386899999999997</v>
      </c>
      <c r="R203">
        <v>81.153999999999996</v>
      </c>
      <c r="S203">
        <v>81.153999999999996</v>
      </c>
      <c r="T203">
        <v>1.7383999999999999</v>
      </c>
      <c r="U203">
        <v>174.63300000000001</v>
      </c>
      <c r="V203">
        <f t="shared" si="18"/>
        <v>0.93710357706300917</v>
      </c>
      <c r="W203">
        <f t="shared" si="19"/>
        <v>8.2060899999999992E-3</v>
      </c>
      <c r="X203">
        <f t="shared" si="20"/>
        <v>8.1886800000000003E-3</v>
      </c>
      <c r="Y203">
        <f t="shared" si="21"/>
        <v>8.1364799999999998E-3</v>
      </c>
      <c r="Z203">
        <f t="shared" si="22"/>
        <v>7.9209399999999996E-3</v>
      </c>
      <c r="AA203">
        <f t="shared" si="23"/>
        <v>8.1130474999999997E-3</v>
      </c>
    </row>
    <row r="204" spans="1:27" x14ac:dyDescent="0.3">
      <c r="A204">
        <v>199</v>
      </c>
      <c r="B204">
        <v>8.2143900000000002E-3</v>
      </c>
      <c r="C204">
        <v>0.45302700000000001</v>
      </c>
      <c r="D204">
        <v>55.603400000000001</v>
      </c>
      <c r="E204">
        <v>55.150399999999998</v>
      </c>
      <c r="F204">
        <v>8.1915100000000008E-3</v>
      </c>
      <c r="G204">
        <v>0.44987100000000002</v>
      </c>
      <c r="H204">
        <v>55.369</v>
      </c>
      <c r="I204">
        <v>54.919199999999996</v>
      </c>
      <c r="J204">
        <v>8.1499399999999996E-3</v>
      </c>
      <c r="K204">
        <v>0.44410699999999997</v>
      </c>
      <c r="L204">
        <v>54.936100000000003</v>
      </c>
      <c r="M204">
        <v>54.491999999999997</v>
      </c>
      <c r="N204">
        <v>7.9404000000000002E-3</v>
      </c>
      <c r="O204">
        <v>0.43185400000000002</v>
      </c>
      <c r="P204">
        <v>54.818800000000003</v>
      </c>
      <c r="Q204">
        <v>54.386899999999997</v>
      </c>
      <c r="R204">
        <v>81.277000000000001</v>
      </c>
      <c r="S204">
        <v>81.277000000000001</v>
      </c>
      <c r="T204">
        <v>1.7394000000000001</v>
      </c>
      <c r="U204">
        <v>174.73</v>
      </c>
      <c r="V204">
        <f t="shared" si="18"/>
        <v>0.93762409178230677</v>
      </c>
      <c r="W204">
        <f t="shared" si="19"/>
        <v>8.2143900000000002E-3</v>
      </c>
      <c r="X204">
        <f t="shared" si="20"/>
        <v>8.1915100000000008E-3</v>
      </c>
      <c r="Y204">
        <f t="shared" si="21"/>
        <v>8.1499399999999996E-3</v>
      </c>
      <c r="Z204">
        <f t="shared" si="22"/>
        <v>7.9404000000000002E-3</v>
      </c>
      <c r="AA204">
        <f t="shared" si="23"/>
        <v>8.1240600000000007E-3</v>
      </c>
    </row>
    <row r="205" spans="1:27" x14ac:dyDescent="0.3">
      <c r="A205">
        <v>200</v>
      </c>
      <c r="B205">
        <v>8.2348899999999999E-3</v>
      </c>
      <c r="C205">
        <v>0.45415699999999998</v>
      </c>
      <c r="D205">
        <v>55.604500000000002</v>
      </c>
      <c r="E205">
        <v>55.150399999999998</v>
      </c>
      <c r="F205">
        <v>8.2077000000000001E-3</v>
      </c>
      <c r="G205">
        <v>0.45075999999999999</v>
      </c>
      <c r="H205">
        <v>55.369900000000001</v>
      </c>
      <c r="I205">
        <v>54.919199999999996</v>
      </c>
      <c r="J205">
        <v>8.1619299999999995E-3</v>
      </c>
      <c r="K205">
        <v>0.44475999999999999</v>
      </c>
      <c r="L205">
        <v>54.936700000000002</v>
      </c>
      <c r="M205">
        <v>54.491999999999997</v>
      </c>
      <c r="N205">
        <v>7.9470700000000005E-3</v>
      </c>
      <c r="O205">
        <v>0.43221599999999999</v>
      </c>
      <c r="P205">
        <v>54.819099999999999</v>
      </c>
      <c r="Q205">
        <v>54.386899999999997</v>
      </c>
      <c r="R205">
        <v>81.775000000000006</v>
      </c>
      <c r="S205">
        <v>81.775000000000006</v>
      </c>
      <c r="T205">
        <v>1.7464999999999999</v>
      </c>
      <c r="U205">
        <v>175.441</v>
      </c>
      <c r="V205">
        <f t="shared" si="18"/>
        <v>0.94143941101344752</v>
      </c>
      <c r="W205">
        <f t="shared" si="19"/>
        <v>8.2348899999999999E-3</v>
      </c>
      <c r="X205">
        <f t="shared" si="20"/>
        <v>8.2077000000000001E-3</v>
      </c>
      <c r="Y205">
        <f t="shared" si="21"/>
        <v>8.1619299999999995E-3</v>
      </c>
      <c r="Z205">
        <f t="shared" si="22"/>
        <v>7.9470700000000005E-3</v>
      </c>
      <c r="AA205">
        <f t="shared" si="23"/>
        <v>8.1378974999999996E-3</v>
      </c>
    </row>
    <row r="206" spans="1:27" x14ac:dyDescent="0.3">
      <c r="A206">
        <v>201</v>
      </c>
      <c r="B206">
        <v>8.3130099999999992E-3</v>
      </c>
      <c r="C206">
        <v>0.45846599999999998</v>
      </c>
      <c r="D206">
        <v>55.608800000000002</v>
      </c>
      <c r="E206">
        <v>55.150399999999998</v>
      </c>
      <c r="F206">
        <v>8.2841900000000003E-3</v>
      </c>
      <c r="G206">
        <v>0.454961</v>
      </c>
      <c r="H206">
        <v>55.374099999999999</v>
      </c>
      <c r="I206">
        <v>54.919199999999996</v>
      </c>
      <c r="J206">
        <v>8.2214200000000001E-3</v>
      </c>
      <c r="K206">
        <v>0.44800200000000001</v>
      </c>
      <c r="L206">
        <v>54.94</v>
      </c>
      <c r="M206">
        <v>54.491999999999997</v>
      </c>
      <c r="N206">
        <v>8.00062E-3</v>
      </c>
      <c r="O206">
        <v>0.43512899999999999</v>
      </c>
      <c r="P206">
        <v>54.822000000000003</v>
      </c>
      <c r="Q206">
        <v>54.386899999999997</v>
      </c>
      <c r="R206">
        <v>82.15</v>
      </c>
      <c r="S206">
        <v>82.15</v>
      </c>
      <c r="T206">
        <v>1.7509999999999999</v>
      </c>
      <c r="U206">
        <v>175.893</v>
      </c>
      <c r="V206">
        <f t="shared" si="18"/>
        <v>0.94386490228275211</v>
      </c>
      <c r="W206">
        <f t="shared" si="19"/>
        <v>8.3130099999999992E-3</v>
      </c>
      <c r="X206">
        <f t="shared" si="20"/>
        <v>8.2841900000000003E-3</v>
      </c>
      <c r="Y206">
        <f t="shared" si="21"/>
        <v>8.2214200000000001E-3</v>
      </c>
      <c r="Z206">
        <f t="shared" si="22"/>
        <v>8.00062E-3</v>
      </c>
      <c r="AA206">
        <f t="shared" si="23"/>
        <v>8.2048099999999999E-3</v>
      </c>
    </row>
    <row r="207" spans="1:27" x14ac:dyDescent="0.3">
      <c r="A207">
        <v>202</v>
      </c>
      <c r="B207">
        <v>8.47527E-3</v>
      </c>
      <c r="C207">
        <v>0.467414</v>
      </c>
      <c r="D207">
        <v>55.617800000000003</v>
      </c>
      <c r="E207">
        <v>55.150399999999998</v>
      </c>
      <c r="F207">
        <v>8.4562300000000003E-3</v>
      </c>
      <c r="G207">
        <v>0.46440900000000002</v>
      </c>
      <c r="H207">
        <v>55.383600000000001</v>
      </c>
      <c r="I207">
        <v>54.919199999999996</v>
      </c>
      <c r="J207">
        <v>8.4059200000000008E-3</v>
      </c>
      <c r="K207">
        <v>0.45805499999999999</v>
      </c>
      <c r="L207">
        <v>54.95</v>
      </c>
      <c r="M207">
        <v>54.491999999999997</v>
      </c>
      <c r="N207">
        <v>8.1962500000000004E-3</v>
      </c>
      <c r="O207">
        <v>0.44576900000000003</v>
      </c>
      <c r="P207">
        <v>54.832700000000003</v>
      </c>
      <c r="Q207">
        <v>54.386899999999997</v>
      </c>
      <c r="R207">
        <v>83.521000000000001</v>
      </c>
      <c r="S207">
        <v>83.521000000000001</v>
      </c>
      <c r="T207">
        <v>1.7581</v>
      </c>
      <c r="U207">
        <v>176.60400000000001</v>
      </c>
      <c r="V207">
        <f t="shared" si="18"/>
        <v>0.94768022151389297</v>
      </c>
      <c r="W207">
        <f t="shared" si="19"/>
        <v>8.47527E-3</v>
      </c>
      <c r="X207">
        <f t="shared" si="20"/>
        <v>8.4562300000000003E-3</v>
      </c>
      <c r="Y207">
        <f t="shared" si="21"/>
        <v>8.4059200000000008E-3</v>
      </c>
      <c r="Z207">
        <f t="shared" si="22"/>
        <v>8.1962500000000004E-3</v>
      </c>
      <c r="AA207">
        <f t="shared" si="23"/>
        <v>8.3834175000000004E-3</v>
      </c>
    </row>
    <row r="208" spans="1:27" x14ac:dyDescent="0.3">
      <c r="A208">
        <v>203</v>
      </c>
      <c r="B208">
        <v>8.5887399999999992E-3</v>
      </c>
      <c r="C208">
        <v>0.47367199999999998</v>
      </c>
      <c r="D208">
        <v>55.624099999999999</v>
      </c>
      <c r="E208">
        <v>55.150399999999998</v>
      </c>
      <c r="F208">
        <v>8.5719699999999999E-3</v>
      </c>
      <c r="G208">
        <v>0.47076600000000002</v>
      </c>
      <c r="H208">
        <v>55.389899999999997</v>
      </c>
      <c r="I208">
        <v>54.919199999999996</v>
      </c>
      <c r="J208">
        <v>8.5246200000000001E-3</v>
      </c>
      <c r="K208">
        <v>0.46452300000000002</v>
      </c>
      <c r="L208">
        <v>54.956499999999998</v>
      </c>
      <c r="M208">
        <v>54.491999999999997</v>
      </c>
      <c r="N208">
        <v>8.3264399999999992E-3</v>
      </c>
      <c r="O208">
        <v>0.452849</v>
      </c>
      <c r="P208">
        <v>54.839700000000001</v>
      </c>
      <c r="Q208">
        <v>54.386899999999997</v>
      </c>
      <c r="R208">
        <v>84.832999999999998</v>
      </c>
      <c r="S208">
        <v>84.834000000000003</v>
      </c>
      <c r="T208">
        <v>1.7704</v>
      </c>
      <c r="U208">
        <v>177.83199999999999</v>
      </c>
      <c r="V208">
        <f t="shared" si="18"/>
        <v>0.95426983053757897</v>
      </c>
      <c r="W208">
        <f t="shared" si="19"/>
        <v>8.5887399999999992E-3</v>
      </c>
      <c r="X208">
        <f t="shared" si="20"/>
        <v>8.5719699999999999E-3</v>
      </c>
      <c r="Y208">
        <f t="shared" si="21"/>
        <v>8.5246200000000001E-3</v>
      </c>
      <c r="Z208">
        <f t="shared" si="22"/>
        <v>8.3264399999999992E-3</v>
      </c>
      <c r="AA208">
        <f t="shared" si="23"/>
        <v>8.5029424999999992E-3</v>
      </c>
    </row>
    <row r="209" spans="1:27" x14ac:dyDescent="0.3">
      <c r="A209">
        <v>204</v>
      </c>
      <c r="B209">
        <v>8.6955000000000001E-3</v>
      </c>
      <c r="C209">
        <v>0.47955999999999999</v>
      </c>
      <c r="D209">
        <v>55.629899999999999</v>
      </c>
      <c r="E209">
        <v>55.150399999999998</v>
      </c>
      <c r="F209">
        <v>8.6772700000000008E-3</v>
      </c>
      <c r="G209">
        <v>0.47654800000000003</v>
      </c>
      <c r="H209">
        <v>55.395699999999998</v>
      </c>
      <c r="I209">
        <v>54.919199999999996</v>
      </c>
      <c r="J209">
        <v>8.6335300000000004E-3</v>
      </c>
      <c r="K209">
        <v>0.47045799999999999</v>
      </c>
      <c r="L209">
        <v>54.962400000000002</v>
      </c>
      <c r="M209">
        <v>54.491999999999997</v>
      </c>
      <c r="N209">
        <v>8.4116699999999996E-3</v>
      </c>
      <c r="O209">
        <v>0.45748499999999998</v>
      </c>
      <c r="P209">
        <v>54.8444</v>
      </c>
      <c r="Q209">
        <v>54.386899999999997</v>
      </c>
      <c r="R209">
        <v>85.706999999999994</v>
      </c>
      <c r="S209">
        <v>85.706999999999994</v>
      </c>
      <c r="T209">
        <v>1.7736000000000001</v>
      </c>
      <c r="U209">
        <v>178.155</v>
      </c>
      <c r="V209">
        <f t="shared" si="18"/>
        <v>0.95600309089152902</v>
      </c>
      <c r="W209">
        <f t="shared" si="19"/>
        <v>8.6955000000000001E-3</v>
      </c>
      <c r="X209">
        <f t="shared" si="20"/>
        <v>8.6772700000000008E-3</v>
      </c>
      <c r="Y209">
        <f t="shared" si="21"/>
        <v>8.6335300000000004E-3</v>
      </c>
      <c r="Z209">
        <f t="shared" si="22"/>
        <v>8.4116699999999996E-3</v>
      </c>
      <c r="AA209">
        <f t="shared" si="23"/>
        <v>8.6044925000000015E-3</v>
      </c>
    </row>
    <row r="210" spans="1:27" x14ac:dyDescent="0.3">
      <c r="A210">
        <v>205</v>
      </c>
      <c r="B210">
        <v>8.7420299999999996E-3</v>
      </c>
      <c r="C210">
        <v>0.482126</v>
      </c>
      <c r="D210">
        <v>55.6325</v>
      </c>
      <c r="E210">
        <v>55.150399999999998</v>
      </c>
      <c r="F210">
        <v>8.7305400000000002E-3</v>
      </c>
      <c r="G210">
        <v>0.47947400000000001</v>
      </c>
      <c r="H210">
        <v>55.398600000000002</v>
      </c>
      <c r="I210">
        <v>54.919199999999996</v>
      </c>
      <c r="J210">
        <v>8.6828200000000008E-3</v>
      </c>
      <c r="K210">
        <v>0.47314400000000001</v>
      </c>
      <c r="L210">
        <v>54.9651</v>
      </c>
      <c r="M210">
        <v>54.491999999999997</v>
      </c>
      <c r="N210">
        <v>8.4655400000000006E-3</v>
      </c>
      <c r="O210">
        <v>0.46041399999999999</v>
      </c>
      <c r="P210">
        <v>54.847299999999997</v>
      </c>
      <c r="Q210">
        <v>54.386899999999997</v>
      </c>
      <c r="R210">
        <v>85.891999999999996</v>
      </c>
      <c r="S210">
        <v>85.891999999999996</v>
      </c>
      <c r="T210">
        <v>1.7797000000000001</v>
      </c>
      <c r="U210">
        <v>178.76900000000001</v>
      </c>
      <c r="V210">
        <f t="shared" si="18"/>
        <v>0.95929789540337207</v>
      </c>
      <c r="W210">
        <f t="shared" si="19"/>
        <v>8.7420299999999996E-3</v>
      </c>
      <c r="X210">
        <f t="shared" si="20"/>
        <v>8.7305400000000002E-3</v>
      </c>
      <c r="Y210">
        <f t="shared" si="21"/>
        <v>8.6828200000000008E-3</v>
      </c>
      <c r="Z210">
        <f t="shared" si="22"/>
        <v>8.4655400000000006E-3</v>
      </c>
      <c r="AA210">
        <f t="shared" si="23"/>
        <v>8.6552325000000003E-3</v>
      </c>
    </row>
    <row r="211" spans="1:27" x14ac:dyDescent="0.3">
      <c r="A211">
        <v>206</v>
      </c>
      <c r="B211">
        <v>8.8331399999999997E-3</v>
      </c>
      <c r="C211">
        <v>0.487151</v>
      </c>
      <c r="D211">
        <v>55.637500000000003</v>
      </c>
      <c r="E211">
        <v>55.150399999999998</v>
      </c>
      <c r="F211">
        <v>8.8248200000000006E-3</v>
      </c>
      <c r="G211">
        <v>0.48465200000000003</v>
      </c>
      <c r="H211">
        <v>55.403799999999997</v>
      </c>
      <c r="I211">
        <v>54.919199999999996</v>
      </c>
      <c r="J211">
        <v>8.7824500000000007E-3</v>
      </c>
      <c r="K211">
        <v>0.47857300000000003</v>
      </c>
      <c r="L211">
        <v>54.970599999999997</v>
      </c>
      <c r="M211">
        <v>54.491999999999997</v>
      </c>
      <c r="N211">
        <v>8.5676899999999993E-3</v>
      </c>
      <c r="O211">
        <v>0.46597</v>
      </c>
      <c r="P211">
        <v>54.852899999999998</v>
      </c>
      <c r="Q211">
        <v>54.386899999999997</v>
      </c>
      <c r="R211">
        <v>86.518000000000001</v>
      </c>
      <c r="S211">
        <v>86.518000000000001</v>
      </c>
      <c r="T211">
        <v>1.7839</v>
      </c>
      <c r="U211">
        <v>179.18899999999999</v>
      </c>
      <c r="V211">
        <f t="shared" si="18"/>
        <v>0.96155167047661971</v>
      </c>
      <c r="W211">
        <f t="shared" si="19"/>
        <v>8.8331399999999997E-3</v>
      </c>
      <c r="X211">
        <f t="shared" si="20"/>
        <v>8.8248200000000006E-3</v>
      </c>
      <c r="Y211">
        <f t="shared" si="21"/>
        <v>8.7824500000000007E-3</v>
      </c>
      <c r="Z211">
        <f t="shared" si="22"/>
        <v>8.5676899999999993E-3</v>
      </c>
      <c r="AA211">
        <f t="shared" si="23"/>
        <v>8.7520250000000001E-3</v>
      </c>
    </row>
    <row r="212" spans="1:27" x14ac:dyDescent="0.3">
      <c r="A212">
        <v>207</v>
      </c>
      <c r="B212">
        <v>8.8516399999999992E-3</v>
      </c>
      <c r="C212">
        <v>0.48817100000000002</v>
      </c>
      <c r="D212">
        <v>55.638500000000001</v>
      </c>
      <c r="E212">
        <v>55.150399999999998</v>
      </c>
      <c r="F212">
        <v>8.8416799999999993E-3</v>
      </c>
      <c r="G212">
        <v>0.48557800000000001</v>
      </c>
      <c r="H212">
        <v>55.404699999999998</v>
      </c>
      <c r="I212">
        <v>54.919199999999996</v>
      </c>
      <c r="J212">
        <v>8.8041999999999999E-3</v>
      </c>
      <c r="K212">
        <v>0.47975899999999999</v>
      </c>
      <c r="L212">
        <v>54.971699999999998</v>
      </c>
      <c r="M212">
        <v>54.491999999999997</v>
      </c>
      <c r="N212">
        <v>8.5879200000000006E-3</v>
      </c>
      <c r="O212">
        <v>0.46706999999999999</v>
      </c>
      <c r="P212">
        <v>54.853999999999999</v>
      </c>
      <c r="Q212">
        <v>54.386899999999997</v>
      </c>
      <c r="R212">
        <v>86.703999999999994</v>
      </c>
      <c r="S212">
        <v>86.703999999999994</v>
      </c>
      <c r="T212">
        <v>1.79</v>
      </c>
      <c r="U212">
        <v>179.803</v>
      </c>
      <c r="V212">
        <f t="shared" si="18"/>
        <v>0.96484647498846288</v>
      </c>
      <c r="W212">
        <f t="shared" si="19"/>
        <v>8.8516399999999992E-3</v>
      </c>
      <c r="X212">
        <f t="shared" si="20"/>
        <v>8.8416799999999993E-3</v>
      </c>
      <c r="Y212">
        <f t="shared" si="21"/>
        <v>8.8041999999999999E-3</v>
      </c>
      <c r="Z212">
        <f t="shared" si="22"/>
        <v>8.5879200000000006E-3</v>
      </c>
      <c r="AA212">
        <f t="shared" si="23"/>
        <v>8.7713599999999989E-3</v>
      </c>
    </row>
    <row r="213" spans="1:27" x14ac:dyDescent="0.3">
      <c r="A213">
        <v>208</v>
      </c>
      <c r="B213">
        <v>8.9055999999999996E-3</v>
      </c>
      <c r="C213">
        <v>0.491147</v>
      </c>
      <c r="D213">
        <v>55.641500000000001</v>
      </c>
      <c r="E213">
        <v>55.150399999999998</v>
      </c>
      <c r="F213">
        <v>8.8904799999999992E-3</v>
      </c>
      <c r="G213">
        <v>0.48825800000000003</v>
      </c>
      <c r="H213">
        <v>55.407400000000003</v>
      </c>
      <c r="I213">
        <v>54.919199999999996</v>
      </c>
      <c r="J213">
        <v>8.8498799999999992E-3</v>
      </c>
      <c r="K213">
        <v>0.48224800000000001</v>
      </c>
      <c r="L213">
        <v>54.974200000000003</v>
      </c>
      <c r="M213">
        <v>54.491999999999997</v>
      </c>
      <c r="N213">
        <v>8.6426100000000002E-3</v>
      </c>
      <c r="O213">
        <v>0.47004499999999999</v>
      </c>
      <c r="P213">
        <v>54.856900000000003</v>
      </c>
      <c r="Q213">
        <v>54.386899999999997</v>
      </c>
      <c r="R213">
        <v>86.891000000000005</v>
      </c>
      <c r="S213">
        <v>86.891999999999996</v>
      </c>
      <c r="T213">
        <v>1.7851999999999999</v>
      </c>
      <c r="U213">
        <v>179.31800000000001</v>
      </c>
      <c r="V213">
        <f t="shared" si="18"/>
        <v>0.96224390139197458</v>
      </c>
      <c r="W213">
        <f t="shared" si="19"/>
        <v>8.9055999999999996E-3</v>
      </c>
      <c r="X213">
        <f t="shared" si="20"/>
        <v>8.8904799999999992E-3</v>
      </c>
      <c r="Y213">
        <f t="shared" si="21"/>
        <v>8.8498799999999992E-3</v>
      </c>
      <c r="Z213">
        <f t="shared" si="22"/>
        <v>8.6426100000000002E-3</v>
      </c>
      <c r="AA213">
        <f t="shared" si="23"/>
        <v>8.8221424999999996E-3</v>
      </c>
    </row>
    <row r="214" spans="1:27" x14ac:dyDescent="0.3">
      <c r="A214">
        <v>209</v>
      </c>
      <c r="B214">
        <v>8.9616299999999999E-3</v>
      </c>
      <c r="C214">
        <v>0.49423699999999998</v>
      </c>
      <c r="D214">
        <v>55.644599999999997</v>
      </c>
      <c r="E214">
        <v>55.150399999999998</v>
      </c>
      <c r="F214">
        <v>8.9412099999999998E-3</v>
      </c>
      <c r="G214">
        <v>0.49104399999999998</v>
      </c>
      <c r="H214">
        <v>55.410200000000003</v>
      </c>
      <c r="I214">
        <v>54.919199999999996</v>
      </c>
      <c r="J214">
        <v>8.8962699999999995E-3</v>
      </c>
      <c r="K214">
        <v>0.48477599999999998</v>
      </c>
      <c r="L214">
        <v>54.976799999999997</v>
      </c>
      <c r="M214">
        <v>54.491999999999997</v>
      </c>
      <c r="N214">
        <v>8.6809899999999995E-3</v>
      </c>
      <c r="O214">
        <v>0.472132</v>
      </c>
      <c r="P214">
        <v>54.859000000000002</v>
      </c>
      <c r="Q214">
        <v>54.386899999999997</v>
      </c>
      <c r="R214">
        <v>87.328000000000003</v>
      </c>
      <c r="S214">
        <v>87.328999999999994</v>
      </c>
      <c r="T214">
        <v>1.7874000000000001</v>
      </c>
      <c r="U214">
        <v>179.54400000000001</v>
      </c>
      <c r="V214">
        <f t="shared" si="18"/>
        <v>0.96345664702662681</v>
      </c>
      <c r="W214">
        <f t="shared" si="19"/>
        <v>8.9616299999999999E-3</v>
      </c>
      <c r="X214">
        <f t="shared" si="20"/>
        <v>8.9412099999999998E-3</v>
      </c>
      <c r="Y214">
        <f t="shared" si="21"/>
        <v>8.8962699999999995E-3</v>
      </c>
      <c r="Z214">
        <f t="shared" si="22"/>
        <v>8.6809899999999995E-3</v>
      </c>
      <c r="AA214">
        <f t="shared" si="23"/>
        <v>8.8700250000000001E-3</v>
      </c>
    </row>
    <row r="215" spans="1:27" x14ac:dyDescent="0.3">
      <c r="A215">
        <v>210</v>
      </c>
      <c r="B215">
        <v>9.0627099999999999E-3</v>
      </c>
      <c r="C215">
        <v>0.49981199999999998</v>
      </c>
      <c r="D215">
        <v>55.650199999999998</v>
      </c>
      <c r="E215">
        <v>55.150399999999998</v>
      </c>
      <c r="F215">
        <v>9.0471400000000004E-3</v>
      </c>
      <c r="G215">
        <v>0.496861</v>
      </c>
      <c r="H215">
        <v>55.415999999999997</v>
      </c>
      <c r="I215">
        <v>54.919199999999996</v>
      </c>
      <c r="J215">
        <v>9.0057599999999998E-3</v>
      </c>
      <c r="K215">
        <v>0.49074200000000001</v>
      </c>
      <c r="L215">
        <v>54.982700000000001</v>
      </c>
      <c r="M215">
        <v>54.491999999999997</v>
      </c>
      <c r="N215">
        <v>8.7831000000000003E-3</v>
      </c>
      <c r="O215">
        <v>0.477686</v>
      </c>
      <c r="P215">
        <v>54.864600000000003</v>
      </c>
      <c r="Q215">
        <v>54.386899999999997</v>
      </c>
      <c r="R215">
        <v>88.388999999999996</v>
      </c>
      <c r="S215">
        <v>88.388999999999996</v>
      </c>
      <c r="T215">
        <v>1.7997000000000001</v>
      </c>
      <c r="U215">
        <v>180.77199999999999</v>
      </c>
      <c r="V215">
        <f t="shared" si="18"/>
        <v>0.97004625605031281</v>
      </c>
      <c r="W215">
        <f t="shared" si="19"/>
        <v>9.0627099999999999E-3</v>
      </c>
      <c r="X215">
        <f t="shared" si="20"/>
        <v>9.0471400000000004E-3</v>
      </c>
      <c r="Y215">
        <f t="shared" si="21"/>
        <v>9.0057599999999998E-3</v>
      </c>
      <c r="Z215">
        <f t="shared" si="22"/>
        <v>8.7831000000000003E-3</v>
      </c>
      <c r="AA215">
        <f t="shared" si="23"/>
        <v>8.9746775000000001E-3</v>
      </c>
    </row>
    <row r="216" spans="1:27" x14ac:dyDescent="0.3">
      <c r="A216">
        <v>211</v>
      </c>
      <c r="B216">
        <v>9.1545800000000007E-3</v>
      </c>
      <c r="C216">
        <v>0.50487899999999997</v>
      </c>
      <c r="D216">
        <v>55.655299999999997</v>
      </c>
      <c r="E216">
        <v>55.150399999999998</v>
      </c>
      <c r="F216">
        <v>9.1311399999999994E-3</v>
      </c>
      <c r="G216">
        <v>0.50147399999999998</v>
      </c>
      <c r="H216">
        <v>55.4206</v>
      </c>
      <c r="I216">
        <v>54.919199999999996</v>
      </c>
      <c r="J216">
        <v>9.0882399999999992E-3</v>
      </c>
      <c r="K216">
        <v>0.49523699999999998</v>
      </c>
      <c r="L216">
        <v>54.987200000000001</v>
      </c>
      <c r="M216">
        <v>54.491999999999997</v>
      </c>
      <c r="N216">
        <v>8.8585299999999999E-3</v>
      </c>
      <c r="O216">
        <v>0.48178799999999999</v>
      </c>
      <c r="P216">
        <v>54.868699999999997</v>
      </c>
      <c r="Q216">
        <v>54.386899999999997</v>
      </c>
      <c r="R216">
        <v>89.450999999999993</v>
      </c>
      <c r="S216">
        <v>89.451999999999998</v>
      </c>
      <c r="T216">
        <v>1.8016000000000001</v>
      </c>
      <c r="U216">
        <v>180.96600000000001</v>
      </c>
      <c r="V216">
        <f t="shared" si="18"/>
        <v>0.97108728548890821</v>
      </c>
      <c r="W216">
        <f t="shared" si="19"/>
        <v>9.1545800000000007E-3</v>
      </c>
      <c r="X216">
        <f t="shared" si="20"/>
        <v>9.1311399999999994E-3</v>
      </c>
      <c r="Y216">
        <f t="shared" si="21"/>
        <v>9.0882399999999992E-3</v>
      </c>
      <c r="Z216">
        <f t="shared" si="22"/>
        <v>8.8585299999999999E-3</v>
      </c>
      <c r="AA216">
        <f t="shared" si="23"/>
        <v>9.0581224999999981E-3</v>
      </c>
    </row>
    <row r="217" spans="1:27" x14ac:dyDescent="0.3">
      <c r="A217">
        <v>212</v>
      </c>
      <c r="B217">
        <v>9.4141099999999998E-3</v>
      </c>
      <c r="C217">
        <v>0.51919199999999999</v>
      </c>
      <c r="D217">
        <v>55.669600000000003</v>
      </c>
      <c r="E217">
        <v>55.150399999999998</v>
      </c>
      <c r="F217">
        <v>9.3989499999999997E-3</v>
      </c>
      <c r="G217">
        <v>0.51618299999999995</v>
      </c>
      <c r="H217">
        <v>55.435299999999998</v>
      </c>
      <c r="I217">
        <v>54.919199999999996</v>
      </c>
      <c r="J217">
        <v>9.3564500000000005E-3</v>
      </c>
      <c r="K217">
        <v>0.50985199999999997</v>
      </c>
      <c r="L217">
        <v>55.001800000000003</v>
      </c>
      <c r="M217">
        <v>54.491999999999997</v>
      </c>
      <c r="N217">
        <v>9.1244599999999992E-3</v>
      </c>
      <c r="O217">
        <v>0.496251</v>
      </c>
      <c r="P217">
        <v>54.883200000000002</v>
      </c>
      <c r="Q217">
        <v>54.386899999999997</v>
      </c>
      <c r="R217">
        <v>91.134</v>
      </c>
      <c r="S217">
        <v>91.134</v>
      </c>
      <c r="T217">
        <v>1.8170999999999999</v>
      </c>
      <c r="U217">
        <v>182.517</v>
      </c>
      <c r="V217">
        <f t="shared" si="18"/>
        <v>0.97941015486654426</v>
      </c>
      <c r="W217">
        <f t="shared" si="19"/>
        <v>9.4141099999999998E-3</v>
      </c>
      <c r="X217">
        <f t="shared" si="20"/>
        <v>9.3989499999999997E-3</v>
      </c>
      <c r="Y217">
        <f t="shared" si="21"/>
        <v>9.3564500000000005E-3</v>
      </c>
      <c r="Z217">
        <f t="shared" si="22"/>
        <v>9.1244599999999992E-3</v>
      </c>
      <c r="AA217">
        <f t="shared" si="23"/>
        <v>9.3234925000000007E-3</v>
      </c>
    </row>
    <row r="218" spans="1:27" x14ac:dyDescent="0.3">
      <c r="A218">
        <v>213</v>
      </c>
      <c r="B218">
        <v>9.5670700000000004E-3</v>
      </c>
      <c r="C218">
        <v>0.52762699999999996</v>
      </c>
      <c r="D218">
        <v>55.677999999999997</v>
      </c>
      <c r="E218">
        <v>55.150399999999998</v>
      </c>
      <c r="F218">
        <v>9.5522200000000002E-3</v>
      </c>
      <c r="G218">
        <v>0.52459999999999996</v>
      </c>
      <c r="H218">
        <v>55.443800000000003</v>
      </c>
      <c r="I218">
        <v>54.919199999999996</v>
      </c>
      <c r="J218">
        <v>9.5125299999999999E-3</v>
      </c>
      <c r="K218">
        <v>0.51835699999999996</v>
      </c>
      <c r="L218">
        <v>55.010300000000001</v>
      </c>
      <c r="M218">
        <v>54.491999999999997</v>
      </c>
      <c r="N218">
        <v>9.2848900000000005E-3</v>
      </c>
      <c r="O218">
        <v>0.50497599999999998</v>
      </c>
      <c r="P218">
        <v>54.8919</v>
      </c>
      <c r="Q218">
        <v>54.386899999999997</v>
      </c>
      <c r="R218">
        <v>92.256</v>
      </c>
      <c r="S218">
        <v>92.257000000000005</v>
      </c>
      <c r="T218">
        <v>1.8242</v>
      </c>
      <c r="U218">
        <v>183.227</v>
      </c>
      <c r="V218">
        <f t="shared" si="18"/>
        <v>0.98322010796655823</v>
      </c>
      <c r="W218">
        <f t="shared" si="19"/>
        <v>9.5670700000000004E-3</v>
      </c>
      <c r="X218">
        <f t="shared" si="20"/>
        <v>9.5522200000000002E-3</v>
      </c>
      <c r="Y218">
        <f t="shared" si="21"/>
        <v>9.5125299999999999E-3</v>
      </c>
      <c r="Z218">
        <f t="shared" si="22"/>
        <v>9.2848900000000005E-3</v>
      </c>
      <c r="AA218">
        <f t="shared" si="23"/>
        <v>9.4791775000000016E-3</v>
      </c>
    </row>
    <row r="219" spans="1:27" x14ac:dyDescent="0.3">
      <c r="A219">
        <v>214</v>
      </c>
      <c r="B219">
        <v>9.7403699999999999E-3</v>
      </c>
      <c r="C219">
        <v>0.53718500000000002</v>
      </c>
      <c r="D219">
        <v>55.687600000000003</v>
      </c>
      <c r="E219">
        <v>55.150399999999998</v>
      </c>
      <c r="F219">
        <v>9.7324000000000004E-3</v>
      </c>
      <c r="G219">
        <v>0.53449599999999997</v>
      </c>
      <c r="H219">
        <v>55.453699999999998</v>
      </c>
      <c r="I219">
        <v>54.919199999999996</v>
      </c>
      <c r="J219">
        <v>9.6894000000000008E-3</v>
      </c>
      <c r="K219">
        <v>0.52799499999999999</v>
      </c>
      <c r="L219">
        <v>55.02</v>
      </c>
      <c r="M219">
        <v>54.491999999999997</v>
      </c>
      <c r="N219">
        <v>9.4460599999999992E-3</v>
      </c>
      <c r="O219">
        <v>0.51374200000000003</v>
      </c>
      <c r="P219">
        <v>54.900599999999997</v>
      </c>
      <c r="Q219">
        <v>54.386899999999997</v>
      </c>
      <c r="R219">
        <v>93.569000000000003</v>
      </c>
      <c r="S219">
        <v>93.569000000000003</v>
      </c>
      <c r="T219">
        <v>1.8250999999999999</v>
      </c>
      <c r="U219">
        <v>183.32400000000001</v>
      </c>
      <c r="V219">
        <f t="shared" si="18"/>
        <v>0.98374062268585605</v>
      </c>
      <c r="W219">
        <f t="shared" si="19"/>
        <v>9.7403699999999999E-3</v>
      </c>
      <c r="X219">
        <f t="shared" si="20"/>
        <v>9.7324000000000004E-3</v>
      </c>
      <c r="Y219">
        <f t="shared" si="21"/>
        <v>9.6894000000000008E-3</v>
      </c>
      <c r="Z219">
        <f t="shared" si="22"/>
        <v>9.4460599999999992E-3</v>
      </c>
      <c r="AA219">
        <f t="shared" si="23"/>
        <v>9.6520575000000001E-3</v>
      </c>
    </row>
    <row r="220" spans="1:27" x14ac:dyDescent="0.3">
      <c r="A220">
        <v>215</v>
      </c>
      <c r="B220">
        <v>1.0049000000000001E-2</v>
      </c>
      <c r="C220">
        <v>0.55420800000000003</v>
      </c>
      <c r="D220">
        <v>55.704599999999999</v>
      </c>
      <c r="E220">
        <v>55.150399999999998</v>
      </c>
      <c r="F220">
        <v>1.00413E-2</v>
      </c>
      <c r="G220">
        <v>0.551458</v>
      </c>
      <c r="H220">
        <v>55.470599999999997</v>
      </c>
      <c r="I220">
        <v>54.919199999999996</v>
      </c>
      <c r="J220">
        <v>9.9829199999999993E-3</v>
      </c>
      <c r="K220">
        <v>0.54398899999999994</v>
      </c>
      <c r="L220">
        <v>55.036000000000001</v>
      </c>
      <c r="M220">
        <v>54.491999999999997</v>
      </c>
      <c r="N220">
        <v>9.7375699999999992E-3</v>
      </c>
      <c r="O220">
        <v>0.52959599999999996</v>
      </c>
      <c r="P220">
        <v>54.916499999999999</v>
      </c>
      <c r="Q220">
        <v>54.386899999999997</v>
      </c>
      <c r="R220">
        <v>96.063999999999993</v>
      </c>
      <c r="S220">
        <v>96.063999999999993</v>
      </c>
      <c r="T220">
        <v>1.8451</v>
      </c>
      <c r="U220">
        <v>185.328</v>
      </c>
      <c r="V220">
        <f t="shared" si="18"/>
        <v>0.99449434946392345</v>
      </c>
      <c r="W220">
        <f t="shared" si="19"/>
        <v>1.0049000000000001E-2</v>
      </c>
      <c r="X220">
        <f t="shared" si="20"/>
        <v>1.00413E-2</v>
      </c>
      <c r="Y220">
        <f t="shared" si="21"/>
        <v>9.9829199999999993E-3</v>
      </c>
      <c r="Z220">
        <f t="shared" si="22"/>
        <v>9.7375699999999992E-3</v>
      </c>
      <c r="AA220">
        <f t="shared" si="23"/>
        <v>9.9526974999999997E-3</v>
      </c>
    </row>
    <row r="221" spans="1:27" x14ac:dyDescent="0.3">
      <c r="A221">
        <v>216</v>
      </c>
      <c r="B221">
        <v>1.0200000000000001E-2</v>
      </c>
      <c r="C221">
        <v>0.56253200000000003</v>
      </c>
      <c r="D221">
        <v>55.712899999999998</v>
      </c>
      <c r="E221">
        <v>55.150399999999998</v>
      </c>
      <c r="F221">
        <v>1.0183299999999999E-2</v>
      </c>
      <c r="G221">
        <v>0.55925999999999998</v>
      </c>
      <c r="H221">
        <v>55.478400000000001</v>
      </c>
      <c r="I221">
        <v>54.919199999999996</v>
      </c>
      <c r="J221">
        <v>1.0137999999999999E-2</v>
      </c>
      <c r="K221">
        <v>0.55244199999999999</v>
      </c>
      <c r="L221">
        <v>55.044400000000003</v>
      </c>
      <c r="M221">
        <v>54.491999999999997</v>
      </c>
      <c r="N221">
        <v>9.8879099999999998E-3</v>
      </c>
      <c r="O221">
        <v>0.53777299999999995</v>
      </c>
      <c r="P221">
        <v>54.924700000000001</v>
      </c>
      <c r="Q221">
        <v>54.386899999999997</v>
      </c>
      <c r="R221">
        <v>97.438000000000002</v>
      </c>
      <c r="S221">
        <v>97.438000000000002</v>
      </c>
      <c r="T221">
        <v>1.8473999999999999</v>
      </c>
      <c r="U221">
        <v>185.554</v>
      </c>
      <c r="V221">
        <f t="shared" si="18"/>
        <v>0.9957070950985758</v>
      </c>
      <c r="W221">
        <f t="shared" si="19"/>
        <v>1.0200000000000001E-2</v>
      </c>
      <c r="X221">
        <f t="shared" si="20"/>
        <v>1.0183299999999999E-2</v>
      </c>
      <c r="Y221">
        <f t="shared" si="21"/>
        <v>1.0137999999999999E-2</v>
      </c>
      <c r="Z221">
        <f t="shared" si="22"/>
        <v>9.8879099999999998E-3</v>
      </c>
      <c r="AA221">
        <f t="shared" si="23"/>
        <v>1.01023025E-2</v>
      </c>
    </row>
    <row r="222" spans="1:27" x14ac:dyDescent="0.3">
      <c r="A222">
        <v>217</v>
      </c>
      <c r="B222">
        <v>1.02489E-2</v>
      </c>
      <c r="C222">
        <v>0.56523299999999999</v>
      </c>
      <c r="D222">
        <v>55.715600000000002</v>
      </c>
      <c r="E222">
        <v>55.150399999999998</v>
      </c>
      <c r="F222">
        <v>1.0228900000000001E-2</v>
      </c>
      <c r="G222">
        <v>0.56176099999999995</v>
      </c>
      <c r="H222">
        <v>55.480899999999998</v>
      </c>
      <c r="I222">
        <v>54.919199999999996</v>
      </c>
      <c r="J222">
        <v>1.018E-2</v>
      </c>
      <c r="K222">
        <v>0.55472900000000003</v>
      </c>
      <c r="L222">
        <v>55.046700000000001</v>
      </c>
      <c r="M222">
        <v>54.491999999999997</v>
      </c>
      <c r="N222">
        <v>9.9289300000000007E-3</v>
      </c>
      <c r="O222">
        <v>0.54000400000000004</v>
      </c>
      <c r="P222">
        <v>54.926900000000003</v>
      </c>
      <c r="Q222">
        <v>54.386899999999997</v>
      </c>
      <c r="R222">
        <v>97.875</v>
      </c>
      <c r="S222">
        <v>97.875</v>
      </c>
      <c r="T222">
        <v>1.8534999999999999</v>
      </c>
      <c r="U222">
        <v>186.16800000000001</v>
      </c>
      <c r="V222">
        <f t="shared" si="18"/>
        <v>0.99900189961041896</v>
      </c>
      <c r="W222">
        <f t="shared" si="19"/>
        <v>1.02489E-2</v>
      </c>
      <c r="X222">
        <f t="shared" si="20"/>
        <v>1.0228900000000001E-2</v>
      </c>
      <c r="Y222">
        <f t="shared" si="21"/>
        <v>1.018E-2</v>
      </c>
      <c r="Z222">
        <f t="shared" si="22"/>
        <v>9.9289300000000007E-3</v>
      </c>
      <c r="AA222">
        <f t="shared" si="23"/>
        <v>1.01466825E-2</v>
      </c>
    </row>
    <row r="223" spans="1:27" x14ac:dyDescent="0.3">
      <c r="A223">
        <v>218</v>
      </c>
      <c r="B223">
        <v>1.03518E-2</v>
      </c>
      <c r="C223">
        <v>0.57090300000000005</v>
      </c>
      <c r="D223">
        <v>55.721299999999999</v>
      </c>
      <c r="E223">
        <v>55.150399999999998</v>
      </c>
      <c r="F223">
        <v>1.03386E-2</v>
      </c>
      <c r="G223">
        <v>0.56778499999999998</v>
      </c>
      <c r="H223">
        <v>55.486899999999999</v>
      </c>
      <c r="I223">
        <v>54.919199999999996</v>
      </c>
      <c r="J223">
        <v>1.02948E-2</v>
      </c>
      <c r="K223">
        <v>0.56098700000000001</v>
      </c>
      <c r="L223">
        <v>55.052999999999997</v>
      </c>
      <c r="M223">
        <v>54.491999999999997</v>
      </c>
      <c r="N223">
        <v>1.00479E-2</v>
      </c>
      <c r="O223">
        <v>0.54647400000000002</v>
      </c>
      <c r="P223">
        <v>54.933399999999999</v>
      </c>
      <c r="Q223">
        <v>54.386899999999997</v>
      </c>
      <c r="R223">
        <v>98.31</v>
      </c>
      <c r="S223">
        <v>98.31</v>
      </c>
      <c r="T223">
        <v>1.8448</v>
      </c>
      <c r="U223">
        <v>185.29499999999999</v>
      </c>
      <c r="V223">
        <f t="shared" si="18"/>
        <v>0.99431726713673974</v>
      </c>
      <c r="W223">
        <f t="shared" si="19"/>
        <v>1.03518E-2</v>
      </c>
      <c r="X223">
        <f t="shared" si="20"/>
        <v>1.03386E-2</v>
      </c>
      <c r="Y223">
        <f t="shared" si="21"/>
        <v>1.02948E-2</v>
      </c>
      <c r="Z223">
        <f t="shared" si="22"/>
        <v>1.00479E-2</v>
      </c>
      <c r="AA223">
        <f t="shared" si="23"/>
        <v>1.0258274999999999E-2</v>
      </c>
    </row>
    <row r="224" spans="1:27" x14ac:dyDescent="0.3">
      <c r="A224">
        <v>219</v>
      </c>
      <c r="B224">
        <v>1.04317E-2</v>
      </c>
      <c r="C224">
        <v>0.57531100000000002</v>
      </c>
      <c r="D224">
        <v>55.725700000000003</v>
      </c>
      <c r="E224">
        <v>55.150399999999998</v>
      </c>
      <c r="F224">
        <v>1.0430399999999999E-2</v>
      </c>
      <c r="G224">
        <v>0.572828</v>
      </c>
      <c r="H224">
        <v>55.491999999999997</v>
      </c>
      <c r="I224">
        <v>54.919199999999996</v>
      </c>
      <c r="J224">
        <v>1.0381E-2</v>
      </c>
      <c r="K224">
        <v>0.56568099999999999</v>
      </c>
      <c r="L224">
        <v>55.057699999999997</v>
      </c>
      <c r="M224">
        <v>54.491999999999997</v>
      </c>
      <c r="N224">
        <v>1.0133100000000001E-2</v>
      </c>
      <c r="O224">
        <v>0.55110999999999999</v>
      </c>
      <c r="P224">
        <v>54.938000000000002</v>
      </c>
      <c r="Q224">
        <v>54.386899999999997</v>
      </c>
      <c r="R224">
        <v>99.186000000000007</v>
      </c>
      <c r="S224">
        <v>99.186000000000007</v>
      </c>
      <c r="T224">
        <v>1.8515999999999999</v>
      </c>
      <c r="U224">
        <v>185.97399999999999</v>
      </c>
      <c r="V224">
        <f t="shared" si="18"/>
        <v>0.99796087017182344</v>
      </c>
      <c r="W224">
        <f t="shared" si="19"/>
        <v>1.04317E-2</v>
      </c>
      <c r="X224">
        <f t="shared" si="20"/>
        <v>1.0430399999999999E-2</v>
      </c>
      <c r="Y224">
        <f t="shared" si="21"/>
        <v>1.0381E-2</v>
      </c>
      <c r="Z224">
        <f t="shared" si="22"/>
        <v>1.0133100000000001E-2</v>
      </c>
      <c r="AA224">
        <f t="shared" si="23"/>
        <v>1.034405E-2</v>
      </c>
    </row>
    <row r="225" spans="1:27" x14ac:dyDescent="0.3">
      <c r="A225">
        <v>220</v>
      </c>
      <c r="B225">
        <v>1.0521900000000001E-2</v>
      </c>
      <c r="C225">
        <v>0.58028800000000003</v>
      </c>
      <c r="D225">
        <v>55.730699999999999</v>
      </c>
      <c r="E225">
        <v>55.150399999999998</v>
      </c>
      <c r="F225">
        <v>1.05068E-2</v>
      </c>
      <c r="G225">
        <v>0.57702200000000003</v>
      </c>
      <c r="H225">
        <v>55.496200000000002</v>
      </c>
      <c r="I225">
        <v>54.919199999999996</v>
      </c>
      <c r="J225">
        <v>1.047E-2</v>
      </c>
      <c r="K225">
        <v>0.57053399999999999</v>
      </c>
      <c r="L225">
        <v>55.0625</v>
      </c>
      <c r="M225">
        <v>54.491999999999997</v>
      </c>
      <c r="N225">
        <v>1.0222500000000001E-2</v>
      </c>
      <c r="O225">
        <v>0.55597200000000002</v>
      </c>
      <c r="P225">
        <v>54.942900000000002</v>
      </c>
      <c r="Q225">
        <v>54.386899999999997</v>
      </c>
      <c r="R225">
        <v>100.057</v>
      </c>
      <c r="S225">
        <v>100.057</v>
      </c>
      <c r="T225">
        <v>1.85</v>
      </c>
      <c r="U225">
        <v>185.81200000000001</v>
      </c>
      <c r="V225">
        <f t="shared" si="18"/>
        <v>0.99709155692928519</v>
      </c>
      <c r="W225">
        <f t="shared" si="19"/>
        <v>1.0521900000000001E-2</v>
      </c>
      <c r="X225">
        <f t="shared" si="20"/>
        <v>1.05068E-2</v>
      </c>
      <c r="Y225">
        <f t="shared" si="21"/>
        <v>1.047E-2</v>
      </c>
      <c r="Z225">
        <f t="shared" si="22"/>
        <v>1.0222500000000001E-2</v>
      </c>
      <c r="AA225">
        <f t="shared" si="23"/>
        <v>1.0430300000000002E-2</v>
      </c>
    </row>
    <row r="226" spans="1:27" x14ac:dyDescent="0.3">
      <c r="A226">
        <v>221</v>
      </c>
      <c r="B226">
        <v>1.0973399999999999E-2</v>
      </c>
      <c r="C226">
        <v>0.60519000000000001</v>
      </c>
      <c r="D226">
        <v>55.755600000000001</v>
      </c>
      <c r="E226">
        <v>55.150399999999998</v>
      </c>
      <c r="F226">
        <v>1.09687E-2</v>
      </c>
      <c r="G226">
        <v>0.60239299999999996</v>
      </c>
      <c r="H226">
        <v>55.521599999999999</v>
      </c>
      <c r="I226">
        <v>54.919199999999996</v>
      </c>
      <c r="J226">
        <v>1.09359E-2</v>
      </c>
      <c r="K226">
        <v>0.59592199999999995</v>
      </c>
      <c r="L226">
        <v>55.087899999999998</v>
      </c>
      <c r="M226">
        <v>54.491999999999997</v>
      </c>
      <c r="N226">
        <v>1.06845E-2</v>
      </c>
      <c r="O226">
        <v>0.58109900000000003</v>
      </c>
      <c r="P226">
        <v>54.968000000000004</v>
      </c>
      <c r="Q226">
        <v>54.386899999999997</v>
      </c>
      <c r="R226">
        <v>103.616</v>
      </c>
      <c r="S226">
        <v>103.616</v>
      </c>
      <c r="T226">
        <v>1.8664000000000001</v>
      </c>
      <c r="U226">
        <v>187.46</v>
      </c>
      <c r="V226">
        <f t="shared" si="18"/>
        <v>1.0059349410262191</v>
      </c>
      <c r="W226">
        <f t="shared" si="19"/>
        <v>1.0973399999999999E-2</v>
      </c>
      <c r="X226">
        <f t="shared" si="20"/>
        <v>1.09687E-2</v>
      </c>
      <c r="Y226">
        <f t="shared" si="21"/>
        <v>1.09359E-2</v>
      </c>
      <c r="Z226">
        <f t="shared" si="22"/>
        <v>1.06845E-2</v>
      </c>
      <c r="AA226">
        <f t="shared" si="23"/>
        <v>1.0890624999999999E-2</v>
      </c>
    </row>
    <row r="227" spans="1:27" x14ac:dyDescent="0.3">
      <c r="A227">
        <v>222</v>
      </c>
      <c r="B227">
        <v>1.12316E-2</v>
      </c>
      <c r="C227">
        <v>0.61942600000000003</v>
      </c>
      <c r="D227">
        <v>55.769799999999996</v>
      </c>
      <c r="E227">
        <v>55.150399999999998</v>
      </c>
      <c r="F227">
        <v>1.1228699999999999E-2</v>
      </c>
      <c r="G227">
        <v>0.61666799999999999</v>
      </c>
      <c r="H227">
        <v>55.535800000000002</v>
      </c>
      <c r="I227">
        <v>54.919199999999996</v>
      </c>
      <c r="J227">
        <v>1.11845E-2</v>
      </c>
      <c r="K227">
        <v>0.60946400000000001</v>
      </c>
      <c r="L227">
        <v>55.101500000000001</v>
      </c>
      <c r="M227">
        <v>54.491999999999997</v>
      </c>
      <c r="N227">
        <v>1.09278E-2</v>
      </c>
      <c r="O227">
        <v>0.59433000000000002</v>
      </c>
      <c r="P227">
        <v>54.981200000000001</v>
      </c>
      <c r="Q227">
        <v>54.386899999999997</v>
      </c>
      <c r="R227">
        <v>105.675</v>
      </c>
      <c r="S227">
        <v>105.676</v>
      </c>
      <c r="T227">
        <v>1.8722000000000001</v>
      </c>
      <c r="U227">
        <v>188.042</v>
      </c>
      <c r="V227">
        <f t="shared" si="18"/>
        <v>1.0090580293420051</v>
      </c>
      <c r="W227">
        <f t="shared" si="19"/>
        <v>1.12316E-2</v>
      </c>
      <c r="X227">
        <f t="shared" si="20"/>
        <v>1.1228699999999999E-2</v>
      </c>
      <c r="Y227">
        <f t="shared" si="21"/>
        <v>1.11845E-2</v>
      </c>
      <c r="Z227">
        <f t="shared" si="22"/>
        <v>1.09278E-2</v>
      </c>
      <c r="AA227">
        <f t="shared" si="23"/>
        <v>1.1143150000000001E-2</v>
      </c>
    </row>
    <row r="228" spans="1:27" x14ac:dyDescent="0.3">
      <c r="A228">
        <v>223</v>
      </c>
      <c r="B228">
        <v>1.15844E-2</v>
      </c>
      <c r="C228">
        <v>0.63888299999999998</v>
      </c>
      <c r="D228">
        <v>55.789299999999997</v>
      </c>
      <c r="E228">
        <v>55.150399999999998</v>
      </c>
      <c r="F228">
        <v>1.1583E-2</v>
      </c>
      <c r="G228">
        <v>0.636127</v>
      </c>
      <c r="H228">
        <v>55.555300000000003</v>
      </c>
      <c r="I228">
        <v>54.919199999999996</v>
      </c>
      <c r="J228">
        <v>1.1545100000000001E-2</v>
      </c>
      <c r="K228">
        <v>0.62911600000000001</v>
      </c>
      <c r="L228">
        <v>55.121099999999998</v>
      </c>
      <c r="M228">
        <v>54.491999999999997</v>
      </c>
      <c r="N228">
        <v>1.1284300000000001E-2</v>
      </c>
      <c r="O228">
        <v>0.61371799999999999</v>
      </c>
      <c r="P228">
        <v>55.000599999999999</v>
      </c>
      <c r="Q228">
        <v>54.386899999999997</v>
      </c>
      <c r="R228">
        <v>108.41800000000001</v>
      </c>
      <c r="S228">
        <v>108.419</v>
      </c>
      <c r="T228">
        <v>1.8748</v>
      </c>
      <c r="U228">
        <v>188.3</v>
      </c>
      <c r="V228">
        <f t="shared" si="18"/>
        <v>1.0104424911727143</v>
      </c>
      <c r="W228">
        <f t="shared" si="19"/>
        <v>1.15844E-2</v>
      </c>
      <c r="X228">
        <f t="shared" si="20"/>
        <v>1.1583E-2</v>
      </c>
      <c r="Y228">
        <f t="shared" si="21"/>
        <v>1.1545100000000001E-2</v>
      </c>
      <c r="Z228">
        <f t="shared" si="22"/>
        <v>1.1284300000000001E-2</v>
      </c>
      <c r="AA228">
        <f t="shared" si="23"/>
        <v>1.1499200000000001E-2</v>
      </c>
    </row>
    <row r="229" spans="1:27" x14ac:dyDescent="0.3">
      <c r="A229">
        <v>224</v>
      </c>
      <c r="B229">
        <v>1.1622499999999999E-2</v>
      </c>
      <c r="C229">
        <v>0.64098599999999994</v>
      </c>
      <c r="D229">
        <v>55.791400000000003</v>
      </c>
      <c r="E229">
        <v>55.150399999999998</v>
      </c>
      <c r="F229">
        <v>1.16159E-2</v>
      </c>
      <c r="G229">
        <v>0.63793699999999998</v>
      </c>
      <c r="H229">
        <v>55.557099999999998</v>
      </c>
      <c r="I229">
        <v>54.919199999999996</v>
      </c>
      <c r="J229">
        <v>1.1578700000000001E-2</v>
      </c>
      <c r="K229">
        <v>0.63094499999999998</v>
      </c>
      <c r="L229">
        <v>55.122900000000001</v>
      </c>
      <c r="M229">
        <v>54.491999999999997</v>
      </c>
      <c r="N229">
        <v>1.13107E-2</v>
      </c>
      <c r="O229">
        <v>0.61515399999999998</v>
      </c>
      <c r="P229">
        <v>55.002099999999999</v>
      </c>
      <c r="Q229">
        <v>54.386899999999997</v>
      </c>
      <c r="R229">
        <v>108.73399999999999</v>
      </c>
      <c r="S229">
        <v>108.73399999999999</v>
      </c>
      <c r="T229">
        <v>1.8741000000000001</v>
      </c>
      <c r="U229">
        <v>188.23599999999999</v>
      </c>
      <c r="V229">
        <f t="shared" si="18"/>
        <v>1.0100990587806002</v>
      </c>
      <c r="W229">
        <f t="shared" si="19"/>
        <v>1.1622499999999999E-2</v>
      </c>
      <c r="X229">
        <f t="shared" si="20"/>
        <v>1.16159E-2</v>
      </c>
      <c r="Y229">
        <f t="shared" si="21"/>
        <v>1.1578700000000001E-2</v>
      </c>
      <c r="Z229">
        <f t="shared" si="22"/>
        <v>1.13107E-2</v>
      </c>
      <c r="AA229">
        <f t="shared" si="23"/>
        <v>1.1531950000000001E-2</v>
      </c>
    </row>
    <row r="230" spans="1:27" x14ac:dyDescent="0.3">
      <c r="A230">
        <v>225</v>
      </c>
      <c r="B230">
        <v>1.1689E-2</v>
      </c>
      <c r="C230">
        <v>0.64465099999999997</v>
      </c>
      <c r="D230">
        <v>55.795000000000002</v>
      </c>
      <c r="E230">
        <v>55.150399999999998</v>
      </c>
      <c r="F230">
        <v>1.16823E-2</v>
      </c>
      <c r="G230">
        <v>0.64158300000000001</v>
      </c>
      <c r="H230">
        <v>55.560699999999997</v>
      </c>
      <c r="I230">
        <v>54.919199999999996</v>
      </c>
      <c r="J230">
        <v>1.1647299999999999E-2</v>
      </c>
      <c r="K230">
        <v>0.634683</v>
      </c>
      <c r="L230">
        <v>55.1267</v>
      </c>
      <c r="M230">
        <v>54.491999999999997</v>
      </c>
      <c r="N230">
        <v>1.1368700000000001E-2</v>
      </c>
      <c r="O230">
        <v>0.618309</v>
      </c>
      <c r="P230">
        <v>55.005200000000002</v>
      </c>
      <c r="Q230">
        <v>54.386899999999997</v>
      </c>
      <c r="R230">
        <v>109.229</v>
      </c>
      <c r="S230">
        <v>109.23</v>
      </c>
      <c r="T230">
        <v>1.8751</v>
      </c>
      <c r="U230">
        <v>188.33199999999999</v>
      </c>
      <c r="V230">
        <f t="shared" si="18"/>
        <v>1.0106142073687712</v>
      </c>
      <c r="W230">
        <f t="shared" si="19"/>
        <v>1.1689E-2</v>
      </c>
      <c r="X230">
        <f t="shared" si="20"/>
        <v>1.16823E-2</v>
      </c>
      <c r="Y230">
        <f t="shared" si="21"/>
        <v>1.1647299999999999E-2</v>
      </c>
      <c r="Z230">
        <f t="shared" si="22"/>
        <v>1.1368700000000001E-2</v>
      </c>
      <c r="AA230">
        <f t="shared" si="23"/>
        <v>1.1596825E-2</v>
      </c>
    </row>
    <row r="231" spans="1:27" x14ac:dyDescent="0.3">
      <c r="A231">
        <v>226</v>
      </c>
      <c r="B231">
        <v>1.2023600000000001E-2</v>
      </c>
      <c r="C231">
        <v>0.663107</v>
      </c>
      <c r="D231">
        <v>55.813499999999998</v>
      </c>
      <c r="E231">
        <v>55.150399999999998</v>
      </c>
      <c r="F231">
        <v>1.20121E-2</v>
      </c>
      <c r="G231">
        <v>0.65969299999999997</v>
      </c>
      <c r="H231">
        <v>55.578899999999997</v>
      </c>
      <c r="I231">
        <v>54.919199999999996</v>
      </c>
      <c r="J231">
        <v>1.19641E-2</v>
      </c>
      <c r="K231">
        <v>0.65194600000000003</v>
      </c>
      <c r="L231">
        <v>55.143900000000002</v>
      </c>
      <c r="M231">
        <v>54.491999999999997</v>
      </c>
      <c r="N231">
        <v>1.16848E-2</v>
      </c>
      <c r="O231">
        <v>0.63549800000000001</v>
      </c>
      <c r="P231">
        <v>55.022399999999998</v>
      </c>
      <c r="Q231">
        <v>54.386899999999997</v>
      </c>
      <c r="R231">
        <v>111.726</v>
      </c>
      <c r="S231">
        <v>111.726</v>
      </c>
      <c r="T231">
        <v>1.8783000000000001</v>
      </c>
      <c r="U231">
        <v>188.65600000000001</v>
      </c>
      <c r="V231">
        <f t="shared" si="18"/>
        <v>1.0123528338538481</v>
      </c>
      <c r="W231">
        <f t="shared" si="19"/>
        <v>1.2023600000000001E-2</v>
      </c>
      <c r="X231">
        <f t="shared" si="20"/>
        <v>1.20121E-2</v>
      </c>
      <c r="Y231">
        <f t="shared" si="21"/>
        <v>1.19641E-2</v>
      </c>
      <c r="Z231">
        <f t="shared" si="22"/>
        <v>1.16848E-2</v>
      </c>
      <c r="AA231">
        <f t="shared" si="23"/>
        <v>1.192115E-2</v>
      </c>
    </row>
    <row r="232" spans="1:27" x14ac:dyDescent="0.3">
      <c r="A232">
        <v>227</v>
      </c>
      <c r="B232">
        <v>1.2035499999999999E-2</v>
      </c>
      <c r="C232">
        <v>0.66376199999999996</v>
      </c>
      <c r="D232">
        <v>55.814100000000003</v>
      </c>
      <c r="E232">
        <v>55.150399999999998</v>
      </c>
      <c r="F232">
        <v>1.2034400000000001E-2</v>
      </c>
      <c r="G232">
        <v>0.66091900000000003</v>
      </c>
      <c r="H232">
        <v>55.580100000000002</v>
      </c>
      <c r="I232">
        <v>54.919199999999996</v>
      </c>
      <c r="J232">
        <v>1.1999299999999999E-2</v>
      </c>
      <c r="K232">
        <v>0.65386500000000003</v>
      </c>
      <c r="L232">
        <v>55.145899999999997</v>
      </c>
      <c r="M232">
        <v>54.491999999999997</v>
      </c>
      <c r="N232">
        <v>1.1713599999999999E-2</v>
      </c>
      <c r="O232">
        <v>0.63706499999999999</v>
      </c>
      <c r="P232">
        <v>55.024000000000001</v>
      </c>
      <c r="Q232">
        <v>54.386899999999997</v>
      </c>
      <c r="R232">
        <v>111.85</v>
      </c>
      <c r="S232">
        <v>111.851</v>
      </c>
      <c r="T232">
        <v>1.8754</v>
      </c>
      <c r="U232">
        <v>188.36500000000001</v>
      </c>
      <c r="V232">
        <f t="shared" si="18"/>
        <v>1.010791289695955</v>
      </c>
      <c r="W232">
        <f t="shared" si="19"/>
        <v>1.2035499999999999E-2</v>
      </c>
      <c r="X232">
        <f t="shared" si="20"/>
        <v>1.2034400000000001E-2</v>
      </c>
      <c r="Y232">
        <f t="shared" si="21"/>
        <v>1.1999299999999999E-2</v>
      </c>
      <c r="Z232">
        <f t="shared" si="22"/>
        <v>1.1713599999999999E-2</v>
      </c>
      <c r="AA232">
        <f t="shared" si="23"/>
        <v>1.1945699999999998E-2</v>
      </c>
    </row>
    <row r="233" spans="1:27" x14ac:dyDescent="0.3">
      <c r="A233">
        <v>228</v>
      </c>
      <c r="B233">
        <v>1.27368E-2</v>
      </c>
      <c r="C233">
        <v>0.70243900000000004</v>
      </c>
      <c r="D233">
        <v>55.852800000000002</v>
      </c>
      <c r="E233">
        <v>55.150399999999998</v>
      </c>
      <c r="F233">
        <v>1.2718500000000001E-2</v>
      </c>
      <c r="G233">
        <v>0.69848699999999997</v>
      </c>
      <c r="H233">
        <v>55.617699999999999</v>
      </c>
      <c r="I233">
        <v>54.919199999999996</v>
      </c>
      <c r="J233">
        <v>1.27054E-2</v>
      </c>
      <c r="K233">
        <v>0.69234399999999996</v>
      </c>
      <c r="L233">
        <v>55.1843</v>
      </c>
      <c r="M233">
        <v>54.491999999999997</v>
      </c>
      <c r="N233">
        <v>1.2321199999999999E-2</v>
      </c>
      <c r="O233">
        <v>0.67011399999999999</v>
      </c>
      <c r="P233">
        <v>55.057000000000002</v>
      </c>
      <c r="Q233">
        <v>54.386899999999997</v>
      </c>
      <c r="R233">
        <v>113.349</v>
      </c>
      <c r="S233">
        <v>113.349</v>
      </c>
      <c r="T233">
        <v>1.7330000000000001</v>
      </c>
      <c r="U233">
        <v>174.084</v>
      </c>
      <c r="V233">
        <f t="shared" si="18"/>
        <v>0.93415757107440678</v>
      </c>
      <c r="W233">
        <f t="shared" si="19"/>
        <v>1.27368E-2</v>
      </c>
      <c r="X233">
        <f t="shared" si="20"/>
        <v>1.2718500000000001E-2</v>
      </c>
      <c r="Y233">
        <f t="shared" si="21"/>
        <v>1.27054E-2</v>
      </c>
      <c r="Z233">
        <f t="shared" si="22"/>
        <v>1.2321199999999999E-2</v>
      </c>
      <c r="AA233">
        <f t="shared" si="23"/>
        <v>1.2620474999999999E-2</v>
      </c>
    </row>
    <row r="234" spans="1:27" x14ac:dyDescent="0.3">
      <c r="A234">
        <v>229</v>
      </c>
      <c r="B234">
        <v>1.2771899999999999E-2</v>
      </c>
      <c r="C234">
        <v>0.70437399999999994</v>
      </c>
      <c r="D234">
        <v>55.854799999999997</v>
      </c>
      <c r="E234">
        <v>55.150399999999998</v>
      </c>
      <c r="F234">
        <v>1.2763099999999999E-2</v>
      </c>
      <c r="G234">
        <v>0.70094000000000001</v>
      </c>
      <c r="H234">
        <v>55.620100000000001</v>
      </c>
      <c r="I234">
        <v>54.919199999999996</v>
      </c>
      <c r="J234">
        <v>1.27502E-2</v>
      </c>
      <c r="K234">
        <v>0.69478600000000001</v>
      </c>
      <c r="L234">
        <v>55.186799999999998</v>
      </c>
      <c r="M234">
        <v>54.491999999999997</v>
      </c>
      <c r="N234">
        <v>1.2365599999999999E-2</v>
      </c>
      <c r="O234">
        <v>0.67252900000000004</v>
      </c>
      <c r="P234">
        <v>55.059399999999997</v>
      </c>
      <c r="Q234">
        <v>54.386899999999997</v>
      </c>
      <c r="R234">
        <v>113.47199999999999</v>
      </c>
      <c r="S234">
        <v>113.47199999999999</v>
      </c>
      <c r="T234">
        <v>1.6363000000000001</v>
      </c>
      <c r="U234">
        <v>164.39099999999999</v>
      </c>
      <c r="V234">
        <f t="shared" si="18"/>
        <v>0.88214366206252603</v>
      </c>
      <c r="W234">
        <f t="shared" si="19"/>
        <v>1.2771899999999999E-2</v>
      </c>
      <c r="X234">
        <f t="shared" si="20"/>
        <v>1.2763099999999999E-2</v>
      </c>
      <c r="Y234">
        <f t="shared" si="21"/>
        <v>1.27502E-2</v>
      </c>
      <c r="Z234">
        <f t="shared" si="22"/>
        <v>1.2365599999999999E-2</v>
      </c>
      <c r="AA234">
        <f t="shared" si="23"/>
        <v>1.2662699999999999E-2</v>
      </c>
    </row>
    <row r="235" spans="1:27" x14ac:dyDescent="0.3">
      <c r="A235">
        <v>230</v>
      </c>
      <c r="B235">
        <v>1.2826300000000001E-2</v>
      </c>
      <c r="C235">
        <v>0.70737700000000003</v>
      </c>
      <c r="D235">
        <v>55.857799999999997</v>
      </c>
      <c r="E235">
        <v>55.150399999999998</v>
      </c>
      <c r="F235">
        <v>1.28218E-2</v>
      </c>
      <c r="G235">
        <v>0.70416500000000004</v>
      </c>
      <c r="H235">
        <v>55.6233</v>
      </c>
      <c r="I235">
        <v>54.919199999999996</v>
      </c>
      <c r="J235">
        <v>1.28074E-2</v>
      </c>
      <c r="K235">
        <v>0.69789900000000005</v>
      </c>
      <c r="L235">
        <v>55.189900000000002</v>
      </c>
      <c r="M235">
        <v>54.491999999999997</v>
      </c>
      <c r="N235">
        <v>1.24189E-2</v>
      </c>
      <c r="O235">
        <v>0.675423</v>
      </c>
      <c r="P235">
        <v>55.0623</v>
      </c>
      <c r="Q235">
        <v>54.386899999999997</v>
      </c>
      <c r="R235">
        <v>113.60299999999999</v>
      </c>
      <c r="S235">
        <v>113.60299999999999</v>
      </c>
      <c r="T235">
        <v>1.5989</v>
      </c>
      <c r="U235">
        <v>160.643</v>
      </c>
      <c r="V235">
        <f t="shared" si="18"/>
        <v>0.86203140259935385</v>
      </c>
      <c r="W235">
        <f t="shared" si="19"/>
        <v>1.2826300000000001E-2</v>
      </c>
      <c r="X235">
        <f t="shared" si="20"/>
        <v>1.28218E-2</v>
      </c>
      <c r="Y235">
        <f t="shared" si="21"/>
        <v>1.28074E-2</v>
      </c>
      <c r="Z235">
        <f t="shared" si="22"/>
        <v>1.24189E-2</v>
      </c>
      <c r="AA235">
        <f t="shared" si="23"/>
        <v>1.27186E-2</v>
      </c>
    </row>
    <row r="236" spans="1:27" x14ac:dyDescent="0.3">
      <c r="A236">
        <v>231</v>
      </c>
      <c r="B236">
        <v>1.28658E-2</v>
      </c>
      <c r="C236">
        <v>0.70955599999999996</v>
      </c>
      <c r="D236">
        <v>55.859900000000003</v>
      </c>
      <c r="E236">
        <v>55.150399999999998</v>
      </c>
      <c r="F236">
        <v>1.2864499999999999E-2</v>
      </c>
      <c r="G236">
        <v>0.70650599999999997</v>
      </c>
      <c r="H236">
        <v>55.625700000000002</v>
      </c>
      <c r="I236">
        <v>54.919199999999996</v>
      </c>
      <c r="J236">
        <v>1.28448E-2</v>
      </c>
      <c r="K236">
        <v>0.69994100000000004</v>
      </c>
      <c r="L236">
        <v>55.191899999999997</v>
      </c>
      <c r="M236">
        <v>54.491999999999997</v>
      </c>
      <c r="N236">
        <v>1.2462600000000001E-2</v>
      </c>
      <c r="O236">
        <v>0.67780499999999999</v>
      </c>
      <c r="P236">
        <v>55.064700000000002</v>
      </c>
      <c r="Q236">
        <v>54.386899999999997</v>
      </c>
      <c r="R236">
        <v>113.724</v>
      </c>
      <c r="S236">
        <v>113.72499999999999</v>
      </c>
      <c r="T236">
        <v>1.5783</v>
      </c>
      <c r="U236">
        <v>158.57599999999999</v>
      </c>
      <c r="V236">
        <f t="shared" si="18"/>
        <v>0.85093960956029913</v>
      </c>
      <c r="W236">
        <f t="shared" si="19"/>
        <v>1.28658E-2</v>
      </c>
      <c r="X236">
        <f t="shared" si="20"/>
        <v>1.2864499999999999E-2</v>
      </c>
      <c r="Y236">
        <f t="shared" si="21"/>
        <v>1.28448E-2</v>
      </c>
      <c r="Z236">
        <f t="shared" si="22"/>
        <v>1.2462600000000001E-2</v>
      </c>
      <c r="AA236">
        <f t="shared" si="23"/>
        <v>1.2759425000000001E-2</v>
      </c>
    </row>
    <row r="237" spans="1:27" x14ac:dyDescent="0.3">
      <c r="A237">
        <v>232</v>
      </c>
      <c r="B237">
        <v>1.2870299999999999E-2</v>
      </c>
      <c r="C237">
        <v>0.70980399999999999</v>
      </c>
      <c r="D237">
        <v>55.860199999999999</v>
      </c>
      <c r="E237">
        <v>55.150399999999998</v>
      </c>
      <c r="F237">
        <v>1.28682E-2</v>
      </c>
      <c r="G237">
        <v>0.70671200000000001</v>
      </c>
      <c r="H237">
        <v>55.625900000000001</v>
      </c>
      <c r="I237">
        <v>54.919199999999996</v>
      </c>
      <c r="J237">
        <v>1.28559E-2</v>
      </c>
      <c r="K237">
        <v>0.70054400000000006</v>
      </c>
      <c r="L237">
        <v>55.192500000000003</v>
      </c>
      <c r="M237">
        <v>54.491999999999997</v>
      </c>
      <c r="N237">
        <v>1.24733E-2</v>
      </c>
      <c r="O237">
        <v>0.67838600000000004</v>
      </c>
      <c r="P237">
        <v>55.065300000000001</v>
      </c>
      <c r="Q237">
        <v>54.386899999999997</v>
      </c>
      <c r="R237">
        <v>113.91</v>
      </c>
      <c r="S237">
        <v>113.91</v>
      </c>
      <c r="T237">
        <v>1.5702</v>
      </c>
      <c r="U237">
        <v>157.768</v>
      </c>
      <c r="V237">
        <f t="shared" si="18"/>
        <v>0.84660377560986089</v>
      </c>
      <c r="W237">
        <f t="shared" si="19"/>
        <v>1.2870299999999999E-2</v>
      </c>
      <c r="X237">
        <f t="shared" si="20"/>
        <v>1.28682E-2</v>
      </c>
      <c r="Y237">
        <f t="shared" si="21"/>
        <v>1.28559E-2</v>
      </c>
      <c r="Z237">
        <f t="shared" si="22"/>
        <v>1.24733E-2</v>
      </c>
      <c r="AA237">
        <f t="shared" si="23"/>
        <v>1.2766925E-2</v>
      </c>
    </row>
    <row r="238" spans="1:27" x14ac:dyDescent="0.3">
      <c r="A238">
        <v>233</v>
      </c>
      <c r="B238">
        <v>1.2905399999999999E-2</v>
      </c>
      <c r="C238">
        <v>0.71173900000000001</v>
      </c>
      <c r="D238">
        <v>55.862099999999998</v>
      </c>
      <c r="E238">
        <v>55.150399999999998</v>
      </c>
      <c r="F238">
        <v>1.29035E-2</v>
      </c>
      <c r="G238">
        <v>0.70865100000000003</v>
      </c>
      <c r="H238">
        <v>55.627800000000001</v>
      </c>
      <c r="I238">
        <v>54.919199999999996</v>
      </c>
      <c r="J238">
        <v>1.28895E-2</v>
      </c>
      <c r="K238">
        <v>0.702376</v>
      </c>
      <c r="L238">
        <v>55.194400000000002</v>
      </c>
      <c r="M238">
        <v>54.491999999999997</v>
      </c>
      <c r="N238">
        <v>1.2503999999999999E-2</v>
      </c>
      <c r="O238">
        <v>0.68005099999999996</v>
      </c>
      <c r="P238">
        <v>55.067</v>
      </c>
      <c r="Q238">
        <v>54.386899999999997</v>
      </c>
      <c r="R238">
        <v>114.16</v>
      </c>
      <c r="S238">
        <v>114.16</v>
      </c>
      <c r="T238">
        <v>1.5580000000000001</v>
      </c>
      <c r="U238">
        <v>156.54</v>
      </c>
      <c r="V238">
        <f t="shared" si="18"/>
        <v>0.84001416658617467</v>
      </c>
      <c r="W238">
        <f t="shared" si="19"/>
        <v>1.2905399999999999E-2</v>
      </c>
      <c r="X238">
        <f t="shared" si="20"/>
        <v>1.29035E-2</v>
      </c>
      <c r="Y238">
        <f t="shared" si="21"/>
        <v>1.28895E-2</v>
      </c>
      <c r="Z238">
        <f t="shared" si="22"/>
        <v>1.2503999999999999E-2</v>
      </c>
      <c r="AA238">
        <f t="shared" si="23"/>
        <v>1.2800600000000001E-2</v>
      </c>
    </row>
    <row r="239" spans="1:27" x14ac:dyDescent="0.3">
      <c r="A239">
        <v>234</v>
      </c>
      <c r="B239">
        <v>1.32277E-2</v>
      </c>
      <c r="C239">
        <v>0.72950999999999999</v>
      </c>
      <c r="D239">
        <v>55.879899999999999</v>
      </c>
      <c r="E239">
        <v>55.150399999999998</v>
      </c>
      <c r="F239">
        <v>1.32281E-2</v>
      </c>
      <c r="G239">
        <v>0.72647600000000001</v>
      </c>
      <c r="H239">
        <v>55.645600000000002</v>
      </c>
      <c r="I239">
        <v>54.919199999999996</v>
      </c>
      <c r="J239">
        <v>1.32122E-2</v>
      </c>
      <c r="K239">
        <v>0.71995799999999999</v>
      </c>
      <c r="L239">
        <v>55.2119</v>
      </c>
      <c r="M239">
        <v>54.491999999999997</v>
      </c>
      <c r="N239">
        <v>1.28082E-2</v>
      </c>
      <c r="O239">
        <v>0.69659899999999997</v>
      </c>
      <c r="P239">
        <v>55.083500000000001</v>
      </c>
      <c r="Q239">
        <v>54.386899999999997</v>
      </c>
      <c r="R239">
        <v>116.21899999999999</v>
      </c>
      <c r="S239">
        <v>116.21899999999999</v>
      </c>
      <c r="T239">
        <v>1.5689</v>
      </c>
      <c r="U239">
        <v>157.63900000000001</v>
      </c>
      <c r="V239">
        <f t="shared" si="18"/>
        <v>0.84591154469450625</v>
      </c>
      <c r="W239">
        <f t="shared" si="19"/>
        <v>1.32277E-2</v>
      </c>
      <c r="X239">
        <f t="shared" si="20"/>
        <v>1.32281E-2</v>
      </c>
      <c r="Y239">
        <f t="shared" si="21"/>
        <v>1.32122E-2</v>
      </c>
      <c r="Z239">
        <f t="shared" si="22"/>
        <v>1.28082E-2</v>
      </c>
      <c r="AA239">
        <f t="shared" si="23"/>
        <v>1.311905E-2</v>
      </c>
    </row>
    <row r="240" spans="1:27" x14ac:dyDescent="0.3">
      <c r="A240">
        <v>235</v>
      </c>
      <c r="B240">
        <v>1.3993999999999999E-2</v>
      </c>
      <c r="C240">
        <v>0.77177399999999996</v>
      </c>
      <c r="D240">
        <v>55.922199999999997</v>
      </c>
      <c r="E240">
        <v>55.150399999999998</v>
      </c>
      <c r="F240">
        <v>1.40012E-2</v>
      </c>
      <c r="G240">
        <v>0.76893699999999998</v>
      </c>
      <c r="H240">
        <v>55.688099999999999</v>
      </c>
      <c r="I240">
        <v>54.919199999999996</v>
      </c>
      <c r="J240">
        <v>1.39601E-2</v>
      </c>
      <c r="K240">
        <v>0.76071599999999995</v>
      </c>
      <c r="L240">
        <v>55.252699999999997</v>
      </c>
      <c r="M240">
        <v>54.491999999999997</v>
      </c>
      <c r="N240">
        <v>1.3535E-2</v>
      </c>
      <c r="O240">
        <v>0.73612500000000003</v>
      </c>
      <c r="P240">
        <v>55.122999999999998</v>
      </c>
      <c r="Q240">
        <v>54.386899999999997</v>
      </c>
      <c r="R240">
        <v>121.27500000000001</v>
      </c>
      <c r="S240">
        <v>121.27500000000001</v>
      </c>
      <c r="T240">
        <v>1.5702</v>
      </c>
      <c r="U240">
        <v>157.768</v>
      </c>
      <c r="V240">
        <f t="shared" si="18"/>
        <v>0.84660377560986089</v>
      </c>
      <c r="W240">
        <f t="shared" si="19"/>
        <v>1.3993999999999999E-2</v>
      </c>
      <c r="X240">
        <f t="shared" si="20"/>
        <v>1.40012E-2</v>
      </c>
      <c r="Y240">
        <f t="shared" si="21"/>
        <v>1.39601E-2</v>
      </c>
      <c r="Z240">
        <f t="shared" si="22"/>
        <v>1.3535E-2</v>
      </c>
      <c r="AA240">
        <f t="shared" si="23"/>
        <v>1.3872575E-2</v>
      </c>
    </row>
    <row r="241" spans="1:27" x14ac:dyDescent="0.3">
      <c r="A241">
        <v>236</v>
      </c>
      <c r="B241">
        <v>1.43251E-2</v>
      </c>
      <c r="C241">
        <v>0.79003299999999999</v>
      </c>
      <c r="D241">
        <v>55.940399999999997</v>
      </c>
      <c r="E241">
        <v>55.150399999999998</v>
      </c>
      <c r="F241">
        <v>1.43299E-2</v>
      </c>
      <c r="G241">
        <v>0.78698800000000002</v>
      </c>
      <c r="H241">
        <v>55.706200000000003</v>
      </c>
      <c r="I241">
        <v>54.919199999999996</v>
      </c>
      <c r="J241">
        <v>1.42849E-2</v>
      </c>
      <c r="K241">
        <v>0.77841000000000005</v>
      </c>
      <c r="L241">
        <v>55.270400000000002</v>
      </c>
      <c r="M241">
        <v>54.491999999999997</v>
      </c>
      <c r="N241">
        <v>1.38672E-2</v>
      </c>
      <c r="O241">
        <v>0.75419499999999995</v>
      </c>
      <c r="P241">
        <v>55.141100000000002</v>
      </c>
      <c r="Q241">
        <v>54.386899999999997</v>
      </c>
      <c r="R241">
        <v>122.895</v>
      </c>
      <c r="S241">
        <v>122.895</v>
      </c>
      <c r="T241">
        <v>1.5602</v>
      </c>
      <c r="U241">
        <v>156.76599999999999</v>
      </c>
      <c r="V241">
        <f t="shared" si="18"/>
        <v>0.84122691222082691</v>
      </c>
      <c r="W241">
        <f t="shared" si="19"/>
        <v>1.43251E-2</v>
      </c>
      <c r="X241">
        <f t="shared" si="20"/>
        <v>1.43299E-2</v>
      </c>
      <c r="Y241">
        <f t="shared" si="21"/>
        <v>1.42849E-2</v>
      </c>
      <c r="Z241">
        <f t="shared" si="22"/>
        <v>1.38672E-2</v>
      </c>
      <c r="AA241">
        <f t="shared" si="23"/>
        <v>1.4201775E-2</v>
      </c>
    </row>
    <row r="242" spans="1:27" x14ac:dyDescent="0.3">
      <c r="A242">
        <v>237</v>
      </c>
      <c r="B242">
        <v>1.4404999999999999E-2</v>
      </c>
      <c r="C242">
        <v>0.79444300000000001</v>
      </c>
      <c r="D242">
        <v>55.944800000000001</v>
      </c>
      <c r="E242">
        <v>55.150399999999998</v>
      </c>
      <c r="F242">
        <v>1.44174E-2</v>
      </c>
      <c r="G242">
        <v>0.79179100000000002</v>
      </c>
      <c r="H242">
        <v>55.710999999999999</v>
      </c>
      <c r="I242">
        <v>54.919199999999996</v>
      </c>
      <c r="J242">
        <v>1.4389000000000001E-2</v>
      </c>
      <c r="K242">
        <v>0.78408599999999995</v>
      </c>
      <c r="L242">
        <v>55.2761</v>
      </c>
      <c r="M242">
        <v>54.491999999999997</v>
      </c>
      <c r="N242">
        <v>1.39776E-2</v>
      </c>
      <c r="O242">
        <v>0.76019899999999996</v>
      </c>
      <c r="P242">
        <v>55.147100000000002</v>
      </c>
      <c r="Q242">
        <v>54.386899999999997</v>
      </c>
      <c r="R242">
        <v>123.459</v>
      </c>
      <c r="S242">
        <v>123.459</v>
      </c>
      <c r="T242">
        <v>1.5464</v>
      </c>
      <c r="U242">
        <v>155.37700000000001</v>
      </c>
      <c r="V242">
        <f t="shared" si="18"/>
        <v>0.83377335608572933</v>
      </c>
      <c r="W242">
        <f t="shared" si="19"/>
        <v>1.4404999999999999E-2</v>
      </c>
      <c r="X242">
        <f t="shared" si="20"/>
        <v>1.44174E-2</v>
      </c>
      <c r="Y242">
        <f t="shared" si="21"/>
        <v>1.4389000000000001E-2</v>
      </c>
      <c r="Z242">
        <f t="shared" si="22"/>
        <v>1.39776E-2</v>
      </c>
      <c r="AA242">
        <f t="shared" si="23"/>
        <v>1.4297249999999999E-2</v>
      </c>
    </row>
    <row r="243" spans="1:27" x14ac:dyDescent="0.3">
      <c r="A243">
        <v>238</v>
      </c>
      <c r="B243">
        <v>1.44145E-2</v>
      </c>
      <c r="C243">
        <v>0.79496699999999998</v>
      </c>
      <c r="D243">
        <v>55.945300000000003</v>
      </c>
      <c r="E243">
        <v>55.150399999999998</v>
      </c>
      <c r="F243">
        <v>1.4461399999999999E-2</v>
      </c>
      <c r="G243">
        <v>0.79420999999999997</v>
      </c>
      <c r="H243">
        <v>55.7134</v>
      </c>
      <c r="I243">
        <v>54.919199999999996</v>
      </c>
      <c r="J243">
        <v>1.44598E-2</v>
      </c>
      <c r="K243">
        <v>0.787941</v>
      </c>
      <c r="L243">
        <v>55.279899999999998</v>
      </c>
      <c r="M243">
        <v>54.491999999999997</v>
      </c>
      <c r="N243">
        <v>1.40935E-2</v>
      </c>
      <c r="O243">
        <v>0.76649999999999996</v>
      </c>
      <c r="P243">
        <v>55.153399999999998</v>
      </c>
      <c r="Q243">
        <v>54.386899999999997</v>
      </c>
      <c r="R243">
        <v>123.58199999999999</v>
      </c>
      <c r="S243">
        <v>123.58199999999999</v>
      </c>
      <c r="T243">
        <v>1.5266999999999999</v>
      </c>
      <c r="U243">
        <v>153.40600000000001</v>
      </c>
      <c r="V243">
        <f t="shared" si="18"/>
        <v>0.82319671163484542</v>
      </c>
      <c r="W243">
        <f t="shared" si="19"/>
        <v>1.44145E-2</v>
      </c>
      <c r="X243">
        <f t="shared" si="20"/>
        <v>1.4461399999999999E-2</v>
      </c>
      <c r="Y243">
        <f t="shared" si="21"/>
        <v>1.44598E-2</v>
      </c>
      <c r="Z243">
        <f t="shared" si="22"/>
        <v>1.40935E-2</v>
      </c>
      <c r="AA243">
        <f t="shared" si="23"/>
        <v>1.43573E-2</v>
      </c>
    </row>
    <row r="244" spans="1:27" x14ac:dyDescent="0.3">
      <c r="A244">
        <v>239</v>
      </c>
      <c r="B244">
        <v>1.4439199999999999E-2</v>
      </c>
      <c r="C244">
        <v>0.79632899999999995</v>
      </c>
      <c r="D244">
        <v>55.9467</v>
      </c>
      <c r="E244">
        <v>55.150399999999998</v>
      </c>
      <c r="F244">
        <v>1.44841E-2</v>
      </c>
      <c r="G244">
        <v>0.79545200000000005</v>
      </c>
      <c r="H244">
        <v>55.714599999999997</v>
      </c>
      <c r="I244">
        <v>54.919199999999996</v>
      </c>
      <c r="J244">
        <v>1.44808E-2</v>
      </c>
      <c r="K244">
        <v>0.78908999999999996</v>
      </c>
      <c r="L244">
        <v>55.281100000000002</v>
      </c>
      <c r="M244">
        <v>54.491999999999997</v>
      </c>
      <c r="N244">
        <v>1.41172E-2</v>
      </c>
      <c r="O244">
        <v>0.76779200000000003</v>
      </c>
      <c r="P244">
        <v>55.154699999999998</v>
      </c>
      <c r="Q244">
        <v>54.386899999999997</v>
      </c>
      <c r="R244">
        <v>123.708</v>
      </c>
      <c r="S244">
        <v>123.708</v>
      </c>
      <c r="T244">
        <v>1.5008999999999999</v>
      </c>
      <c r="U244">
        <v>150.821</v>
      </c>
      <c r="V244">
        <f t="shared" si="18"/>
        <v>0.80932526267211868</v>
      </c>
      <c r="W244">
        <f t="shared" si="19"/>
        <v>1.4439199999999999E-2</v>
      </c>
      <c r="X244">
        <f t="shared" si="20"/>
        <v>1.44841E-2</v>
      </c>
      <c r="Y244">
        <f t="shared" si="21"/>
        <v>1.44808E-2</v>
      </c>
      <c r="Z244">
        <f t="shared" si="22"/>
        <v>1.41172E-2</v>
      </c>
      <c r="AA244">
        <f t="shared" si="23"/>
        <v>1.4380324999999999E-2</v>
      </c>
    </row>
    <row r="245" spans="1:27" x14ac:dyDescent="0.3">
      <c r="A245">
        <v>240</v>
      </c>
      <c r="B245">
        <v>1.44818E-2</v>
      </c>
      <c r="C245">
        <v>0.798674</v>
      </c>
      <c r="D245">
        <v>55.949100000000001</v>
      </c>
      <c r="E245">
        <v>55.150399999999998</v>
      </c>
      <c r="F245">
        <v>1.45139E-2</v>
      </c>
      <c r="G245">
        <v>0.79708900000000005</v>
      </c>
      <c r="H245">
        <v>55.716299999999997</v>
      </c>
      <c r="I245">
        <v>54.919199999999996</v>
      </c>
      <c r="J245">
        <v>1.45151E-2</v>
      </c>
      <c r="K245">
        <v>0.79095599999999999</v>
      </c>
      <c r="L245">
        <v>55.282899999999998</v>
      </c>
      <c r="M245">
        <v>54.491999999999997</v>
      </c>
      <c r="N245">
        <v>1.4157299999999999E-2</v>
      </c>
      <c r="O245">
        <v>0.76997000000000004</v>
      </c>
      <c r="P245">
        <v>55.1569</v>
      </c>
      <c r="Q245">
        <v>54.386899999999997</v>
      </c>
      <c r="R245">
        <v>123.83199999999999</v>
      </c>
      <c r="S245">
        <v>123.83199999999999</v>
      </c>
      <c r="T245">
        <v>1.4951000000000001</v>
      </c>
      <c r="U245">
        <v>150.24</v>
      </c>
      <c r="V245">
        <f t="shared" si="18"/>
        <v>0.80620754048745946</v>
      </c>
      <c r="W245">
        <f t="shared" si="19"/>
        <v>1.44818E-2</v>
      </c>
      <c r="X245">
        <f t="shared" si="20"/>
        <v>1.45139E-2</v>
      </c>
      <c r="Y245">
        <f t="shared" si="21"/>
        <v>1.45151E-2</v>
      </c>
      <c r="Z245">
        <f t="shared" si="22"/>
        <v>1.4157299999999999E-2</v>
      </c>
      <c r="AA245">
        <f t="shared" si="23"/>
        <v>1.4417025E-2</v>
      </c>
    </row>
    <row r="246" spans="1:27" x14ac:dyDescent="0.3">
      <c r="A246">
        <v>241</v>
      </c>
      <c r="B246">
        <v>1.46307E-2</v>
      </c>
      <c r="C246">
        <v>0.80689</v>
      </c>
      <c r="D246">
        <v>55.957299999999996</v>
      </c>
      <c r="E246">
        <v>55.150399999999998</v>
      </c>
      <c r="F246">
        <v>1.46202E-2</v>
      </c>
      <c r="G246">
        <v>0.80293099999999995</v>
      </c>
      <c r="H246">
        <v>55.722099999999998</v>
      </c>
      <c r="I246">
        <v>54.919199999999996</v>
      </c>
      <c r="J246">
        <v>1.4578600000000001E-2</v>
      </c>
      <c r="K246">
        <v>0.79441600000000001</v>
      </c>
      <c r="L246">
        <v>55.2864</v>
      </c>
      <c r="M246">
        <v>54.491999999999997</v>
      </c>
      <c r="N246">
        <v>1.41958E-2</v>
      </c>
      <c r="O246">
        <v>0.77206799999999998</v>
      </c>
      <c r="P246">
        <v>55.158999999999999</v>
      </c>
      <c r="Q246">
        <v>54.386899999999997</v>
      </c>
      <c r="R246">
        <v>123.959</v>
      </c>
      <c r="S246">
        <v>123.959</v>
      </c>
      <c r="T246">
        <v>1.2595000000000001</v>
      </c>
      <c r="U246">
        <v>126.622</v>
      </c>
      <c r="V246">
        <f t="shared" si="18"/>
        <v>0.67947025553516427</v>
      </c>
      <c r="W246">
        <f t="shared" si="19"/>
        <v>1.46307E-2</v>
      </c>
      <c r="X246">
        <f t="shared" si="20"/>
        <v>1.46202E-2</v>
      </c>
      <c r="Y246">
        <f t="shared" si="21"/>
        <v>1.4578600000000001E-2</v>
      </c>
      <c r="Z246">
        <f t="shared" si="22"/>
        <v>1.41958E-2</v>
      </c>
      <c r="AA246">
        <f t="shared" si="23"/>
        <v>1.4506325E-2</v>
      </c>
    </row>
    <row r="247" spans="1:27" x14ac:dyDescent="0.3">
      <c r="A247">
        <v>242</v>
      </c>
      <c r="B247">
        <v>1.6388400000000001E-2</v>
      </c>
      <c r="C247">
        <v>0.90382600000000002</v>
      </c>
      <c r="D247">
        <v>56.054200000000002</v>
      </c>
      <c r="E247">
        <v>55.150399999999998</v>
      </c>
      <c r="F247">
        <v>1.6405200000000002E-2</v>
      </c>
      <c r="G247">
        <v>0.90095999999999998</v>
      </c>
      <c r="H247">
        <v>55.820099999999996</v>
      </c>
      <c r="I247">
        <v>54.919199999999996</v>
      </c>
      <c r="J247">
        <v>1.6418100000000001E-2</v>
      </c>
      <c r="K247">
        <v>0.89465399999999995</v>
      </c>
      <c r="L247">
        <v>55.386600000000001</v>
      </c>
      <c r="M247">
        <v>54.491999999999997</v>
      </c>
      <c r="N247">
        <v>1.6340199999999999E-2</v>
      </c>
      <c r="O247">
        <v>0.88869500000000001</v>
      </c>
      <c r="P247">
        <v>55.275599999999997</v>
      </c>
      <c r="Q247">
        <v>54.386899999999997</v>
      </c>
      <c r="R247">
        <v>124.081</v>
      </c>
      <c r="S247">
        <v>124.08199999999999</v>
      </c>
      <c r="T247">
        <v>0.54759999999999998</v>
      </c>
      <c r="U247">
        <v>55.250399999999999</v>
      </c>
      <c r="V247">
        <f t="shared" si="18"/>
        <v>0.29648089120705751</v>
      </c>
      <c r="W247">
        <f t="shared" si="19"/>
        <v>1.6388400000000001E-2</v>
      </c>
      <c r="X247">
        <f t="shared" si="20"/>
        <v>1.6405200000000002E-2</v>
      </c>
      <c r="Y247">
        <f t="shared" si="21"/>
        <v>1.6418100000000001E-2</v>
      </c>
      <c r="Z247">
        <f t="shared" si="22"/>
        <v>1.6340199999999999E-2</v>
      </c>
      <c r="AA247">
        <f t="shared" si="23"/>
        <v>1.6387975000000003E-2</v>
      </c>
    </row>
    <row r="248" spans="1:27" x14ac:dyDescent="0.3">
      <c r="A248">
        <v>243</v>
      </c>
      <c r="B248">
        <v>1.6469399999999999E-2</v>
      </c>
      <c r="C248">
        <v>0.90829300000000002</v>
      </c>
      <c r="D248">
        <v>56.058700000000002</v>
      </c>
      <c r="E248">
        <v>55.150399999999998</v>
      </c>
      <c r="F248">
        <v>1.6487100000000001E-2</v>
      </c>
      <c r="G248">
        <v>0.90545799999999999</v>
      </c>
      <c r="H248">
        <v>55.824599999999997</v>
      </c>
      <c r="I248">
        <v>54.919199999999996</v>
      </c>
      <c r="J248">
        <v>1.6505200000000001E-2</v>
      </c>
      <c r="K248">
        <v>0.89940299999999995</v>
      </c>
      <c r="L248">
        <v>55.391399999999997</v>
      </c>
      <c r="M248">
        <v>54.491999999999997</v>
      </c>
      <c r="N248">
        <v>1.6433E-2</v>
      </c>
      <c r="O248">
        <v>0.89374100000000001</v>
      </c>
      <c r="P248">
        <v>55.2806</v>
      </c>
      <c r="Q248">
        <v>54.386899999999997</v>
      </c>
      <c r="R248">
        <v>124.206</v>
      </c>
      <c r="S248">
        <v>124.206</v>
      </c>
      <c r="T248">
        <v>0.2379</v>
      </c>
      <c r="U248">
        <v>24.2012</v>
      </c>
      <c r="V248">
        <f t="shared" si="18"/>
        <v>0.12986681262543331</v>
      </c>
      <c r="W248">
        <f t="shared" si="19"/>
        <v>1.6469399999999999E-2</v>
      </c>
      <c r="X248">
        <f t="shared" si="20"/>
        <v>1.6487100000000001E-2</v>
      </c>
      <c r="Y248">
        <f t="shared" si="21"/>
        <v>1.6505200000000001E-2</v>
      </c>
      <c r="Z248">
        <f t="shared" si="22"/>
        <v>1.6433E-2</v>
      </c>
      <c r="AA248">
        <f t="shared" si="23"/>
        <v>1.6473675E-2</v>
      </c>
    </row>
    <row r="249" spans="1:27" x14ac:dyDescent="0.3">
      <c r="A249">
        <v>244</v>
      </c>
      <c r="B249">
        <v>1.65148E-2</v>
      </c>
      <c r="C249">
        <v>0.91079699999999997</v>
      </c>
      <c r="D249">
        <v>56.061199999999999</v>
      </c>
      <c r="E249">
        <v>55.150399999999998</v>
      </c>
      <c r="F249">
        <v>1.6532999999999999E-2</v>
      </c>
      <c r="G249">
        <v>0.90797799999999995</v>
      </c>
      <c r="H249">
        <v>55.827100000000002</v>
      </c>
      <c r="I249">
        <v>54.919199999999996</v>
      </c>
      <c r="J249">
        <v>1.6553200000000001E-2</v>
      </c>
      <c r="K249">
        <v>0.90201799999999999</v>
      </c>
      <c r="L249">
        <v>55.393999999999998</v>
      </c>
      <c r="M249">
        <v>54.491999999999997</v>
      </c>
      <c r="N249">
        <v>1.6490999999999999E-2</v>
      </c>
      <c r="O249">
        <v>0.89689600000000003</v>
      </c>
      <c r="P249">
        <v>55.283799999999999</v>
      </c>
      <c r="Q249">
        <v>54.386899999999997</v>
      </c>
      <c r="R249">
        <v>124.33</v>
      </c>
      <c r="S249">
        <v>124.33</v>
      </c>
      <c r="T249">
        <v>9.7000000000000003E-2</v>
      </c>
      <c r="U249">
        <v>10.082100000000001</v>
      </c>
      <c r="V249">
        <f t="shared" si="18"/>
        <v>5.4101870633310796E-2</v>
      </c>
      <c r="W249">
        <f t="shared" si="19"/>
        <v>1.65148E-2</v>
      </c>
      <c r="X249">
        <f t="shared" si="20"/>
        <v>1.6532999999999999E-2</v>
      </c>
      <c r="Y249">
        <f t="shared" si="21"/>
        <v>1.6553200000000001E-2</v>
      </c>
      <c r="Z249">
        <f t="shared" si="22"/>
        <v>1.6490999999999999E-2</v>
      </c>
      <c r="AA249">
        <f t="shared" si="23"/>
        <v>1.6523000000000003E-2</v>
      </c>
    </row>
    <row r="250" spans="1:27" x14ac:dyDescent="0.3">
      <c r="A250">
        <v>245</v>
      </c>
      <c r="B250">
        <v>1.6549999999999999E-2</v>
      </c>
      <c r="C250">
        <v>0.91274</v>
      </c>
      <c r="D250">
        <v>56.063099999999999</v>
      </c>
      <c r="E250">
        <v>55.150399999999998</v>
      </c>
      <c r="F250">
        <v>1.65702E-2</v>
      </c>
      <c r="G250">
        <v>0.91002400000000006</v>
      </c>
      <c r="H250">
        <v>55.8292</v>
      </c>
      <c r="I250">
        <v>54.919199999999996</v>
      </c>
      <c r="J250">
        <v>1.6589099999999999E-2</v>
      </c>
      <c r="K250">
        <v>0.90397300000000003</v>
      </c>
      <c r="L250">
        <v>55.396000000000001</v>
      </c>
      <c r="M250">
        <v>54.491999999999997</v>
      </c>
      <c r="N250">
        <v>1.65381E-2</v>
      </c>
      <c r="O250">
        <v>0.89945299999999995</v>
      </c>
      <c r="P250">
        <v>55.2864</v>
      </c>
      <c r="Q250">
        <v>54.386899999999997</v>
      </c>
      <c r="R250">
        <v>124.456</v>
      </c>
      <c r="S250">
        <v>124.456</v>
      </c>
      <c r="T250">
        <v>3.0599999999999999E-2</v>
      </c>
      <c r="U250">
        <v>3.4264000000000001</v>
      </c>
      <c r="V250">
        <f t="shared" si="18"/>
        <v>1.8386511692799729E-2</v>
      </c>
      <c r="W250">
        <f t="shared" si="19"/>
        <v>1.6549999999999999E-2</v>
      </c>
      <c r="X250">
        <f t="shared" si="20"/>
        <v>1.65702E-2</v>
      </c>
      <c r="Y250">
        <f t="shared" si="21"/>
        <v>1.6589099999999999E-2</v>
      </c>
      <c r="Z250">
        <f t="shared" si="22"/>
        <v>1.65381E-2</v>
      </c>
      <c r="AA250">
        <f t="shared" si="23"/>
        <v>1.6561849999999999E-2</v>
      </c>
    </row>
    <row r="251" spans="1:27" x14ac:dyDescent="0.3">
      <c r="A251">
        <v>246</v>
      </c>
      <c r="B251">
        <v>1.6589099999999999E-2</v>
      </c>
      <c r="C251">
        <v>0.91489500000000001</v>
      </c>
      <c r="D251">
        <v>56.065300000000001</v>
      </c>
      <c r="E251">
        <v>55.150399999999998</v>
      </c>
      <c r="F251">
        <v>1.66076E-2</v>
      </c>
      <c r="G251">
        <v>0.91207700000000003</v>
      </c>
      <c r="H251">
        <v>55.831200000000003</v>
      </c>
      <c r="I251">
        <v>54.919199999999996</v>
      </c>
      <c r="J251">
        <v>1.6630599999999999E-2</v>
      </c>
      <c r="K251">
        <v>0.90623600000000004</v>
      </c>
      <c r="L251">
        <v>55.398200000000003</v>
      </c>
      <c r="M251">
        <v>54.491999999999997</v>
      </c>
      <c r="N251">
        <v>1.65795E-2</v>
      </c>
      <c r="O251">
        <v>0.90170499999999998</v>
      </c>
      <c r="P251">
        <v>55.288600000000002</v>
      </c>
      <c r="Q251">
        <v>54.386899999999997</v>
      </c>
      <c r="R251">
        <v>124.58</v>
      </c>
      <c r="S251">
        <v>124.58</v>
      </c>
      <c r="T251">
        <v>2.3E-3</v>
      </c>
      <c r="U251">
        <v>0.58309999999999995</v>
      </c>
      <c r="V251">
        <f t="shared" si="18"/>
        <v>3.1289910600255425E-3</v>
      </c>
      <c r="W251">
        <f t="shared" si="19"/>
        <v>1.6589099999999999E-2</v>
      </c>
      <c r="X251">
        <f t="shared" si="20"/>
        <v>1.66076E-2</v>
      </c>
      <c r="Y251">
        <f t="shared" si="21"/>
        <v>1.6630599999999999E-2</v>
      </c>
      <c r="Z251">
        <f t="shared" si="22"/>
        <v>1.65795E-2</v>
      </c>
      <c r="AA251">
        <f t="shared" si="23"/>
        <v>1.6601699999999997E-2</v>
      </c>
    </row>
    <row r="252" spans="1:27" x14ac:dyDescent="0.3">
      <c r="A252">
        <v>247</v>
      </c>
      <c r="B252">
        <v>1.6638300000000002E-2</v>
      </c>
      <c r="C252">
        <v>0.91761000000000004</v>
      </c>
      <c r="D252">
        <v>56.067999999999998</v>
      </c>
      <c r="E252">
        <v>55.150399999999998</v>
      </c>
      <c r="F252">
        <v>1.6653299999999999E-2</v>
      </c>
      <c r="G252">
        <v>0.91458300000000003</v>
      </c>
      <c r="H252">
        <v>55.833799999999997</v>
      </c>
      <c r="I252">
        <v>54.919199999999996</v>
      </c>
      <c r="J252">
        <v>1.6681999999999999E-2</v>
      </c>
      <c r="K252">
        <v>0.90903400000000001</v>
      </c>
      <c r="L252">
        <v>55.401000000000003</v>
      </c>
      <c r="M252">
        <v>54.491999999999997</v>
      </c>
      <c r="N252">
        <v>1.6636000000000001E-2</v>
      </c>
      <c r="O252">
        <v>0.904783</v>
      </c>
      <c r="P252">
        <v>55.291699999999999</v>
      </c>
      <c r="Q252">
        <v>54.386899999999997</v>
      </c>
      <c r="R252">
        <v>124.80800000000001</v>
      </c>
      <c r="S252">
        <v>124.80800000000001</v>
      </c>
      <c r="T252">
        <v>-2.9999999999999997E-4</v>
      </c>
      <c r="U252">
        <v>0.32469999999999999</v>
      </c>
      <c r="V252">
        <f t="shared" si="18"/>
        <v>1.7423827768655354E-3</v>
      </c>
      <c r="W252">
        <f t="shared" si="19"/>
        <v>1.6638300000000002E-2</v>
      </c>
      <c r="X252">
        <f t="shared" si="20"/>
        <v>1.6653299999999999E-2</v>
      </c>
      <c r="Y252">
        <f t="shared" si="21"/>
        <v>1.6681999999999999E-2</v>
      </c>
      <c r="Z252">
        <f t="shared" si="22"/>
        <v>1.6636000000000001E-2</v>
      </c>
      <c r="AA252">
        <f t="shared" si="23"/>
        <v>1.6652400000000001E-2</v>
      </c>
    </row>
    <row r="253" spans="1:27" x14ac:dyDescent="0.3">
      <c r="A253">
        <v>248</v>
      </c>
      <c r="B253">
        <v>1.67245E-2</v>
      </c>
      <c r="C253">
        <v>0.92236300000000004</v>
      </c>
      <c r="D253">
        <v>56.072699999999998</v>
      </c>
      <c r="E253">
        <v>55.150399999999998</v>
      </c>
      <c r="F253">
        <v>1.67484E-2</v>
      </c>
      <c r="G253">
        <v>0.91981100000000005</v>
      </c>
      <c r="H253">
        <v>55.838999999999999</v>
      </c>
      <c r="I253">
        <v>54.919199999999996</v>
      </c>
      <c r="J253">
        <v>1.6777500000000001E-2</v>
      </c>
      <c r="K253">
        <v>0.91423900000000002</v>
      </c>
      <c r="L253">
        <v>55.406199999999998</v>
      </c>
      <c r="M253">
        <v>54.491999999999997</v>
      </c>
      <c r="N253">
        <v>1.6741300000000001E-2</v>
      </c>
      <c r="O253">
        <v>0.91050500000000001</v>
      </c>
      <c r="P253">
        <v>55.297400000000003</v>
      </c>
      <c r="Q253">
        <v>54.386899999999997</v>
      </c>
      <c r="R253">
        <v>125.017</v>
      </c>
      <c r="S253">
        <v>125.017</v>
      </c>
      <c r="T253">
        <v>-1.7100000000000001E-2</v>
      </c>
      <c r="U253">
        <v>-1.3553999999999999</v>
      </c>
      <c r="V253">
        <f t="shared" si="18"/>
        <v>-7.2732541292379023E-3</v>
      </c>
      <c r="W253">
        <f t="shared" si="19"/>
        <v>1.67245E-2</v>
      </c>
      <c r="X253">
        <f t="shared" si="20"/>
        <v>1.67484E-2</v>
      </c>
      <c r="Y253">
        <f t="shared" si="21"/>
        <v>1.6777500000000001E-2</v>
      </c>
      <c r="Z253">
        <f t="shared" si="22"/>
        <v>1.6741300000000001E-2</v>
      </c>
      <c r="AA253">
        <f t="shared" si="23"/>
        <v>1.6747925E-2</v>
      </c>
    </row>
    <row r="254" spans="1:27" x14ac:dyDescent="0.3">
      <c r="A254">
        <v>249</v>
      </c>
      <c r="B254">
        <v>1.7207500000000001E-2</v>
      </c>
      <c r="C254">
        <v>0.94900200000000001</v>
      </c>
      <c r="D254">
        <v>56.099400000000003</v>
      </c>
      <c r="E254">
        <v>55.150399999999998</v>
      </c>
      <c r="F254">
        <v>1.7229999999999999E-2</v>
      </c>
      <c r="G254">
        <v>0.94625800000000004</v>
      </c>
      <c r="H254">
        <v>55.865400000000001</v>
      </c>
      <c r="I254">
        <v>54.919199999999996</v>
      </c>
      <c r="J254">
        <v>1.72661E-2</v>
      </c>
      <c r="K254">
        <v>0.94086599999999998</v>
      </c>
      <c r="L254">
        <v>55.432899999999997</v>
      </c>
      <c r="M254">
        <v>54.491999999999997</v>
      </c>
      <c r="N254">
        <v>1.7256000000000001E-2</v>
      </c>
      <c r="O254">
        <v>0.93850299999999998</v>
      </c>
      <c r="P254">
        <v>55.325400000000002</v>
      </c>
      <c r="Q254">
        <v>54.386899999999997</v>
      </c>
      <c r="R254">
        <v>127.39100000000001</v>
      </c>
      <c r="S254">
        <v>127.392</v>
      </c>
      <c r="T254">
        <v>-5.4999999999999997E-3</v>
      </c>
      <c r="U254">
        <v>-0.1923</v>
      </c>
      <c r="V254">
        <f t="shared" si="18"/>
        <v>-1.0319070156798351E-3</v>
      </c>
      <c r="W254">
        <f t="shared" si="19"/>
        <v>1.7207500000000001E-2</v>
      </c>
      <c r="X254">
        <f t="shared" si="20"/>
        <v>1.7229999999999999E-2</v>
      </c>
      <c r="Y254">
        <f t="shared" si="21"/>
        <v>1.72661E-2</v>
      </c>
      <c r="Z254">
        <f t="shared" si="22"/>
        <v>1.7256000000000001E-2</v>
      </c>
      <c r="AA254">
        <f t="shared" si="23"/>
        <v>1.7239899999999999E-2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OLC3</vt:lpstr>
      <vt:lpstr>OLT3-1</vt:lpstr>
      <vt:lpstr>OLT3-2</vt:lpstr>
      <vt:lpstr>OLT3-3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Alexey Khaziev</cp:lastModifiedBy>
  <dcterms:created xsi:type="dcterms:W3CDTF">2025-12-05T09:05:03Z</dcterms:created>
  <dcterms:modified xsi:type="dcterms:W3CDTF">2025-12-28T13:28:37Z</dcterms:modified>
</cp:coreProperties>
</file>