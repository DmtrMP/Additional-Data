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6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7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8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11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12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1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A.Khaziev\YandexDisk-hazei83\Рабочая папка\Преподавание\МГТУ\Аспиранты\Михаил Костылев\Свойства анизогридного заполнения\Статья\Additional Data\Test Results\"/>
    </mc:Choice>
  </mc:AlternateContent>
  <xr:revisionPtr revIDLastSave="0" documentId="13_ncr:1_{01CECA3C-3576-43D9-8055-A0295E09A00E}" xr6:coauthVersionLast="36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L30NTX1" sheetId="3" r:id="rId1"/>
    <sheet name="L30CPTX-1" sheetId="1" r:id="rId2"/>
    <sheet name="L30CPTX-2" sheetId="2" r:id="rId3"/>
    <sheet name="L30CPTX-3" sheetId="4" r:id="rId4"/>
  </sheets>
  <calcPr calcId="191029"/>
</workbook>
</file>

<file path=xl/calcChain.xml><?xml version="1.0" encoding="utf-8"?>
<calcChain xmlns="http://schemas.openxmlformats.org/spreadsheetml/2006/main">
  <c r="W8" i="4" l="1"/>
  <c r="W9" i="4"/>
  <c r="W10" i="4"/>
  <c r="W11" i="4"/>
  <c r="W12" i="4"/>
  <c r="W13" i="4"/>
  <c r="W14" i="4"/>
  <c r="W15" i="4"/>
  <c r="W16" i="4"/>
  <c r="W17" i="4"/>
  <c r="W18" i="4"/>
  <c r="W19" i="4"/>
  <c r="W20" i="4"/>
  <c r="W21" i="4"/>
  <c r="W22" i="4"/>
  <c r="W23" i="4"/>
  <c r="W24" i="4"/>
  <c r="W25" i="4"/>
  <c r="W26" i="4"/>
  <c r="W27" i="4"/>
  <c r="W28" i="4"/>
  <c r="W29" i="4"/>
  <c r="W30" i="4"/>
  <c r="W31" i="4"/>
  <c r="W32" i="4"/>
  <c r="W33" i="4"/>
  <c r="W34" i="4"/>
  <c r="W35" i="4"/>
  <c r="W36" i="4"/>
  <c r="W37" i="4"/>
  <c r="W38" i="4"/>
  <c r="W39" i="4"/>
  <c r="W40" i="4"/>
  <c r="W41" i="4"/>
  <c r="W42" i="4"/>
  <c r="W43" i="4"/>
  <c r="W44" i="4"/>
  <c r="W45" i="4"/>
  <c r="W46" i="4"/>
  <c r="W47" i="4"/>
  <c r="W48" i="4"/>
  <c r="W49" i="4"/>
  <c r="W50" i="4"/>
  <c r="W51" i="4"/>
  <c r="W52" i="4"/>
  <c r="W53" i="4"/>
  <c r="W54" i="4"/>
  <c r="W55" i="4"/>
  <c r="W56" i="4"/>
  <c r="W57" i="4"/>
  <c r="W58" i="4"/>
  <c r="W59" i="4"/>
  <c r="W60" i="4"/>
  <c r="W61" i="4"/>
  <c r="W62" i="4"/>
  <c r="W63" i="4"/>
  <c r="W64" i="4"/>
  <c r="W65" i="4"/>
  <c r="W66" i="4"/>
  <c r="W67" i="4"/>
  <c r="W68" i="4"/>
  <c r="W69" i="4"/>
  <c r="W70" i="4"/>
  <c r="W71" i="4"/>
  <c r="W72" i="4"/>
  <c r="W73" i="4"/>
  <c r="W74" i="4"/>
  <c r="W75" i="4"/>
  <c r="W76" i="4"/>
  <c r="W77" i="4"/>
  <c r="W78" i="4"/>
  <c r="W79" i="4"/>
  <c r="W80" i="4"/>
  <c r="W81" i="4"/>
  <c r="W82" i="4"/>
  <c r="W83" i="4"/>
  <c r="W84" i="4"/>
  <c r="W85" i="4"/>
  <c r="W86" i="4"/>
  <c r="W87" i="4"/>
  <c r="W88" i="4"/>
  <c r="W89" i="4"/>
  <c r="W90" i="4"/>
  <c r="W91" i="4"/>
  <c r="W92" i="4"/>
  <c r="W93" i="4"/>
  <c r="W94" i="4"/>
  <c r="W95" i="4"/>
  <c r="W96" i="4"/>
  <c r="W97" i="4"/>
  <c r="W98" i="4"/>
  <c r="W99" i="4"/>
  <c r="W100" i="4"/>
  <c r="W101" i="4"/>
  <c r="W102" i="4"/>
  <c r="W103" i="4"/>
  <c r="W104" i="4"/>
  <c r="W105" i="4"/>
  <c r="W106" i="4"/>
  <c r="W107" i="4"/>
  <c r="W108" i="4"/>
  <c r="W109" i="4"/>
  <c r="W110" i="4"/>
  <c r="W111" i="4"/>
  <c r="W112" i="4"/>
  <c r="W113" i="4"/>
  <c r="W114" i="4"/>
  <c r="W115" i="4"/>
  <c r="W116" i="4"/>
  <c r="W117" i="4"/>
  <c r="W118" i="4"/>
  <c r="W119" i="4"/>
  <c r="W120" i="4"/>
  <c r="W121" i="4"/>
  <c r="W122" i="4"/>
  <c r="W123" i="4"/>
  <c r="W124" i="4"/>
  <c r="W125" i="4"/>
  <c r="W126" i="4"/>
  <c r="W127" i="4"/>
  <c r="W128" i="4"/>
  <c r="W129" i="4"/>
  <c r="W130" i="4"/>
  <c r="W131" i="4"/>
  <c r="W132" i="4"/>
  <c r="W133" i="4"/>
  <c r="W134" i="4"/>
  <c r="W135" i="4"/>
  <c r="W136" i="4"/>
  <c r="W137" i="4"/>
  <c r="W138" i="4"/>
  <c r="W139" i="4"/>
  <c r="W140" i="4"/>
  <c r="W141" i="4"/>
  <c r="W142" i="4"/>
  <c r="W143" i="4"/>
  <c r="W144" i="4"/>
  <c r="W145" i="4"/>
  <c r="W146" i="4"/>
  <c r="W147" i="4"/>
  <c r="W148" i="4"/>
  <c r="W149" i="4"/>
  <c r="W150" i="4"/>
  <c r="W151" i="4"/>
  <c r="W152" i="4"/>
  <c r="W153" i="4"/>
  <c r="W154" i="4"/>
  <c r="W155" i="4"/>
  <c r="W156" i="4"/>
  <c r="W157" i="4"/>
  <c r="W158" i="4"/>
  <c r="W159" i="4"/>
  <c r="W160" i="4"/>
  <c r="W161" i="4"/>
  <c r="W162" i="4"/>
  <c r="W163" i="4"/>
  <c r="W164" i="4"/>
  <c r="W165" i="4"/>
  <c r="W166" i="4"/>
  <c r="W167" i="4"/>
  <c r="W168" i="4"/>
  <c r="W169" i="4"/>
  <c r="W170" i="4"/>
  <c r="W171" i="4"/>
  <c r="W172" i="4"/>
  <c r="W173" i="4"/>
  <c r="W174" i="4"/>
  <c r="W175" i="4"/>
  <c r="W176" i="4"/>
  <c r="W177" i="4"/>
  <c r="W178" i="4"/>
  <c r="W179" i="4"/>
  <c r="W180" i="4"/>
  <c r="W181" i="4"/>
  <c r="W182" i="4"/>
  <c r="W183" i="4"/>
  <c r="W184" i="4"/>
  <c r="W185" i="4"/>
  <c r="W186" i="4"/>
  <c r="W187" i="4"/>
  <c r="W188" i="4"/>
  <c r="W189" i="4"/>
  <c r="W190" i="4"/>
  <c r="W191" i="4"/>
  <c r="W192" i="4"/>
  <c r="W193" i="4"/>
  <c r="W194" i="4"/>
  <c r="W195" i="4"/>
  <c r="W196" i="4"/>
  <c r="W197" i="4"/>
  <c r="W198" i="4"/>
  <c r="W199" i="4"/>
  <c r="W200" i="4"/>
  <c r="W201" i="4"/>
  <c r="W202" i="4"/>
  <c r="W203" i="4"/>
  <c r="W204" i="4"/>
  <c r="W205" i="4"/>
  <c r="W206" i="4"/>
  <c r="W207" i="4"/>
  <c r="W208" i="4"/>
  <c r="W209" i="4"/>
  <c r="W210" i="4"/>
  <c r="W211" i="4"/>
  <c r="W212" i="4"/>
  <c r="W213" i="4"/>
  <c r="W214" i="4"/>
  <c r="W215" i="4"/>
  <c r="W216" i="4"/>
  <c r="W217" i="4"/>
  <c r="W218" i="4"/>
  <c r="W219" i="4"/>
  <c r="W220" i="4"/>
  <c r="W221" i="4"/>
  <c r="W222" i="4"/>
  <c r="W223" i="4"/>
  <c r="W224" i="4"/>
  <c r="W225" i="4"/>
  <c r="W226" i="4"/>
  <c r="W227" i="4"/>
  <c r="W228" i="4"/>
  <c r="W229" i="4"/>
  <c r="W230" i="4"/>
  <c r="W231" i="4"/>
  <c r="W232" i="4"/>
  <c r="W233" i="4"/>
  <c r="W234" i="4"/>
  <c r="W235" i="4"/>
  <c r="W236" i="4"/>
  <c r="W237" i="4"/>
  <c r="W238" i="4"/>
  <c r="W239" i="4"/>
  <c r="W240" i="4"/>
  <c r="W241" i="4"/>
  <c r="W242" i="4"/>
  <c r="W243" i="4"/>
  <c r="W244" i="4"/>
  <c r="W245" i="4"/>
  <c r="W246" i="4"/>
  <c r="W247" i="4"/>
  <c r="W248" i="4"/>
  <c r="W249" i="4"/>
  <c r="W250" i="4"/>
  <c r="W251" i="4"/>
  <c r="W252" i="4"/>
  <c r="W253" i="4"/>
  <c r="W254" i="4"/>
  <c r="W255" i="4"/>
  <c r="W256" i="4"/>
  <c r="W257" i="4"/>
  <c r="W258" i="4"/>
  <c r="W259" i="4"/>
  <c r="W260" i="4"/>
  <c r="W261" i="4"/>
  <c r="W262" i="4"/>
  <c r="W263" i="4"/>
  <c r="W264" i="4"/>
  <c r="W265" i="4"/>
  <c r="W266" i="4"/>
  <c r="W267" i="4"/>
  <c r="W268" i="4"/>
  <c r="W269" i="4"/>
  <c r="W270" i="4"/>
  <c r="W271" i="4"/>
  <c r="W272" i="4"/>
  <c r="W273" i="4"/>
  <c r="W274" i="4"/>
  <c r="W275" i="4"/>
  <c r="W276" i="4"/>
  <c r="W277" i="4"/>
  <c r="W278" i="4"/>
  <c r="W279" i="4"/>
  <c r="W280" i="4"/>
  <c r="W281" i="4"/>
  <c r="W282" i="4"/>
  <c r="W283" i="4"/>
  <c r="W284" i="4"/>
  <c r="W285" i="4"/>
  <c r="W286" i="4"/>
  <c r="W287" i="4"/>
  <c r="W288" i="4"/>
  <c r="W289" i="4"/>
  <c r="W290" i="4"/>
  <c r="W291" i="4"/>
  <c r="W292" i="4"/>
  <c r="W293" i="4"/>
  <c r="W294" i="4"/>
  <c r="W295" i="4"/>
  <c r="W296" i="4"/>
  <c r="W297" i="4"/>
  <c r="W298" i="4"/>
  <c r="W299" i="4"/>
  <c r="W300" i="4"/>
  <c r="W301" i="4"/>
  <c r="W302" i="4"/>
  <c r="W303" i="4"/>
  <c r="W304" i="4"/>
  <c r="W305" i="4"/>
  <c r="W306" i="4"/>
  <c r="W307" i="4"/>
  <c r="W308" i="4"/>
  <c r="W309" i="4"/>
  <c r="W310" i="4"/>
  <c r="W311" i="4"/>
  <c r="W312" i="4"/>
  <c r="W313" i="4"/>
  <c r="W314" i="4"/>
  <c r="W315" i="4"/>
  <c r="W316" i="4"/>
  <c r="W317" i="4"/>
  <c r="W318" i="4"/>
  <c r="W319" i="4"/>
  <c r="W320" i="4"/>
  <c r="W321" i="4"/>
  <c r="W322" i="4"/>
  <c r="W323" i="4"/>
  <c r="W324" i="4"/>
  <c r="W325" i="4"/>
  <c r="W326" i="4"/>
  <c r="W327" i="4"/>
  <c r="W328" i="4"/>
  <c r="W329" i="4"/>
  <c r="W330" i="4"/>
  <c r="W331" i="4"/>
  <c r="W332" i="4"/>
  <c r="W333" i="4"/>
  <c r="W334" i="4"/>
  <c r="W335" i="4"/>
  <c r="W336" i="4"/>
  <c r="W337" i="4"/>
  <c r="W338" i="4"/>
  <c r="W339" i="4"/>
  <c r="W340" i="4"/>
  <c r="W341" i="4"/>
  <c r="W342" i="4"/>
  <c r="W343" i="4"/>
  <c r="W344" i="4"/>
  <c r="W345" i="4"/>
  <c r="W346" i="4"/>
  <c r="W347" i="4"/>
  <c r="W348" i="4"/>
  <c r="W349" i="4"/>
  <c r="W350" i="4"/>
  <c r="W351" i="4"/>
  <c r="W352" i="4"/>
  <c r="W353" i="4"/>
  <c r="W354" i="4"/>
  <c r="W355" i="4"/>
  <c r="W356" i="4"/>
  <c r="W357" i="4"/>
  <c r="W358" i="4"/>
  <c r="W359" i="4"/>
  <c r="W360" i="4"/>
  <c r="W361" i="4"/>
  <c r="W362" i="4"/>
  <c r="W363" i="4"/>
  <c r="W364" i="4"/>
  <c r="W365" i="4"/>
  <c r="W366" i="4"/>
  <c r="W367" i="4"/>
  <c r="W368" i="4"/>
  <c r="W369" i="4"/>
  <c r="W370" i="4"/>
  <c r="W371" i="4"/>
  <c r="W372" i="4"/>
  <c r="W373" i="4"/>
  <c r="W374" i="4"/>
  <c r="W375" i="4"/>
  <c r="W376" i="4"/>
  <c r="W377" i="4"/>
  <c r="W378" i="4"/>
  <c r="W379" i="4"/>
  <c r="W380" i="4"/>
  <c r="W381" i="4"/>
  <c r="W382" i="4"/>
  <c r="W383" i="4"/>
  <c r="W384" i="4"/>
  <c r="W385" i="4"/>
  <c r="W386" i="4"/>
  <c r="W387" i="4"/>
  <c r="W388" i="4"/>
  <c r="W389" i="4"/>
  <c r="W390" i="4"/>
  <c r="W391" i="4"/>
  <c r="W392" i="4"/>
  <c r="W393" i="4"/>
  <c r="W394" i="4"/>
  <c r="W395" i="4"/>
  <c r="W396" i="4"/>
  <c r="W397" i="4"/>
  <c r="W398" i="4"/>
  <c r="W399" i="4"/>
  <c r="W400" i="4"/>
  <c r="W401" i="4"/>
  <c r="W402" i="4"/>
  <c r="W403" i="4"/>
  <c r="W404" i="4"/>
  <c r="W405" i="4"/>
  <c r="W406" i="4"/>
  <c r="W407" i="4"/>
  <c r="W408" i="4"/>
  <c r="W409" i="4"/>
  <c r="W410" i="4"/>
  <c r="W411" i="4"/>
  <c r="W412" i="4"/>
  <c r="W413" i="4"/>
  <c r="W414" i="4"/>
  <c r="W7" i="4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38" i="2"/>
  <c r="W39" i="2"/>
  <c r="W40" i="2"/>
  <c r="W41" i="2"/>
  <c r="W42" i="2"/>
  <c r="W43" i="2"/>
  <c r="W44" i="2"/>
  <c r="W45" i="2"/>
  <c r="W46" i="2"/>
  <c r="W47" i="2"/>
  <c r="W48" i="2"/>
  <c r="W49" i="2"/>
  <c r="W50" i="2"/>
  <c r="W51" i="2"/>
  <c r="W52" i="2"/>
  <c r="W53" i="2"/>
  <c r="W54" i="2"/>
  <c r="W55" i="2"/>
  <c r="W56" i="2"/>
  <c r="W57" i="2"/>
  <c r="W58" i="2"/>
  <c r="W59" i="2"/>
  <c r="W60" i="2"/>
  <c r="W61" i="2"/>
  <c r="W62" i="2"/>
  <c r="W63" i="2"/>
  <c r="W64" i="2"/>
  <c r="W65" i="2"/>
  <c r="W66" i="2"/>
  <c r="W67" i="2"/>
  <c r="W68" i="2"/>
  <c r="W69" i="2"/>
  <c r="W70" i="2"/>
  <c r="W71" i="2"/>
  <c r="W72" i="2"/>
  <c r="W73" i="2"/>
  <c r="W74" i="2"/>
  <c r="W75" i="2"/>
  <c r="W76" i="2"/>
  <c r="W77" i="2"/>
  <c r="W78" i="2"/>
  <c r="W79" i="2"/>
  <c r="W80" i="2"/>
  <c r="W81" i="2"/>
  <c r="W82" i="2"/>
  <c r="W83" i="2"/>
  <c r="W84" i="2"/>
  <c r="W85" i="2"/>
  <c r="W86" i="2"/>
  <c r="W87" i="2"/>
  <c r="W88" i="2"/>
  <c r="W89" i="2"/>
  <c r="W90" i="2"/>
  <c r="W91" i="2"/>
  <c r="W92" i="2"/>
  <c r="W93" i="2"/>
  <c r="W94" i="2"/>
  <c r="W95" i="2"/>
  <c r="W96" i="2"/>
  <c r="W97" i="2"/>
  <c r="W98" i="2"/>
  <c r="W99" i="2"/>
  <c r="W100" i="2"/>
  <c r="W101" i="2"/>
  <c r="W102" i="2"/>
  <c r="W103" i="2"/>
  <c r="W104" i="2"/>
  <c r="W105" i="2"/>
  <c r="W106" i="2"/>
  <c r="W107" i="2"/>
  <c r="W108" i="2"/>
  <c r="W109" i="2"/>
  <c r="W110" i="2"/>
  <c r="W111" i="2"/>
  <c r="W112" i="2"/>
  <c r="W113" i="2"/>
  <c r="W114" i="2"/>
  <c r="W115" i="2"/>
  <c r="W116" i="2"/>
  <c r="W117" i="2"/>
  <c r="W118" i="2"/>
  <c r="W119" i="2"/>
  <c r="W120" i="2"/>
  <c r="W121" i="2"/>
  <c r="W122" i="2"/>
  <c r="W123" i="2"/>
  <c r="W124" i="2"/>
  <c r="W125" i="2"/>
  <c r="W126" i="2"/>
  <c r="W127" i="2"/>
  <c r="W128" i="2"/>
  <c r="W129" i="2"/>
  <c r="W130" i="2"/>
  <c r="W131" i="2"/>
  <c r="W132" i="2"/>
  <c r="W133" i="2"/>
  <c r="W134" i="2"/>
  <c r="W135" i="2"/>
  <c r="W136" i="2"/>
  <c r="W137" i="2"/>
  <c r="W138" i="2"/>
  <c r="W139" i="2"/>
  <c r="W140" i="2"/>
  <c r="W141" i="2"/>
  <c r="W142" i="2"/>
  <c r="W143" i="2"/>
  <c r="W144" i="2"/>
  <c r="W145" i="2"/>
  <c r="W146" i="2"/>
  <c r="W147" i="2"/>
  <c r="W148" i="2"/>
  <c r="W149" i="2"/>
  <c r="W150" i="2"/>
  <c r="W151" i="2"/>
  <c r="W152" i="2"/>
  <c r="W153" i="2"/>
  <c r="W154" i="2"/>
  <c r="W155" i="2"/>
  <c r="W156" i="2"/>
  <c r="W157" i="2"/>
  <c r="W158" i="2"/>
  <c r="W159" i="2"/>
  <c r="W160" i="2"/>
  <c r="W161" i="2"/>
  <c r="W162" i="2"/>
  <c r="W163" i="2"/>
  <c r="W164" i="2"/>
  <c r="W165" i="2"/>
  <c r="W166" i="2"/>
  <c r="W167" i="2"/>
  <c r="W168" i="2"/>
  <c r="W169" i="2"/>
  <c r="W170" i="2"/>
  <c r="W171" i="2"/>
  <c r="W172" i="2"/>
  <c r="W173" i="2"/>
  <c r="W174" i="2"/>
  <c r="W175" i="2"/>
  <c r="W176" i="2"/>
  <c r="W177" i="2"/>
  <c r="W178" i="2"/>
  <c r="W179" i="2"/>
  <c r="W180" i="2"/>
  <c r="W181" i="2"/>
  <c r="W182" i="2"/>
  <c r="W183" i="2"/>
  <c r="W184" i="2"/>
  <c r="W185" i="2"/>
  <c r="W186" i="2"/>
  <c r="W187" i="2"/>
  <c r="W188" i="2"/>
  <c r="W189" i="2"/>
  <c r="W190" i="2"/>
  <c r="W191" i="2"/>
  <c r="W192" i="2"/>
  <c r="W193" i="2"/>
  <c r="W194" i="2"/>
  <c r="W195" i="2"/>
  <c r="W196" i="2"/>
  <c r="W197" i="2"/>
  <c r="W198" i="2"/>
  <c r="W199" i="2"/>
  <c r="W200" i="2"/>
  <c r="W201" i="2"/>
  <c r="W202" i="2"/>
  <c r="W203" i="2"/>
  <c r="W204" i="2"/>
  <c r="W205" i="2"/>
  <c r="W206" i="2"/>
  <c r="W207" i="2"/>
  <c r="W208" i="2"/>
  <c r="W209" i="2"/>
  <c r="W210" i="2"/>
  <c r="W211" i="2"/>
  <c r="W212" i="2"/>
  <c r="W213" i="2"/>
  <c r="W214" i="2"/>
  <c r="W215" i="2"/>
  <c r="W216" i="2"/>
  <c r="W217" i="2"/>
  <c r="W218" i="2"/>
  <c r="W219" i="2"/>
  <c r="W220" i="2"/>
  <c r="W221" i="2"/>
  <c r="W222" i="2"/>
  <c r="W223" i="2"/>
  <c r="W224" i="2"/>
  <c r="W225" i="2"/>
  <c r="W226" i="2"/>
  <c r="W227" i="2"/>
  <c r="W228" i="2"/>
  <c r="W229" i="2"/>
  <c r="W230" i="2"/>
  <c r="W231" i="2"/>
  <c r="W232" i="2"/>
  <c r="W233" i="2"/>
  <c r="W234" i="2"/>
  <c r="W235" i="2"/>
  <c r="W236" i="2"/>
  <c r="W237" i="2"/>
  <c r="W238" i="2"/>
  <c r="W239" i="2"/>
  <c r="W240" i="2"/>
  <c r="W241" i="2"/>
  <c r="W242" i="2"/>
  <c r="W243" i="2"/>
  <c r="W244" i="2"/>
  <c r="W245" i="2"/>
  <c r="W246" i="2"/>
  <c r="W247" i="2"/>
  <c r="W248" i="2"/>
  <c r="W249" i="2"/>
  <c r="W250" i="2"/>
  <c r="W251" i="2"/>
  <c r="W252" i="2"/>
  <c r="W253" i="2"/>
  <c r="W254" i="2"/>
  <c r="W255" i="2"/>
  <c r="W256" i="2"/>
  <c r="W257" i="2"/>
  <c r="W258" i="2"/>
  <c r="W259" i="2"/>
  <c r="W260" i="2"/>
  <c r="W261" i="2"/>
  <c r="W262" i="2"/>
  <c r="W263" i="2"/>
  <c r="W264" i="2"/>
  <c r="W265" i="2"/>
  <c r="W266" i="2"/>
  <c r="W267" i="2"/>
  <c r="W268" i="2"/>
  <c r="W269" i="2"/>
  <c r="W270" i="2"/>
  <c r="W271" i="2"/>
  <c r="W272" i="2"/>
  <c r="W273" i="2"/>
  <c r="W274" i="2"/>
  <c r="W275" i="2"/>
  <c r="W276" i="2"/>
  <c r="W277" i="2"/>
  <c r="W278" i="2"/>
  <c r="W279" i="2"/>
  <c r="W280" i="2"/>
  <c r="W281" i="2"/>
  <c r="W282" i="2"/>
  <c r="W283" i="2"/>
  <c r="W284" i="2"/>
  <c r="W285" i="2"/>
  <c r="W286" i="2"/>
  <c r="W287" i="2"/>
  <c r="W288" i="2"/>
  <c r="W289" i="2"/>
  <c r="W290" i="2"/>
  <c r="W291" i="2"/>
  <c r="W292" i="2"/>
  <c r="W293" i="2"/>
  <c r="W294" i="2"/>
  <c r="W295" i="2"/>
  <c r="W296" i="2"/>
  <c r="W297" i="2"/>
  <c r="W298" i="2"/>
  <c r="W299" i="2"/>
  <c r="W300" i="2"/>
  <c r="W301" i="2"/>
  <c r="W302" i="2"/>
  <c r="W303" i="2"/>
  <c r="W304" i="2"/>
  <c r="W305" i="2"/>
  <c r="W306" i="2"/>
  <c r="W307" i="2"/>
  <c r="W308" i="2"/>
  <c r="W309" i="2"/>
  <c r="W310" i="2"/>
  <c r="W311" i="2"/>
  <c r="W312" i="2"/>
  <c r="W313" i="2"/>
  <c r="W314" i="2"/>
  <c r="W315" i="2"/>
  <c r="W316" i="2"/>
  <c r="W317" i="2"/>
  <c r="W318" i="2"/>
  <c r="W319" i="2"/>
  <c r="W320" i="2"/>
  <c r="W321" i="2"/>
  <c r="W322" i="2"/>
  <c r="W323" i="2"/>
  <c r="W324" i="2"/>
  <c r="W325" i="2"/>
  <c r="W326" i="2"/>
  <c r="W327" i="2"/>
  <c r="W328" i="2"/>
  <c r="W329" i="2"/>
  <c r="W330" i="2"/>
  <c r="W331" i="2"/>
  <c r="W332" i="2"/>
  <c r="W333" i="2"/>
  <c r="W334" i="2"/>
  <c r="W335" i="2"/>
  <c r="W336" i="2"/>
  <c r="W337" i="2"/>
  <c r="W338" i="2"/>
  <c r="W339" i="2"/>
  <c r="W340" i="2"/>
  <c r="W341" i="2"/>
  <c r="W342" i="2"/>
  <c r="W343" i="2"/>
  <c r="W344" i="2"/>
  <c r="W345" i="2"/>
  <c r="W346" i="2"/>
  <c r="W347" i="2"/>
  <c r="W348" i="2"/>
  <c r="W349" i="2"/>
  <c r="W350" i="2"/>
  <c r="W351" i="2"/>
  <c r="W352" i="2"/>
  <c r="W353" i="2"/>
  <c r="W354" i="2"/>
  <c r="W355" i="2"/>
  <c r="W356" i="2"/>
  <c r="W357" i="2"/>
  <c r="W358" i="2"/>
  <c r="W359" i="2"/>
  <c r="W360" i="2"/>
  <c r="W361" i="2"/>
  <c r="W362" i="2"/>
  <c r="W363" i="2"/>
  <c r="W364" i="2"/>
  <c r="W365" i="2"/>
  <c r="W366" i="2"/>
  <c r="W367" i="2"/>
  <c r="W368" i="2"/>
  <c r="W369" i="2"/>
  <c r="W370" i="2"/>
  <c r="W371" i="2"/>
  <c r="W372" i="2"/>
  <c r="W373" i="2"/>
  <c r="W374" i="2"/>
  <c r="W375" i="2"/>
  <c r="W376" i="2"/>
  <c r="W377" i="2"/>
  <c r="W378" i="2"/>
  <c r="W379" i="2"/>
  <c r="W380" i="2"/>
  <c r="W381" i="2"/>
  <c r="W382" i="2"/>
  <c r="W383" i="2"/>
  <c r="W384" i="2"/>
  <c r="W385" i="2"/>
  <c r="W386" i="2"/>
  <c r="W387" i="2"/>
  <c r="W388" i="2"/>
  <c r="W389" i="2"/>
  <c r="W390" i="2"/>
  <c r="W391" i="2"/>
  <c r="W392" i="2"/>
  <c r="W393" i="2"/>
  <c r="W394" i="2"/>
  <c r="W395" i="2"/>
  <c r="W396" i="2"/>
  <c r="W397" i="2"/>
  <c r="W398" i="2"/>
  <c r="W399" i="2"/>
  <c r="W400" i="2"/>
  <c r="W401" i="2"/>
  <c r="W402" i="2"/>
  <c r="W403" i="2"/>
  <c r="W404" i="2"/>
  <c r="W405" i="2"/>
  <c r="W406" i="2"/>
  <c r="W407" i="2"/>
  <c r="W408" i="2"/>
  <c r="W409" i="2"/>
  <c r="W410" i="2"/>
  <c r="W411" i="2"/>
  <c r="W412" i="2"/>
  <c r="W413" i="2"/>
  <c r="W414" i="2"/>
  <c r="W415" i="2"/>
  <c r="W416" i="2"/>
  <c r="W417" i="2"/>
  <c r="W418" i="2"/>
  <c r="W419" i="2"/>
  <c r="W420" i="2"/>
  <c r="W421" i="2"/>
  <c r="W422" i="2"/>
  <c r="W423" i="2"/>
  <c r="W424" i="2"/>
  <c r="W425" i="2"/>
  <c r="W426" i="2"/>
  <c r="W427" i="2"/>
  <c r="W428" i="2"/>
  <c r="W429" i="2"/>
  <c r="W430" i="2"/>
  <c r="W431" i="2"/>
  <c r="W432" i="2"/>
  <c r="W433" i="2"/>
  <c r="W434" i="2"/>
  <c r="W435" i="2"/>
  <c r="W436" i="2"/>
  <c r="W437" i="2"/>
  <c r="W438" i="2"/>
  <c r="W439" i="2"/>
  <c r="W440" i="2"/>
  <c r="W441" i="2"/>
  <c r="W442" i="2"/>
  <c r="W443" i="2"/>
  <c r="W444" i="2"/>
  <c r="W445" i="2"/>
  <c r="W446" i="2"/>
  <c r="W447" i="2"/>
  <c r="W448" i="2"/>
  <c r="W449" i="2"/>
  <c r="W450" i="2"/>
  <c r="W451" i="2"/>
  <c r="W452" i="2"/>
  <c r="W453" i="2"/>
  <c r="W454" i="2"/>
  <c r="W455" i="2"/>
  <c r="W456" i="2"/>
  <c r="W457" i="2"/>
  <c r="W458" i="2"/>
  <c r="W459" i="2"/>
  <c r="W460" i="2"/>
  <c r="W461" i="2"/>
  <c r="W462" i="2"/>
  <c r="W463" i="2"/>
  <c r="W464" i="2"/>
  <c r="W465" i="2"/>
  <c r="W466" i="2"/>
  <c r="W467" i="2"/>
  <c r="W468" i="2"/>
  <c r="W469" i="2"/>
  <c r="W7" i="2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37" i="1"/>
  <c r="W138" i="1"/>
  <c r="W139" i="1"/>
  <c r="W140" i="1"/>
  <c r="W141" i="1"/>
  <c r="W142" i="1"/>
  <c r="W143" i="1"/>
  <c r="W144" i="1"/>
  <c r="W145" i="1"/>
  <c r="W146" i="1"/>
  <c r="W147" i="1"/>
  <c r="W148" i="1"/>
  <c r="W149" i="1"/>
  <c r="W150" i="1"/>
  <c r="W151" i="1"/>
  <c r="W152" i="1"/>
  <c r="W153" i="1"/>
  <c r="W154" i="1"/>
  <c r="W155" i="1"/>
  <c r="W156" i="1"/>
  <c r="W157" i="1"/>
  <c r="W158" i="1"/>
  <c r="W159" i="1"/>
  <c r="W160" i="1"/>
  <c r="W161" i="1"/>
  <c r="W162" i="1"/>
  <c r="W163" i="1"/>
  <c r="W164" i="1"/>
  <c r="W165" i="1"/>
  <c r="W166" i="1"/>
  <c r="W167" i="1"/>
  <c r="W168" i="1"/>
  <c r="W169" i="1"/>
  <c r="W170" i="1"/>
  <c r="W171" i="1"/>
  <c r="W172" i="1"/>
  <c r="W173" i="1"/>
  <c r="W174" i="1"/>
  <c r="W175" i="1"/>
  <c r="W176" i="1"/>
  <c r="W177" i="1"/>
  <c r="W178" i="1"/>
  <c r="W179" i="1"/>
  <c r="W180" i="1"/>
  <c r="W181" i="1"/>
  <c r="W182" i="1"/>
  <c r="W183" i="1"/>
  <c r="W184" i="1"/>
  <c r="W185" i="1"/>
  <c r="W186" i="1"/>
  <c r="W187" i="1"/>
  <c r="W188" i="1"/>
  <c r="W189" i="1"/>
  <c r="W190" i="1"/>
  <c r="W191" i="1"/>
  <c r="W192" i="1"/>
  <c r="W193" i="1"/>
  <c r="W194" i="1"/>
  <c r="W195" i="1"/>
  <c r="W196" i="1"/>
  <c r="W197" i="1"/>
  <c r="W198" i="1"/>
  <c r="W199" i="1"/>
  <c r="W200" i="1"/>
  <c r="W201" i="1"/>
  <c r="W202" i="1"/>
  <c r="W203" i="1"/>
  <c r="W204" i="1"/>
  <c r="W205" i="1"/>
  <c r="W206" i="1"/>
  <c r="W207" i="1"/>
  <c r="W208" i="1"/>
  <c r="W209" i="1"/>
  <c r="W210" i="1"/>
  <c r="W211" i="1"/>
  <c r="W212" i="1"/>
  <c r="W213" i="1"/>
  <c r="W214" i="1"/>
  <c r="W215" i="1"/>
  <c r="W216" i="1"/>
  <c r="W217" i="1"/>
  <c r="W218" i="1"/>
  <c r="W219" i="1"/>
  <c r="W220" i="1"/>
  <c r="W221" i="1"/>
  <c r="W222" i="1"/>
  <c r="W223" i="1"/>
  <c r="W224" i="1"/>
  <c r="W225" i="1"/>
  <c r="W226" i="1"/>
  <c r="W227" i="1"/>
  <c r="W228" i="1"/>
  <c r="W229" i="1"/>
  <c r="W230" i="1"/>
  <c r="W231" i="1"/>
  <c r="W232" i="1"/>
  <c r="W233" i="1"/>
  <c r="W234" i="1"/>
  <c r="W235" i="1"/>
  <c r="W236" i="1"/>
  <c r="W237" i="1"/>
  <c r="W238" i="1"/>
  <c r="W239" i="1"/>
  <c r="W240" i="1"/>
  <c r="W241" i="1"/>
  <c r="W242" i="1"/>
  <c r="W243" i="1"/>
  <c r="W244" i="1"/>
  <c r="W245" i="1"/>
  <c r="W246" i="1"/>
  <c r="W247" i="1"/>
  <c r="W248" i="1"/>
  <c r="W249" i="1"/>
  <c r="W250" i="1"/>
  <c r="W251" i="1"/>
  <c r="W252" i="1"/>
  <c r="W253" i="1"/>
  <c r="W254" i="1"/>
  <c r="W255" i="1"/>
  <c r="W256" i="1"/>
  <c r="W257" i="1"/>
  <c r="W258" i="1"/>
  <c r="W259" i="1"/>
  <c r="W260" i="1"/>
  <c r="W261" i="1"/>
  <c r="W262" i="1"/>
  <c r="W263" i="1"/>
  <c r="W264" i="1"/>
  <c r="W265" i="1"/>
  <c r="W266" i="1"/>
  <c r="W267" i="1"/>
  <c r="W268" i="1"/>
  <c r="W269" i="1"/>
  <c r="W270" i="1"/>
  <c r="W271" i="1"/>
  <c r="W272" i="1"/>
  <c r="W273" i="1"/>
  <c r="W274" i="1"/>
  <c r="W275" i="1"/>
  <c r="W276" i="1"/>
  <c r="W277" i="1"/>
  <c r="W278" i="1"/>
  <c r="W279" i="1"/>
  <c r="W280" i="1"/>
  <c r="W281" i="1"/>
  <c r="W282" i="1"/>
  <c r="W283" i="1"/>
  <c r="W284" i="1"/>
  <c r="W285" i="1"/>
  <c r="W286" i="1"/>
  <c r="W287" i="1"/>
  <c r="W288" i="1"/>
  <c r="W289" i="1"/>
  <c r="W290" i="1"/>
  <c r="W291" i="1"/>
  <c r="W292" i="1"/>
  <c r="W293" i="1"/>
  <c r="W294" i="1"/>
  <c r="W295" i="1"/>
  <c r="W296" i="1"/>
  <c r="W297" i="1"/>
  <c r="W298" i="1"/>
  <c r="W299" i="1"/>
  <c r="W300" i="1"/>
  <c r="W301" i="1"/>
  <c r="W302" i="1"/>
  <c r="W303" i="1"/>
  <c r="W304" i="1"/>
  <c r="W305" i="1"/>
  <c r="W306" i="1"/>
  <c r="W307" i="1"/>
  <c r="W308" i="1"/>
  <c r="W309" i="1"/>
  <c r="W310" i="1"/>
  <c r="W311" i="1"/>
  <c r="W312" i="1"/>
  <c r="W313" i="1"/>
  <c r="W314" i="1"/>
  <c r="W315" i="1"/>
  <c r="W316" i="1"/>
  <c r="W317" i="1"/>
  <c r="W318" i="1"/>
  <c r="W319" i="1"/>
  <c r="W320" i="1"/>
  <c r="W321" i="1"/>
  <c r="W322" i="1"/>
  <c r="W323" i="1"/>
  <c r="W324" i="1"/>
  <c r="W325" i="1"/>
  <c r="W326" i="1"/>
  <c r="W327" i="1"/>
  <c r="W328" i="1"/>
  <c r="W329" i="1"/>
  <c r="W330" i="1"/>
  <c r="W331" i="1"/>
  <c r="W332" i="1"/>
  <c r="W333" i="1"/>
  <c r="W334" i="1"/>
  <c r="W335" i="1"/>
  <c r="W336" i="1"/>
  <c r="W337" i="1"/>
  <c r="W338" i="1"/>
  <c r="W339" i="1"/>
  <c r="W340" i="1"/>
  <c r="W341" i="1"/>
  <c r="W342" i="1"/>
  <c r="W343" i="1"/>
  <c r="W344" i="1"/>
  <c r="W345" i="1"/>
  <c r="W346" i="1"/>
  <c r="W347" i="1"/>
  <c r="W348" i="1"/>
  <c r="W349" i="1"/>
  <c r="W350" i="1"/>
  <c r="W351" i="1"/>
  <c r="W352" i="1"/>
  <c r="W353" i="1"/>
  <c r="W354" i="1"/>
  <c r="W355" i="1"/>
  <c r="W356" i="1"/>
  <c r="W357" i="1"/>
  <c r="W358" i="1"/>
  <c r="W359" i="1"/>
  <c r="W360" i="1"/>
  <c r="W361" i="1"/>
  <c r="W362" i="1"/>
  <c r="W363" i="1"/>
  <c r="W364" i="1"/>
  <c r="W365" i="1"/>
  <c r="W366" i="1"/>
  <c r="W367" i="1"/>
  <c r="W368" i="1"/>
  <c r="W369" i="1"/>
  <c r="W370" i="1"/>
  <c r="W371" i="1"/>
  <c r="W372" i="1"/>
  <c r="W373" i="1"/>
  <c r="W374" i="1"/>
  <c r="W375" i="1"/>
  <c r="W376" i="1"/>
  <c r="W377" i="1"/>
  <c r="W378" i="1"/>
  <c r="W379" i="1"/>
  <c r="W380" i="1"/>
  <c r="W381" i="1"/>
  <c r="W382" i="1"/>
  <c r="W383" i="1"/>
  <c r="W384" i="1"/>
  <c r="W385" i="1"/>
  <c r="W386" i="1"/>
  <c r="W387" i="1"/>
  <c r="W388" i="1"/>
  <c r="W389" i="1"/>
  <c r="W390" i="1"/>
  <c r="W391" i="1"/>
  <c r="W392" i="1"/>
  <c r="W393" i="1"/>
  <c r="W394" i="1"/>
  <c r="W395" i="1"/>
  <c r="W396" i="1"/>
  <c r="W397" i="1"/>
  <c r="W398" i="1"/>
  <c r="W399" i="1"/>
  <c r="W400" i="1"/>
  <c r="W401" i="1"/>
  <c r="W402" i="1"/>
  <c r="W403" i="1"/>
  <c r="W404" i="1"/>
  <c r="W405" i="1"/>
  <c r="W406" i="1"/>
  <c r="W407" i="1"/>
  <c r="W408" i="1"/>
  <c r="W409" i="1"/>
  <c r="W410" i="1"/>
  <c r="W411" i="1"/>
  <c r="W412" i="1"/>
  <c r="W413" i="1"/>
  <c r="W414" i="1"/>
  <c r="W415" i="1"/>
  <c r="W416" i="1"/>
  <c r="W417" i="1"/>
  <c r="W418" i="1"/>
  <c r="W419" i="1"/>
  <c r="W420" i="1"/>
  <c r="W421" i="1"/>
  <c r="W422" i="1"/>
  <c r="W423" i="1"/>
  <c r="W424" i="1"/>
  <c r="W425" i="1"/>
  <c r="W426" i="1"/>
  <c r="W427" i="1"/>
  <c r="W428" i="1"/>
  <c r="W429" i="1"/>
  <c r="W430" i="1"/>
  <c r="W7" i="1"/>
  <c r="Z5" i="1"/>
  <c r="Y5" i="1"/>
  <c r="B7" i="3" l="1"/>
  <c r="B2" i="3"/>
  <c r="B6" i="3"/>
  <c r="B3" i="3" s="1"/>
  <c r="B8" i="3"/>
  <c r="U5" i="4"/>
  <c r="U5" i="2"/>
  <c r="U5" i="1"/>
  <c r="B4" i="3" l="1"/>
  <c r="B5" i="3" s="1"/>
  <c r="F8" i="3"/>
  <c r="F7" i="3"/>
  <c r="F2" i="3"/>
  <c r="E2" i="3"/>
  <c r="D2" i="3"/>
  <c r="C2" i="3"/>
  <c r="AA5" i="4"/>
  <c r="Z5" i="4"/>
  <c r="Y5" i="4"/>
  <c r="AC5" i="4" s="1"/>
  <c r="V8" i="4"/>
  <c r="V9" i="4"/>
  <c r="V10" i="4"/>
  <c r="V11" i="4"/>
  <c r="V12" i="4"/>
  <c r="V13" i="4"/>
  <c r="V14" i="4"/>
  <c r="V15" i="4"/>
  <c r="V16" i="4"/>
  <c r="V17" i="4"/>
  <c r="V18" i="4"/>
  <c r="V19" i="4"/>
  <c r="V20" i="4"/>
  <c r="V21" i="4"/>
  <c r="V22" i="4"/>
  <c r="V23" i="4"/>
  <c r="V24" i="4"/>
  <c r="V25" i="4"/>
  <c r="V26" i="4"/>
  <c r="V27" i="4"/>
  <c r="V28" i="4"/>
  <c r="V29" i="4"/>
  <c r="V30" i="4"/>
  <c r="V31" i="4"/>
  <c r="V32" i="4"/>
  <c r="V33" i="4"/>
  <c r="V34" i="4"/>
  <c r="V35" i="4"/>
  <c r="V36" i="4"/>
  <c r="V37" i="4"/>
  <c r="V38" i="4"/>
  <c r="V39" i="4"/>
  <c r="V40" i="4"/>
  <c r="V41" i="4"/>
  <c r="V42" i="4"/>
  <c r="V43" i="4"/>
  <c r="V44" i="4"/>
  <c r="V45" i="4"/>
  <c r="V46" i="4"/>
  <c r="V47" i="4"/>
  <c r="V48" i="4"/>
  <c r="V49" i="4"/>
  <c r="V50" i="4"/>
  <c r="V51" i="4"/>
  <c r="V52" i="4"/>
  <c r="V53" i="4"/>
  <c r="V54" i="4"/>
  <c r="V55" i="4"/>
  <c r="V56" i="4"/>
  <c r="V57" i="4"/>
  <c r="V58" i="4"/>
  <c r="V59" i="4"/>
  <c r="V60" i="4"/>
  <c r="V61" i="4"/>
  <c r="V62" i="4"/>
  <c r="V63" i="4"/>
  <c r="V64" i="4"/>
  <c r="V65" i="4"/>
  <c r="V66" i="4"/>
  <c r="V67" i="4"/>
  <c r="V68" i="4"/>
  <c r="V69" i="4"/>
  <c r="V70" i="4"/>
  <c r="V71" i="4"/>
  <c r="V72" i="4"/>
  <c r="V73" i="4"/>
  <c r="V74" i="4"/>
  <c r="V75" i="4"/>
  <c r="V76" i="4"/>
  <c r="V77" i="4"/>
  <c r="V78" i="4"/>
  <c r="V79" i="4"/>
  <c r="V80" i="4"/>
  <c r="V81" i="4"/>
  <c r="V82" i="4"/>
  <c r="V83" i="4"/>
  <c r="V84" i="4"/>
  <c r="V85" i="4"/>
  <c r="V86" i="4"/>
  <c r="V87" i="4"/>
  <c r="V88" i="4"/>
  <c r="V89" i="4"/>
  <c r="V90" i="4"/>
  <c r="V91" i="4"/>
  <c r="V92" i="4"/>
  <c r="V93" i="4"/>
  <c r="V94" i="4"/>
  <c r="V95" i="4"/>
  <c r="V96" i="4"/>
  <c r="V97" i="4"/>
  <c r="V98" i="4"/>
  <c r="V99" i="4"/>
  <c r="V100" i="4"/>
  <c r="V101" i="4"/>
  <c r="V102" i="4"/>
  <c r="V103" i="4"/>
  <c r="V104" i="4"/>
  <c r="V105" i="4"/>
  <c r="V106" i="4"/>
  <c r="V107" i="4"/>
  <c r="V108" i="4"/>
  <c r="V109" i="4"/>
  <c r="V110" i="4"/>
  <c r="V111" i="4"/>
  <c r="V112" i="4"/>
  <c r="V113" i="4"/>
  <c r="V114" i="4"/>
  <c r="V115" i="4"/>
  <c r="V116" i="4"/>
  <c r="V117" i="4"/>
  <c r="V118" i="4"/>
  <c r="V119" i="4"/>
  <c r="V120" i="4"/>
  <c r="V121" i="4"/>
  <c r="V122" i="4"/>
  <c r="V123" i="4"/>
  <c r="V124" i="4"/>
  <c r="V125" i="4"/>
  <c r="V126" i="4"/>
  <c r="V127" i="4"/>
  <c r="V128" i="4"/>
  <c r="V129" i="4"/>
  <c r="V130" i="4"/>
  <c r="V131" i="4"/>
  <c r="V132" i="4"/>
  <c r="V133" i="4"/>
  <c r="V134" i="4"/>
  <c r="V135" i="4"/>
  <c r="V136" i="4"/>
  <c r="V137" i="4"/>
  <c r="V138" i="4"/>
  <c r="V139" i="4"/>
  <c r="V140" i="4"/>
  <c r="V141" i="4"/>
  <c r="V142" i="4"/>
  <c r="V143" i="4"/>
  <c r="V144" i="4"/>
  <c r="V145" i="4"/>
  <c r="V146" i="4"/>
  <c r="V147" i="4"/>
  <c r="V148" i="4"/>
  <c r="V149" i="4"/>
  <c r="V150" i="4"/>
  <c r="V151" i="4"/>
  <c r="V152" i="4"/>
  <c r="V153" i="4"/>
  <c r="V154" i="4"/>
  <c r="V155" i="4"/>
  <c r="V156" i="4"/>
  <c r="V157" i="4"/>
  <c r="V158" i="4"/>
  <c r="V159" i="4"/>
  <c r="V160" i="4"/>
  <c r="V161" i="4"/>
  <c r="V162" i="4"/>
  <c r="V163" i="4"/>
  <c r="V164" i="4"/>
  <c r="V165" i="4"/>
  <c r="V166" i="4"/>
  <c r="V167" i="4"/>
  <c r="V168" i="4"/>
  <c r="V169" i="4"/>
  <c r="V170" i="4"/>
  <c r="V171" i="4"/>
  <c r="V172" i="4"/>
  <c r="V173" i="4"/>
  <c r="V174" i="4"/>
  <c r="V175" i="4"/>
  <c r="V176" i="4"/>
  <c r="V177" i="4"/>
  <c r="V178" i="4"/>
  <c r="V179" i="4"/>
  <c r="V180" i="4"/>
  <c r="V181" i="4"/>
  <c r="V182" i="4"/>
  <c r="V183" i="4"/>
  <c r="V184" i="4"/>
  <c r="V185" i="4"/>
  <c r="V186" i="4"/>
  <c r="V187" i="4"/>
  <c r="V188" i="4"/>
  <c r="V189" i="4"/>
  <c r="V190" i="4"/>
  <c r="V191" i="4"/>
  <c r="V192" i="4"/>
  <c r="V193" i="4"/>
  <c r="V194" i="4"/>
  <c r="V195" i="4"/>
  <c r="V196" i="4"/>
  <c r="V197" i="4"/>
  <c r="V198" i="4"/>
  <c r="V199" i="4"/>
  <c r="V200" i="4"/>
  <c r="V201" i="4"/>
  <c r="V202" i="4"/>
  <c r="V203" i="4"/>
  <c r="V204" i="4"/>
  <c r="V205" i="4"/>
  <c r="V206" i="4"/>
  <c r="V207" i="4"/>
  <c r="V208" i="4"/>
  <c r="V209" i="4"/>
  <c r="V210" i="4"/>
  <c r="V211" i="4"/>
  <c r="V212" i="4"/>
  <c r="V213" i="4"/>
  <c r="V214" i="4"/>
  <c r="V215" i="4"/>
  <c r="V216" i="4"/>
  <c r="V217" i="4"/>
  <c r="V218" i="4"/>
  <c r="V219" i="4"/>
  <c r="V220" i="4"/>
  <c r="V221" i="4"/>
  <c r="V222" i="4"/>
  <c r="V223" i="4"/>
  <c r="V224" i="4"/>
  <c r="V225" i="4"/>
  <c r="V226" i="4"/>
  <c r="V227" i="4"/>
  <c r="V228" i="4"/>
  <c r="V229" i="4"/>
  <c r="V230" i="4"/>
  <c r="V231" i="4"/>
  <c r="V232" i="4"/>
  <c r="V233" i="4"/>
  <c r="V234" i="4"/>
  <c r="V235" i="4"/>
  <c r="V236" i="4"/>
  <c r="V237" i="4"/>
  <c r="V238" i="4"/>
  <c r="V239" i="4"/>
  <c r="V240" i="4"/>
  <c r="V241" i="4"/>
  <c r="V242" i="4"/>
  <c r="V243" i="4"/>
  <c r="V244" i="4"/>
  <c r="V245" i="4"/>
  <c r="V246" i="4"/>
  <c r="V247" i="4"/>
  <c r="V248" i="4"/>
  <c r="V249" i="4"/>
  <c r="V250" i="4"/>
  <c r="V251" i="4"/>
  <c r="V252" i="4"/>
  <c r="V253" i="4"/>
  <c r="V254" i="4"/>
  <c r="V255" i="4"/>
  <c r="V256" i="4"/>
  <c r="V257" i="4"/>
  <c r="V258" i="4"/>
  <c r="V259" i="4"/>
  <c r="V260" i="4"/>
  <c r="V261" i="4"/>
  <c r="V262" i="4"/>
  <c r="V263" i="4"/>
  <c r="V264" i="4"/>
  <c r="V265" i="4"/>
  <c r="V266" i="4"/>
  <c r="V267" i="4"/>
  <c r="V268" i="4"/>
  <c r="V269" i="4"/>
  <c r="V270" i="4"/>
  <c r="V271" i="4"/>
  <c r="V272" i="4"/>
  <c r="V273" i="4"/>
  <c r="V274" i="4"/>
  <c r="V275" i="4"/>
  <c r="V276" i="4"/>
  <c r="V277" i="4"/>
  <c r="V278" i="4"/>
  <c r="V279" i="4"/>
  <c r="V280" i="4"/>
  <c r="V281" i="4"/>
  <c r="V282" i="4"/>
  <c r="V283" i="4"/>
  <c r="V284" i="4"/>
  <c r="V285" i="4"/>
  <c r="V286" i="4"/>
  <c r="V287" i="4"/>
  <c r="V288" i="4"/>
  <c r="V289" i="4"/>
  <c r="V290" i="4"/>
  <c r="V291" i="4"/>
  <c r="V292" i="4"/>
  <c r="V293" i="4"/>
  <c r="V294" i="4"/>
  <c r="V295" i="4"/>
  <c r="V296" i="4"/>
  <c r="V297" i="4"/>
  <c r="V298" i="4"/>
  <c r="V299" i="4"/>
  <c r="V300" i="4"/>
  <c r="V301" i="4"/>
  <c r="V302" i="4"/>
  <c r="V303" i="4"/>
  <c r="V304" i="4"/>
  <c r="V305" i="4"/>
  <c r="V306" i="4"/>
  <c r="V307" i="4"/>
  <c r="V308" i="4"/>
  <c r="V309" i="4"/>
  <c r="V310" i="4"/>
  <c r="V311" i="4"/>
  <c r="V312" i="4"/>
  <c r="V313" i="4"/>
  <c r="V314" i="4"/>
  <c r="V315" i="4"/>
  <c r="V316" i="4"/>
  <c r="V317" i="4"/>
  <c r="V318" i="4"/>
  <c r="V319" i="4"/>
  <c r="V320" i="4"/>
  <c r="V321" i="4"/>
  <c r="V322" i="4"/>
  <c r="V323" i="4"/>
  <c r="V324" i="4"/>
  <c r="V325" i="4"/>
  <c r="V326" i="4"/>
  <c r="V327" i="4"/>
  <c r="V328" i="4"/>
  <c r="V329" i="4"/>
  <c r="V330" i="4"/>
  <c r="V331" i="4"/>
  <c r="V332" i="4"/>
  <c r="V333" i="4"/>
  <c r="V334" i="4"/>
  <c r="V335" i="4"/>
  <c r="V336" i="4"/>
  <c r="V337" i="4"/>
  <c r="V338" i="4"/>
  <c r="V339" i="4"/>
  <c r="V340" i="4"/>
  <c r="V341" i="4"/>
  <c r="V342" i="4"/>
  <c r="V343" i="4"/>
  <c r="V344" i="4"/>
  <c r="V345" i="4"/>
  <c r="V346" i="4"/>
  <c r="V347" i="4"/>
  <c r="V348" i="4"/>
  <c r="V349" i="4"/>
  <c r="V350" i="4"/>
  <c r="V351" i="4"/>
  <c r="V352" i="4"/>
  <c r="V353" i="4"/>
  <c r="V354" i="4"/>
  <c r="V355" i="4"/>
  <c r="V356" i="4"/>
  <c r="V357" i="4"/>
  <c r="V358" i="4"/>
  <c r="V359" i="4"/>
  <c r="V360" i="4"/>
  <c r="V361" i="4"/>
  <c r="V362" i="4"/>
  <c r="V363" i="4"/>
  <c r="V364" i="4"/>
  <c r="V365" i="4"/>
  <c r="V366" i="4"/>
  <c r="V367" i="4"/>
  <c r="V368" i="4"/>
  <c r="V369" i="4"/>
  <c r="V370" i="4"/>
  <c r="V371" i="4"/>
  <c r="V372" i="4"/>
  <c r="V373" i="4"/>
  <c r="V374" i="4"/>
  <c r="V375" i="4"/>
  <c r="V376" i="4"/>
  <c r="V377" i="4"/>
  <c r="V378" i="4"/>
  <c r="V379" i="4"/>
  <c r="V380" i="4"/>
  <c r="V381" i="4"/>
  <c r="V382" i="4"/>
  <c r="V383" i="4"/>
  <c r="V384" i="4"/>
  <c r="V385" i="4"/>
  <c r="V386" i="4"/>
  <c r="V387" i="4"/>
  <c r="V388" i="4"/>
  <c r="V389" i="4"/>
  <c r="V390" i="4"/>
  <c r="V391" i="4"/>
  <c r="V392" i="4"/>
  <c r="V393" i="4"/>
  <c r="V394" i="4"/>
  <c r="V395" i="4"/>
  <c r="V396" i="4"/>
  <c r="V397" i="4"/>
  <c r="V398" i="4"/>
  <c r="V399" i="4"/>
  <c r="V400" i="4"/>
  <c r="V401" i="4"/>
  <c r="V402" i="4"/>
  <c r="V403" i="4"/>
  <c r="V404" i="4"/>
  <c r="V405" i="4"/>
  <c r="V406" i="4"/>
  <c r="V407" i="4"/>
  <c r="V408" i="4"/>
  <c r="V409" i="4"/>
  <c r="V410" i="4"/>
  <c r="V411" i="4"/>
  <c r="V412" i="4"/>
  <c r="V413" i="4"/>
  <c r="V414" i="4"/>
  <c r="V7" i="4"/>
  <c r="X5" i="4" s="1"/>
  <c r="E8" i="3" s="1"/>
  <c r="AA5" i="2"/>
  <c r="AC5" i="1"/>
  <c r="V8" i="2"/>
  <c r="V9" i="2"/>
  <c r="V10" i="2"/>
  <c r="V11" i="2"/>
  <c r="V12" i="2"/>
  <c r="V13" i="2"/>
  <c r="V14" i="2"/>
  <c r="V15" i="2"/>
  <c r="V16" i="2"/>
  <c r="V17" i="2"/>
  <c r="V18" i="2"/>
  <c r="V19" i="2"/>
  <c r="V20" i="2"/>
  <c r="V21" i="2"/>
  <c r="V22" i="2"/>
  <c r="V23" i="2"/>
  <c r="V24" i="2"/>
  <c r="V25" i="2"/>
  <c r="V26" i="2"/>
  <c r="V27" i="2"/>
  <c r="V28" i="2"/>
  <c r="V29" i="2"/>
  <c r="V30" i="2"/>
  <c r="V31" i="2"/>
  <c r="V32" i="2"/>
  <c r="V33" i="2"/>
  <c r="V34" i="2"/>
  <c r="V35" i="2"/>
  <c r="V36" i="2"/>
  <c r="V37" i="2"/>
  <c r="V38" i="2"/>
  <c r="V39" i="2"/>
  <c r="V40" i="2"/>
  <c r="V41" i="2"/>
  <c r="V42" i="2"/>
  <c r="V43" i="2"/>
  <c r="V44" i="2"/>
  <c r="V45" i="2"/>
  <c r="V46" i="2"/>
  <c r="V47" i="2"/>
  <c r="V48" i="2"/>
  <c r="V49" i="2"/>
  <c r="V50" i="2"/>
  <c r="V51" i="2"/>
  <c r="V52" i="2"/>
  <c r="V53" i="2"/>
  <c r="V54" i="2"/>
  <c r="V55" i="2"/>
  <c r="V56" i="2"/>
  <c r="V57" i="2"/>
  <c r="V58" i="2"/>
  <c r="V59" i="2"/>
  <c r="V60" i="2"/>
  <c r="V61" i="2"/>
  <c r="V62" i="2"/>
  <c r="V63" i="2"/>
  <c r="V64" i="2"/>
  <c r="V65" i="2"/>
  <c r="V66" i="2"/>
  <c r="V67" i="2"/>
  <c r="V68" i="2"/>
  <c r="V69" i="2"/>
  <c r="V70" i="2"/>
  <c r="V71" i="2"/>
  <c r="V72" i="2"/>
  <c r="V73" i="2"/>
  <c r="V74" i="2"/>
  <c r="V75" i="2"/>
  <c r="V76" i="2"/>
  <c r="V77" i="2"/>
  <c r="V78" i="2"/>
  <c r="V79" i="2"/>
  <c r="V80" i="2"/>
  <c r="V81" i="2"/>
  <c r="V82" i="2"/>
  <c r="V83" i="2"/>
  <c r="V84" i="2"/>
  <c r="V85" i="2"/>
  <c r="V86" i="2"/>
  <c r="V87" i="2"/>
  <c r="V88" i="2"/>
  <c r="V89" i="2"/>
  <c r="V90" i="2"/>
  <c r="V91" i="2"/>
  <c r="V92" i="2"/>
  <c r="V93" i="2"/>
  <c r="V94" i="2"/>
  <c r="V95" i="2"/>
  <c r="V96" i="2"/>
  <c r="V97" i="2"/>
  <c r="V98" i="2"/>
  <c r="V99" i="2"/>
  <c r="V100" i="2"/>
  <c r="V101" i="2"/>
  <c r="V102" i="2"/>
  <c r="V103" i="2"/>
  <c r="V104" i="2"/>
  <c r="V105" i="2"/>
  <c r="V106" i="2"/>
  <c r="V107" i="2"/>
  <c r="V108" i="2"/>
  <c r="V109" i="2"/>
  <c r="V110" i="2"/>
  <c r="V111" i="2"/>
  <c r="V112" i="2"/>
  <c r="V113" i="2"/>
  <c r="V114" i="2"/>
  <c r="V115" i="2"/>
  <c r="V116" i="2"/>
  <c r="V117" i="2"/>
  <c r="V118" i="2"/>
  <c r="V119" i="2"/>
  <c r="V120" i="2"/>
  <c r="V121" i="2"/>
  <c r="V122" i="2"/>
  <c r="V123" i="2"/>
  <c r="V124" i="2"/>
  <c r="V125" i="2"/>
  <c r="V126" i="2"/>
  <c r="V127" i="2"/>
  <c r="V128" i="2"/>
  <c r="V129" i="2"/>
  <c r="V130" i="2"/>
  <c r="V131" i="2"/>
  <c r="V132" i="2"/>
  <c r="V133" i="2"/>
  <c r="V134" i="2"/>
  <c r="V135" i="2"/>
  <c r="V136" i="2"/>
  <c r="V137" i="2"/>
  <c r="V138" i="2"/>
  <c r="V139" i="2"/>
  <c r="V140" i="2"/>
  <c r="V141" i="2"/>
  <c r="V142" i="2"/>
  <c r="V143" i="2"/>
  <c r="V144" i="2"/>
  <c r="V145" i="2"/>
  <c r="V146" i="2"/>
  <c r="V147" i="2"/>
  <c r="V148" i="2"/>
  <c r="V149" i="2"/>
  <c r="V150" i="2"/>
  <c r="V151" i="2"/>
  <c r="V152" i="2"/>
  <c r="V153" i="2"/>
  <c r="V154" i="2"/>
  <c r="V155" i="2"/>
  <c r="V156" i="2"/>
  <c r="V157" i="2"/>
  <c r="V158" i="2"/>
  <c r="V159" i="2"/>
  <c r="V160" i="2"/>
  <c r="V161" i="2"/>
  <c r="V162" i="2"/>
  <c r="V163" i="2"/>
  <c r="V164" i="2"/>
  <c r="V165" i="2"/>
  <c r="V166" i="2"/>
  <c r="V167" i="2"/>
  <c r="V168" i="2"/>
  <c r="V169" i="2"/>
  <c r="V170" i="2"/>
  <c r="V171" i="2"/>
  <c r="V172" i="2"/>
  <c r="V173" i="2"/>
  <c r="V174" i="2"/>
  <c r="V175" i="2"/>
  <c r="V176" i="2"/>
  <c r="V177" i="2"/>
  <c r="V178" i="2"/>
  <c r="V179" i="2"/>
  <c r="V180" i="2"/>
  <c r="V181" i="2"/>
  <c r="V182" i="2"/>
  <c r="V183" i="2"/>
  <c r="V184" i="2"/>
  <c r="V185" i="2"/>
  <c r="V186" i="2"/>
  <c r="V187" i="2"/>
  <c r="V188" i="2"/>
  <c r="V189" i="2"/>
  <c r="V190" i="2"/>
  <c r="V191" i="2"/>
  <c r="V192" i="2"/>
  <c r="V193" i="2"/>
  <c r="V194" i="2"/>
  <c r="V195" i="2"/>
  <c r="V196" i="2"/>
  <c r="V197" i="2"/>
  <c r="V198" i="2"/>
  <c r="V199" i="2"/>
  <c r="V200" i="2"/>
  <c r="V201" i="2"/>
  <c r="V202" i="2"/>
  <c r="V203" i="2"/>
  <c r="V204" i="2"/>
  <c r="V205" i="2"/>
  <c r="V206" i="2"/>
  <c r="V207" i="2"/>
  <c r="V208" i="2"/>
  <c r="V209" i="2"/>
  <c r="V210" i="2"/>
  <c r="V211" i="2"/>
  <c r="V212" i="2"/>
  <c r="V213" i="2"/>
  <c r="V214" i="2"/>
  <c r="V215" i="2"/>
  <c r="V216" i="2"/>
  <c r="V217" i="2"/>
  <c r="V218" i="2"/>
  <c r="V219" i="2"/>
  <c r="V220" i="2"/>
  <c r="V221" i="2"/>
  <c r="V222" i="2"/>
  <c r="V223" i="2"/>
  <c r="V224" i="2"/>
  <c r="V225" i="2"/>
  <c r="V226" i="2"/>
  <c r="V227" i="2"/>
  <c r="V228" i="2"/>
  <c r="V229" i="2"/>
  <c r="V230" i="2"/>
  <c r="V231" i="2"/>
  <c r="V232" i="2"/>
  <c r="V233" i="2"/>
  <c r="V234" i="2"/>
  <c r="V235" i="2"/>
  <c r="V236" i="2"/>
  <c r="V237" i="2"/>
  <c r="V238" i="2"/>
  <c r="V239" i="2"/>
  <c r="V240" i="2"/>
  <c r="V241" i="2"/>
  <c r="V242" i="2"/>
  <c r="V243" i="2"/>
  <c r="V244" i="2"/>
  <c r="V245" i="2"/>
  <c r="V246" i="2"/>
  <c r="V247" i="2"/>
  <c r="V248" i="2"/>
  <c r="V249" i="2"/>
  <c r="V250" i="2"/>
  <c r="V251" i="2"/>
  <c r="V252" i="2"/>
  <c r="V253" i="2"/>
  <c r="V254" i="2"/>
  <c r="V255" i="2"/>
  <c r="V256" i="2"/>
  <c r="V257" i="2"/>
  <c r="V258" i="2"/>
  <c r="V259" i="2"/>
  <c r="V260" i="2"/>
  <c r="V261" i="2"/>
  <c r="V262" i="2"/>
  <c r="V263" i="2"/>
  <c r="V264" i="2"/>
  <c r="V265" i="2"/>
  <c r="V266" i="2"/>
  <c r="V267" i="2"/>
  <c r="V268" i="2"/>
  <c r="V269" i="2"/>
  <c r="V270" i="2"/>
  <c r="V271" i="2"/>
  <c r="V272" i="2"/>
  <c r="V273" i="2"/>
  <c r="V274" i="2"/>
  <c r="V275" i="2"/>
  <c r="V276" i="2"/>
  <c r="V277" i="2"/>
  <c r="V278" i="2"/>
  <c r="V279" i="2"/>
  <c r="V280" i="2"/>
  <c r="V281" i="2"/>
  <c r="V282" i="2"/>
  <c r="V283" i="2"/>
  <c r="V284" i="2"/>
  <c r="V285" i="2"/>
  <c r="V286" i="2"/>
  <c r="V287" i="2"/>
  <c r="V288" i="2"/>
  <c r="V289" i="2"/>
  <c r="V290" i="2"/>
  <c r="V291" i="2"/>
  <c r="V292" i="2"/>
  <c r="V293" i="2"/>
  <c r="V294" i="2"/>
  <c r="V295" i="2"/>
  <c r="V296" i="2"/>
  <c r="V297" i="2"/>
  <c r="V298" i="2"/>
  <c r="V299" i="2"/>
  <c r="V300" i="2"/>
  <c r="V301" i="2"/>
  <c r="V302" i="2"/>
  <c r="V303" i="2"/>
  <c r="V304" i="2"/>
  <c r="V305" i="2"/>
  <c r="V306" i="2"/>
  <c r="V307" i="2"/>
  <c r="V308" i="2"/>
  <c r="V309" i="2"/>
  <c r="V310" i="2"/>
  <c r="V311" i="2"/>
  <c r="V312" i="2"/>
  <c r="V313" i="2"/>
  <c r="V314" i="2"/>
  <c r="V315" i="2"/>
  <c r="V316" i="2"/>
  <c r="V317" i="2"/>
  <c r="V318" i="2"/>
  <c r="V319" i="2"/>
  <c r="V320" i="2"/>
  <c r="V321" i="2"/>
  <c r="V322" i="2"/>
  <c r="V323" i="2"/>
  <c r="V324" i="2"/>
  <c r="V325" i="2"/>
  <c r="V326" i="2"/>
  <c r="V327" i="2"/>
  <c r="V328" i="2"/>
  <c r="V329" i="2"/>
  <c r="V330" i="2"/>
  <c r="V331" i="2"/>
  <c r="V332" i="2"/>
  <c r="V333" i="2"/>
  <c r="V334" i="2"/>
  <c r="V335" i="2"/>
  <c r="V336" i="2"/>
  <c r="V337" i="2"/>
  <c r="V338" i="2"/>
  <c r="V339" i="2"/>
  <c r="V340" i="2"/>
  <c r="V341" i="2"/>
  <c r="V342" i="2"/>
  <c r="V343" i="2"/>
  <c r="V344" i="2"/>
  <c r="V345" i="2"/>
  <c r="V346" i="2"/>
  <c r="V347" i="2"/>
  <c r="V348" i="2"/>
  <c r="V349" i="2"/>
  <c r="V350" i="2"/>
  <c r="V351" i="2"/>
  <c r="V352" i="2"/>
  <c r="V353" i="2"/>
  <c r="V354" i="2"/>
  <c r="V355" i="2"/>
  <c r="V356" i="2"/>
  <c r="V357" i="2"/>
  <c r="V358" i="2"/>
  <c r="V359" i="2"/>
  <c r="V360" i="2"/>
  <c r="V361" i="2"/>
  <c r="V362" i="2"/>
  <c r="V363" i="2"/>
  <c r="V364" i="2"/>
  <c r="V365" i="2"/>
  <c r="V366" i="2"/>
  <c r="V367" i="2"/>
  <c r="V368" i="2"/>
  <c r="V369" i="2"/>
  <c r="V370" i="2"/>
  <c r="V371" i="2"/>
  <c r="V372" i="2"/>
  <c r="V373" i="2"/>
  <c r="V374" i="2"/>
  <c r="V375" i="2"/>
  <c r="V376" i="2"/>
  <c r="V377" i="2"/>
  <c r="V378" i="2"/>
  <c r="V379" i="2"/>
  <c r="V380" i="2"/>
  <c r="V381" i="2"/>
  <c r="V382" i="2"/>
  <c r="V383" i="2"/>
  <c r="V384" i="2"/>
  <c r="V385" i="2"/>
  <c r="V386" i="2"/>
  <c r="V387" i="2"/>
  <c r="V388" i="2"/>
  <c r="V389" i="2"/>
  <c r="V390" i="2"/>
  <c r="V391" i="2"/>
  <c r="V392" i="2"/>
  <c r="V393" i="2"/>
  <c r="V394" i="2"/>
  <c r="V395" i="2"/>
  <c r="V396" i="2"/>
  <c r="V397" i="2"/>
  <c r="V398" i="2"/>
  <c r="V399" i="2"/>
  <c r="V400" i="2"/>
  <c r="V401" i="2"/>
  <c r="V402" i="2"/>
  <c r="V403" i="2"/>
  <c r="V404" i="2"/>
  <c r="V405" i="2"/>
  <c r="V406" i="2"/>
  <c r="V407" i="2"/>
  <c r="V408" i="2"/>
  <c r="V409" i="2"/>
  <c r="V410" i="2"/>
  <c r="V411" i="2"/>
  <c r="V412" i="2"/>
  <c r="V413" i="2"/>
  <c r="V414" i="2"/>
  <c r="V415" i="2"/>
  <c r="V416" i="2"/>
  <c r="V417" i="2"/>
  <c r="V418" i="2"/>
  <c r="V419" i="2"/>
  <c r="V420" i="2"/>
  <c r="V421" i="2"/>
  <c r="V422" i="2"/>
  <c r="V423" i="2"/>
  <c r="V424" i="2"/>
  <c r="V425" i="2"/>
  <c r="V426" i="2"/>
  <c r="V427" i="2"/>
  <c r="V428" i="2"/>
  <c r="V429" i="2"/>
  <c r="V430" i="2"/>
  <c r="V431" i="2"/>
  <c r="V432" i="2"/>
  <c r="V433" i="2"/>
  <c r="V434" i="2"/>
  <c r="V435" i="2"/>
  <c r="V436" i="2"/>
  <c r="V437" i="2"/>
  <c r="V438" i="2"/>
  <c r="V439" i="2"/>
  <c r="V440" i="2"/>
  <c r="V441" i="2"/>
  <c r="V442" i="2"/>
  <c r="V443" i="2"/>
  <c r="V444" i="2"/>
  <c r="V445" i="2"/>
  <c r="V446" i="2"/>
  <c r="V447" i="2"/>
  <c r="V448" i="2"/>
  <c r="V449" i="2"/>
  <c r="V450" i="2"/>
  <c r="V451" i="2"/>
  <c r="V452" i="2"/>
  <c r="V453" i="2"/>
  <c r="V454" i="2"/>
  <c r="V455" i="2"/>
  <c r="V456" i="2"/>
  <c r="V457" i="2"/>
  <c r="V458" i="2"/>
  <c r="V459" i="2"/>
  <c r="V460" i="2"/>
  <c r="V461" i="2"/>
  <c r="V462" i="2"/>
  <c r="V463" i="2"/>
  <c r="V464" i="2"/>
  <c r="V465" i="2"/>
  <c r="V466" i="2"/>
  <c r="V467" i="2"/>
  <c r="V468" i="2"/>
  <c r="V469" i="2"/>
  <c r="V7" i="2"/>
  <c r="X5" i="2" s="1"/>
  <c r="E7" i="3" s="1"/>
  <c r="Z5" i="2"/>
  <c r="Y5" i="2"/>
  <c r="AA5" i="1"/>
  <c r="V5" i="4" l="1"/>
  <c r="V5" i="2"/>
  <c r="AB5" i="4"/>
  <c r="AD5" i="4" s="1"/>
  <c r="AB5" i="2"/>
  <c r="AC5" i="2"/>
  <c r="AD5" i="2" s="1"/>
  <c r="AB5" i="1"/>
  <c r="AD5" i="1" l="1"/>
  <c r="F6" i="3"/>
  <c r="C8" i="3"/>
  <c r="B5" i="4"/>
  <c r="D8" i="3" s="1"/>
  <c r="B3" i="4"/>
  <c r="B5" i="2"/>
  <c r="D7" i="3" s="1"/>
  <c r="B3" i="2"/>
  <c r="C7" i="3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252" i="1"/>
  <c r="V253" i="1"/>
  <c r="V254" i="1"/>
  <c r="V255" i="1"/>
  <c r="V256" i="1"/>
  <c r="V257" i="1"/>
  <c r="V258" i="1"/>
  <c r="V259" i="1"/>
  <c r="V260" i="1"/>
  <c r="V261" i="1"/>
  <c r="V262" i="1"/>
  <c r="V263" i="1"/>
  <c r="V264" i="1"/>
  <c r="V265" i="1"/>
  <c r="V266" i="1"/>
  <c r="V267" i="1"/>
  <c r="V268" i="1"/>
  <c r="V269" i="1"/>
  <c r="V270" i="1"/>
  <c r="V271" i="1"/>
  <c r="V272" i="1"/>
  <c r="V273" i="1"/>
  <c r="V274" i="1"/>
  <c r="V275" i="1"/>
  <c r="V276" i="1"/>
  <c r="V277" i="1"/>
  <c r="V278" i="1"/>
  <c r="V279" i="1"/>
  <c r="V280" i="1"/>
  <c r="V281" i="1"/>
  <c r="V282" i="1"/>
  <c r="V283" i="1"/>
  <c r="V284" i="1"/>
  <c r="V285" i="1"/>
  <c r="V286" i="1"/>
  <c r="V287" i="1"/>
  <c r="V288" i="1"/>
  <c r="V289" i="1"/>
  <c r="V290" i="1"/>
  <c r="V291" i="1"/>
  <c r="V292" i="1"/>
  <c r="V293" i="1"/>
  <c r="V294" i="1"/>
  <c r="V295" i="1"/>
  <c r="V296" i="1"/>
  <c r="V297" i="1"/>
  <c r="V298" i="1"/>
  <c r="V299" i="1"/>
  <c r="V300" i="1"/>
  <c r="V301" i="1"/>
  <c r="V302" i="1"/>
  <c r="V303" i="1"/>
  <c r="V304" i="1"/>
  <c r="V305" i="1"/>
  <c r="V306" i="1"/>
  <c r="V307" i="1"/>
  <c r="V308" i="1"/>
  <c r="V309" i="1"/>
  <c r="V310" i="1"/>
  <c r="V311" i="1"/>
  <c r="V312" i="1"/>
  <c r="V313" i="1"/>
  <c r="V314" i="1"/>
  <c r="V315" i="1"/>
  <c r="V316" i="1"/>
  <c r="V317" i="1"/>
  <c r="V318" i="1"/>
  <c r="V319" i="1"/>
  <c r="V320" i="1"/>
  <c r="V321" i="1"/>
  <c r="V322" i="1"/>
  <c r="V323" i="1"/>
  <c r="V324" i="1"/>
  <c r="V325" i="1"/>
  <c r="V326" i="1"/>
  <c r="V327" i="1"/>
  <c r="V328" i="1"/>
  <c r="V329" i="1"/>
  <c r="V330" i="1"/>
  <c r="V331" i="1"/>
  <c r="V332" i="1"/>
  <c r="V333" i="1"/>
  <c r="V334" i="1"/>
  <c r="V335" i="1"/>
  <c r="V336" i="1"/>
  <c r="V337" i="1"/>
  <c r="V338" i="1"/>
  <c r="V339" i="1"/>
  <c r="V340" i="1"/>
  <c r="V341" i="1"/>
  <c r="V342" i="1"/>
  <c r="V343" i="1"/>
  <c r="V344" i="1"/>
  <c r="V345" i="1"/>
  <c r="V346" i="1"/>
  <c r="V347" i="1"/>
  <c r="V348" i="1"/>
  <c r="V349" i="1"/>
  <c r="V350" i="1"/>
  <c r="V351" i="1"/>
  <c r="V352" i="1"/>
  <c r="V353" i="1"/>
  <c r="V354" i="1"/>
  <c r="V355" i="1"/>
  <c r="V356" i="1"/>
  <c r="V357" i="1"/>
  <c r="V358" i="1"/>
  <c r="V359" i="1"/>
  <c r="V360" i="1"/>
  <c r="V361" i="1"/>
  <c r="V362" i="1"/>
  <c r="V363" i="1"/>
  <c r="V364" i="1"/>
  <c r="V365" i="1"/>
  <c r="V366" i="1"/>
  <c r="V367" i="1"/>
  <c r="V368" i="1"/>
  <c r="V369" i="1"/>
  <c r="V370" i="1"/>
  <c r="V371" i="1"/>
  <c r="V372" i="1"/>
  <c r="V373" i="1"/>
  <c r="V374" i="1"/>
  <c r="V375" i="1"/>
  <c r="V376" i="1"/>
  <c r="V377" i="1"/>
  <c r="V378" i="1"/>
  <c r="V379" i="1"/>
  <c r="V380" i="1"/>
  <c r="V381" i="1"/>
  <c r="V382" i="1"/>
  <c r="V383" i="1"/>
  <c r="V384" i="1"/>
  <c r="V385" i="1"/>
  <c r="V386" i="1"/>
  <c r="V387" i="1"/>
  <c r="V388" i="1"/>
  <c r="V389" i="1"/>
  <c r="V390" i="1"/>
  <c r="V391" i="1"/>
  <c r="V392" i="1"/>
  <c r="V393" i="1"/>
  <c r="V394" i="1"/>
  <c r="V395" i="1"/>
  <c r="V396" i="1"/>
  <c r="V397" i="1"/>
  <c r="V398" i="1"/>
  <c r="V399" i="1"/>
  <c r="V400" i="1"/>
  <c r="V401" i="1"/>
  <c r="V402" i="1"/>
  <c r="V403" i="1"/>
  <c r="V404" i="1"/>
  <c r="V405" i="1"/>
  <c r="V406" i="1"/>
  <c r="V407" i="1"/>
  <c r="V408" i="1"/>
  <c r="V409" i="1"/>
  <c r="V410" i="1"/>
  <c r="V411" i="1"/>
  <c r="V412" i="1"/>
  <c r="V413" i="1"/>
  <c r="V414" i="1"/>
  <c r="V415" i="1"/>
  <c r="V416" i="1"/>
  <c r="V417" i="1"/>
  <c r="V418" i="1"/>
  <c r="V419" i="1"/>
  <c r="V420" i="1"/>
  <c r="V421" i="1"/>
  <c r="V422" i="1"/>
  <c r="V423" i="1"/>
  <c r="V424" i="1"/>
  <c r="V425" i="1"/>
  <c r="V426" i="1"/>
  <c r="V427" i="1"/>
  <c r="V428" i="1"/>
  <c r="V429" i="1"/>
  <c r="V430" i="1"/>
  <c r="V7" i="1"/>
  <c r="X5" i="1" s="1"/>
  <c r="E6" i="3" s="1"/>
  <c r="F4" i="3" l="1"/>
  <c r="F3" i="3"/>
  <c r="E3" i="3"/>
  <c r="E4" i="3"/>
  <c r="V5" i="1"/>
  <c r="F5" i="3" l="1"/>
  <c r="E5" i="3"/>
  <c r="B5" i="1"/>
  <c r="D6" i="3" s="1"/>
  <c r="C6" i="3"/>
  <c r="B3" i="1"/>
  <c r="C3" i="3" l="1"/>
  <c r="C4" i="3"/>
  <c r="D4" i="3"/>
  <c r="D3" i="3"/>
  <c r="D5" i="3" l="1"/>
  <c r="C5" i="3"/>
</calcChain>
</file>

<file path=xl/sharedStrings.xml><?xml version="1.0" encoding="utf-8"?>
<sst xmlns="http://schemas.openxmlformats.org/spreadsheetml/2006/main" count="114" uniqueCount="26">
  <si>
    <t>E0</t>
  </si>
  <si>
    <t>E1</t>
  </si>
  <si>
    <t>E2</t>
  </si>
  <si>
    <t>E3</t>
  </si>
  <si>
    <t>Analog</t>
  </si>
  <si>
    <t>Index [1]</t>
  </si>
  <si>
    <t>?L/L0 [1]</t>
  </si>
  <si>
    <t>?L [mm]</t>
  </si>
  <si>
    <t>L1 [mm]</t>
  </si>
  <si>
    <t>L0 [mm]</t>
  </si>
  <si>
    <t>Time_1</t>
  </si>
  <si>
    <t>Time_0</t>
  </si>
  <si>
    <t>Dev1/ai0</t>
  </si>
  <si>
    <t>Force_[N]</t>
  </si>
  <si>
    <t>stress</t>
  </si>
  <si>
    <t>w</t>
  </si>
  <si>
    <t>t</t>
  </si>
  <si>
    <t>Ult Stress, MPa</t>
  </si>
  <si>
    <t>Failure Strain, %</t>
  </si>
  <si>
    <r>
      <t>ν</t>
    </r>
    <r>
      <rPr>
        <vertAlign val="subscript"/>
        <sz val="11"/>
        <color theme="1"/>
        <rFont val="Calibri"/>
        <family val="2"/>
        <charset val="204"/>
      </rPr>
      <t>yx</t>
    </r>
  </si>
  <si>
    <t>average</t>
  </si>
  <si>
    <t>sr. dev.</t>
  </si>
  <si>
    <t>CV</t>
  </si>
  <si>
    <r>
      <t>E</t>
    </r>
    <r>
      <rPr>
        <vertAlign val="subscript"/>
        <sz val="11"/>
        <color theme="1"/>
        <rFont val="Calibri"/>
        <family val="2"/>
        <charset val="204"/>
        <scheme val="minor"/>
      </rPr>
      <t>x</t>
    </r>
    <r>
      <rPr>
        <sz val="11"/>
        <color theme="1"/>
        <rFont val="Calibri"/>
        <family val="2"/>
        <scheme val="minor"/>
      </rPr>
      <t>, MPa</t>
    </r>
  </si>
  <si>
    <t>Ult Load, N</t>
  </si>
  <si>
    <t>eps_y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</si>
</sst>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0.0%"/>
    <numFmt numFmtId="166" formatCode="0.0000"/>
    <numFmt numFmtId="167" formatCode="0.0"/>
  </numFmts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family val="2"/>
      <charset val="204"/>
    </font>
    <font>
      <vertAlign val="subscript"/>
      <sz val="11"/>
      <color theme="1"/>
      <name val="Calibri"/>
      <family val="2"/>
      <charset val="204"/>
    </font>
    <font>
      <vertAlign val="subscript"/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6">
    <xf numFmtId="0" fontId="0" fillId="0" borderId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18" fillId="12" borderId="0" applyNumberFormat="0" applyBorder="0" applyAlignment="0" applyProtection="0"/>
    <xf numFmtId="0" fontId="1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18" fillId="24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18" fillId="28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8" fillId="32" borderId="0" applyNumberFormat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1" fillId="0" borderId="0"/>
    <xf numFmtId="9" fontId="1" fillId="0" borderId="0" applyFont="0" applyFill="0" applyBorder="0" applyAlignment="0" applyProtection="0"/>
  </cellStyleXfs>
  <cellXfs count="22">
    <xf numFmtId="0" fontId="0" fillId="0" borderId="0" xfId="0"/>
    <xf numFmtId="11" fontId="0" fillId="0" borderId="0" xfId="0" applyNumberFormat="1"/>
    <xf numFmtId="0" fontId="19" fillId="0" borderId="0" xfId="0" applyFont="1"/>
    <xf numFmtId="164" fontId="2" fillId="0" borderId="0" xfId="43" applyNumberFormat="1"/>
    <xf numFmtId="165" fontId="0" fillId="0" borderId="0" xfId="42" applyNumberFormat="1" applyFont="1"/>
    <xf numFmtId="164" fontId="0" fillId="0" borderId="0" xfId="0" applyNumberFormat="1"/>
    <xf numFmtId="0" fontId="1" fillId="0" borderId="0" xfId="44"/>
    <xf numFmtId="11" fontId="1" fillId="0" borderId="0" xfId="44" applyNumberFormat="1"/>
    <xf numFmtId="10" fontId="0" fillId="0" borderId="0" xfId="45" applyNumberFormat="1" applyFont="1"/>
    <xf numFmtId="1" fontId="1" fillId="0" borderId="0" xfId="44" applyNumberFormat="1"/>
    <xf numFmtId="164" fontId="1" fillId="0" borderId="0" xfId="44" applyNumberFormat="1"/>
    <xf numFmtId="166" fontId="1" fillId="0" borderId="0" xfId="44" applyNumberFormat="1"/>
    <xf numFmtId="0" fontId="1" fillId="0" borderId="10" xfId="44" applyBorder="1"/>
    <xf numFmtId="10" fontId="0" fillId="33" borderId="10" xfId="45" applyNumberFormat="1" applyFont="1" applyFill="1" applyBorder="1"/>
    <xf numFmtId="1" fontId="1" fillId="33" borderId="10" xfId="44" applyNumberFormat="1" applyFill="1" applyBorder="1"/>
    <xf numFmtId="164" fontId="1" fillId="33" borderId="10" xfId="44" applyNumberFormat="1" applyFill="1" applyBorder="1"/>
    <xf numFmtId="167" fontId="1" fillId="0" borderId="10" xfId="44" applyNumberFormat="1" applyBorder="1"/>
    <xf numFmtId="10" fontId="0" fillId="0" borderId="10" xfId="45" applyNumberFormat="1" applyFont="1" applyBorder="1"/>
    <xf numFmtId="1" fontId="1" fillId="0" borderId="10" xfId="44" applyNumberFormat="1" applyBorder="1"/>
    <xf numFmtId="10" fontId="0" fillId="34" borderId="10" xfId="45" applyNumberFormat="1" applyFont="1" applyFill="1" applyBorder="1"/>
    <xf numFmtId="164" fontId="1" fillId="0" borderId="10" xfId="44" applyNumberFormat="1" applyBorder="1"/>
    <xf numFmtId="0" fontId="22" fillId="0" borderId="10" xfId="44" applyFont="1" applyBorder="1"/>
  </cellXfs>
  <cellStyles count="46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  <cellStyle name="Обычный 2" xfId="43" xr:uid="{045ECC01-BBD6-48D8-9230-062AC5CAFC0D}"/>
    <cellStyle name="Обычный 3" xfId="44" xr:uid="{6E44DD02-A24E-4741-A002-7138A2A66242}"/>
    <cellStyle name="Процентный 2" xfId="45" xr:uid="{55F2817B-90E2-4AB0-8903-1B9BD9714EC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baseline="0">
                <a:solidFill>
                  <a:sysClr val="windowText" lastClr="000000"/>
                </a:solidFill>
              </a:rPr>
              <a:t>Tension in X direction. Sample type 3</a:t>
            </a:r>
            <a:endParaRPr lang="ru-RU" sz="1400" b="0" i="0" u="none" strike="noStrike" kern="1200" baseline="0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2076859142607174"/>
          <c:y val="0.13375801983085447"/>
          <c:w val="0.82864216972878391"/>
          <c:h val="0.66625000000000001"/>
        </c:manualLayout>
      </c:layout>
      <c:scatterChart>
        <c:scatterStyle val="lineMarker"/>
        <c:varyColors val="0"/>
        <c:ser>
          <c:idx val="1"/>
          <c:order val="0"/>
          <c:tx>
            <c:v>L30CPTX-1</c:v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2"/>
          </c:marker>
          <c:xVal>
            <c:numRef>
              <c:f>'L30CPTX-1'!$B$7:$B$417</c:f>
              <c:numCache>
                <c:formatCode>0.00E+00</c:formatCode>
                <c:ptCount val="411"/>
                <c:pt idx="0" formatCode="General">
                  <c:v>0</c:v>
                </c:pt>
                <c:pt idx="1">
                  <c:v>-9.6237400000000001E-6</c:v>
                </c:pt>
                <c:pt idx="2">
                  <c:v>2.8467400000000001E-5</c:v>
                </c:pt>
                <c:pt idx="3">
                  <c:v>4.85617E-5</c:v>
                </c:pt>
                <c:pt idx="4" formatCode="General">
                  <c:v>1.3281E-4</c:v>
                </c:pt>
                <c:pt idx="5">
                  <c:v>7.2601600000000006E-5</c:v>
                </c:pt>
                <c:pt idx="6">
                  <c:v>8.0993499999999996E-5</c:v>
                </c:pt>
                <c:pt idx="7">
                  <c:v>7.1365799999999994E-5</c:v>
                </c:pt>
                <c:pt idx="8">
                  <c:v>8.8585199999999993E-5</c:v>
                </c:pt>
                <c:pt idx="9" formatCode="General">
                  <c:v>1.07899E-4</c:v>
                </c:pt>
                <c:pt idx="10" formatCode="General">
                  <c:v>1.2531400000000001E-4</c:v>
                </c:pt>
                <c:pt idx="11" formatCode="General">
                  <c:v>1.6745799999999999E-4</c:v>
                </c:pt>
                <c:pt idx="12" formatCode="General">
                  <c:v>1.6999699999999999E-4</c:v>
                </c:pt>
                <c:pt idx="13" formatCode="General">
                  <c:v>2.2569199999999999E-4</c:v>
                </c:pt>
                <c:pt idx="14" formatCode="General">
                  <c:v>2.6232000000000002E-4</c:v>
                </c:pt>
                <c:pt idx="15" formatCode="General">
                  <c:v>2.4120500000000001E-4</c:v>
                </c:pt>
                <c:pt idx="16" formatCode="General">
                  <c:v>2.8669900000000001E-4</c:v>
                </c:pt>
                <c:pt idx="17" formatCode="General">
                  <c:v>3.04037E-4</c:v>
                </c:pt>
                <c:pt idx="18" formatCode="General">
                  <c:v>3.0203700000000001E-4</c:v>
                </c:pt>
                <c:pt idx="19" formatCode="General">
                  <c:v>3.3367599999999998E-4</c:v>
                </c:pt>
                <c:pt idx="20" formatCode="General">
                  <c:v>3.5913299999999998E-4</c:v>
                </c:pt>
                <c:pt idx="21" formatCode="General">
                  <c:v>3.2269999999999998E-4</c:v>
                </c:pt>
                <c:pt idx="22" formatCode="General">
                  <c:v>3.6304600000000001E-4</c:v>
                </c:pt>
                <c:pt idx="23" formatCode="General">
                  <c:v>3.62092E-4</c:v>
                </c:pt>
                <c:pt idx="24" formatCode="General">
                  <c:v>2.9358100000000001E-4</c:v>
                </c:pt>
                <c:pt idx="25" formatCode="General">
                  <c:v>4.7600600000000001E-4</c:v>
                </c:pt>
                <c:pt idx="26" formatCode="General">
                  <c:v>4.8424500000000001E-4</c:v>
                </c:pt>
                <c:pt idx="27" formatCode="General">
                  <c:v>4.9406299999999999E-4</c:v>
                </c:pt>
                <c:pt idx="28" formatCode="General">
                  <c:v>4.6192E-4</c:v>
                </c:pt>
                <c:pt idx="29" formatCode="General">
                  <c:v>4.6202299999999999E-4</c:v>
                </c:pt>
                <c:pt idx="30" formatCode="General">
                  <c:v>4.9509800000000002E-4</c:v>
                </c:pt>
                <c:pt idx="31" formatCode="General">
                  <c:v>4.80302E-4</c:v>
                </c:pt>
                <c:pt idx="32" formatCode="General">
                  <c:v>5.0887600000000001E-4</c:v>
                </c:pt>
                <c:pt idx="33" formatCode="General">
                  <c:v>4.92528E-4</c:v>
                </c:pt>
                <c:pt idx="34" formatCode="General">
                  <c:v>5.0475300000000004E-4</c:v>
                </c:pt>
                <c:pt idx="35" formatCode="General">
                  <c:v>5.57669E-4</c:v>
                </c:pt>
                <c:pt idx="36" formatCode="General">
                  <c:v>5.2065599999999998E-4</c:v>
                </c:pt>
                <c:pt idx="37" formatCode="General">
                  <c:v>5.6266200000000001E-4</c:v>
                </c:pt>
                <c:pt idx="38" formatCode="General">
                  <c:v>6.1326900000000005E-4</c:v>
                </c:pt>
                <c:pt idx="39" formatCode="General">
                  <c:v>5.8314900000000004E-4</c:v>
                </c:pt>
                <c:pt idx="40" formatCode="General">
                  <c:v>6.0293599999999999E-4</c:v>
                </c:pt>
                <c:pt idx="41" formatCode="General">
                  <c:v>5.9453999999999996E-4</c:v>
                </c:pt>
                <c:pt idx="42" formatCode="General">
                  <c:v>6.3854199999999997E-4</c:v>
                </c:pt>
                <c:pt idx="43" formatCode="General">
                  <c:v>7.2149300000000003E-4</c:v>
                </c:pt>
                <c:pt idx="44" formatCode="General">
                  <c:v>7.1943699999999996E-4</c:v>
                </c:pt>
                <c:pt idx="45" formatCode="General">
                  <c:v>6.1595200000000001E-4</c:v>
                </c:pt>
                <c:pt idx="46" formatCode="General">
                  <c:v>6.4712199999999998E-4</c:v>
                </c:pt>
                <c:pt idx="47" formatCode="General">
                  <c:v>7.1452500000000003E-4</c:v>
                </c:pt>
                <c:pt idx="48" formatCode="General">
                  <c:v>7.0247300000000001E-4</c:v>
                </c:pt>
                <c:pt idx="49" formatCode="General">
                  <c:v>7.0178799999999996E-4</c:v>
                </c:pt>
                <c:pt idx="50" formatCode="General">
                  <c:v>7.2503499999999996E-4</c:v>
                </c:pt>
                <c:pt idx="51" formatCode="General">
                  <c:v>7.4122399999999996E-4</c:v>
                </c:pt>
                <c:pt idx="52" formatCode="General">
                  <c:v>7.4732900000000003E-4</c:v>
                </c:pt>
                <c:pt idx="53" formatCode="General">
                  <c:v>8.3342699999999997E-4</c:v>
                </c:pt>
                <c:pt idx="54" formatCode="General">
                  <c:v>7.7998499999999997E-4</c:v>
                </c:pt>
                <c:pt idx="55" formatCode="General">
                  <c:v>7.5309699999999999E-4</c:v>
                </c:pt>
                <c:pt idx="56" formatCode="General">
                  <c:v>7.9553399999999998E-4</c:v>
                </c:pt>
                <c:pt idx="57" formatCode="General">
                  <c:v>8.3064100000000002E-4</c:v>
                </c:pt>
                <c:pt idx="58" formatCode="General">
                  <c:v>7.8165000000000005E-4</c:v>
                </c:pt>
                <c:pt idx="59" formatCode="General">
                  <c:v>8.3753400000000002E-4</c:v>
                </c:pt>
                <c:pt idx="60" formatCode="General">
                  <c:v>9.04863E-4</c:v>
                </c:pt>
                <c:pt idx="61" formatCode="General">
                  <c:v>8.5576100000000002E-4</c:v>
                </c:pt>
                <c:pt idx="62" formatCode="General">
                  <c:v>9.0072399999999999E-4</c:v>
                </c:pt>
                <c:pt idx="63" formatCode="General">
                  <c:v>8.8862999999999995E-4</c:v>
                </c:pt>
                <c:pt idx="64" formatCode="General">
                  <c:v>8.9771999999999996E-4</c:v>
                </c:pt>
                <c:pt idx="65" formatCode="General">
                  <c:v>9.1442699999999999E-4</c:v>
                </c:pt>
                <c:pt idx="66" formatCode="General">
                  <c:v>9.5847499999999997E-4</c:v>
                </c:pt>
                <c:pt idx="67" formatCode="General">
                  <c:v>9.6073399999999998E-4</c:v>
                </c:pt>
                <c:pt idx="68" formatCode="General">
                  <c:v>9.4201400000000002E-4</c:v>
                </c:pt>
                <c:pt idx="69" formatCode="General">
                  <c:v>9.3498799999999999E-4</c:v>
                </c:pt>
                <c:pt idx="70" formatCode="General">
                  <c:v>9.9892699999999993E-4</c:v>
                </c:pt>
                <c:pt idx="71" formatCode="General">
                  <c:v>9.8148599999999995E-4</c:v>
                </c:pt>
                <c:pt idx="72" formatCode="General">
                  <c:v>1.0097999999999999E-3</c:v>
                </c:pt>
                <c:pt idx="73" formatCode="General">
                  <c:v>1.0605300000000001E-3</c:v>
                </c:pt>
                <c:pt idx="74" formatCode="General">
                  <c:v>1.0210200000000001E-3</c:v>
                </c:pt>
                <c:pt idx="75" formatCode="General">
                  <c:v>1.0422599999999999E-3</c:v>
                </c:pt>
                <c:pt idx="76" formatCode="General">
                  <c:v>1.04126E-3</c:v>
                </c:pt>
                <c:pt idx="77" formatCode="General">
                  <c:v>1.09249E-3</c:v>
                </c:pt>
                <c:pt idx="78" formatCode="General">
                  <c:v>1.0475899999999999E-3</c:v>
                </c:pt>
                <c:pt idx="79" formatCode="General">
                  <c:v>1.1021900000000001E-3</c:v>
                </c:pt>
                <c:pt idx="80" formatCode="General">
                  <c:v>1.1206899999999999E-3</c:v>
                </c:pt>
                <c:pt idx="81" formatCode="General">
                  <c:v>1.13805E-3</c:v>
                </c:pt>
                <c:pt idx="82" formatCode="General">
                  <c:v>1.08946E-3</c:v>
                </c:pt>
                <c:pt idx="83" formatCode="General">
                  <c:v>1.1366900000000001E-3</c:v>
                </c:pt>
                <c:pt idx="84" formatCode="General">
                  <c:v>1.16238E-3</c:v>
                </c:pt>
                <c:pt idx="85" formatCode="General">
                  <c:v>1.1405499999999999E-3</c:v>
                </c:pt>
                <c:pt idx="86" formatCode="General">
                  <c:v>1.21363E-3</c:v>
                </c:pt>
                <c:pt idx="87" formatCode="General">
                  <c:v>1.2074E-3</c:v>
                </c:pt>
                <c:pt idx="88" formatCode="General">
                  <c:v>1.20134E-3</c:v>
                </c:pt>
                <c:pt idx="89" formatCode="General">
                  <c:v>1.1898099999999999E-3</c:v>
                </c:pt>
                <c:pt idx="90" formatCode="General">
                  <c:v>1.20988E-3</c:v>
                </c:pt>
                <c:pt idx="91" formatCode="General">
                  <c:v>1.2444000000000001E-3</c:v>
                </c:pt>
                <c:pt idx="92" formatCode="General">
                  <c:v>1.25143E-3</c:v>
                </c:pt>
                <c:pt idx="93" formatCode="General">
                  <c:v>1.23178E-3</c:v>
                </c:pt>
                <c:pt idx="94" formatCode="General">
                  <c:v>1.2555699999999999E-3</c:v>
                </c:pt>
                <c:pt idx="95" formatCode="General">
                  <c:v>1.3069100000000001E-3</c:v>
                </c:pt>
                <c:pt idx="96" formatCode="General">
                  <c:v>1.3119099999999999E-3</c:v>
                </c:pt>
                <c:pt idx="97" formatCode="General">
                  <c:v>1.29298E-3</c:v>
                </c:pt>
                <c:pt idx="98" formatCode="General">
                  <c:v>1.30294E-3</c:v>
                </c:pt>
                <c:pt idx="99" formatCode="General">
                  <c:v>1.33183E-3</c:v>
                </c:pt>
                <c:pt idx="100" formatCode="General">
                  <c:v>1.3300899999999999E-3</c:v>
                </c:pt>
                <c:pt idx="101" formatCode="General">
                  <c:v>1.3077500000000001E-3</c:v>
                </c:pt>
                <c:pt idx="102" formatCode="General">
                  <c:v>1.3924199999999999E-3</c:v>
                </c:pt>
                <c:pt idx="103" formatCode="General">
                  <c:v>1.36725E-3</c:v>
                </c:pt>
                <c:pt idx="104" formatCode="General">
                  <c:v>1.4584999999999999E-3</c:v>
                </c:pt>
                <c:pt idx="105" formatCode="General">
                  <c:v>1.43585E-3</c:v>
                </c:pt>
                <c:pt idx="106" formatCode="General">
                  <c:v>1.40683E-3</c:v>
                </c:pt>
                <c:pt idx="107" formatCode="General">
                  <c:v>1.4278800000000001E-3</c:v>
                </c:pt>
                <c:pt idx="108" formatCode="General">
                  <c:v>1.43794E-3</c:v>
                </c:pt>
                <c:pt idx="109" formatCode="General">
                  <c:v>1.4544600000000001E-3</c:v>
                </c:pt>
                <c:pt idx="110" formatCode="General">
                  <c:v>1.4450699999999999E-3</c:v>
                </c:pt>
                <c:pt idx="111" formatCode="General">
                  <c:v>1.41822E-3</c:v>
                </c:pt>
                <c:pt idx="112" formatCode="General">
                  <c:v>1.53122E-3</c:v>
                </c:pt>
                <c:pt idx="113" formatCode="General">
                  <c:v>1.4820899999999999E-3</c:v>
                </c:pt>
                <c:pt idx="114" formatCode="General">
                  <c:v>1.53651E-3</c:v>
                </c:pt>
                <c:pt idx="115" formatCode="General">
                  <c:v>1.5200700000000001E-3</c:v>
                </c:pt>
                <c:pt idx="116" formatCode="General">
                  <c:v>1.6081100000000001E-3</c:v>
                </c:pt>
                <c:pt idx="117" formatCode="General">
                  <c:v>1.52867E-3</c:v>
                </c:pt>
                <c:pt idx="118" formatCode="General">
                  <c:v>1.52305E-3</c:v>
                </c:pt>
                <c:pt idx="119" formatCode="General">
                  <c:v>1.5728599999999999E-3</c:v>
                </c:pt>
                <c:pt idx="120" formatCode="General">
                  <c:v>1.5520200000000001E-3</c:v>
                </c:pt>
                <c:pt idx="121" formatCode="General">
                  <c:v>1.5620600000000001E-3</c:v>
                </c:pt>
                <c:pt idx="122" formatCode="General">
                  <c:v>1.5784499999999999E-3</c:v>
                </c:pt>
                <c:pt idx="123" formatCode="General">
                  <c:v>1.62174E-3</c:v>
                </c:pt>
                <c:pt idx="124" formatCode="General">
                  <c:v>1.6366200000000001E-3</c:v>
                </c:pt>
                <c:pt idx="125" formatCode="General">
                  <c:v>1.6523E-3</c:v>
                </c:pt>
                <c:pt idx="126" formatCode="General">
                  <c:v>1.6885400000000001E-3</c:v>
                </c:pt>
                <c:pt idx="127" formatCode="General">
                  <c:v>1.72697E-3</c:v>
                </c:pt>
                <c:pt idx="128" formatCode="General">
                  <c:v>1.6619200000000001E-3</c:v>
                </c:pt>
                <c:pt idx="129" formatCode="General">
                  <c:v>1.6691500000000001E-3</c:v>
                </c:pt>
                <c:pt idx="130" formatCode="General">
                  <c:v>1.75414E-3</c:v>
                </c:pt>
                <c:pt idx="131" formatCode="General">
                  <c:v>1.7277099999999999E-3</c:v>
                </c:pt>
                <c:pt idx="132" formatCode="General">
                  <c:v>1.74412E-3</c:v>
                </c:pt>
                <c:pt idx="133" formatCode="General">
                  <c:v>1.7499600000000001E-3</c:v>
                </c:pt>
                <c:pt idx="134" formatCode="General">
                  <c:v>1.74942E-3</c:v>
                </c:pt>
                <c:pt idx="135" formatCode="General">
                  <c:v>1.81968E-3</c:v>
                </c:pt>
                <c:pt idx="136" formatCode="General">
                  <c:v>1.7634199999999999E-3</c:v>
                </c:pt>
                <c:pt idx="137" formatCode="General">
                  <c:v>1.8335000000000001E-3</c:v>
                </c:pt>
                <c:pt idx="138" formatCode="General">
                  <c:v>1.84344E-3</c:v>
                </c:pt>
                <c:pt idx="139" formatCode="General">
                  <c:v>1.8381700000000001E-3</c:v>
                </c:pt>
                <c:pt idx="140" formatCode="General">
                  <c:v>1.8045100000000001E-3</c:v>
                </c:pt>
                <c:pt idx="141" formatCode="General">
                  <c:v>1.8770900000000001E-3</c:v>
                </c:pt>
                <c:pt idx="142" formatCode="General">
                  <c:v>1.89003E-3</c:v>
                </c:pt>
                <c:pt idx="143" formatCode="General">
                  <c:v>1.83073E-3</c:v>
                </c:pt>
                <c:pt idx="144" formatCode="General">
                  <c:v>1.9843199999999999E-3</c:v>
                </c:pt>
                <c:pt idx="145" formatCode="General">
                  <c:v>1.9057900000000001E-3</c:v>
                </c:pt>
                <c:pt idx="146" formatCode="General">
                  <c:v>1.92946E-3</c:v>
                </c:pt>
                <c:pt idx="147" formatCode="General">
                  <c:v>1.95392E-3</c:v>
                </c:pt>
                <c:pt idx="148" formatCode="General">
                  <c:v>2.00285E-3</c:v>
                </c:pt>
                <c:pt idx="149" formatCode="General">
                  <c:v>2.0514800000000001E-3</c:v>
                </c:pt>
                <c:pt idx="150" formatCode="General">
                  <c:v>1.99315E-3</c:v>
                </c:pt>
                <c:pt idx="151" formatCode="General">
                  <c:v>1.9773400000000002E-3</c:v>
                </c:pt>
                <c:pt idx="152" formatCode="General">
                  <c:v>2.0371399999999998E-3</c:v>
                </c:pt>
                <c:pt idx="153" formatCode="General">
                  <c:v>1.99533E-3</c:v>
                </c:pt>
                <c:pt idx="154" formatCode="General">
                  <c:v>2.0384999999999999E-3</c:v>
                </c:pt>
                <c:pt idx="155" formatCode="General">
                  <c:v>2.0640799999999998E-3</c:v>
                </c:pt>
                <c:pt idx="156" formatCode="General">
                  <c:v>2.1091299999999999E-3</c:v>
                </c:pt>
                <c:pt idx="157" formatCode="General">
                  <c:v>2.1093499999999999E-3</c:v>
                </c:pt>
                <c:pt idx="158" formatCode="General">
                  <c:v>2.1334800000000001E-3</c:v>
                </c:pt>
                <c:pt idx="159" formatCode="General">
                  <c:v>2.1292099999999999E-3</c:v>
                </c:pt>
                <c:pt idx="160" formatCode="General">
                  <c:v>2.1557299999999998E-3</c:v>
                </c:pt>
                <c:pt idx="161" formatCode="General">
                  <c:v>2.19688E-3</c:v>
                </c:pt>
                <c:pt idx="162" formatCode="General">
                  <c:v>2.1843499999999998E-3</c:v>
                </c:pt>
                <c:pt idx="163" formatCode="General">
                  <c:v>2.1895E-3</c:v>
                </c:pt>
                <c:pt idx="164" formatCode="General">
                  <c:v>2.1531699999999998E-3</c:v>
                </c:pt>
                <c:pt idx="165" formatCode="General">
                  <c:v>2.1664800000000001E-3</c:v>
                </c:pt>
                <c:pt idx="166" formatCode="General">
                  <c:v>2.19959E-3</c:v>
                </c:pt>
                <c:pt idx="167" formatCode="General">
                  <c:v>2.22134E-3</c:v>
                </c:pt>
                <c:pt idx="168" formatCode="General">
                  <c:v>2.2410899999999998E-3</c:v>
                </c:pt>
                <c:pt idx="169" formatCode="General">
                  <c:v>2.27158E-3</c:v>
                </c:pt>
                <c:pt idx="170" formatCode="General">
                  <c:v>2.2531299999999999E-3</c:v>
                </c:pt>
                <c:pt idx="171" formatCode="General">
                  <c:v>2.3222300000000002E-3</c:v>
                </c:pt>
                <c:pt idx="172" formatCode="General">
                  <c:v>2.3449E-3</c:v>
                </c:pt>
                <c:pt idx="173" formatCode="General">
                  <c:v>2.2830799999999998E-3</c:v>
                </c:pt>
                <c:pt idx="174" formatCode="General">
                  <c:v>2.3414099999999999E-3</c:v>
                </c:pt>
                <c:pt idx="175" formatCode="General">
                  <c:v>2.3640800000000002E-3</c:v>
                </c:pt>
                <c:pt idx="176" formatCode="General">
                  <c:v>2.36841E-3</c:v>
                </c:pt>
                <c:pt idx="177" formatCode="General">
                  <c:v>2.3957200000000001E-3</c:v>
                </c:pt>
                <c:pt idx="178" formatCode="General">
                  <c:v>2.4069199999999999E-3</c:v>
                </c:pt>
                <c:pt idx="179" formatCode="General">
                  <c:v>2.5117999999999998E-3</c:v>
                </c:pt>
                <c:pt idx="180" formatCode="General">
                  <c:v>2.3272100000000001E-3</c:v>
                </c:pt>
                <c:pt idx="181" formatCode="General">
                  <c:v>2.4439900000000001E-3</c:v>
                </c:pt>
                <c:pt idx="182" formatCode="General">
                  <c:v>2.43428E-3</c:v>
                </c:pt>
                <c:pt idx="183" formatCode="General">
                  <c:v>2.4714799999999999E-3</c:v>
                </c:pt>
                <c:pt idx="184" formatCode="General">
                  <c:v>2.48628E-3</c:v>
                </c:pt>
                <c:pt idx="185" formatCode="General">
                  <c:v>2.5304300000000002E-3</c:v>
                </c:pt>
                <c:pt idx="186" formatCode="General">
                  <c:v>2.55091E-3</c:v>
                </c:pt>
                <c:pt idx="187" formatCode="General">
                  <c:v>2.53996E-3</c:v>
                </c:pt>
                <c:pt idx="188" formatCode="General">
                  <c:v>2.56288E-3</c:v>
                </c:pt>
                <c:pt idx="189" formatCode="General">
                  <c:v>2.5533600000000002E-3</c:v>
                </c:pt>
                <c:pt idx="190" formatCode="General">
                  <c:v>2.5601899999999999E-3</c:v>
                </c:pt>
                <c:pt idx="191" formatCode="General">
                  <c:v>2.5394100000000002E-3</c:v>
                </c:pt>
                <c:pt idx="192" formatCode="General">
                  <c:v>2.5865300000000001E-3</c:v>
                </c:pt>
                <c:pt idx="193" formatCode="General">
                  <c:v>2.6028499999999999E-3</c:v>
                </c:pt>
                <c:pt idx="194" formatCode="General">
                  <c:v>2.6136800000000002E-3</c:v>
                </c:pt>
                <c:pt idx="195" formatCode="General">
                  <c:v>2.5925499999999999E-3</c:v>
                </c:pt>
                <c:pt idx="196" formatCode="General">
                  <c:v>2.6552099999999999E-3</c:v>
                </c:pt>
                <c:pt idx="197" formatCode="General">
                  <c:v>2.6301900000000001E-3</c:v>
                </c:pt>
                <c:pt idx="198" formatCode="General">
                  <c:v>2.7014500000000002E-3</c:v>
                </c:pt>
                <c:pt idx="199" formatCode="General">
                  <c:v>2.6400299999999998E-3</c:v>
                </c:pt>
                <c:pt idx="200" formatCode="General">
                  <c:v>2.6669300000000001E-3</c:v>
                </c:pt>
                <c:pt idx="201" formatCode="General">
                  <c:v>2.6755899999999998E-3</c:v>
                </c:pt>
                <c:pt idx="202" formatCode="General">
                  <c:v>2.7177799999999999E-3</c:v>
                </c:pt>
                <c:pt idx="203" formatCode="General">
                  <c:v>2.7246100000000001E-3</c:v>
                </c:pt>
                <c:pt idx="204" formatCode="General">
                  <c:v>2.7347999999999999E-3</c:v>
                </c:pt>
                <c:pt idx="205" formatCode="General">
                  <c:v>2.7812700000000002E-3</c:v>
                </c:pt>
                <c:pt idx="206" formatCode="General">
                  <c:v>2.7709700000000002E-3</c:v>
                </c:pt>
                <c:pt idx="207" formatCode="General">
                  <c:v>2.7992099999999999E-3</c:v>
                </c:pt>
                <c:pt idx="208" formatCode="General">
                  <c:v>2.74566E-3</c:v>
                </c:pt>
                <c:pt idx="209" formatCode="General">
                  <c:v>2.8195500000000001E-3</c:v>
                </c:pt>
                <c:pt idx="210" formatCode="General">
                  <c:v>2.83498E-3</c:v>
                </c:pt>
                <c:pt idx="211" formatCode="General">
                  <c:v>2.8823899999999999E-3</c:v>
                </c:pt>
                <c:pt idx="212" formatCode="General">
                  <c:v>2.8818699999999999E-3</c:v>
                </c:pt>
                <c:pt idx="213" formatCode="General">
                  <c:v>2.9006399999999999E-3</c:v>
                </c:pt>
                <c:pt idx="214" formatCode="General">
                  <c:v>2.8820199999999999E-3</c:v>
                </c:pt>
                <c:pt idx="215" formatCode="General">
                  <c:v>2.9030100000000001E-3</c:v>
                </c:pt>
                <c:pt idx="216" formatCode="General">
                  <c:v>2.9048899999999998E-3</c:v>
                </c:pt>
                <c:pt idx="217" formatCode="General">
                  <c:v>2.8873599999999998E-3</c:v>
                </c:pt>
                <c:pt idx="218" formatCode="General">
                  <c:v>2.9688200000000001E-3</c:v>
                </c:pt>
                <c:pt idx="219" formatCode="General">
                  <c:v>2.94896E-3</c:v>
                </c:pt>
                <c:pt idx="220" formatCode="General">
                  <c:v>3.0084700000000001E-3</c:v>
                </c:pt>
                <c:pt idx="221" formatCode="General">
                  <c:v>2.9885799999999998E-3</c:v>
                </c:pt>
                <c:pt idx="222" formatCode="General">
                  <c:v>2.97109E-3</c:v>
                </c:pt>
                <c:pt idx="223" formatCode="General">
                  <c:v>2.9739900000000001E-3</c:v>
                </c:pt>
                <c:pt idx="224" formatCode="General">
                  <c:v>2.9833300000000002E-3</c:v>
                </c:pt>
                <c:pt idx="225" formatCode="General">
                  <c:v>3.02959E-3</c:v>
                </c:pt>
                <c:pt idx="226" formatCode="General">
                  <c:v>3.0313699999999998E-3</c:v>
                </c:pt>
                <c:pt idx="227" formatCode="General">
                  <c:v>3.0627699999999998E-3</c:v>
                </c:pt>
                <c:pt idx="228" formatCode="General">
                  <c:v>3.1225200000000002E-3</c:v>
                </c:pt>
                <c:pt idx="229" formatCode="General">
                  <c:v>3.0575200000000002E-3</c:v>
                </c:pt>
                <c:pt idx="230" formatCode="General">
                  <c:v>3.0617299999999999E-3</c:v>
                </c:pt>
                <c:pt idx="231" formatCode="General">
                  <c:v>3.0907600000000001E-3</c:v>
                </c:pt>
                <c:pt idx="232" formatCode="General">
                  <c:v>3.13416E-3</c:v>
                </c:pt>
                <c:pt idx="233" formatCode="General">
                  <c:v>3.0949300000000001E-3</c:v>
                </c:pt>
                <c:pt idx="234" formatCode="General">
                  <c:v>3.18607E-3</c:v>
                </c:pt>
                <c:pt idx="235" formatCode="General">
                  <c:v>3.1521800000000001E-3</c:v>
                </c:pt>
                <c:pt idx="236" formatCode="General">
                  <c:v>3.2437500000000001E-3</c:v>
                </c:pt>
                <c:pt idx="237" formatCode="General">
                  <c:v>3.1568899999999999E-3</c:v>
                </c:pt>
                <c:pt idx="238" formatCode="General">
                  <c:v>3.1321700000000001E-3</c:v>
                </c:pt>
                <c:pt idx="239" formatCode="General">
                  <c:v>3.3207599999999999E-3</c:v>
                </c:pt>
                <c:pt idx="240" formatCode="General">
                  <c:v>3.2896399999999999E-3</c:v>
                </c:pt>
                <c:pt idx="241" formatCode="General">
                  <c:v>3.2268700000000002E-3</c:v>
                </c:pt>
                <c:pt idx="242" formatCode="General">
                  <c:v>3.27823E-3</c:v>
                </c:pt>
                <c:pt idx="243" formatCode="General">
                  <c:v>3.2545600000000001E-3</c:v>
                </c:pt>
                <c:pt idx="244" formatCode="General">
                  <c:v>3.2471000000000002E-3</c:v>
                </c:pt>
                <c:pt idx="245" formatCode="General">
                  <c:v>3.3409099999999999E-3</c:v>
                </c:pt>
                <c:pt idx="246" formatCode="General">
                  <c:v>3.3467000000000002E-3</c:v>
                </c:pt>
                <c:pt idx="247" formatCode="General">
                  <c:v>3.3284600000000001E-3</c:v>
                </c:pt>
                <c:pt idx="248" formatCode="General">
                  <c:v>3.34221E-3</c:v>
                </c:pt>
                <c:pt idx="249" formatCode="General">
                  <c:v>3.3172599999999998E-3</c:v>
                </c:pt>
                <c:pt idx="250" formatCode="General">
                  <c:v>3.3352500000000001E-3</c:v>
                </c:pt>
                <c:pt idx="251" formatCode="General">
                  <c:v>3.4100900000000002E-3</c:v>
                </c:pt>
                <c:pt idx="252" formatCode="General">
                  <c:v>3.4442600000000002E-3</c:v>
                </c:pt>
                <c:pt idx="253" formatCode="General">
                  <c:v>3.3835499999999999E-3</c:v>
                </c:pt>
                <c:pt idx="254" formatCode="General">
                  <c:v>3.4268699999999998E-3</c:v>
                </c:pt>
                <c:pt idx="255" formatCode="General">
                  <c:v>3.4375400000000002E-3</c:v>
                </c:pt>
                <c:pt idx="256" formatCode="General">
                  <c:v>3.4807000000000002E-3</c:v>
                </c:pt>
                <c:pt idx="257" formatCode="General">
                  <c:v>3.4302099999999999E-3</c:v>
                </c:pt>
                <c:pt idx="258" formatCode="General">
                  <c:v>3.4537600000000002E-3</c:v>
                </c:pt>
                <c:pt idx="259" formatCode="General">
                  <c:v>3.50615E-3</c:v>
                </c:pt>
                <c:pt idx="260" formatCode="General">
                  <c:v>3.4914199999999999E-3</c:v>
                </c:pt>
                <c:pt idx="261" formatCode="General">
                  <c:v>3.5087400000000002E-3</c:v>
                </c:pt>
                <c:pt idx="262" formatCode="General">
                  <c:v>3.5606000000000001E-3</c:v>
                </c:pt>
                <c:pt idx="263" formatCode="General">
                  <c:v>3.5525299999999999E-3</c:v>
                </c:pt>
                <c:pt idx="264" formatCode="General">
                  <c:v>3.53659E-3</c:v>
                </c:pt>
                <c:pt idx="265" formatCode="General">
                  <c:v>3.5537899999999998E-3</c:v>
                </c:pt>
                <c:pt idx="266" formatCode="General">
                  <c:v>3.6052300000000001E-3</c:v>
                </c:pt>
                <c:pt idx="267" formatCode="General">
                  <c:v>3.5992099999999998E-3</c:v>
                </c:pt>
                <c:pt idx="268" formatCode="General">
                  <c:v>3.61444E-3</c:v>
                </c:pt>
                <c:pt idx="269" formatCode="General">
                  <c:v>3.6465500000000001E-3</c:v>
                </c:pt>
                <c:pt idx="270" formatCode="General">
                  <c:v>3.6487199999999998E-3</c:v>
                </c:pt>
                <c:pt idx="271" formatCode="General">
                  <c:v>3.6407200000000001E-3</c:v>
                </c:pt>
                <c:pt idx="272" formatCode="General">
                  <c:v>3.6826200000000002E-3</c:v>
                </c:pt>
                <c:pt idx="273" formatCode="General">
                  <c:v>3.6846600000000002E-3</c:v>
                </c:pt>
                <c:pt idx="274" formatCode="General">
                  <c:v>3.6934400000000001E-3</c:v>
                </c:pt>
                <c:pt idx="275" formatCode="General">
                  <c:v>3.7267799999999998E-3</c:v>
                </c:pt>
                <c:pt idx="276" formatCode="General">
                  <c:v>3.68893E-3</c:v>
                </c:pt>
                <c:pt idx="277" formatCode="General">
                  <c:v>3.75319E-3</c:v>
                </c:pt>
                <c:pt idx="278" formatCode="General">
                  <c:v>3.7119200000000001E-3</c:v>
                </c:pt>
                <c:pt idx="279" formatCode="General">
                  <c:v>3.8036099999999998E-3</c:v>
                </c:pt>
                <c:pt idx="280" formatCode="General">
                  <c:v>3.7385999999999999E-3</c:v>
                </c:pt>
                <c:pt idx="281" formatCode="General">
                  <c:v>3.7885599999999998E-3</c:v>
                </c:pt>
                <c:pt idx="282" formatCode="General">
                  <c:v>3.7863300000000001E-3</c:v>
                </c:pt>
                <c:pt idx="283" formatCode="General">
                  <c:v>3.8005600000000001E-3</c:v>
                </c:pt>
                <c:pt idx="284" formatCode="General">
                  <c:v>3.8685199999999999E-3</c:v>
                </c:pt>
                <c:pt idx="285" formatCode="General">
                  <c:v>3.82746E-3</c:v>
                </c:pt>
                <c:pt idx="286" formatCode="General">
                  <c:v>3.8463500000000001E-3</c:v>
                </c:pt>
                <c:pt idx="287" formatCode="General">
                  <c:v>3.8622299999999999E-3</c:v>
                </c:pt>
                <c:pt idx="288" formatCode="General">
                  <c:v>3.8535499999999999E-3</c:v>
                </c:pt>
                <c:pt idx="289" formatCode="General">
                  <c:v>3.9025700000000002E-3</c:v>
                </c:pt>
                <c:pt idx="290" formatCode="General">
                  <c:v>3.9437500000000002E-3</c:v>
                </c:pt>
                <c:pt idx="291" formatCode="General">
                  <c:v>3.8466799999999999E-3</c:v>
                </c:pt>
                <c:pt idx="292" formatCode="General">
                  <c:v>3.92071E-3</c:v>
                </c:pt>
                <c:pt idx="293" formatCode="General">
                  <c:v>3.9385599999999998E-3</c:v>
                </c:pt>
                <c:pt idx="294" formatCode="General">
                  <c:v>4.0127299999999999E-3</c:v>
                </c:pt>
                <c:pt idx="295" formatCode="General">
                  <c:v>3.9599500000000003E-3</c:v>
                </c:pt>
                <c:pt idx="296" formatCode="General">
                  <c:v>4.0390799999999996E-3</c:v>
                </c:pt>
                <c:pt idx="297" formatCode="General">
                  <c:v>4.0330899999999996E-3</c:v>
                </c:pt>
                <c:pt idx="298" formatCode="General">
                  <c:v>3.9901499999999996E-3</c:v>
                </c:pt>
                <c:pt idx="299" formatCode="General">
                  <c:v>4.0886999999999998E-3</c:v>
                </c:pt>
                <c:pt idx="300" formatCode="General">
                  <c:v>4.0226200000000002E-3</c:v>
                </c:pt>
                <c:pt idx="301" formatCode="General">
                  <c:v>4.0851500000000001E-3</c:v>
                </c:pt>
                <c:pt idx="302" formatCode="General">
                  <c:v>4.0321300000000001E-3</c:v>
                </c:pt>
                <c:pt idx="303" formatCode="General">
                  <c:v>4.0367199999999997E-3</c:v>
                </c:pt>
                <c:pt idx="304" formatCode="General">
                  <c:v>4.1013899999999999E-3</c:v>
                </c:pt>
                <c:pt idx="305" formatCode="General">
                  <c:v>4.1518299999999996E-3</c:v>
                </c:pt>
                <c:pt idx="306" formatCode="General">
                  <c:v>4.1144399999999996E-3</c:v>
                </c:pt>
                <c:pt idx="307" formatCode="General">
                  <c:v>4.1488000000000002E-3</c:v>
                </c:pt>
                <c:pt idx="308" formatCode="General">
                  <c:v>4.1476100000000004E-3</c:v>
                </c:pt>
                <c:pt idx="309" formatCode="General">
                  <c:v>4.1765099999999996E-3</c:v>
                </c:pt>
                <c:pt idx="310" formatCode="General">
                  <c:v>4.1687900000000003E-3</c:v>
                </c:pt>
                <c:pt idx="311" formatCode="General">
                  <c:v>4.1980000000000003E-3</c:v>
                </c:pt>
                <c:pt idx="312" formatCode="General">
                  <c:v>4.2448199999999998E-3</c:v>
                </c:pt>
                <c:pt idx="313" formatCode="General">
                  <c:v>4.2260900000000001E-3</c:v>
                </c:pt>
                <c:pt idx="314" formatCode="General">
                  <c:v>4.2291400000000002E-3</c:v>
                </c:pt>
                <c:pt idx="315" formatCode="General">
                  <c:v>4.2675999999999999E-3</c:v>
                </c:pt>
                <c:pt idx="316" formatCode="General">
                  <c:v>4.2802400000000003E-3</c:v>
                </c:pt>
                <c:pt idx="317" formatCode="General">
                  <c:v>4.3020000000000003E-3</c:v>
                </c:pt>
                <c:pt idx="318" formatCode="General">
                  <c:v>4.2926600000000002E-3</c:v>
                </c:pt>
                <c:pt idx="319" formatCode="General">
                  <c:v>4.2836799999999998E-3</c:v>
                </c:pt>
                <c:pt idx="320" formatCode="General">
                  <c:v>4.2678899999999999E-3</c:v>
                </c:pt>
                <c:pt idx="321" formatCode="General">
                  <c:v>4.2818600000000002E-3</c:v>
                </c:pt>
                <c:pt idx="322" formatCode="General">
                  <c:v>4.3231700000000003E-3</c:v>
                </c:pt>
                <c:pt idx="323" formatCode="General">
                  <c:v>4.3344999999999998E-3</c:v>
                </c:pt>
                <c:pt idx="324" formatCode="General">
                  <c:v>4.3814600000000002E-3</c:v>
                </c:pt>
                <c:pt idx="325" formatCode="General">
                  <c:v>4.37916E-3</c:v>
                </c:pt>
                <c:pt idx="326" formatCode="General">
                  <c:v>4.4809400000000001E-3</c:v>
                </c:pt>
                <c:pt idx="327" formatCode="General">
                  <c:v>4.4301499999999999E-3</c:v>
                </c:pt>
                <c:pt idx="328" formatCode="General">
                  <c:v>4.4081499999999996E-3</c:v>
                </c:pt>
                <c:pt idx="329" formatCode="General">
                  <c:v>4.4459399999999998E-3</c:v>
                </c:pt>
                <c:pt idx="330" formatCode="General">
                  <c:v>4.4529399999999998E-3</c:v>
                </c:pt>
                <c:pt idx="331" formatCode="General">
                  <c:v>4.45978E-3</c:v>
                </c:pt>
                <c:pt idx="332" formatCode="General">
                  <c:v>4.5069899999999998E-3</c:v>
                </c:pt>
                <c:pt idx="333" formatCode="General">
                  <c:v>4.4684900000000003E-3</c:v>
                </c:pt>
                <c:pt idx="334" formatCode="General">
                  <c:v>4.5616600000000004E-3</c:v>
                </c:pt>
                <c:pt idx="335" formatCode="General">
                  <c:v>4.5773000000000003E-3</c:v>
                </c:pt>
                <c:pt idx="336" formatCode="General">
                  <c:v>4.5551000000000003E-3</c:v>
                </c:pt>
                <c:pt idx="337" formatCode="General">
                  <c:v>4.5884400000000001E-3</c:v>
                </c:pt>
                <c:pt idx="338" formatCode="General">
                  <c:v>4.5797499999999996E-3</c:v>
                </c:pt>
                <c:pt idx="339" formatCode="General">
                  <c:v>4.5745899999999999E-3</c:v>
                </c:pt>
                <c:pt idx="340" formatCode="General">
                  <c:v>4.6470799999999996E-3</c:v>
                </c:pt>
                <c:pt idx="341" formatCode="General">
                  <c:v>4.6283799999999996E-3</c:v>
                </c:pt>
                <c:pt idx="342" formatCode="General">
                  <c:v>4.66951E-3</c:v>
                </c:pt>
                <c:pt idx="343" formatCode="General">
                  <c:v>4.6495E-3</c:v>
                </c:pt>
                <c:pt idx="344" formatCode="General">
                  <c:v>4.64511E-3</c:v>
                </c:pt>
                <c:pt idx="345" formatCode="General">
                  <c:v>4.6938600000000002E-3</c:v>
                </c:pt>
                <c:pt idx="346" formatCode="General">
                  <c:v>4.6669600000000004E-3</c:v>
                </c:pt>
                <c:pt idx="347" formatCode="General">
                  <c:v>4.6598500000000001E-3</c:v>
                </c:pt>
                <c:pt idx="348" formatCode="General">
                  <c:v>4.7081299999999996E-3</c:v>
                </c:pt>
                <c:pt idx="349" formatCode="General">
                  <c:v>4.7287500000000003E-3</c:v>
                </c:pt>
                <c:pt idx="350" formatCode="General">
                  <c:v>4.6553699999999998E-3</c:v>
                </c:pt>
                <c:pt idx="351" formatCode="General">
                  <c:v>4.7838100000000003E-3</c:v>
                </c:pt>
                <c:pt idx="352" formatCode="General">
                  <c:v>4.6632899999999996E-3</c:v>
                </c:pt>
                <c:pt idx="353" formatCode="General">
                  <c:v>4.6983299999999997E-3</c:v>
                </c:pt>
                <c:pt idx="354" formatCode="General">
                  <c:v>4.7272800000000004E-3</c:v>
                </c:pt>
                <c:pt idx="355" formatCode="General">
                  <c:v>4.7264000000000004E-3</c:v>
                </c:pt>
                <c:pt idx="356" formatCode="General">
                  <c:v>4.79E-3</c:v>
                </c:pt>
                <c:pt idx="357" formatCode="General">
                  <c:v>4.7893500000000004E-3</c:v>
                </c:pt>
                <c:pt idx="358" formatCode="General">
                  <c:v>4.77743E-3</c:v>
                </c:pt>
                <c:pt idx="359" formatCode="General">
                  <c:v>4.7646900000000002E-3</c:v>
                </c:pt>
                <c:pt idx="360" formatCode="General">
                  <c:v>4.8353500000000004E-3</c:v>
                </c:pt>
                <c:pt idx="361" formatCode="General">
                  <c:v>4.8319799999999996E-3</c:v>
                </c:pt>
                <c:pt idx="362" formatCode="General">
                  <c:v>4.8387899999999999E-3</c:v>
                </c:pt>
                <c:pt idx="363" formatCode="General">
                  <c:v>4.8640699999999999E-3</c:v>
                </c:pt>
                <c:pt idx="364" formatCode="General">
                  <c:v>4.89633E-3</c:v>
                </c:pt>
                <c:pt idx="365" formatCode="General">
                  <c:v>4.9126400000000002E-3</c:v>
                </c:pt>
                <c:pt idx="366" formatCode="General">
                  <c:v>4.8788299999999998E-3</c:v>
                </c:pt>
                <c:pt idx="367" formatCode="General">
                  <c:v>4.8888899999999999E-3</c:v>
                </c:pt>
                <c:pt idx="368" formatCode="General">
                  <c:v>4.9931799999999998E-3</c:v>
                </c:pt>
                <c:pt idx="369" formatCode="General">
                  <c:v>4.92392E-3</c:v>
                </c:pt>
                <c:pt idx="370" formatCode="General">
                  <c:v>4.9426000000000001E-3</c:v>
                </c:pt>
                <c:pt idx="371" formatCode="General">
                  <c:v>4.9676199999999998E-3</c:v>
                </c:pt>
                <c:pt idx="372" formatCode="General">
                  <c:v>5.0166799999999999E-3</c:v>
                </c:pt>
                <c:pt idx="373" formatCode="General">
                  <c:v>5.0082800000000004E-3</c:v>
                </c:pt>
                <c:pt idx="374" formatCode="General">
                  <c:v>5.0125200000000003E-3</c:v>
                </c:pt>
                <c:pt idx="375" formatCode="General">
                  <c:v>5.0288800000000003E-3</c:v>
                </c:pt>
                <c:pt idx="376" formatCode="General">
                  <c:v>5.06077E-3</c:v>
                </c:pt>
                <c:pt idx="377" formatCode="General">
                  <c:v>5.0884900000000002E-3</c:v>
                </c:pt>
                <c:pt idx="378" formatCode="General">
                  <c:v>5.0912500000000003E-3</c:v>
                </c:pt>
                <c:pt idx="379" formatCode="General">
                  <c:v>5.1544399999999997E-3</c:v>
                </c:pt>
                <c:pt idx="380" formatCode="General">
                  <c:v>5.13905E-3</c:v>
                </c:pt>
                <c:pt idx="381" formatCode="General">
                  <c:v>5.1272599999999998E-3</c:v>
                </c:pt>
                <c:pt idx="382" formatCode="General">
                  <c:v>5.1251400000000003E-3</c:v>
                </c:pt>
                <c:pt idx="383" formatCode="General">
                  <c:v>5.1562500000000002E-3</c:v>
                </c:pt>
                <c:pt idx="384" formatCode="General">
                  <c:v>5.1330200000000003E-3</c:v>
                </c:pt>
                <c:pt idx="385" formatCode="General">
                  <c:v>5.2453500000000002E-3</c:v>
                </c:pt>
                <c:pt idx="386" formatCode="General">
                  <c:v>5.2167300000000002E-3</c:v>
                </c:pt>
                <c:pt idx="387" formatCode="General">
                  <c:v>5.1581999999999999E-3</c:v>
                </c:pt>
                <c:pt idx="388" formatCode="General">
                  <c:v>5.2519200000000002E-3</c:v>
                </c:pt>
                <c:pt idx="389" formatCode="General">
                  <c:v>5.2448E-3</c:v>
                </c:pt>
                <c:pt idx="390" formatCode="General">
                  <c:v>5.2759399999999998E-3</c:v>
                </c:pt>
                <c:pt idx="391" formatCode="General">
                  <c:v>5.2517900000000001E-3</c:v>
                </c:pt>
                <c:pt idx="392" formatCode="General">
                  <c:v>5.2682800000000002E-3</c:v>
                </c:pt>
                <c:pt idx="393" formatCode="General">
                  <c:v>5.3706700000000001E-3</c:v>
                </c:pt>
                <c:pt idx="394" formatCode="General">
                  <c:v>5.3303300000000003E-3</c:v>
                </c:pt>
                <c:pt idx="395" formatCode="General">
                  <c:v>5.3090200000000002E-3</c:v>
                </c:pt>
                <c:pt idx="396" formatCode="General">
                  <c:v>5.3195600000000001E-3</c:v>
                </c:pt>
                <c:pt idx="397" formatCode="General">
                  <c:v>5.3435399999999999E-3</c:v>
                </c:pt>
                <c:pt idx="398" formatCode="General">
                  <c:v>5.3625900000000004E-3</c:v>
                </c:pt>
                <c:pt idx="399" formatCode="General">
                  <c:v>5.3847499999999998E-3</c:v>
                </c:pt>
                <c:pt idx="400" formatCode="General">
                  <c:v>5.3690200000000004E-3</c:v>
                </c:pt>
                <c:pt idx="401" formatCode="General">
                  <c:v>5.4028000000000001E-3</c:v>
                </c:pt>
                <c:pt idx="402" formatCode="General">
                  <c:v>5.44474E-3</c:v>
                </c:pt>
                <c:pt idx="403" formatCode="General">
                  <c:v>5.4191100000000004E-3</c:v>
                </c:pt>
                <c:pt idx="404" formatCode="General">
                  <c:v>5.5034799999999998E-3</c:v>
                </c:pt>
                <c:pt idx="405" formatCode="General">
                  <c:v>5.4247399999999999E-3</c:v>
                </c:pt>
                <c:pt idx="406" formatCode="General">
                  <c:v>5.4698000000000004E-3</c:v>
                </c:pt>
                <c:pt idx="407" formatCode="General">
                  <c:v>5.5348200000000002E-3</c:v>
                </c:pt>
                <c:pt idx="408" formatCode="General">
                  <c:v>5.4924700000000002E-3</c:v>
                </c:pt>
                <c:pt idx="409" formatCode="General">
                  <c:v>5.52433E-3</c:v>
                </c:pt>
                <c:pt idx="410" formatCode="General">
                  <c:v>5.5218899999999998E-3</c:v>
                </c:pt>
              </c:numCache>
            </c:numRef>
          </c:xVal>
          <c:yVal>
            <c:numRef>
              <c:f>'L30CPTX-1'!$V$7:$V$417</c:f>
              <c:numCache>
                <c:formatCode>General</c:formatCode>
                <c:ptCount val="411"/>
                <c:pt idx="0">
                  <c:v>0.56505434782608699</c:v>
                </c:pt>
                <c:pt idx="1">
                  <c:v>0.66948369565217392</c:v>
                </c:pt>
                <c:pt idx="2">
                  <c:v>1.0380489130434782</c:v>
                </c:pt>
                <c:pt idx="3">
                  <c:v>1.5724619565217393</c:v>
                </c:pt>
                <c:pt idx="4">
                  <c:v>1.7936032608695653</c:v>
                </c:pt>
                <c:pt idx="5">
                  <c:v>2.0393097826086959</c:v>
                </c:pt>
                <c:pt idx="6">
                  <c:v>2.3771576086956521</c:v>
                </c:pt>
                <c:pt idx="7">
                  <c:v>2.9730054347826087</c:v>
                </c:pt>
                <c:pt idx="8">
                  <c:v>3.2002826086956522</c:v>
                </c:pt>
                <c:pt idx="9">
                  <c:v>3.5688478260869565</c:v>
                </c:pt>
                <c:pt idx="10">
                  <c:v>3.8329836956521741</c:v>
                </c:pt>
                <c:pt idx="11">
                  <c:v>4.2261195652173908</c:v>
                </c:pt>
                <c:pt idx="12">
                  <c:v>4.7175380434782612</c:v>
                </c:pt>
                <c:pt idx="13">
                  <c:v>5.1168152173913048</c:v>
                </c:pt>
                <c:pt idx="14">
                  <c:v>5.4055217391304344</c:v>
                </c:pt>
                <c:pt idx="15">
                  <c:v>5.8723913043478264</c:v>
                </c:pt>
                <c:pt idx="16">
                  <c:v>5.6696739130434786</c:v>
                </c:pt>
                <c:pt idx="17">
                  <c:v>6.412934782608696</c:v>
                </c:pt>
                <c:pt idx="18">
                  <c:v>6.5173369565217394</c:v>
                </c:pt>
                <c:pt idx="19">
                  <c:v>6.9473369565217391</c:v>
                </c:pt>
                <c:pt idx="20">
                  <c:v>7.2483152173913048</c:v>
                </c:pt>
                <c:pt idx="21">
                  <c:v>7.3650543478260877</c:v>
                </c:pt>
                <c:pt idx="22">
                  <c:v>7.5677717391304347</c:v>
                </c:pt>
                <c:pt idx="23">
                  <c:v>8.2189130434782616</c:v>
                </c:pt>
                <c:pt idx="24">
                  <c:v>8.4338586956521731</c:v>
                </c:pt>
                <c:pt idx="25">
                  <c:v>8.7778804347826096</c:v>
                </c:pt>
                <c:pt idx="26">
                  <c:v>9.0911413043478255</c:v>
                </c:pt>
                <c:pt idx="27">
                  <c:v>9.3122826086956518</c:v>
                </c:pt>
                <c:pt idx="28">
                  <c:v>9.4351630434782603</c:v>
                </c:pt>
                <c:pt idx="29">
                  <c:v>9.7791304347826085</c:v>
                </c:pt>
                <c:pt idx="30">
                  <c:v>9.9572826086956532</c:v>
                </c:pt>
                <c:pt idx="31">
                  <c:v>10.135434782608696</c:v>
                </c:pt>
                <c:pt idx="32">
                  <c:v>10.40570652173913</c:v>
                </c:pt>
                <c:pt idx="33">
                  <c:v>10.694402173913044</c:v>
                </c:pt>
                <c:pt idx="34">
                  <c:v>11.105978260869565</c:v>
                </c:pt>
                <c:pt idx="35">
                  <c:v>11.302554347826087</c:v>
                </c:pt>
                <c:pt idx="36">
                  <c:v>11.542119565217391</c:v>
                </c:pt>
                <c:pt idx="37">
                  <c:v>11.726358695652175</c:v>
                </c:pt>
                <c:pt idx="38">
                  <c:v>11.873804347826088</c:v>
                </c:pt>
                <c:pt idx="39">
                  <c:v>12.125652173913043</c:v>
                </c:pt>
                <c:pt idx="40">
                  <c:v>12.352934782608695</c:v>
                </c:pt>
                <c:pt idx="41">
                  <c:v>12.623206521739132</c:v>
                </c:pt>
                <c:pt idx="42">
                  <c:v>12.893478260869566</c:v>
                </c:pt>
                <c:pt idx="43">
                  <c:v>12.96108695652174</c:v>
                </c:pt>
                <c:pt idx="44">
                  <c:v>13.397173913043478</c:v>
                </c:pt>
                <c:pt idx="45">
                  <c:v>13.606032608695653</c:v>
                </c:pt>
                <c:pt idx="46">
                  <c:v>13.710489130434782</c:v>
                </c:pt>
                <c:pt idx="47">
                  <c:v>13.827173913043477</c:v>
                </c:pt>
                <c:pt idx="48">
                  <c:v>14.103586956521738</c:v>
                </c:pt>
                <c:pt idx="49">
                  <c:v>14.287880434782608</c:v>
                </c:pt>
                <c:pt idx="50">
                  <c:v>14.625760869565216</c:v>
                </c:pt>
                <c:pt idx="51">
                  <c:v>14.86532608695652</c:v>
                </c:pt>
                <c:pt idx="52">
                  <c:v>15.098750000000001</c:v>
                </c:pt>
                <c:pt idx="53">
                  <c:v>15.282989130434784</c:v>
                </c:pt>
                <c:pt idx="54">
                  <c:v>15.473423913043479</c:v>
                </c:pt>
                <c:pt idx="55">
                  <c:v>15.774456521739131</c:v>
                </c:pt>
                <c:pt idx="56">
                  <c:v>16.007880434782606</c:v>
                </c:pt>
                <c:pt idx="57">
                  <c:v>16.229021739130435</c:v>
                </c:pt>
                <c:pt idx="58">
                  <c:v>16.665108695652176</c:v>
                </c:pt>
                <c:pt idx="59">
                  <c:v>16.689673913043478</c:v>
                </c:pt>
                <c:pt idx="60">
                  <c:v>16.966141304347826</c:v>
                </c:pt>
                <c:pt idx="61">
                  <c:v>17.402228260869567</c:v>
                </c:pt>
                <c:pt idx="62">
                  <c:v>17.555815217391306</c:v>
                </c:pt>
                <c:pt idx="63">
                  <c:v>17.807663043478261</c:v>
                </c:pt>
                <c:pt idx="64">
                  <c:v>17.875217391304346</c:v>
                </c:pt>
                <c:pt idx="65">
                  <c:v>18.249945652173913</c:v>
                </c:pt>
                <c:pt idx="66">
                  <c:v>18.495652173913044</c:v>
                </c:pt>
                <c:pt idx="67">
                  <c:v>18.63695652173913</c:v>
                </c:pt>
                <c:pt idx="68">
                  <c:v>18.901086956521741</c:v>
                </c:pt>
                <c:pt idx="69">
                  <c:v>19.263478260869565</c:v>
                </c:pt>
                <c:pt idx="70">
                  <c:v>19.312663043478263</c:v>
                </c:pt>
                <c:pt idx="71">
                  <c:v>19.693478260869565</c:v>
                </c:pt>
                <c:pt idx="72">
                  <c:v>20.025217391304349</c:v>
                </c:pt>
                <c:pt idx="73">
                  <c:v>20.049782608695651</c:v>
                </c:pt>
                <c:pt idx="74">
                  <c:v>20.479782608695654</c:v>
                </c:pt>
                <c:pt idx="75">
                  <c:v>20.492065217391303</c:v>
                </c:pt>
                <c:pt idx="76">
                  <c:v>21.094021739130437</c:v>
                </c:pt>
                <c:pt idx="77">
                  <c:v>21.149293478260869</c:v>
                </c:pt>
                <c:pt idx="78">
                  <c:v>21.364293478260869</c:v>
                </c:pt>
                <c:pt idx="79">
                  <c:v>21.628423913043481</c:v>
                </c:pt>
                <c:pt idx="80">
                  <c:v>21.861847826086954</c:v>
                </c:pt>
                <c:pt idx="81">
                  <c:v>22.082989130434783</c:v>
                </c:pt>
                <c:pt idx="82">
                  <c:v>22.218152173913044</c:v>
                </c:pt>
                <c:pt idx="83">
                  <c:v>22.500706521739129</c:v>
                </c:pt>
                <c:pt idx="84">
                  <c:v>22.826304347826088</c:v>
                </c:pt>
                <c:pt idx="85">
                  <c:v>23.200978260869562</c:v>
                </c:pt>
                <c:pt idx="86">
                  <c:v>23.520380434782609</c:v>
                </c:pt>
                <c:pt idx="87">
                  <c:v>23.692391304347826</c:v>
                </c:pt>
                <c:pt idx="88">
                  <c:v>23.643260869565214</c:v>
                </c:pt>
                <c:pt idx="89">
                  <c:v>23.692391304347826</c:v>
                </c:pt>
                <c:pt idx="90">
                  <c:v>23.987228260869564</c:v>
                </c:pt>
                <c:pt idx="91">
                  <c:v>24.423369565217389</c:v>
                </c:pt>
                <c:pt idx="92">
                  <c:v>24.644510869565217</c:v>
                </c:pt>
                <c:pt idx="93">
                  <c:v>24.834945652173914</c:v>
                </c:pt>
                <c:pt idx="94">
                  <c:v>24.914782608695649</c:v>
                </c:pt>
                <c:pt idx="95">
                  <c:v>25.234239130434784</c:v>
                </c:pt>
                <c:pt idx="96">
                  <c:v>25.615054347826089</c:v>
                </c:pt>
                <c:pt idx="97">
                  <c:v>25.805489130434783</c:v>
                </c:pt>
                <c:pt idx="98">
                  <c:v>26.057336956521741</c:v>
                </c:pt>
                <c:pt idx="99">
                  <c:v>26.327608695652174</c:v>
                </c:pt>
                <c:pt idx="100">
                  <c:v>26.46891304347826</c:v>
                </c:pt>
                <c:pt idx="101">
                  <c:v>26.806739130434782</c:v>
                </c:pt>
                <c:pt idx="102">
                  <c:v>26.984891304347826</c:v>
                </c:pt>
                <c:pt idx="103">
                  <c:v>27.242880434782606</c:v>
                </c:pt>
                <c:pt idx="104">
                  <c:v>27.47630434782609</c:v>
                </c:pt>
                <c:pt idx="105">
                  <c:v>27.722010869565221</c:v>
                </c:pt>
                <c:pt idx="106">
                  <c:v>27.937010869565217</c:v>
                </c:pt>
                <c:pt idx="107">
                  <c:v>28.299456521739131</c:v>
                </c:pt>
                <c:pt idx="108">
                  <c:v>28.557445652173911</c:v>
                </c:pt>
                <c:pt idx="109">
                  <c:v>28.723315217391306</c:v>
                </c:pt>
                <c:pt idx="110">
                  <c:v>28.932119565217391</c:v>
                </c:pt>
                <c:pt idx="111">
                  <c:v>29.196304347826086</c:v>
                </c:pt>
                <c:pt idx="112">
                  <c:v>29.386684782608693</c:v>
                </c:pt>
                <c:pt idx="113">
                  <c:v>29.589402173913044</c:v>
                </c:pt>
                <c:pt idx="114">
                  <c:v>30.031684782608696</c:v>
                </c:pt>
                <c:pt idx="115">
                  <c:v>30.160706521739129</c:v>
                </c:pt>
                <c:pt idx="116">
                  <c:v>30.473967391304349</c:v>
                </c:pt>
                <c:pt idx="117">
                  <c:v>30.695108695652173</c:v>
                </c:pt>
                <c:pt idx="118">
                  <c:v>30.848695652173912</c:v>
                </c:pt>
                <c:pt idx="119">
                  <c:v>31.014510869565218</c:v>
                </c:pt>
                <c:pt idx="120">
                  <c:v>30.83641304347826</c:v>
                </c:pt>
                <c:pt idx="121">
                  <c:v>31.168097826086957</c:v>
                </c:pt>
                <c:pt idx="122">
                  <c:v>31.376956521739128</c:v>
                </c:pt>
                <c:pt idx="123">
                  <c:v>31.647228260869564</c:v>
                </c:pt>
                <c:pt idx="124">
                  <c:v>31.825380434782609</c:v>
                </c:pt>
                <c:pt idx="125">
                  <c:v>32.243097826086952</c:v>
                </c:pt>
                <c:pt idx="126">
                  <c:v>32.488804347826083</c:v>
                </c:pt>
                <c:pt idx="127">
                  <c:v>32.537934782608694</c:v>
                </c:pt>
                <c:pt idx="128">
                  <c:v>32.906467391304346</c:v>
                </c:pt>
                <c:pt idx="129">
                  <c:v>33.447065217391305</c:v>
                </c:pt>
                <c:pt idx="130">
                  <c:v>33.299619565217391</c:v>
                </c:pt>
                <c:pt idx="131">
                  <c:v>33.62516304347826</c:v>
                </c:pt>
                <c:pt idx="132">
                  <c:v>33.938478260869566</c:v>
                </c:pt>
                <c:pt idx="133">
                  <c:v>34.098152173913043</c:v>
                </c:pt>
                <c:pt idx="134">
                  <c:v>34.442173913043476</c:v>
                </c:pt>
                <c:pt idx="135">
                  <c:v>34.571141304347826</c:v>
                </c:pt>
                <c:pt idx="136">
                  <c:v>34.859891304347826</c:v>
                </c:pt>
                <c:pt idx="137">
                  <c:v>35.087173913043479</c:v>
                </c:pt>
                <c:pt idx="138">
                  <c:v>35.406576086956527</c:v>
                </c:pt>
                <c:pt idx="139">
                  <c:v>35.603152173913038</c:v>
                </c:pt>
                <c:pt idx="140">
                  <c:v>35.775163043478258</c:v>
                </c:pt>
                <c:pt idx="141">
                  <c:v>36.205108695652171</c:v>
                </c:pt>
                <c:pt idx="142">
                  <c:v>36.389402173913041</c:v>
                </c:pt>
                <c:pt idx="143">
                  <c:v>36.598260869565216</c:v>
                </c:pt>
                <c:pt idx="144">
                  <c:v>36.874673913043473</c:v>
                </c:pt>
                <c:pt idx="145">
                  <c:v>37.108097826086961</c:v>
                </c:pt>
                <c:pt idx="146">
                  <c:v>37.237119565217391</c:v>
                </c:pt>
                <c:pt idx="147">
                  <c:v>37.587228260869566</c:v>
                </c:pt>
                <c:pt idx="148">
                  <c:v>37.986521739130438</c:v>
                </c:pt>
                <c:pt idx="149">
                  <c:v>38.029510869565222</c:v>
                </c:pt>
                <c:pt idx="150">
                  <c:v>38.318206521739128</c:v>
                </c:pt>
                <c:pt idx="151">
                  <c:v>38.490217391304348</c:v>
                </c:pt>
                <c:pt idx="152">
                  <c:v>38.662228260869568</c:v>
                </c:pt>
                <c:pt idx="153">
                  <c:v>39.061521739130434</c:v>
                </c:pt>
                <c:pt idx="154">
                  <c:v>39.233478260869568</c:v>
                </c:pt>
                <c:pt idx="155">
                  <c:v>39.528369565217396</c:v>
                </c:pt>
                <c:pt idx="156">
                  <c:v>39.841630434782608</c:v>
                </c:pt>
                <c:pt idx="157">
                  <c:v>39.939891304347825</c:v>
                </c:pt>
                <c:pt idx="158">
                  <c:v>40.216358695652175</c:v>
                </c:pt>
                <c:pt idx="159">
                  <c:v>40.548043478260873</c:v>
                </c:pt>
                <c:pt idx="160">
                  <c:v>40.68320652173913</c:v>
                </c:pt>
                <c:pt idx="161">
                  <c:v>41.088586956521738</c:v>
                </c:pt>
                <c:pt idx="162">
                  <c:v>41.328152173913047</c:v>
                </c:pt>
                <c:pt idx="163">
                  <c:v>41.518586956521737</c:v>
                </c:pt>
                <c:pt idx="164">
                  <c:v>41.831847826086957</c:v>
                </c:pt>
                <c:pt idx="165">
                  <c:v>42.089891304347823</c:v>
                </c:pt>
                <c:pt idx="166">
                  <c:v>42.077554347826087</c:v>
                </c:pt>
                <c:pt idx="167">
                  <c:v>42.630434782608695</c:v>
                </c:pt>
                <c:pt idx="168">
                  <c:v>42.949836956521743</c:v>
                </c:pt>
                <c:pt idx="169">
                  <c:v>43.085000000000001</c:v>
                </c:pt>
                <c:pt idx="170">
                  <c:v>43.515000000000001</c:v>
                </c:pt>
                <c:pt idx="171">
                  <c:v>43.686956521739127</c:v>
                </c:pt>
                <c:pt idx="172">
                  <c:v>44.080108695652171</c:v>
                </c:pt>
                <c:pt idx="173">
                  <c:v>44.129239130434783</c:v>
                </c:pt>
                <c:pt idx="174">
                  <c:v>44.393369565217391</c:v>
                </c:pt>
                <c:pt idx="175">
                  <c:v>44.577663043478267</c:v>
                </c:pt>
                <c:pt idx="176">
                  <c:v>45.026086956521738</c:v>
                </c:pt>
                <c:pt idx="177">
                  <c:v>45.26565217391304</c:v>
                </c:pt>
                <c:pt idx="178">
                  <c:v>45.351684782608693</c:v>
                </c:pt>
                <c:pt idx="179">
                  <c:v>45.486793478260871</c:v>
                </c:pt>
                <c:pt idx="180">
                  <c:v>45.738641304347823</c:v>
                </c:pt>
                <c:pt idx="181">
                  <c:v>46.223913043478262</c:v>
                </c:pt>
                <c:pt idx="182">
                  <c:v>46.346793478260864</c:v>
                </c:pt>
                <c:pt idx="183">
                  <c:v>46.549510869565218</c:v>
                </c:pt>
                <c:pt idx="184">
                  <c:v>46.776793478260871</c:v>
                </c:pt>
                <c:pt idx="185">
                  <c:v>47.225163043478261</c:v>
                </c:pt>
                <c:pt idx="186">
                  <c:v>47.378750000000004</c:v>
                </c:pt>
                <c:pt idx="187">
                  <c:v>47.673586956521739</c:v>
                </c:pt>
                <c:pt idx="188">
                  <c:v>47.857880434782608</c:v>
                </c:pt>
                <c:pt idx="189">
                  <c:v>48.122010869565223</c:v>
                </c:pt>
                <c:pt idx="190">
                  <c:v>48.398423913043473</c:v>
                </c:pt>
                <c:pt idx="191">
                  <c:v>48.638043478260869</c:v>
                </c:pt>
                <c:pt idx="192">
                  <c:v>48.816141304347823</c:v>
                </c:pt>
                <c:pt idx="193">
                  <c:v>49.123315217391308</c:v>
                </c:pt>
                <c:pt idx="194">
                  <c:v>49.307554347826091</c:v>
                </c:pt>
                <c:pt idx="195">
                  <c:v>49.516413043478266</c:v>
                </c:pt>
                <c:pt idx="196">
                  <c:v>49.50413043478261</c:v>
                </c:pt>
                <c:pt idx="197">
                  <c:v>49.842010869565222</c:v>
                </c:pt>
                <c:pt idx="198">
                  <c:v>50.364130434782609</c:v>
                </c:pt>
                <c:pt idx="199">
                  <c:v>50.511521739130437</c:v>
                </c:pt>
                <c:pt idx="200">
                  <c:v>50.671250000000001</c:v>
                </c:pt>
                <c:pt idx="201">
                  <c:v>50.959945652173907</c:v>
                </c:pt>
                <c:pt idx="202">
                  <c:v>51.150380434782612</c:v>
                </c:pt>
                <c:pt idx="203">
                  <c:v>51.463695652173911</c:v>
                </c:pt>
                <c:pt idx="204">
                  <c:v>51.758532608695653</c:v>
                </c:pt>
                <c:pt idx="205">
                  <c:v>51.881358695652175</c:v>
                </c:pt>
                <c:pt idx="206">
                  <c:v>52.182391304347824</c:v>
                </c:pt>
                <c:pt idx="207">
                  <c:v>52.458804347826089</c:v>
                </c:pt>
                <c:pt idx="208">
                  <c:v>52.722934782608696</c:v>
                </c:pt>
                <c:pt idx="209">
                  <c:v>53.060760869565222</c:v>
                </c:pt>
                <c:pt idx="210">
                  <c:v>53.238913043478256</c:v>
                </c:pt>
                <c:pt idx="211">
                  <c:v>53.453913043478266</c:v>
                </c:pt>
                <c:pt idx="212">
                  <c:v>53.638206521739129</c:v>
                </c:pt>
                <c:pt idx="213">
                  <c:v>53.914619565217393</c:v>
                </c:pt>
                <c:pt idx="214">
                  <c:v>54.154184782608702</c:v>
                </c:pt>
                <c:pt idx="215">
                  <c:v>54.418478260869563</c:v>
                </c:pt>
                <c:pt idx="216">
                  <c:v>54.6945652173913</c:v>
                </c:pt>
                <c:pt idx="217">
                  <c:v>54.995652173913051</c:v>
                </c:pt>
                <c:pt idx="218">
                  <c:v>55.241304347826087</c:v>
                </c:pt>
                <c:pt idx="219">
                  <c:v>55.149456521739133</c:v>
                </c:pt>
                <c:pt idx="220">
                  <c:v>55.345652173913045</c:v>
                </c:pt>
                <c:pt idx="221">
                  <c:v>55.419565217391309</c:v>
                </c:pt>
                <c:pt idx="222">
                  <c:v>55.677717391304348</c:v>
                </c:pt>
                <c:pt idx="223">
                  <c:v>55.923369565217392</c:v>
                </c:pt>
                <c:pt idx="224">
                  <c:v>56.163043478260867</c:v>
                </c:pt>
                <c:pt idx="225">
                  <c:v>56.377717391304351</c:v>
                </c:pt>
                <c:pt idx="226">
                  <c:v>56.635869565217391</c:v>
                </c:pt>
                <c:pt idx="227">
                  <c:v>56.912500000000001</c:v>
                </c:pt>
                <c:pt idx="228">
                  <c:v>57.219565217391299</c:v>
                </c:pt>
                <c:pt idx="229">
                  <c:v>57.452717391304347</c:v>
                </c:pt>
                <c:pt idx="230">
                  <c:v>57.366847826086953</c:v>
                </c:pt>
                <c:pt idx="231">
                  <c:v>57.91358695652174</c:v>
                </c:pt>
                <c:pt idx="232">
                  <c:v>57.969021739130433</c:v>
                </c:pt>
                <c:pt idx="233">
                  <c:v>58.337499999999999</c:v>
                </c:pt>
                <c:pt idx="234">
                  <c:v>58.552173913043482</c:v>
                </c:pt>
                <c:pt idx="235">
                  <c:v>58.853260869565219</c:v>
                </c:pt>
                <c:pt idx="236">
                  <c:v>59.105434782608697</c:v>
                </c:pt>
                <c:pt idx="237">
                  <c:v>59.283152173913045</c:v>
                </c:pt>
                <c:pt idx="238">
                  <c:v>59.553804347826087</c:v>
                </c:pt>
                <c:pt idx="239">
                  <c:v>59.762499999999996</c:v>
                </c:pt>
                <c:pt idx="240">
                  <c:v>60.173913043478258</c:v>
                </c:pt>
                <c:pt idx="241">
                  <c:v>60.119021739130432</c:v>
                </c:pt>
                <c:pt idx="242">
                  <c:v>60.603804347826092</c:v>
                </c:pt>
                <c:pt idx="243">
                  <c:v>60.634782608695652</c:v>
                </c:pt>
                <c:pt idx="244">
                  <c:v>61.05869565217391</c:v>
                </c:pt>
                <c:pt idx="245">
                  <c:v>61.353260869565219</c:v>
                </c:pt>
                <c:pt idx="246">
                  <c:v>61.771195652173908</c:v>
                </c:pt>
                <c:pt idx="247">
                  <c:v>61.734239130434787</c:v>
                </c:pt>
                <c:pt idx="248">
                  <c:v>61.967934782608701</c:v>
                </c:pt>
                <c:pt idx="249">
                  <c:v>62.366847826086953</c:v>
                </c:pt>
                <c:pt idx="250">
                  <c:v>62.539130434782614</c:v>
                </c:pt>
                <c:pt idx="251">
                  <c:v>62.692391304347822</c:v>
                </c:pt>
                <c:pt idx="252">
                  <c:v>63.165760869565219</c:v>
                </c:pt>
                <c:pt idx="253">
                  <c:v>63.220652173913045</c:v>
                </c:pt>
                <c:pt idx="254">
                  <c:v>63.528260869565223</c:v>
                </c:pt>
                <c:pt idx="255">
                  <c:v>63.705978260869564</c:v>
                </c:pt>
                <c:pt idx="256">
                  <c:v>63.945652173913047</c:v>
                </c:pt>
                <c:pt idx="257">
                  <c:v>64.148369565217394</c:v>
                </c:pt>
                <c:pt idx="258">
                  <c:v>64.363586956521743</c:v>
                </c:pt>
                <c:pt idx="259">
                  <c:v>64.658152173913052</c:v>
                </c:pt>
                <c:pt idx="260">
                  <c:v>64.959239130434781</c:v>
                </c:pt>
                <c:pt idx="261">
                  <c:v>65.290760869565219</c:v>
                </c:pt>
                <c:pt idx="262">
                  <c:v>65.34021739130435</c:v>
                </c:pt>
                <c:pt idx="263">
                  <c:v>65.634782608695645</c:v>
                </c:pt>
                <c:pt idx="264">
                  <c:v>65.972826086956516</c:v>
                </c:pt>
                <c:pt idx="265">
                  <c:v>66.108152173913041</c:v>
                </c:pt>
                <c:pt idx="266">
                  <c:v>66.206521739130437</c:v>
                </c:pt>
                <c:pt idx="267">
                  <c:v>66.752717391304344</c:v>
                </c:pt>
                <c:pt idx="268">
                  <c:v>66.783695652173918</c:v>
                </c:pt>
                <c:pt idx="269">
                  <c:v>67.115217391304355</c:v>
                </c:pt>
                <c:pt idx="270">
                  <c:v>67.342391304347828</c:v>
                </c:pt>
                <c:pt idx="271">
                  <c:v>67.570108695652166</c:v>
                </c:pt>
                <c:pt idx="272">
                  <c:v>67.987499999999997</c:v>
                </c:pt>
                <c:pt idx="273">
                  <c:v>67.963043478260872</c:v>
                </c:pt>
                <c:pt idx="274">
                  <c:v>68.344021739130426</c:v>
                </c:pt>
                <c:pt idx="275">
                  <c:v>68.632608695652166</c:v>
                </c:pt>
                <c:pt idx="276">
                  <c:v>68.835326086956528</c:v>
                </c:pt>
                <c:pt idx="277">
                  <c:v>69.056521739130432</c:v>
                </c:pt>
                <c:pt idx="278">
                  <c:v>69.302173913043475</c:v>
                </c:pt>
                <c:pt idx="279">
                  <c:v>69.695108695652166</c:v>
                </c:pt>
                <c:pt idx="280">
                  <c:v>69.72608695652174</c:v>
                </c:pt>
                <c:pt idx="281">
                  <c:v>70.168478260869563</c:v>
                </c:pt>
                <c:pt idx="282">
                  <c:v>70.346195652173918</c:v>
                </c:pt>
                <c:pt idx="283">
                  <c:v>70.494021739130432</c:v>
                </c:pt>
                <c:pt idx="284">
                  <c:v>70.795108695652175</c:v>
                </c:pt>
                <c:pt idx="285">
                  <c:v>71.065217391304344</c:v>
                </c:pt>
                <c:pt idx="286">
                  <c:v>71.384782608695645</c:v>
                </c:pt>
                <c:pt idx="287">
                  <c:v>71.64891304347826</c:v>
                </c:pt>
                <c:pt idx="288">
                  <c:v>71.790217391304353</c:v>
                </c:pt>
                <c:pt idx="289">
                  <c:v>71.863586956521743</c:v>
                </c:pt>
                <c:pt idx="290">
                  <c:v>72.287499999999994</c:v>
                </c:pt>
                <c:pt idx="291">
                  <c:v>72.557608695652178</c:v>
                </c:pt>
                <c:pt idx="292">
                  <c:v>72.803804347826087</c:v>
                </c:pt>
                <c:pt idx="293">
                  <c:v>73.15978260869565</c:v>
                </c:pt>
                <c:pt idx="294">
                  <c:v>73.307065217391298</c:v>
                </c:pt>
                <c:pt idx="295">
                  <c:v>73.657608695652172</c:v>
                </c:pt>
                <c:pt idx="296">
                  <c:v>73.823369565217391</c:v>
                </c:pt>
                <c:pt idx="297">
                  <c:v>74.093478260869574</c:v>
                </c:pt>
                <c:pt idx="298">
                  <c:v>74.27771739130435</c:v>
                </c:pt>
                <c:pt idx="299">
                  <c:v>74.480434782608697</c:v>
                </c:pt>
                <c:pt idx="300">
                  <c:v>74.640217391304347</c:v>
                </c:pt>
                <c:pt idx="301">
                  <c:v>75.045652173913041</c:v>
                </c:pt>
                <c:pt idx="302">
                  <c:v>75.229891304347817</c:v>
                </c:pt>
                <c:pt idx="303">
                  <c:v>75.420108695652175</c:v>
                </c:pt>
                <c:pt idx="304">
                  <c:v>75.635326086956525</c:v>
                </c:pt>
                <c:pt idx="305">
                  <c:v>75.850543478260875</c:v>
                </c:pt>
                <c:pt idx="306">
                  <c:v>76.219021739130426</c:v>
                </c:pt>
                <c:pt idx="307">
                  <c:v>76.390760869565213</c:v>
                </c:pt>
                <c:pt idx="308">
                  <c:v>76.489130434782609</c:v>
                </c:pt>
                <c:pt idx="309">
                  <c:v>76.974456521739128</c:v>
                </c:pt>
                <c:pt idx="310">
                  <c:v>77.134239130434793</c:v>
                </c:pt>
                <c:pt idx="311">
                  <c:v>77.435326086956522</c:v>
                </c:pt>
                <c:pt idx="312">
                  <c:v>77.754891304347822</c:v>
                </c:pt>
                <c:pt idx="313">
                  <c:v>77.895652173913035</c:v>
                </c:pt>
                <c:pt idx="314">
                  <c:v>78.301086956521743</c:v>
                </c:pt>
                <c:pt idx="315">
                  <c:v>78.485869565217385</c:v>
                </c:pt>
                <c:pt idx="316">
                  <c:v>78.66358695652174</c:v>
                </c:pt>
                <c:pt idx="317">
                  <c:v>78.706521739130437</c:v>
                </c:pt>
                <c:pt idx="318">
                  <c:v>78.995652173913044</c:v>
                </c:pt>
                <c:pt idx="319">
                  <c:v>79.382608695652166</c:v>
                </c:pt>
                <c:pt idx="320">
                  <c:v>79.511413043478257</c:v>
                </c:pt>
                <c:pt idx="321">
                  <c:v>79.861413043478265</c:v>
                </c:pt>
                <c:pt idx="322">
                  <c:v>80.168478260869563</c:v>
                </c:pt>
                <c:pt idx="323">
                  <c:v>80.402173913043484</c:v>
                </c:pt>
                <c:pt idx="324">
                  <c:v>80.660326086956516</c:v>
                </c:pt>
                <c:pt idx="325">
                  <c:v>80.770652173913035</c:v>
                </c:pt>
                <c:pt idx="326">
                  <c:v>81.145652173913035</c:v>
                </c:pt>
                <c:pt idx="327">
                  <c:v>81.440217391304344</c:v>
                </c:pt>
                <c:pt idx="328">
                  <c:v>81.667391304347817</c:v>
                </c:pt>
                <c:pt idx="329">
                  <c:v>81.655434782608694</c:v>
                </c:pt>
                <c:pt idx="330">
                  <c:v>81.833152173913035</c:v>
                </c:pt>
                <c:pt idx="331">
                  <c:v>82.072826086956525</c:v>
                </c:pt>
                <c:pt idx="332">
                  <c:v>82.404891304347828</c:v>
                </c:pt>
                <c:pt idx="333">
                  <c:v>82.582608695652183</c:v>
                </c:pt>
                <c:pt idx="334">
                  <c:v>82.779347826086948</c:v>
                </c:pt>
                <c:pt idx="335">
                  <c:v>82.97608695652174</c:v>
                </c:pt>
                <c:pt idx="336">
                  <c:v>82.773369565217394</c:v>
                </c:pt>
                <c:pt idx="337">
                  <c:v>82.982065217391309</c:v>
                </c:pt>
                <c:pt idx="338">
                  <c:v>83.338586956521738</c:v>
                </c:pt>
                <c:pt idx="339">
                  <c:v>83.744021739130432</c:v>
                </c:pt>
                <c:pt idx="340">
                  <c:v>83.755978260869568</c:v>
                </c:pt>
                <c:pt idx="341">
                  <c:v>83.940217391304344</c:v>
                </c:pt>
                <c:pt idx="342">
                  <c:v>84.290760869565219</c:v>
                </c:pt>
                <c:pt idx="343">
                  <c:v>84.45</c:v>
                </c:pt>
                <c:pt idx="344">
                  <c:v>84.726630434782606</c:v>
                </c:pt>
                <c:pt idx="345">
                  <c:v>84.89891304347826</c:v>
                </c:pt>
                <c:pt idx="346">
                  <c:v>85.174999999999997</c:v>
                </c:pt>
                <c:pt idx="347">
                  <c:v>85.537499999999994</c:v>
                </c:pt>
                <c:pt idx="348">
                  <c:v>85.942934782608702</c:v>
                </c:pt>
                <c:pt idx="349">
                  <c:v>85.96141304347826</c:v>
                </c:pt>
                <c:pt idx="350">
                  <c:v>86.280978260869574</c:v>
                </c:pt>
                <c:pt idx="351">
                  <c:v>86.6</c:v>
                </c:pt>
                <c:pt idx="352">
                  <c:v>86.729347826086965</c:v>
                </c:pt>
                <c:pt idx="353">
                  <c:v>86.802717391304355</c:v>
                </c:pt>
                <c:pt idx="354">
                  <c:v>86.870652173913044</c:v>
                </c:pt>
                <c:pt idx="355">
                  <c:v>87.128260869565224</c:v>
                </c:pt>
                <c:pt idx="356">
                  <c:v>87.441847826086956</c:v>
                </c:pt>
                <c:pt idx="357">
                  <c:v>87.663043478260875</c:v>
                </c:pt>
                <c:pt idx="358">
                  <c:v>88.0070652173913</c:v>
                </c:pt>
                <c:pt idx="359">
                  <c:v>88.215760869565216</c:v>
                </c:pt>
                <c:pt idx="360">
                  <c:v>88.35108695652174</c:v>
                </c:pt>
                <c:pt idx="361">
                  <c:v>88.596739130434784</c:v>
                </c:pt>
                <c:pt idx="362">
                  <c:v>88.535326086956516</c:v>
                </c:pt>
                <c:pt idx="363">
                  <c:v>88.762500000000003</c:v>
                </c:pt>
                <c:pt idx="364">
                  <c:v>89.125</c:v>
                </c:pt>
                <c:pt idx="365">
                  <c:v>89.370652173913044</c:v>
                </c:pt>
                <c:pt idx="366">
                  <c:v>89.708695652173915</c:v>
                </c:pt>
                <c:pt idx="367">
                  <c:v>89.770108695652183</c:v>
                </c:pt>
                <c:pt idx="368">
                  <c:v>90.322826086956525</c:v>
                </c:pt>
                <c:pt idx="369">
                  <c:v>90.390217391304347</c:v>
                </c:pt>
                <c:pt idx="370">
                  <c:v>90.765217391304347</c:v>
                </c:pt>
                <c:pt idx="371">
                  <c:v>90.789673913043472</c:v>
                </c:pt>
                <c:pt idx="372">
                  <c:v>91.238043478260863</c:v>
                </c:pt>
                <c:pt idx="373">
                  <c:v>91.416304347826085</c:v>
                </c:pt>
                <c:pt idx="374">
                  <c:v>91.459239130434781</c:v>
                </c:pt>
                <c:pt idx="375">
                  <c:v>91.796739130434773</c:v>
                </c:pt>
                <c:pt idx="376">
                  <c:v>92.159239130434784</c:v>
                </c:pt>
                <c:pt idx="377">
                  <c:v>92.196195652173898</c:v>
                </c:pt>
                <c:pt idx="378">
                  <c:v>92.694021739130434</c:v>
                </c:pt>
                <c:pt idx="379">
                  <c:v>92.785869565217382</c:v>
                </c:pt>
                <c:pt idx="380">
                  <c:v>92.859782608695653</c:v>
                </c:pt>
                <c:pt idx="381">
                  <c:v>93.394021739130437</c:v>
                </c:pt>
                <c:pt idx="382">
                  <c:v>93.547826086956519</c:v>
                </c:pt>
                <c:pt idx="383">
                  <c:v>93.891847826086945</c:v>
                </c:pt>
                <c:pt idx="384">
                  <c:v>94.014673913043481</c:v>
                </c:pt>
                <c:pt idx="385">
                  <c:v>94.321739130434793</c:v>
                </c:pt>
                <c:pt idx="386">
                  <c:v>94.426086956521743</c:v>
                </c:pt>
                <c:pt idx="387">
                  <c:v>94.597826086956516</c:v>
                </c:pt>
                <c:pt idx="388">
                  <c:v>95.120108695652164</c:v>
                </c:pt>
                <c:pt idx="389">
                  <c:v>95.212499999999991</c:v>
                </c:pt>
                <c:pt idx="390">
                  <c:v>95.55</c:v>
                </c:pt>
                <c:pt idx="391">
                  <c:v>95.796195652173907</c:v>
                </c:pt>
                <c:pt idx="392">
                  <c:v>96.072282608695645</c:v>
                </c:pt>
                <c:pt idx="393">
                  <c:v>96.226086956521726</c:v>
                </c:pt>
                <c:pt idx="394">
                  <c:v>96.397826086956528</c:v>
                </c:pt>
                <c:pt idx="395">
                  <c:v>96.649999999999991</c:v>
                </c:pt>
                <c:pt idx="396">
                  <c:v>96.975543478260875</c:v>
                </c:pt>
                <c:pt idx="397">
                  <c:v>97.294565217391309</c:v>
                </c:pt>
                <c:pt idx="398">
                  <c:v>97.344021739130426</c:v>
                </c:pt>
                <c:pt idx="399">
                  <c:v>97.725000000000009</c:v>
                </c:pt>
                <c:pt idx="400">
                  <c:v>98.001086956521746</c:v>
                </c:pt>
                <c:pt idx="401">
                  <c:v>98.130434782608702</c:v>
                </c:pt>
                <c:pt idx="402">
                  <c:v>98.424999999999997</c:v>
                </c:pt>
                <c:pt idx="403">
                  <c:v>98.707608695652183</c:v>
                </c:pt>
                <c:pt idx="404">
                  <c:v>99.064130434782598</c:v>
                </c:pt>
                <c:pt idx="405">
                  <c:v>99.100543478260875</c:v>
                </c:pt>
                <c:pt idx="406">
                  <c:v>99.469565217391306</c:v>
                </c:pt>
                <c:pt idx="407">
                  <c:v>99.721195652173918</c:v>
                </c:pt>
                <c:pt idx="408">
                  <c:v>100.04673913043477</c:v>
                </c:pt>
                <c:pt idx="409">
                  <c:v>100.2983695652174</c:v>
                </c:pt>
                <c:pt idx="410">
                  <c:v>100.40326086956522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E4DE-45F7-B9CE-B6A403A236A9}"/>
            </c:ext>
          </c:extLst>
        </c:ser>
        <c:ser>
          <c:idx val="2"/>
          <c:order val="1"/>
          <c:tx>
            <c:v>L30CPTX-2</c:v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2"/>
          </c:marker>
          <c:xVal>
            <c:numRef>
              <c:f>'L30CPTX-2'!$B$7:$B$469</c:f>
              <c:numCache>
                <c:formatCode>0.00E+00</c:formatCode>
                <c:ptCount val="463"/>
                <c:pt idx="0" formatCode="General">
                  <c:v>0</c:v>
                </c:pt>
                <c:pt idx="1">
                  <c:v>3.2257E-5</c:v>
                </c:pt>
                <c:pt idx="2">
                  <c:v>3.7366800000000003E-5</c:v>
                </c:pt>
                <c:pt idx="3">
                  <c:v>7.1578500000000006E-5</c:v>
                </c:pt>
                <c:pt idx="4">
                  <c:v>2.1960999999999999E-5</c:v>
                </c:pt>
                <c:pt idx="5">
                  <c:v>8.6544299999999997E-5</c:v>
                </c:pt>
                <c:pt idx="6">
                  <c:v>-3.5736700000000002E-6</c:v>
                </c:pt>
                <c:pt idx="7">
                  <c:v>5.6288700000000002E-5</c:v>
                </c:pt>
                <c:pt idx="8">
                  <c:v>9.43517E-5</c:v>
                </c:pt>
                <c:pt idx="9" formatCode="General">
                  <c:v>1.5118999999999999E-4</c:v>
                </c:pt>
                <c:pt idx="10" formatCode="General">
                  <c:v>1.2964500000000001E-4</c:v>
                </c:pt>
                <c:pt idx="11" formatCode="General">
                  <c:v>1.11093E-4</c:v>
                </c:pt>
                <c:pt idx="12" formatCode="General">
                  <c:v>1.3529300000000001E-4</c:v>
                </c:pt>
                <c:pt idx="13" formatCode="General">
                  <c:v>2.1248099999999999E-4</c:v>
                </c:pt>
                <c:pt idx="14" formatCode="General">
                  <c:v>1.20159E-4</c:v>
                </c:pt>
                <c:pt idx="15" formatCode="General">
                  <c:v>2.0402899999999999E-4</c:v>
                </c:pt>
                <c:pt idx="16" formatCode="General">
                  <c:v>1.6258000000000001E-4</c:v>
                </c:pt>
                <c:pt idx="17" formatCode="General">
                  <c:v>2.2034499999999999E-4</c:v>
                </c:pt>
                <c:pt idx="18" formatCode="General">
                  <c:v>2.0136700000000001E-4</c:v>
                </c:pt>
                <c:pt idx="19" formatCode="General">
                  <c:v>2.29185E-4</c:v>
                </c:pt>
                <c:pt idx="20" formatCode="General">
                  <c:v>1.89421E-4</c:v>
                </c:pt>
                <c:pt idx="21" formatCode="General">
                  <c:v>2.48881E-4</c:v>
                </c:pt>
                <c:pt idx="22" formatCode="General">
                  <c:v>2.5966599999999998E-4</c:v>
                </c:pt>
                <c:pt idx="23" formatCode="General">
                  <c:v>3.1008799999999998E-4</c:v>
                </c:pt>
                <c:pt idx="24" formatCode="General">
                  <c:v>3.0299800000000002E-4</c:v>
                </c:pt>
                <c:pt idx="25" formatCode="General">
                  <c:v>2.9239499999999998E-4</c:v>
                </c:pt>
                <c:pt idx="26" formatCode="General">
                  <c:v>2.8607900000000001E-4</c:v>
                </c:pt>
                <c:pt idx="27" formatCode="General">
                  <c:v>3.3840999999999998E-4</c:v>
                </c:pt>
                <c:pt idx="28" formatCode="General">
                  <c:v>3.8794200000000001E-4</c:v>
                </c:pt>
                <c:pt idx="29" formatCode="General">
                  <c:v>3.3313800000000002E-4</c:v>
                </c:pt>
                <c:pt idx="30" formatCode="General">
                  <c:v>4.5851099999999999E-4</c:v>
                </c:pt>
                <c:pt idx="31" formatCode="General">
                  <c:v>4.4288999999999998E-4</c:v>
                </c:pt>
                <c:pt idx="32" formatCode="General">
                  <c:v>4.1921800000000001E-4</c:v>
                </c:pt>
                <c:pt idx="33" formatCode="General">
                  <c:v>4.4313600000000001E-4</c:v>
                </c:pt>
                <c:pt idx="34" formatCode="General">
                  <c:v>4.0531699999999998E-4</c:v>
                </c:pt>
                <c:pt idx="35" formatCode="General">
                  <c:v>4.5894300000000001E-4</c:v>
                </c:pt>
                <c:pt idx="36" formatCode="General">
                  <c:v>4.8116599999999999E-4</c:v>
                </c:pt>
                <c:pt idx="37" formatCode="General">
                  <c:v>5.3707899999999999E-4</c:v>
                </c:pt>
                <c:pt idx="38" formatCode="General">
                  <c:v>4.2487100000000001E-4</c:v>
                </c:pt>
                <c:pt idx="39" formatCode="General">
                  <c:v>5.4637800000000003E-4</c:v>
                </c:pt>
                <c:pt idx="40" formatCode="General">
                  <c:v>5.4157800000000002E-4</c:v>
                </c:pt>
                <c:pt idx="41" formatCode="General">
                  <c:v>5.6832400000000004E-4</c:v>
                </c:pt>
                <c:pt idx="42" formatCode="General">
                  <c:v>5.7848700000000003E-4</c:v>
                </c:pt>
                <c:pt idx="43" formatCode="General">
                  <c:v>4.88934E-4</c:v>
                </c:pt>
                <c:pt idx="44" formatCode="General">
                  <c:v>5.8260799999999998E-4</c:v>
                </c:pt>
                <c:pt idx="45" formatCode="General">
                  <c:v>6.3686899999999998E-4</c:v>
                </c:pt>
                <c:pt idx="46" formatCode="General">
                  <c:v>6.0461300000000005E-4</c:v>
                </c:pt>
                <c:pt idx="47" formatCode="General">
                  <c:v>6.7904900000000004E-4</c:v>
                </c:pt>
                <c:pt idx="48" formatCode="General">
                  <c:v>6.4364200000000004E-4</c:v>
                </c:pt>
                <c:pt idx="49" formatCode="General">
                  <c:v>7.1472099999999998E-4</c:v>
                </c:pt>
                <c:pt idx="50" formatCode="General">
                  <c:v>6.6863800000000004E-4</c:v>
                </c:pt>
                <c:pt idx="51" formatCode="General">
                  <c:v>7.0459699999999995E-4</c:v>
                </c:pt>
                <c:pt idx="52" formatCode="General">
                  <c:v>7.5142500000000001E-4</c:v>
                </c:pt>
                <c:pt idx="53" formatCode="General">
                  <c:v>7.6102600000000004E-4</c:v>
                </c:pt>
                <c:pt idx="54" formatCode="General">
                  <c:v>7.85971E-4</c:v>
                </c:pt>
                <c:pt idx="55" formatCode="General">
                  <c:v>7.3733200000000005E-4</c:v>
                </c:pt>
                <c:pt idx="56" formatCode="General">
                  <c:v>6.8946800000000005E-4</c:v>
                </c:pt>
                <c:pt idx="57" formatCode="General">
                  <c:v>8.2822400000000002E-4</c:v>
                </c:pt>
                <c:pt idx="58" formatCode="General">
                  <c:v>7.73728E-4</c:v>
                </c:pt>
                <c:pt idx="59" formatCode="General">
                  <c:v>8.5323799999999998E-4</c:v>
                </c:pt>
                <c:pt idx="60" formatCode="General">
                  <c:v>8.6057799999999997E-4</c:v>
                </c:pt>
                <c:pt idx="61" formatCode="General">
                  <c:v>8.1855999999999997E-4</c:v>
                </c:pt>
                <c:pt idx="62" formatCode="General">
                  <c:v>8.5024000000000005E-4</c:v>
                </c:pt>
                <c:pt idx="63" formatCode="General">
                  <c:v>9.3157899999999998E-4</c:v>
                </c:pt>
                <c:pt idx="64" formatCode="General">
                  <c:v>9.0960200000000002E-4</c:v>
                </c:pt>
                <c:pt idx="65" formatCode="General">
                  <c:v>8.3813699999999997E-4</c:v>
                </c:pt>
                <c:pt idx="66" formatCode="General">
                  <c:v>9.3192399999999999E-4</c:v>
                </c:pt>
                <c:pt idx="67" formatCode="General">
                  <c:v>8.9687199999999995E-4</c:v>
                </c:pt>
                <c:pt idx="68" formatCode="General">
                  <c:v>9.6727300000000005E-4</c:v>
                </c:pt>
                <c:pt idx="69" formatCode="General">
                  <c:v>8.9384700000000002E-4</c:v>
                </c:pt>
                <c:pt idx="70" formatCode="General">
                  <c:v>9.4019999999999998E-4</c:v>
                </c:pt>
                <c:pt idx="71" formatCode="General">
                  <c:v>1.0412500000000001E-3</c:v>
                </c:pt>
                <c:pt idx="72" formatCode="General">
                  <c:v>1.0034499999999999E-3</c:v>
                </c:pt>
                <c:pt idx="73" formatCode="General">
                  <c:v>1.06869E-3</c:v>
                </c:pt>
                <c:pt idx="74" formatCode="General">
                  <c:v>1.05872E-3</c:v>
                </c:pt>
                <c:pt idx="75" formatCode="General">
                  <c:v>1.0695399999999999E-3</c:v>
                </c:pt>
                <c:pt idx="76" formatCode="General">
                  <c:v>1.0937500000000001E-3</c:v>
                </c:pt>
                <c:pt idx="77" formatCode="General">
                  <c:v>1.09815E-3</c:v>
                </c:pt>
                <c:pt idx="78" formatCode="General">
                  <c:v>1.1367700000000001E-3</c:v>
                </c:pt>
                <c:pt idx="79" formatCode="General">
                  <c:v>1.1829200000000001E-3</c:v>
                </c:pt>
                <c:pt idx="80" formatCode="General">
                  <c:v>1.1151799999999999E-3</c:v>
                </c:pt>
                <c:pt idx="81" formatCode="General">
                  <c:v>1.0974400000000001E-3</c:v>
                </c:pt>
                <c:pt idx="82" formatCode="General">
                  <c:v>1.1653E-3</c:v>
                </c:pt>
                <c:pt idx="83" formatCode="General">
                  <c:v>1.2129300000000001E-3</c:v>
                </c:pt>
                <c:pt idx="84" formatCode="General">
                  <c:v>1.1256199999999999E-3</c:v>
                </c:pt>
                <c:pt idx="85" formatCode="General">
                  <c:v>1.25595E-3</c:v>
                </c:pt>
                <c:pt idx="86" formatCode="General">
                  <c:v>1.2611199999999999E-3</c:v>
                </c:pt>
                <c:pt idx="87" formatCode="General">
                  <c:v>1.2479399999999999E-3</c:v>
                </c:pt>
                <c:pt idx="88" formatCode="General">
                  <c:v>1.3054500000000001E-3</c:v>
                </c:pt>
                <c:pt idx="89" formatCode="General">
                  <c:v>1.25624E-3</c:v>
                </c:pt>
                <c:pt idx="90" formatCode="General">
                  <c:v>1.2589000000000001E-3</c:v>
                </c:pt>
                <c:pt idx="91" formatCode="General">
                  <c:v>1.27717E-3</c:v>
                </c:pt>
                <c:pt idx="92" formatCode="General">
                  <c:v>1.2873400000000001E-3</c:v>
                </c:pt>
                <c:pt idx="93" formatCode="General">
                  <c:v>1.3513100000000001E-3</c:v>
                </c:pt>
                <c:pt idx="94" formatCode="General">
                  <c:v>1.3460499999999999E-3</c:v>
                </c:pt>
                <c:pt idx="95" formatCode="General">
                  <c:v>1.39989E-3</c:v>
                </c:pt>
                <c:pt idx="96" formatCode="General">
                  <c:v>1.4116300000000001E-3</c:v>
                </c:pt>
                <c:pt idx="97" formatCode="General">
                  <c:v>1.4011200000000001E-3</c:v>
                </c:pt>
                <c:pt idx="98" formatCode="General">
                  <c:v>1.4138499999999999E-3</c:v>
                </c:pt>
                <c:pt idx="99" formatCode="General">
                  <c:v>1.43417E-3</c:v>
                </c:pt>
                <c:pt idx="100" formatCode="General">
                  <c:v>1.43812E-3</c:v>
                </c:pt>
                <c:pt idx="101" formatCode="General">
                  <c:v>1.40372E-3</c:v>
                </c:pt>
                <c:pt idx="102" formatCode="General">
                  <c:v>1.42311E-3</c:v>
                </c:pt>
                <c:pt idx="103" formatCode="General">
                  <c:v>1.4739099999999999E-3</c:v>
                </c:pt>
                <c:pt idx="104" formatCode="General">
                  <c:v>1.5771699999999999E-3</c:v>
                </c:pt>
                <c:pt idx="105" formatCode="General">
                  <c:v>1.56499E-3</c:v>
                </c:pt>
                <c:pt idx="106" formatCode="General">
                  <c:v>1.57679E-3</c:v>
                </c:pt>
                <c:pt idx="107" formatCode="General">
                  <c:v>1.59796E-3</c:v>
                </c:pt>
                <c:pt idx="108" formatCode="General">
                  <c:v>1.6037899999999999E-3</c:v>
                </c:pt>
                <c:pt idx="109" formatCode="General">
                  <c:v>1.6043699999999999E-3</c:v>
                </c:pt>
                <c:pt idx="110" formatCode="General">
                  <c:v>1.61228E-3</c:v>
                </c:pt>
                <c:pt idx="111" formatCode="General">
                  <c:v>1.54412E-3</c:v>
                </c:pt>
                <c:pt idx="112" formatCode="General">
                  <c:v>1.6245400000000001E-3</c:v>
                </c:pt>
                <c:pt idx="113" formatCode="General">
                  <c:v>1.6185399999999999E-3</c:v>
                </c:pt>
                <c:pt idx="114" formatCode="General">
                  <c:v>1.60425E-3</c:v>
                </c:pt>
                <c:pt idx="115" formatCode="General">
                  <c:v>1.6759100000000001E-3</c:v>
                </c:pt>
                <c:pt idx="116" formatCode="General">
                  <c:v>1.64474E-3</c:v>
                </c:pt>
                <c:pt idx="117" formatCode="General">
                  <c:v>1.7068599999999999E-3</c:v>
                </c:pt>
                <c:pt idx="118" formatCode="General">
                  <c:v>1.77546E-3</c:v>
                </c:pt>
                <c:pt idx="119" formatCode="General">
                  <c:v>1.7290199999999999E-3</c:v>
                </c:pt>
                <c:pt idx="120" formatCode="General">
                  <c:v>1.7814199999999999E-3</c:v>
                </c:pt>
                <c:pt idx="121" formatCode="General">
                  <c:v>1.7831399999999999E-3</c:v>
                </c:pt>
                <c:pt idx="122" formatCode="General">
                  <c:v>1.7905600000000001E-3</c:v>
                </c:pt>
                <c:pt idx="123" formatCode="General">
                  <c:v>1.8386699999999999E-3</c:v>
                </c:pt>
                <c:pt idx="124" formatCode="General">
                  <c:v>1.8566500000000001E-3</c:v>
                </c:pt>
                <c:pt idx="125" formatCode="General">
                  <c:v>1.92223E-3</c:v>
                </c:pt>
                <c:pt idx="126" formatCode="General">
                  <c:v>1.8800799999999999E-3</c:v>
                </c:pt>
                <c:pt idx="127" formatCode="General">
                  <c:v>1.8723699999999999E-3</c:v>
                </c:pt>
                <c:pt idx="128" formatCode="General">
                  <c:v>1.9016E-3</c:v>
                </c:pt>
                <c:pt idx="129" formatCode="General">
                  <c:v>1.93089E-3</c:v>
                </c:pt>
                <c:pt idx="130" formatCode="General">
                  <c:v>1.9503299999999999E-3</c:v>
                </c:pt>
                <c:pt idx="131" formatCode="General">
                  <c:v>1.92165E-3</c:v>
                </c:pt>
                <c:pt idx="132" formatCode="General">
                  <c:v>1.91617E-3</c:v>
                </c:pt>
                <c:pt idx="133" formatCode="General">
                  <c:v>1.9302500000000001E-3</c:v>
                </c:pt>
                <c:pt idx="134" formatCode="General">
                  <c:v>1.9737800000000001E-3</c:v>
                </c:pt>
                <c:pt idx="135" formatCode="General">
                  <c:v>2.0573499999999999E-3</c:v>
                </c:pt>
                <c:pt idx="136" formatCode="General">
                  <c:v>2.02111E-3</c:v>
                </c:pt>
                <c:pt idx="137" formatCode="General">
                  <c:v>2.0503800000000001E-3</c:v>
                </c:pt>
                <c:pt idx="138" formatCode="General">
                  <c:v>2.0201799999999999E-3</c:v>
                </c:pt>
                <c:pt idx="139" formatCode="General">
                  <c:v>2.0484000000000001E-3</c:v>
                </c:pt>
                <c:pt idx="140" formatCode="General">
                  <c:v>2.1005799999999999E-3</c:v>
                </c:pt>
                <c:pt idx="141" formatCode="General">
                  <c:v>2.0953999999999999E-3</c:v>
                </c:pt>
                <c:pt idx="142" formatCode="General">
                  <c:v>2.14795E-3</c:v>
                </c:pt>
                <c:pt idx="143" formatCode="General">
                  <c:v>2.15059E-3</c:v>
                </c:pt>
                <c:pt idx="144" formatCode="General">
                  <c:v>2.1333900000000002E-3</c:v>
                </c:pt>
                <c:pt idx="145" formatCode="General">
                  <c:v>2.04843E-3</c:v>
                </c:pt>
                <c:pt idx="146" formatCode="General">
                  <c:v>2.1901400000000001E-3</c:v>
                </c:pt>
                <c:pt idx="147" formatCode="General">
                  <c:v>2.2635300000000001E-3</c:v>
                </c:pt>
                <c:pt idx="148" formatCode="General">
                  <c:v>2.1970499999999999E-3</c:v>
                </c:pt>
                <c:pt idx="149" formatCode="General">
                  <c:v>2.2323199999999999E-3</c:v>
                </c:pt>
                <c:pt idx="150" formatCode="General">
                  <c:v>2.3059500000000002E-3</c:v>
                </c:pt>
                <c:pt idx="151" formatCode="General">
                  <c:v>2.3064399999999999E-3</c:v>
                </c:pt>
                <c:pt idx="152" formatCode="General">
                  <c:v>2.3828899999999999E-3</c:v>
                </c:pt>
                <c:pt idx="153" formatCode="General">
                  <c:v>2.30752E-3</c:v>
                </c:pt>
                <c:pt idx="154" formatCode="General">
                  <c:v>2.3875099999999998E-3</c:v>
                </c:pt>
                <c:pt idx="155" formatCode="General">
                  <c:v>2.3591300000000001E-3</c:v>
                </c:pt>
                <c:pt idx="156" formatCode="General">
                  <c:v>2.3410499999999999E-3</c:v>
                </c:pt>
                <c:pt idx="157" formatCode="General">
                  <c:v>2.4137799999999999E-3</c:v>
                </c:pt>
                <c:pt idx="158" formatCode="General">
                  <c:v>2.4557099999999998E-3</c:v>
                </c:pt>
                <c:pt idx="159" formatCode="General">
                  <c:v>2.4034500000000001E-3</c:v>
                </c:pt>
                <c:pt idx="160" formatCode="General">
                  <c:v>2.4446300000000002E-3</c:v>
                </c:pt>
                <c:pt idx="161" formatCode="General">
                  <c:v>2.5485799999999999E-3</c:v>
                </c:pt>
                <c:pt idx="162" formatCode="General">
                  <c:v>2.4968199999999999E-3</c:v>
                </c:pt>
                <c:pt idx="163" formatCode="General">
                  <c:v>2.5000000000000001E-3</c:v>
                </c:pt>
                <c:pt idx="164" formatCode="General">
                  <c:v>2.4727299999999998E-3</c:v>
                </c:pt>
                <c:pt idx="165" formatCode="General">
                  <c:v>2.5008500000000002E-3</c:v>
                </c:pt>
                <c:pt idx="166" formatCode="General">
                  <c:v>2.5371600000000001E-3</c:v>
                </c:pt>
                <c:pt idx="167" formatCode="General">
                  <c:v>2.5719100000000002E-3</c:v>
                </c:pt>
                <c:pt idx="168" formatCode="General">
                  <c:v>2.5528399999999998E-3</c:v>
                </c:pt>
                <c:pt idx="169" formatCode="General">
                  <c:v>2.5554800000000002E-3</c:v>
                </c:pt>
                <c:pt idx="170" formatCode="General">
                  <c:v>2.5657000000000002E-3</c:v>
                </c:pt>
                <c:pt idx="171" formatCode="General">
                  <c:v>2.6302600000000001E-3</c:v>
                </c:pt>
                <c:pt idx="172" formatCode="General">
                  <c:v>2.6326100000000001E-3</c:v>
                </c:pt>
                <c:pt idx="173" formatCode="General">
                  <c:v>2.5926399999999998E-3</c:v>
                </c:pt>
                <c:pt idx="174" formatCode="General">
                  <c:v>2.6420699999999998E-3</c:v>
                </c:pt>
                <c:pt idx="175" formatCode="General">
                  <c:v>2.6118700000000001E-3</c:v>
                </c:pt>
                <c:pt idx="176" formatCode="General">
                  <c:v>2.63379E-3</c:v>
                </c:pt>
                <c:pt idx="177" formatCode="General">
                  <c:v>2.6832100000000001E-3</c:v>
                </c:pt>
                <c:pt idx="178" formatCode="General">
                  <c:v>2.6761100000000002E-3</c:v>
                </c:pt>
                <c:pt idx="179" formatCode="General">
                  <c:v>2.7103700000000001E-3</c:v>
                </c:pt>
                <c:pt idx="180" formatCode="General">
                  <c:v>2.7199300000000002E-3</c:v>
                </c:pt>
                <c:pt idx="181" formatCode="General">
                  <c:v>2.7651099999999999E-3</c:v>
                </c:pt>
                <c:pt idx="182" formatCode="General">
                  <c:v>2.6997100000000001E-3</c:v>
                </c:pt>
                <c:pt idx="183" formatCode="General">
                  <c:v>2.7939200000000001E-3</c:v>
                </c:pt>
                <c:pt idx="184" formatCode="General">
                  <c:v>2.7375899999999998E-3</c:v>
                </c:pt>
                <c:pt idx="185" formatCode="General">
                  <c:v>2.8333E-3</c:v>
                </c:pt>
                <c:pt idx="186" formatCode="General">
                  <c:v>2.7683199999999999E-3</c:v>
                </c:pt>
                <c:pt idx="187" formatCode="General">
                  <c:v>2.8541299999999999E-3</c:v>
                </c:pt>
                <c:pt idx="188" formatCode="General">
                  <c:v>2.8375700000000002E-3</c:v>
                </c:pt>
                <c:pt idx="189" formatCode="General">
                  <c:v>2.7416699999999999E-3</c:v>
                </c:pt>
                <c:pt idx="190" formatCode="General">
                  <c:v>2.8558899999999998E-3</c:v>
                </c:pt>
                <c:pt idx="191" formatCode="General">
                  <c:v>2.8313399999999999E-3</c:v>
                </c:pt>
                <c:pt idx="192" formatCode="General">
                  <c:v>2.826E-3</c:v>
                </c:pt>
                <c:pt idx="193" formatCode="General">
                  <c:v>2.8696099999999999E-3</c:v>
                </c:pt>
                <c:pt idx="194" formatCode="General">
                  <c:v>2.9726399999999999E-3</c:v>
                </c:pt>
                <c:pt idx="195" formatCode="General">
                  <c:v>2.9397799999999999E-3</c:v>
                </c:pt>
                <c:pt idx="196" formatCode="General">
                  <c:v>3.04894E-3</c:v>
                </c:pt>
                <c:pt idx="197" formatCode="General">
                  <c:v>2.9429999999999999E-3</c:v>
                </c:pt>
                <c:pt idx="198" formatCode="General">
                  <c:v>2.9635400000000002E-3</c:v>
                </c:pt>
                <c:pt idx="199" formatCode="General">
                  <c:v>3.01732E-3</c:v>
                </c:pt>
                <c:pt idx="200" formatCode="General">
                  <c:v>2.9862199999999999E-3</c:v>
                </c:pt>
                <c:pt idx="201" formatCode="General">
                  <c:v>3.06054E-3</c:v>
                </c:pt>
                <c:pt idx="202" formatCode="General">
                  <c:v>2.9899100000000001E-3</c:v>
                </c:pt>
                <c:pt idx="203" formatCode="General">
                  <c:v>3.0288099999999998E-3</c:v>
                </c:pt>
                <c:pt idx="204" formatCode="General">
                  <c:v>3.0747399999999999E-3</c:v>
                </c:pt>
                <c:pt idx="205" formatCode="General">
                  <c:v>3.0536700000000001E-3</c:v>
                </c:pt>
                <c:pt idx="206" formatCode="General">
                  <c:v>3.1060900000000002E-3</c:v>
                </c:pt>
                <c:pt idx="207" formatCode="General">
                  <c:v>3.0955000000000002E-3</c:v>
                </c:pt>
                <c:pt idx="208" formatCode="General">
                  <c:v>3.1335299999999998E-3</c:v>
                </c:pt>
                <c:pt idx="209" formatCode="General">
                  <c:v>3.1985500000000001E-3</c:v>
                </c:pt>
                <c:pt idx="210" formatCode="General">
                  <c:v>3.1440600000000002E-3</c:v>
                </c:pt>
                <c:pt idx="211" formatCode="General">
                  <c:v>3.1610499999999999E-3</c:v>
                </c:pt>
                <c:pt idx="212" formatCode="General">
                  <c:v>3.1744899999999999E-3</c:v>
                </c:pt>
                <c:pt idx="213" formatCode="General">
                  <c:v>3.1159E-3</c:v>
                </c:pt>
                <c:pt idx="214" formatCode="General">
                  <c:v>3.2254900000000001E-3</c:v>
                </c:pt>
                <c:pt idx="215" formatCode="General">
                  <c:v>3.28204E-3</c:v>
                </c:pt>
                <c:pt idx="216" formatCode="General">
                  <c:v>3.2510999999999998E-3</c:v>
                </c:pt>
                <c:pt idx="217" formatCode="General">
                  <c:v>3.2391999999999998E-3</c:v>
                </c:pt>
                <c:pt idx="218" formatCode="General">
                  <c:v>3.2768799999999998E-3</c:v>
                </c:pt>
                <c:pt idx="219" formatCode="General">
                  <c:v>3.27392E-3</c:v>
                </c:pt>
                <c:pt idx="220" formatCode="General">
                  <c:v>3.2821199999999999E-3</c:v>
                </c:pt>
                <c:pt idx="221" formatCode="General">
                  <c:v>3.31139E-3</c:v>
                </c:pt>
                <c:pt idx="222" formatCode="General">
                  <c:v>3.3964099999999999E-3</c:v>
                </c:pt>
                <c:pt idx="223" formatCode="General">
                  <c:v>3.3349400000000002E-3</c:v>
                </c:pt>
                <c:pt idx="224" formatCode="General">
                  <c:v>3.3681800000000001E-3</c:v>
                </c:pt>
                <c:pt idx="225" formatCode="General">
                  <c:v>3.34169E-3</c:v>
                </c:pt>
                <c:pt idx="226" formatCode="General">
                  <c:v>3.37456E-3</c:v>
                </c:pt>
                <c:pt idx="227" formatCode="General">
                  <c:v>3.3940400000000001E-3</c:v>
                </c:pt>
                <c:pt idx="228" formatCode="General">
                  <c:v>3.4454899999999998E-3</c:v>
                </c:pt>
                <c:pt idx="229" formatCode="General">
                  <c:v>3.4153600000000001E-3</c:v>
                </c:pt>
                <c:pt idx="230" formatCode="General">
                  <c:v>3.4062799999999998E-3</c:v>
                </c:pt>
                <c:pt idx="231" formatCode="General">
                  <c:v>3.4113199999999998E-3</c:v>
                </c:pt>
                <c:pt idx="232" formatCode="General">
                  <c:v>3.47445E-3</c:v>
                </c:pt>
                <c:pt idx="233" formatCode="General">
                  <c:v>3.4504700000000002E-3</c:v>
                </c:pt>
                <c:pt idx="234" formatCode="General">
                  <c:v>3.5361199999999998E-3</c:v>
                </c:pt>
                <c:pt idx="235" formatCode="General">
                  <c:v>3.4786000000000001E-3</c:v>
                </c:pt>
                <c:pt idx="236" formatCode="General">
                  <c:v>3.46431E-3</c:v>
                </c:pt>
                <c:pt idx="237" formatCode="General">
                  <c:v>3.5307200000000002E-3</c:v>
                </c:pt>
                <c:pt idx="238" formatCode="General">
                  <c:v>3.5873799999999998E-3</c:v>
                </c:pt>
                <c:pt idx="239" formatCode="General">
                  <c:v>3.5385999999999998E-3</c:v>
                </c:pt>
                <c:pt idx="240" formatCode="General">
                  <c:v>3.60414E-3</c:v>
                </c:pt>
                <c:pt idx="241" formatCode="General">
                  <c:v>3.6011099999999998E-3</c:v>
                </c:pt>
                <c:pt idx="242" formatCode="General">
                  <c:v>3.6071599999999999E-3</c:v>
                </c:pt>
                <c:pt idx="243" formatCode="General">
                  <c:v>3.6399000000000002E-3</c:v>
                </c:pt>
                <c:pt idx="244" formatCode="General">
                  <c:v>3.6584500000000002E-3</c:v>
                </c:pt>
                <c:pt idx="245" formatCode="General">
                  <c:v>3.6624600000000002E-3</c:v>
                </c:pt>
                <c:pt idx="246" formatCode="General">
                  <c:v>3.6443399999999998E-3</c:v>
                </c:pt>
                <c:pt idx="247" formatCode="General">
                  <c:v>3.6581399999999998E-3</c:v>
                </c:pt>
                <c:pt idx="248" formatCode="General">
                  <c:v>3.7190700000000001E-3</c:v>
                </c:pt>
                <c:pt idx="249" formatCode="General">
                  <c:v>3.72471E-3</c:v>
                </c:pt>
                <c:pt idx="250" formatCode="General">
                  <c:v>3.7533499999999999E-3</c:v>
                </c:pt>
                <c:pt idx="251" formatCode="General">
                  <c:v>3.6169599999999998E-3</c:v>
                </c:pt>
                <c:pt idx="252" formatCode="General">
                  <c:v>3.6743499999999998E-3</c:v>
                </c:pt>
                <c:pt idx="253" formatCode="General">
                  <c:v>3.74253E-3</c:v>
                </c:pt>
                <c:pt idx="254" formatCode="General">
                  <c:v>3.7615700000000001E-3</c:v>
                </c:pt>
                <c:pt idx="255" formatCode="General">
                  <c:v>3.80518E-3</c:v>
                </c:pt>
                <c:pt idx="256" formatCode="General">
                  <c:v>3.72493E-3</c:v>
                </c:pt>
                <c:pt idx="257" formatCode="General">
                  <c:v>3.7760200000000002E-3</c:v>
                </c:pt>
                <c:pt idx="258" formatCode="General">
                  <c:v>3.8373299999999999E-3</c:v>
                </c:pt>
                <c:pt idx="259" formatCode="General">
                  <c:v>3.8006400000000001E-3</c:v>
                </c:pt>
                <c:pt idx="260" formatCode="General">
                  <c:v>3.7634500000000002E-3</c:v>
                </c:pt>
                <c:pt idx="261" formatCode="General">
                  <c:v>3.77028E-3</c:v>
                </c:pt>
                <c:pt idx="262" formatCode="General">
                  <c:v>3.8500600000000002E-3</c:v>
                </c:pt>
                <c:pt idx="263" formatCode="General">
                  <c:v>3.8818799999999999E-3</c:v>
                </c:pt>
                <c:pt idx="264" formatCode="General">
                  <c:v>3.9104999999999999E-3</c:v>
                </c:pt>
                <c:pt idx="265" formatCode="General">
                  <c:v>3.8508700000000002E-3</c:v>
                </c:pt>
                <c:pt idx="266" formatCode="General">
                  <c:v>3.9620100000000002E-3</c:v>
                </c:pt>
                <c:pt idx="267" formatCode="General">
                  <c:v>3.9863199999999998E-3</c:v>
                </c:pt>
                <c:pt idx="268" formatCode="General">
                  <c:v>4.0567399999999997E-3</c:v>
                </c:pt>
                <c:pt idx="269" formatCode="General">
                  <c:v>3.9957200000000003E-3</c:v>
                </c:pt>
                <c:pt idx="270" formatCode="General">
                  <c:v>3.9437700000000001E-3</c:v>
                </c:pt>
                <c:pt idx="271" formatCode="General">
                  <c:v>3.9929600000000003E-3</c:v>
                </c:pt>
                <c:pt idx="272" formatCode="General">
                  <c:v>4.0280300000000002E-3</c:v>
                </c:pt>
                <c:pt idx="273" formatCode="General">
                  <c:v>4.0018500000000004E-3</c:v>
                </c:pt>
                <c:pt idx="274" formatCode="General">
                  <c:v>4.0804600000000002E-3</c:v>
                </c:pt>
                <c:pt idx="275" formatCode="General">
                  <c:v>4.0574599999999997E-3</c:v>
                </c:pt>
                <c:pt idx="276" formatCode="General">
                  <c:v>4.0892400000000001E-3</c:v>
                </c:pt>
                <c:pt idx="277" formatCode="General">
                  <c:v>4.12372E-3</c:v>
                </c:pt>
                <c:pt idx="278" formatCode="General">
                  <c:v>4.1483099999999997E-3</c:v>
                </c:pt>
                <c:pt idx="279" formatCode="General">
                  <c:v>4.1140200000000004E-3</c:v>
                </c:pt>
                <c:pt idx="280" formatCode="General">
                  <c:v>4.1131099999999997E-3</c:v>
                </c:pt>
                <c:pt idx="281" formatCode="General">
                  <c:v>4.1681599999999997E-3</c:v>
                </c:pt>
                <c:pt idx="282" formatCode="General">
                  <c:v>4.1851700000000002E-3</c:v>
                </c:pt>
                <c:pt idx="283" formatCode="General">
                  <c:v>4.2210700000000004E-3</c:v>
                </c:pt>
                <c:pt idx="284" formatCode="General">
                  <c:v>4.1770100000000001E-3</c:v>
                </c:pt>
                <c:pt idx="285" formatCode="General">
                  <c:v>4.2574800000000001E-3</c:v>
                </c:pt>
                <c:pt idx="286" formatCode="General">
                  <c:v>4.2922200000000002E-3</c:v>
                </c:pt>
                <c:pt idx="287" formatCode="General">
                  <c:v>4.24304E-3</c:v>
                </c:pt>
                <c:pt idx="288" formatCode="General">
                  <c:v>4.2516300000000002E-3</c:v>
                </c:pt>
                <c:pt idx="289" formatCode="General">
                  <c:v>4.3198100000000003E-3</c:v>
                </c:pt>
                <c:pt idx="290" formatCode="General">
                  <c:v>4.3086399999999999E-3</c:v>
                </c:pt>
                <c:pt idx="291" formatCode="General">
                  <c:v>4.3361700000000003E-3</c:v>
                </c:pt>
                <c:pt idx="292" formatCode="General">
                  <c:v>4.3275700000000002E-3</c:v>
                </c:pt>
                <c:pt idx="293" formatCode="General">
                  <c:v>4.4087500000000003E-3</c:v>
                </c:pt>
                <c:pt idx="294" formatCode="General">
                  <c:v>4.4003200000000001E-3</c:v>
                </c:pt>
                <c:pt idx="295" formatCode="General">
                  <c:v>4.4162899999999998E-3</c:v>
                </c:pt>
                <c:pt idx="296" formatCode="General">
                  <c:v>4.3502000000000002E-3</c:v>
                </c:pt>
                <c:pt idx="297" formatCode="General">
                  <c:v>4.4093600000000002E-3</c:v>
                </c:pt>
                <c:pt idx="298" formatCode="General">
                  <c:v>4.3917499999999998E-3</c:v>
                </c:pt>
                <c:pt idx="299" formatCode="General">
                  <c:v>4.4863500000000001E-3</c:v>
                </c:pt>
                <c:pt idx="300" formatCode="General">
                  <c:v>4.4429700000000001E-3</c:v>
                </c:pt>
                <c:pt idx="301" formatCode="General">
                  <c:v>4.4748499999999998E-3</c:v>
                </c:pt>
                <c:pt idx="302" formatCode="General">
                  <c:v>4.4503299999999997E-3</c:v>
                </c:pt>
                <c:pt idx="303" formatCode="General">
                  <c:v>4.5133300000000003E-3</c:v>
                </c:pt>
                <c:pt idx="304" formatCode="General">
                  <c:v>4.59429E-3</c:v>
                </c:pt>
                <c:pt idx="305" formatCode="General">
                  <c:v>4.5150900000000002E-3</c:v>
                </c:pt>
                <c:pt idx="306" formatCode="General">
                  <c:v>4.5209500000000001E-3</c:v>
                </c:pt>
                <c:pt idx="307" formatCode="General">
                  <c:v>4.5561500000000001E-3</c:v>
                </c:pt>
                <c:pt idx="308" formatCode="General">
                  <c:v>4.5361999999999998E-3</c:v>
                </c:pt>
                <c:pt idx="309" formatCode="General">
                  <c:v>4.61503E-3</c:v>
                </c:pt>
                <c:pt idx="310" formatCode="General">
                  <c:v>4.6408700000000001E-3</c:v>
                </c:pt>
                <c:pt idx="311" formatCode="General">
                  <c:v>4.5688300000000003E-3</c:v>
                </c:pt>
                <c:pt idx="312" formatCode="General">
                  <c:v>4.6020499999999999E-3</c:v>
                </c:pt>
                <c:pt idx="313" formatCode="General">
                  <c:v>4.6049400000000001E-3</c:v>
                </c:pt>
                <c:pt idx="314" formatCode="General">
                  <c:v>4.6277599999999999E-3</c:v>
                </c:pt>
                <c:pt idx="315" formatCode="General">
                  <c:v>4.6799500000000004E-3</c:v>
                </c:pt>
                <c:pt idx="316" formatCode="General">
                  <c:v>4.5925899999999997E-3</c:v>
                </c:pt>
                <c:pt idx="317" formatCode="General">
                  <c:v>4.6827300000000004E-3</c:v>
                </c:pt>
                <c:pt idx="318" formatCode="General">
                  <c:v>4.7633299999999996E-3</c:v>
                </c:pt>
                <c:pt idx="319" formatCode="General">
                  <c:v>4.7376500000000004E-3</c:v>
                </c:pt>
                <c:pt idx="320" formatCode="General">
                  <c:v>4.7122400000000004E-3</c:v>
                </c:pt>
                <c:pt idx="321" formatCode="General">
                  <c:v>4.6626100000000002E-3</c:v>
                </c:pt>
                <c:pt idx="322" formatCode="General">
                  <c:v>4.70382E-3</c:v>
                </c:pt>
                <c:pt idx="323" formatCode="General">
                  <c:v>4.7474099999999997E-3</c:v>
                </c:pt>
                <c:pt idx="324" formatCode="General">
                  <c:v>4.7733599999999999E-3</c:v>
                </c:pt>
                <c:pt idx="325" formatCode="General">
                  <c:v>4.7417900000000001E-3</c:v>
                </c:pt>
                <c:pt idx="326" formatCode="General">
                  <c:v>4.8383499999999999E-3</c:v>
                </c:pt>
                <c:pt idx="327" formatCode="General">
                  <c:v>4.8205699999999997E-3</c:v>
                </c:pt>
                <c:pt idx="328" formatCode="General">
                  <c:v>4.8344399999999997E-3</c:v>
                </c:pt>
                <c:pt idx="329" formatCode="General">
                  <c:v>4.8885400000000002E-3</c:v>
                </c:pt>
                <c:pt idx="330" formatCode="General">
                  <c:v>4.8742200000000003E-3</c:v>
                </c:pt>
                <c:pt idx="331" formatCode="General">
                  <c:v>4.8916100000000002E-3</c:v>
                </c:pt>
                <c:pt idx="332" formatCode="General">
                  <c:v>4.9197800000000003E-3</c:v>
                </c:pt>
                <c:pt idx="333" formatCode="General">
                  <c:v>4.9147799999999997E-3</c:v>
                </c:pt>
                <c:pt idx="334" formatCode="General">
                  <c:v>4.9386999999999999E-3</c:v>
                </c:pt>
                <c:pt idx="335" formatCode="General">
                  <c:v>4.9501700000000003E-3</c:v>
                </c:pt>
                <c:pt idx="336" formatCode="General">
                  <c:v>5.0148600000000003E-3</c:v>
                </c:pt>
                <c:pt idx="337" formatCode="General">
                  <c:v>4.9324E-3</c:v>
                </c:pt>
                <c:pt idx="338" formatCode="General">
                  <c:v>5.0070699999999998E-3</c:v>
                </c:pt>
                <c:pt idx="339" formatCode="General">
                  <c:v>4.9187299999999996E-3</c:v>
                </c:pt>
                <c:pt idx="340" formatCode="General">
                  <c:v>5.0501900000000004E-3</c:v>
                </c:pt>
                <c:pt idx="341" formatCode="General">
                  <c:v>5.0531400000000002E-3</c:v>
                </c:pt>
                <c:pt idx="342" formatCode="General">
                  <c:v>5.0476799999999997E-3</c:v>
                </c:pt>
                <c:pt idx="343" formatCode="General">
                  <c:v>5.0580399999999998E-3</c:v>
                </c:pt>
                <c:pt idx="344" formatCode="General">
                  <c:v>5.0541900000000001E-3</c:v>
                </c:pt>
                <c:pt idx="345" formatCode="General">
                  <c:v>5.0715400000000002E-3</c:v>
                </c:pt>
                <c:pt idx="346" formatCode="General">
                  <c:v>5.0775500000000001E-3</c:v>
                </c:pt>
                <c:pt idx="347" formatCode="General">
                  <c:v>5.1352699999999999E-3</c:v>
                </c:pt>
                <c:pt idx="348" formatCode="General">
                  <c:v>5.1043599999999996E-3</c:v>
                </c:pt>
                <c:pt idx="349" formatCode="General">
                  <c:v>5.1329699999999997E-3</c:v>
                </c:pt>
                <c:pt idx="350" formatCode="General">
                  <c:v>5.1660899999999999E-3</c:v>
                </c:pt>
                <c:pt idx="351" formatCode="General">
                  <c:v>5.19499E-3</c:v>
                </c:pt>
                <c:pt idx="352" formatCode="General">
                  <c:v>5.11466E-3</c:v>
                </c:pt>
                <c:pt idx="353" formatCode="General">
                  <c:v>5.2264800000000004E-3</c:v>
                </c:pt>
                <c:pt idx="354" formatCode="General">
                  <c:v>5.2119899999999997E-3</c:v>
                </c:pt>
                <c:pt idx="355" formatCode="General">
                  <c:v>5.2853400000000004E-3</c:v>
                </c:pt>
                <c:pt idx="356" formatCode="General">
                  <c:v>5.2648199999999999E-3</c:v>
                </c:pt>
                <c:pt idx="357" formatCode="General">
                  <c:v>5.2665000000000003E-3</c:v>
                </c:pt>
                <c:pt idx="358" formatCode="General">
                  <c:v>5.2554699999999999E-3</c:v>
                </c:pt>
                <c:pt idx="359" formatCode="General">
                  <c:v>5.2701600000000003E-3</c:v>
                </c:pt>
                <c:pt idx="360" formatCode="General">
                  <c:v>5.2481699999999999E-3</c:v>
                </c:pt>
                <c:pt idx="361" formatCode="General">
                  <c:v>5.2769100000000001E-3</c:v>
                </c:pt>
                <c:pt idx="362" formatCode="General">
                  <c:v>5.3036799999999999E-3</c:v>
                </c:pt>
                <c:pt idx="363" formatCode="General">
                  <c:v>5.32191E-3</c:v>
                </c:pt>
                <c:pt idx="364" formatCode="General">
                  <c:v>5.3902300000000002E-3</c:v>
                </c:pt>
                <c:pt idx="365" formatCode="General">
                  <c:v>5.3932499999999996E-3</c:v>
                </c:pt>
                <c:pt idx="366" formatCode="General">
                  <c:v>5.3961699999999996E-3</c:v>
                </c:pt>
                <c:pt idx="367" formatCode="General">
                  <c:v>5.3641399999999999E-3</c:v>
                </c:pt>
                <c:pt idx="368" formatCode="General">
                  <c:v>5.4138299999999997E-3</c:v>
                </c:pt>
                <c:pt idx="369" formatCode="General">
                  <c:v>5.4072800000000004E-3</c:v>
                </c:pt>
                <c:pt idx="370" formatCode="General">
                  <c:v>5.3867200000000002E-3</c:v>
                </c:pt>
                <c:pt idx="371" formatCode="General">
                  <c:v>5.4279699999999998E-3</c:v>
                </c:pt>
                <c:pt idx="372" formatCode="General">
                  <c:v>5.4225699999999998E-3</c:v>
                </c:pt>
                <c:pt idx="373" formatCode="General">
                  <c:v>5.4550299999999996E-3</c:v>
                </c:pt>
                <c:pt idx="374" formatCode="General">
                  <c:v>5.3911000000000002E-3</c:v>
                </c:pt>
                <c:pt idx="375" formatCode="General">
                  <c:v>5.4666000000000003E-3</c:v>
                </c:pt>
                <c:pt idx="376" formatCode="General">
                  <c:v>5.4682100000000003E-3</c:v>
                </c:pt>
                <c:pt idx="377" formatCode="General">
                  <c:v>5.5368300000000004E-3</c:v>
                </c:pt>
                <c:pt idx="378" formatCode="General">
                  <c:v>5.4926799999999998E-3</c:v>
                </c:pt>
                <c:pt idx="379" formatCode="General">
                  <c:v>5.5092700000000001E-3</c:v>
                </c:pt>
                <c:pt idx="380" formatCode="General">
                  <c:v>5.5454199999999997E-3</c:v>
                </c:pt>
                <c:pt idx="381" formatCode="General">
                  <c:v>5.6232900000000004E-3</c:v>
                </c:pt>
                <c:pt idx="382" formatCode="General">
                  <c:v>5.5698400000000004E-3</c:v>
                </c:pt>
                <c:pt idx="383" formatCode="General">
                  <c:v>5.6069199999999996E-3</c:v>
                </c:pt>
                <c:pt idx="384" formatCode="General">
                  <c:v>5.6037099999999996E-3</c:v>
                </c:pt>
                <c:pt idx="385" formatCode="General">
                  <c:v>5.6092900000000003E-3</c:v>
                </c:pt>
                <c:pt idx="386" formatCode="General">
                  <c:v>5.6500500000000002E-3</c:v>
                </c:pt>
                <c:pt idx="387" formatCode="General">
                  <c:v>5.6667100000000001E-3</c:v>
                </c:pt>
                <c:pt idx="388" formatCode="General">
                  <c:v>5.6631900000000002E-3</c:v>
                </c:pt>
                <c:pt idx="389" formatCode="General">
                  <c:v>5.5782200000000001E-3</c:v>
                </c:pt>
                <c:pt idx="390" formatCode="General">
                  <c:v>5.6271899999999998E-3</c:v>
                </c:pt>
                <c:pt idx="391" formatCode="General">
                  <c:v>5.6280200000000001E-3</c:v>
                </c:pt>
                <c:pt idx="392" formatCode="General">
                  <c:v>5.78284E-3</c:v>
                </c:pt>
                <c:pt idx="393" formatCode="General">
                  <c:v>5.6936299999999999E-3</c:v>
                </c:pt>
                <c:pt idx="394" formatCode="General">
                  <c:v>5.7118200000000003E-3</c:v>
                </c:pt>
                <c:pt idx="395" formatCode="General">
                  <c:v>5.7307699999999996E-3</c:v>
                </c:pt>
                <c:pt idx="396" formatCode="General">
                  <c:v>5.8077900000000002E-3</c:v>
                </c:pt>
                <c:pt idx="397" formatCode="General">
                  <c:v>5.7289999999999997E-3</c:v>
                </c:pt>
                <c:pt idx="398" formatCode="General">
                  <c:v>5.7888799999999997E-3</c:v>
                </c:pt>
                <c:pt idx="399" formatCode="General">
                  <c:v>5.7899400000000004E-3</c:v>
                </c:pt>
                <c:pt idx="400" formatCode="General">
                  <c:v>5.8669799999999999E-3</c:v>
                </c:pt>
                <c:pt idx="401" formatCode="General">
                  <c:v>5.8342899999999998E-3</c:v>
                </c:pt>
                <c:pt idx="402" formatCode="General">
                  <c:v>5.84711E-3</c:v>
                </c:pt>
                <c:pt idx="403" formatCode="General">
                  <c:v>5.8732599999999999E-3</c:v>
                </c:pt>
                <c:pt idx="404" formatCode="General">
                  <c:v>5.8733500000000003E-3</c:v>
                </c:pt>
                <c:pt idx="405" formatCode="General">
                  <c:v>5.8683199999999998E-3</c:v>
                </c:pt>
                <c:pt idx="406" formatCode="General">
                  <c:v>5.8726899999999999E-3</c:v>
                </c:pt>
                <c:pt idx="407" formatCode="General">
                  <c:v>5.9233200000000001E-3</c:v>
                </c:pt>
                <c:pt idx="408" formatCode="General">
                  <c:v>5.89895E-3</c:v>
                </c:pt>
                <c:pt idx="409" formatCode="General">
                  <c:v>5.9178399999999997E-3</c:v>
                </c:pt>
                <c:pt idx="410" formatCode="General">
                  <c:v>6.0001799999999999E-3</c:v>
                </c:pt>
                <c:pt idx="411" formatCode="General">
                  <c:v>6.0244799999999996E-3</c:v>
                </c:pt>
                <c:pt idx="412" formatCode="General">
                  <c:v>6.0231399999999997E-3</c:v>
                </c:pt>
                <c:pt idx="413" formatCode="General">
                  <c:v>6.0195800000000001E-3</c:v>
                </c:pt>
                <c:pt idx="414" formatCode="General">
                  <c:v>6.0120399999999997E-3</c:v>
                </c:pt>
                <c:pt idx="415" formatCode="General">
                  <c:v>6.08589E-3</c:v>
                </c:pt>
                <c:pt idx="416" formatCode="General">
                  <c:v>6.0726599999999997E-3</c:v>
                </c:pt>
                <c:pt idx="417" formatCode="General">
                  <c:v>6.0576299999999996E-3</c:v>
                </c:pt>
                <c:pt idx="418" formatCode="General">
                  <c:v>6.0747500000000003E-3</c:v>
                </c:pt>
                <c:pt idx="419" formatCode="General">
                  <c:v>6.1968700000000002E-3</c:v>
                </c:pt>
                <c:pt idx="420" formatCode="General">
                  <c:v>6.0827800000000003E-3</c:v>
                </c:pt>
                <c:pt idx="421" formatCode="General">
                  <c:v>6.16593E-3</c:v>
                </c:pt>
                <c:pt idx="422" formatCode="General">
                  <c:v>6.13E-3</c:v>
                </c:pt>
                <c:pt idx="423" formatCode="General">
                  <c:v>6.1663600000000001E-3</c:v>
                </c:pt>
                <c:pt idx="424" formatCode="General">
                  <c:v>6.20259E-3</c:v>
                </c:pt>
                <c:pt idx="425" formatCode="General">
                  <c:v>6.1670800000000001E-3</c:v>
                </c:pt>
                <c:pt idx="426" formatCode="General">
                  <c:v>6.2484200000000002E-3</c:v>
                </c:pt>
                <c:pt idx="427" formatCode="General">
                  <c:v>6.1736100000000004E-3</c:v>
                </c:pt>
                <c:pt idx="428" formatCode="General">
                  <c:v>6.2682099999999998E-3</c:v>
                </c:pt>
                <c:pt idx="429" formatCode="General">
                  <c:v>6.2361200000000004E-3</c:v>
                </c:pt>
                <c:pt idx="430" formatCode="General">
                  <c:v>6.3064699999999998E-3</c:v>
                </c:pt>
                <c:pt idx="431" formatCode="General">
                  <c:v>6.2551100000000004E-3</c:v>
                </c:pt>
                <c:pt idx="432" formatCode="General">
                  <c:v>6.3029399999999999E-3</c:v>
                </c:pt>
                <c:pt idx="433" formatCode="General">
                  <c:v>6.3330599999999997E-3</c:v>
                </c:pt>
                <c:pt idx="434" formatCode="General">
                  <c:v>6.3391599999999999E-3</c:v>
                </c:pt>
                <c:pt idx="435" formatCode="General">
                  <c:v>6.31169E-3</c:v>
                </c:pt>
                <c:pt idx="436" formatCode="General">
                  <c:v>6.378E-3</c:v>
                </c:pt>
                <c:pt idx="437" formatCode="General">
                  <c:v>6.2897500000000002E-3</c:v>
                </c:pt>
                <c:pt idx="438" formatCode="General">
                  <c:v>6.3941400000000004E-3</c:v>
                </c:pt>
                <c:pt idx="439" formatCode="General">
                  <c:v>6.40954E-3</c:v>
                </c:pt>
                <c:pt idx="440" formatCode="General">
                  <c:v>6.4124000000000004E-3</c:v>
                </c:pt>
                <c:pt idx="441" formatCode="General">
                  <c:v>6.4299700000000001E-3</c:v>
                </c:pt>
                <c:pt idx="442" formatCode="General">
                  <c:v>6.5161200000000002E-3</c:v>
                </c:pt>
                <c:pt idx="443" formatCode="General">
                  <c:v>6.4057799999999998E-3</c:v>
                </c:pt>
                <c:pt idx="444" formatCode="General">
                  <c:v>6.49834E-3</c:v>
                </c:pt>
                <c:pt idx="445" formatCode="General">
                  <c:v>6.5482300000000004E-3</c:v>
                </c:pt>
                <c:pt idx="446" formatCode="General">
                  <c:v>6.5350299999999998E-3</c:v>
                </c:pt>
                <c:pt idx="447" formatCode="General">
                  <c:v>6.5383100000000003E-3</c:v>
                </c:pt>
                <c:pt idx="448" formatCode="General">
                  <c:v>6.5332000000000003E-3</c:v>
                </c:pt>
                <c:pt idx="449" formatCode="General">
                  <c:v>6.5641099999999997E-3</c:v>
                </c:pt>
                <c:pt idx="450" formatCode="General">
                  <c:v>6.5373899999999997E-3</c:v>
                </c:pt>
                <c:pt idx="451" formatCode="General">
                  <c:v>6.5704800000000001E-3</c:v>
                </c:pt>
                <c:pt idx="452" formatCode="General">
                  <c:v>6.63051E-3</c:v>
                </c:pt>
                <c:pt idx="453" formatCode="General">
                  <c:v>6.5814599999999999E-3</c:v>
                </c:pt>
              </c:numCache>
            </c:numRef>
          </c:xVal>
          <c:yVal>
            <c:numRef>
              <c:f>'L30CPTX-2'!$V$7:$V$469</c:f>
              <c:numCache>
                <c:formatCode>General</c:formatCode>
                <c:ptCount val="463"/>
                <c:pt idx="0">
                  <c:v>1.1265355603448277</c:v>
                </c:pt>
                <c:pt idx="1">
                  <c:v>1.1935237068965519</c:v>
                </c:pt>
                <c:pt idx="2">
                  <c:v>1.047365301724138</c:v>
                </c:pt>
                <c:pt idx="3">
                  <c:v>0.93775323275862066</c:v>
                </c:pt>
                <c:pt idx="4">
                  <c:v>1.0169181034482759</c:v>
                </c:pt>
                <c:pt idx="5">
                  <c:v>1.1082650862068966</c:v>
                </c:pt>
                <c:pt idx="6">
                  <c:v>1.0778178879310345</c:v>
                </c:pt>
                <c:pt idx="7">
                  <c:v>1.5223706896551725</c:v>
                </c:pt>
                <c:pt idx="8">
                  <c:v>1.9303825431034483</c:v>
                </c:pt>
                <c:pt idx="9">
                  <c:v>2.581988146551724</c:v>
                </c:pt>
                <c:pt idx="10">
                  <c:v>2.3140409482758622</c:v>
                </c:pt>
                <c:pt idx="11">
                  <c:v>2.7342349137931037</c:v>
                </c:pt>
                <c:pt idx="12">
                  <c:v>3.0691702586206899</c:v>
                </c:pt>
                <c:pt idx="13">
                  <c:v>3.2153232758620689</c:v>
                </c:pt>
                <c:pt idx="14">
                  <c:v>3.4650053879310345</c:v>
                </c:pt>
                <c:pt idx="15">
                  <c:v>3.7268642241379313</c:v>
                </c:pt>
                <c:pt idx="16">
                  <c:v>3.8364816810344831</c:v>
                </c:pt>
                <c:pt idx="17">
                  <c:v>4.3114816810344827</c:v>
                </c:pt>
                <c:pt idx="18">
                  <c:v>4.4028286637931036</c:v>
                </c:pt>
                <c:pt idx="19">
                  <c:v>4.5428933189655174</c:v>
                </c:pt>
                <c:pt idx="20">
                  <c:v>4.6768696120689661</c:v>
                </c:pt>
                <c:pt idx="21">
                  <c:v>5.0848814655172418</c:v>
                </c:pt>
                <c:pt idx="22">
                  <c:v>5.6938577586206893</c:v>
                </c:pt>
                <c:pt idx="23">
                  <c:v>5.6025323275862071</c:v>
                </c:pt>
                <c:pt idx="24">
                  <c:v>6.0836206896551719</c:v>
                </c:pt>
                <c:pt idx="25">
                  <c:v>6.1079741379310351</c:v>
                </c:pt>
                <c:pt idx="26">
                  <c:v>6.4124461206896557</c:v>
                </c:pt>
                <c:pt idx="27">
                  <c:v>6.7900323275862071</c:v>
                </c:pt>
                <c:pt idx="28">
                  <c:v>7.2589439655172416</c:v>
                </c:pt>
                <c:pt idx="29">
                  <c:v>7.2406788793103445</c:v>
                </c:pt>
                <c:pt idx="30">
                  <c:v>7.6242995689655171</c:v>
                </c:pt>
                <c:pt idx="31">
                  <c:v>7.8070043103448281</c:v>
                </c:pt>
                <c:pt idx="32">
                  <c:v>8.0505926724137939</c:v>
                </c:pt>
                <c:pt idx="33">
                  <c:v>8.3428879310344826</c:v>
                </c:pt>
                <c:pt idx="34">
                  <c:v>8.5986530172413804</c:v>
                </c:pt>
                <c:pt idx="35">
                  <c:v>8.6230603448275875</c:v>
                </c:pt>
                <c:pt idx="36">
                  <c:v>8.8483836206896562</c:v>
                </c:pt>
                <c:pt idx="37">
                  <c:v>9.0371228448275858</c:v>
                </c:pt>
                <c:pt idx="38">
                  <c:v>9.1954741379310345</c:v>
                </c:pt>
                <c:pt idx="39">
                  <c:v>9.8105603448275858</c:v>
                </c:pt>
                <c:pt idx="40">
                  <c:v>10.078502155172414</c:v>
                </c:pt>
                <c:pt idx="41">
                  <c:v>10.096767241379311</c:v>
                </c:pt>
                <c:pt idx="42">
                  <c:v>10.3890625</c:v>
                </c:pt>
                <c:pt idx="43">
                  <c:v>10.797090517241379</c:v>
                </c:pt>
                <c:pt idx="44">
                  <c:v>10.931034482758621</c:v>
                </c:pt>
                <c:pt idx="45">
                  <c:v>11.144181034482759</c:v>
                </c:pt>
                <c:pt idx="46">
                  <c:v>11.527855603448277</c:v>
                </c:pt>
                <c:pt idx="47">
                  <c:v>11.558297413793102</c:v>
                </c:pt>
                <c:pt idx="48">
                  <c:v>12.015032327586207</c:v>
                </c:pt>
                <c:pt idx="49">
                  <c:v>12.16729525862069</c:v>
                </c:pt>
                <c:pt idx="50">
                  <c:v>12.325592672413794</c:v>
                </c:pt>
                <c:pt idx="51">
                  <c:v>12.745797413793102</c:v>
                </c:pt>
                <c:pt idx="52">
                  <c:v>12.800592672413794</c:v>
                </c:pt>
                <c:pt idx="53">
                  <c:v>13.07467672413793</c:v>
                </c:pt>
                <c:pt idx="54">
                  <c:v>13.482650862068967</c:v>
                </c:pt>
                <c:pt idx="55">
                  <c:v>13.586206896551724</c:v>
                </c:pt>
                <c:pt idx="56">
                  <c:v>13.598383620689656</c:v>
                </c:pt>
                <c:pt idx="57">
                  <c:v>14.140355603448276</c:v>
                </c:pt>
                <c:pt idx="58">
                  <c:v>14.274353448275864</c:v>
                </c:pt>
                <c:pt idx="59">
                  <c:v>14.408297413793102</c:v>
                </c:pt>
                <c:pt idx="60">
                  <c:v>14.487500000000001</c:v>
                </c:pt>
                <c:pt idx="61">
                  <c:v>15.078178879310347</c:v>
                </c:pt>
                <c:pt idx="62">
                  <c:v>14.907650862068966</c:v>
                </c:pt>
                <c:pt idx="63">
                  <c:v>15.254795258620691</c:v>
                </c:pt>
                <c:pt idx="64">
                  <c:v>15.449676724137932</c:v>
                </c:pt>
                <c:pt idx="65">
                  <c:v>15.541002155172414</c:v>
                </c:pt>
                <c:pt idx="66">
                  <c:v>15.656734913793104</c:v>
                </c:pt>
                <c:pt idx="67">
                  <c:v>15.949030172413792</c:v>
                </c:pt>
                <c:pt idx="68">
                  <c:v>16.180441810344828</c:v>
                </c:pt>
                <c:pt idx="69">
                  <c:v>16.527532327586208</c:v>
                </c:pt>
                <c:pt idx="70">
                  <c:v>16.716325431034484</c:v>
                </c:pt>
                <c:pt idx="71">
                  <c:v>16.978178879310345</c:v>
                </c:pt>
                <c:pt idx="72">
                  <c:v>17.258351293103448</c:v>
                </c:pt>
                <c:pt idx="73">
                  <c:v>17.617618534482759</c:v>
                </c:pt>
                <c:pt idx="74">
                  <c:v>17.922090517241379</c:v>
                </c:pt>
                <c:pt idx="75">
                  <c:v>17.940355603448275</c:v>
                </c:pt>
                <c:pt idx="76">
                  <c:v>18.518911637931037</c:v>
                </c:pt>
                <c:pt idx="77">
                  <c:v>18.738146551724139</c:v>
                </c:pt>
                <c:pt idx="78">
                  <c:v>19.21314655172414</c:v>
                </c:pt>
                <c:pt idx="79">
                  <c:v>19.420204741379312</c:v>
                </c:pt>
                <c:pt idx="80">
                  <c:v>19.645528017241379</c:v>
                </c:pt>
                <c:pt idx="81">
                  <c:v>19.968265086206898</c:v>
                </c:pt>
                <c:pt idx="82">
                  <c:v>20.083997844827589</c:v>
                </c:pt>
                <c:pt idx="83">
                  <c:v>20.619881465517242</c:v>
                </c:pt>
                <c:pt idx="84">
                  <c:v>20.705118534482757</c:v>
                </c:pt>
                <c:pt idx="85">
                  <c:v>20.784321120689658</c:v>
                </c:pt>
                <c:pt idx="86">
                  <c:v>21.137499999999999</c:v>
                </c:pt>
                <c:pt idx="87">
                  <c:v>21.405441810344829</c:v>
                </c:pt>
                <c:pt idx="88">
                  <c:v>21.722144396551727</c:v>
                </c:pt>
                <c:pt idx="89">
                  <c:v>21.807381465517242</c:v>
                </c:pt>
                <c:pt idx="90">
                  <c:v>22.124030172413796</c:v>
                </c:pt>
                <c:pt idx="91">
                  <c:v>22.318911637931038</c:v>
                </c:pt>
                <c:pt idx="92">
                  <c:v>22.428556034482757</c:v>
                </c:pt>
                <c:pt idx="93">
                  <c:v>22.927909482758622</c:v>
                </c:pt>
                <c:pt idx="94">
                  <c:v>23.098437499999999</c:v>
                </c:pt>
                <c:pt idx="95">
                  <c:v>23.250646551724138</c:v>
                </c:pt>
                <c:pt idx="96">
                  <c:v>23.60387931034483</c:v>
                </c:pt>
                <c:pt idx="97">
                  <c:v>23.871821120689653</c:v>
                </c:pt>
                <c:pt idx="98">
                  <c:v>23.914439655172416</c:v>
                </c:pt>
                <c:pt idx="99">
                  <c:v>24.334644396551727</c:v>
                </c:pt>
                <c:pt idx="100">
                  <c:v>24.486853448275863</c:v>
                </c:pt>
                <c:pt idx="101">
                  <c:v>24.888793103448275</c:v>
                </c:pt>
                <c:pt idx="102">
                  <c:v>25.095851293103451</c:v>
                </c:pt>
                <c:pt idx="103">
                  <c:v>25.132381465517241</c:v>
                </c:pt>
                <c:pt idx="104">
                  <c:v>25.4551724137931</c:v>
                </c:pt>
                <c:pt idx="105">
                  <c:v>25.753556034482756</c:v>
                </c:pt>
                <c:pt idx="106">
                  <c:v>25.930172413793105</c:v>
                </c:pt>
                <c:pt idx="107">
                  <c:v>26.076293103448279</c:v>
                </c:pt>
                <c:pt idx="108">
                  <c:v>26.374730603448274</c:v>
                </c:pt>
                <c:pt idx="109">
                  <c:v>26.593911637931036</c:v>
                </c:pt>
                <c:pt idx="110">
                  <c:v>26.916702586206895</c:v>
                </c:pt>
                <c:pt idx="111">
                  <c:v>27.117672413793105</c:v>
                </c:pt>
                <c:pt idx="112">
                  <c:v>27.519558189655175</c:v>
                </c:pt>
                <c:pt idx="113">
                  <c:v>27.799730603448278</c:v>
                </c:pt>
                <c:pt idx="114">
                  <c:v>27.970204741379312</c:v>
                </c:pt>
                <c:pt idx="115">
                  <c:v>28.23211206896552</c:v>
                </c:pt>
                <c:pt idx="116">
                  <c:v>28.37823275862069</c:v>
                </c:pt>
                <c:pt idx="117">
                  <c:v>28.682704741379311</c:v>
                </c:pt>
                <c:pt idx="118">
                  <c:v>28.859321120689657</c:v>
                </c:pt>
                <c:pt idx="119">
                  <c:v>29.2734375</c:v>
                </c:pt>
                <c:pt idx="120">
                  <c:v>29.517025862068966</c:v>
                </c:pt>
                <c:pt idx="121">
                  <c:v>29.900700431034483</c:v>
                </c:pt>
                <c:pt idx="122">
                  <c:v>30.004202586206898</c:v>
                </c:pt>
                <c:pt idx="123">
                  <c:v>30.284321120689658</c:v>
                </c:pt>
                <c:pt idx="124">
                  <c:v>30.594935344827586</c:v>
                </c:pt>
                <c:pt idx="125">
                  <c:v>30.838523706896552</c:v>
                </c:pt>
                <c:pt idx="126">
                  <c:v>31.076023706896553</c:v>
                </c:pt>
                <c:pt idx="127">
                  <c:v>31.350053879310344</c:v>
                </c:pt>
                <c:pt idx="128">
                  <c:v>31.453556034482759</c:v>
                </c:pt>
                <c:pt idx="129">
                  <c:v>31.709321120689655</c:v>
                </c:pt>
                <c:pt idx="130">
                  <c:v>31.977316810344828</c:v>
                </c:pt>
                <c:pt idx="131">
                  <c:v>32.287877155172417</c:v>
                </c:pt>
                <c:pt idx="132">
                  <c:v>32.543642241379317</c:v>
                </c:pt>
                <c:pt idx="133">
                  <c:v>32.982112068965513</c:v>
                </c:pt>
                <c:pt idx="134">
                  <c:v>33.067349137931039</c:v>
                </c:pt>
                <c:pt idx="135">
                  <c:v>33.170905172413796</c:v>
                </c:pt>
                <c:pt idx="136">
                  <c:v>33.505818965517243</c:v>
                </c:pt>
                <c:pt idx="137">
                  <c:v>33.651993534482763</c:v>
                </c:pt>
                <c:pt idx="138">
                  <c:v>34.041702586206902</c:v>
                </c:pt>
                <c:pt idx="139">
                  <c:v>34.224407327586206</c:v>
                </c:pt>
                <c:pt idx="140">
                  <c:v>34.230495689655172</c:v>
                </c:pt>
                <c:pt idx="141">
                  <c:v>34.668965517241382</c:v>
                </c:pt>
                <c:pt idx="142">
                  <c:v>35.003933189655172</c:v>
                </c:pt>
                <c:pt idx="143">
                  <c:v>35.22316810344828</c:v>
                </c:pt>
                <c:pt idx="144">
                  <c:v>35.819935344827591</c:v>
                </c:pt>
                <c:pt idx="145">
                  <c:v>35.905172413793103</c:v>
                </c:pt>
                <c:pt idx="146">
                  <c:v>36.288846982758621</c:v>
                </c:pt>
                <c:pt idx="147">
                  <c:v>36.556788793103451</c:v>
                </c:pt>
                <c:pt idx="148">
                  <c:v>36.575053879310346</c:v>
                </c:pt>
                <c:pt idx="149">
                  <c:v>36.769935344827587</c:v>
                </c:pt>
                <c:pt idx="150">
                  <c:v>37.421551724137927</c:v>
                </c:pt>
                <c:pt idx="151">
                  <c:v>37.866109913793103</c:v>
                </c:pt>
                <c:pt idx="152">
                  <c:v>38.006196120689658</c:v>
                </c:pt>
                <c:pt idx="153">
                  <c:v>38.37155172413793</c:v>
                </c:pt>
                <c:pt idx="154">
                  <c:v>38.359375</c:v>
                </c:pt>
                <c:pt idx="155">
                  <c:v>38.925700431034485</c:v>
                </c:pt>
                <c:pt idx="156">
                  <c:v>38.937931034482759</c:v>
                </c:pt>
                <c:pt idx="157">
                  <c:v>39.41293103448276</c:v>
                </c:pt>
                <c:pt idx="158">
                  <c:v>39.601670258620686</c:v>
                </c:pt>
                <c:pt idx="159">
                  <c:v>39.778286637931039</c:v>
                </c:pt>
                <c:pt idx="160">
                  <c:v>40.314170258620692</c:v>
                </c:pt>
                <c:pt idx="161">
                  <c:v>40.697844827586209</c:v>
                </c:pt>
                <c:pt idx="162">
                  <c:v>40.716109913793105</c:v>
                </c:pt>
                <c:pt idx="163">
                  <c:v>41.111961206896552</c:v>
                </c:pt>
                <c:pt idx="164">
                  <c:v>41.166756465517246</c:v>
                </c:pt>
                <c:pt idx="165">
                  <c:v>41.672198275862065</c:v>
                </c:pt>
                <c:pt idx="166">
                  <c:v>41.751400862068969</c:v>
                </c:pt>
                <c:pt idx="167">
                  <c:v>41.93405172413793</c:v>
                </c:pt>
                <c:pt idx="168">
                  <c:v>42.03151939655173</c:v>
                </c:pt>
                <c:pt idx="169">
                  <c:v>42.208135775862068</c:v>
                </c:pt>
                <c:pt idx="170">
                  <c:v>42.165463362068969</c:v>
                </c:pt>
                <c:pt idx="171">
                  <c:v>42.549137931034487</c:v>
                </c:pt>
                <c:pt idx="172">
                  <c:v>43.042403017241384</c:v>
                </c:pt>
                <c:pt idx="173">
                  <c:v>43.249461206896555</c:v>
                </c:pt>
                <c:pt idx="174">
                  <c:v>43.419989224137929</c:v>
                </c:pt>
                <c:pt idx="175">
                  <c:v>43.803609913793103</c:v>
                </c:pt>
                <c:pt idx="176">
                  <c:v>44.150754310344823</c:v>
                </c:pt>
                <c:pt idx="177">
                  <c:v>44.181196120689663</c:v>
                </c:pt>
                <c:pt idx="178">
                  <c:v>44.41869612068966</c:v>
                </c:pt>
                <c:pt idx="179">
                  <c:v>44.503933189655179</c:v>
                </c:pt>
                <c:pt idx="180">
                  <c:v>44.978987068965523</c:v>
                </c:pt>
                <c:pt idx="181">
                  <c:v>45.088577586206902</c:v>
                </c:pt>
                <c:pt idx="182">
                  <c:v>45.405226293103446</c:v>
                </c:pt>
                <c:pt idx="183">
                  <c:v>45.715840517241382</c:v>
                </c:pt>
                <c:pt idx="184">
                  <c:v>45.886314655172413</c:v>
                </c:pt>
                <c:pt idx="185">
                  <c:v>45.959428879310344</c:v>
                </c:pt>
                <c:pt idx="186">
                  <c:v>46.379633620689653</c:v>
                </c:pt>
                <c:pt idx="187">
                  <c:v>46.550107758620697</c:v>
                </c:pt>
                <c:pt idx="188">
                  <c:v>47.019019396551727</c:v>
                </c:pt>
                <c:pt idx="189">
                  <c:v>46.976400862068964</c:v>
                </c:pt>
                <c:pt idx="190">
                  <c:v>47.396605603448272</c:v>
                </c:pt>
                <c:pt idx="191">
                  <c:v>47.71325431034483</c:v>
                </c:pt>
                <c:pt idx="192">
                  <c:v>47.889870689655176</c:v>
                </c:pt>
                <c:pt idx="193">
                  <c:v>47.83507543103449</c:v>
                </c:pt>
                <c:pt idx="194">
                  <c:v>48.267456896551728</c:v>
                </c:pt>
                <c:pt idx="195">
                  <c:v>48.565840517241377</c:v>
                </c:pt>
                <c:pt idx="196">
                  <c:v>48.772898706896555</c:v>
                </c:pt>
                <c:pt idx="197">
                  <c:v>48.961691810344831</c:v>
                </c:pt>
                <c:pt idx="198">
                  <c:v>49.095635775862071</c:v>
                </c:pt>
                <c:pt idx="199">
                  <c:v>49.442780172413791</c:v>
                </c:pt>
                <c:pt idx="200">
                  <c:v>49.534105603448282</c:v>
                </c:pt>
                <c:pt idx="201">
                  <c:v>49.765517241379307</c:v>
                </c:pt>
                <c:pt idx="202">
                  <c:v>50.23442887931035</c:v>
                </c:pt>
                <c:pt idx="203">
                  <c:v>50.368426724137926</c:v>
                </c:pt>
                <c:pt idx="204">
                  <c:v>50.630280172413791</c:v>
                </c:pt>
                <c:pt idx="205">
                  <c:v>50.758135775862065</c:v>
                </c:pt>
                <c:pt idx="206">
                  <c:v>51.196605603448276</c:v>
                </c:pt>
                <c:pt idx="207">
                  <c:v>51.470689655172407</c:v>
                </c:pt>
                <c:pt idx="208">
                  <c:v>51.714278017241384</c:v>
                </c:pt>
                <c:pt idx="209">
                  <c:v>51.775161637931035</c:v>
                </c:pt>
                <c:pt idx="210">
                  <c:v>52.17101293103449</c:v>
                </c:pt>
                <c:pt idx="211">
                  <c:v>52.512015086206894</c:v>
                </c:pt>
                <c:pt idx="212">
                  <c:v>52.719073275862073</c:v>
                </c:pt>
                <c:pt idx="213">
                  <c:v>52.84698275862069</c:v>
                </c:pt>
                <c:pt idx="214">
                  <c:v>53.163631465517241</c:v>
                </c:pt>
                <c:pt idx="215">
                  <c:v>53.443750000000001</c:v>
                </c:pt>
                <c:pt idx="216">
                  <c:v>53.553394396551724</c:v>
                </c:pt>
                <c:pt idx="217">
                  <c:v>53.845689655172414</c:v>
                </c:pt>
                <c:pt idx="218">
                  <c:v>54.052801724137936</c:v>
                </c:pt>
                <c:pt idx="219">
                  <c:v>54.473060344827594</c:v>
                </c:pt>
                <c:pt idx="220">
                  <c:v>54.722521551724142</c:v>
                </c:pt>
                <c:pt idx="221">
                  <c:v>54.850754310344826</c:v>
                </c:pt>
                <c:pt idx="222">
                  <c:v>55.045258620689658</c:v>
                </c:pt>
                <c:pt idx="223">
                  <c:v>55.422952586206897</c:v>
                </c:pt>
                <c:pt idx="224">
                  <c:v>55.325431034482762</c:v>
                </c:pt>
                <c:pt idx="225">
                  <c:v>55.830818965517246</c:v>
                </c:pt>
                <c:pt idx="226">
                  <c:v>56.092672413793103</c:v>
                </c:pt>
                <c:pt idx="227">
                  <c:v>56.40948275862069</c:v>
                </c:pt>
                <c:pt idx="228">
                  <c:v>56.57381465517242</c:v>
                </c:pt>
                <c:pt idx="229">
                  <c:v>56.76885775862069</c:v>
                </c:pt>
                <c:pt idx="230">
                  <c:v>57.109913793103452</c:v>
                </c:pt>
                <c:pt idx="231">
                  <c:v>57.036637931034484</c:v>
                </c:pt>
                <c:pt idx="232">
                  <c:v>57.487607758620697</c:v>
                </c:pt>
                <c:pt idx="233">
                  <c:v>57.797952586206897</c:v>
                </c:pt>
                <c:pt idx="234">
                  <c:v>57.99892241379311</c:v>
                </c:pt>
                <c:pt idx="235">
                  <c:v>58.218211206896548</c:v>
                </c:pt>
                <c:pt idx="236">
                  <c:v>58.461745689655174</c:v>
                </c:pt>
                <c:pt idx="237">
                  <c:v>58.91864224137931</c:v>
                </c:pt>
                <c:pt idx="238">
                  <c:v>58.796875000000007</c:v>
                </c:pt>
                <c:pt idx="239">
                  <c:v>59.162176724137936</c:v>
                </c:pt>
                <c:pt idx="240">
                  <c:v>59.381465517241388</c:v>
                </c:pt>
                <c:pt idx="241">
                  <c:v>59.74676724137931</c:v>
                </c:pt>
                <c:pt idx="242">
                  <c:v>59.874461206896555</c:v>
                </c:pt>
                <c:pt idx="243">
                  <c:v>60.258081896551722</c:v>
                </c:pt>
                <c:pt idx="244">
                  <c:v>60.428879310344833</c:v>
                </c:pt>
                <c:pt idx="245">
                  <c:v>60.68426724137931</c:v>
                </c:pt>
                <c:pt idx="246">
                  <c:v>60.860991379310342</c:v>
                </c:pt>
                <c:pt idx="247">
                  <c:v>61.08620689655173</c:v>
                </c:pt>
                <c:pt idx="248">
                  <c:v>61.427262931034484</c:v>
                </c:pt>
                <c:pt idx="249">
                  <c:v>61.445581896551722</c:v>
                </c:pt>
                <c:pt idx="250">
                  <c:v>61.841594827586206</c:v>
                </c:pt>
                <c:pt idx="251">
                  <c:v>61.969288793103452</c:v>
                </c:pt>
                <c:pt idx="252">
                  <c:v>62.261853448275858</c:v>
                </c:pt>
                <c:pt idx="253">
                  <c:v>62.304418103448285</c:v>
                </c:pt>
                <c:pt idx="254">
                  <c:v>62.663793103448278</c:v>
                </c:pt>
                <c:pt idx="255">
                  <c:v>62.693965517241381</c:v>
                </c:pt>
                <c:pt idx="256">
                  <c:v>63.199353448275858</c:v>
                </c:pt>
                <c:pt idx="257">
                  <c:v>63.187500000000007</c:v>
                </c:pt>
                <c:pt idx="258">
                  <c:v>63.370150862068968</c:v>
                </c:pt>
                <c:pt idx="259">
                  <c:v>63.485991379310349</c:v>
                </c:pt>
                <c:pt idx="260">
                  <c:v>63.436961206896555</c:v>
                </c:pt>
                <c:pt idx="261">
                  <c:v>63.644396551724135</c:v>
                </c:pt>
                <c:pt idx="262">
                  <c:v>64.028017241379317</c:v>
                </c:pt>
                <c:pt idx="263">
                  <c:v>64.094827586206904</c:v>
                </c:pt>
                <c:pt idx="264">
                  <c:v>64.423491379310349</c:v>
                </c:pt>
                <c:pt idx="265">
                  <c:v>64.721982758620683</c:v>
                </c:pt>
                <c:pt idx="266">
                  <c:v>65.050646551724142</c:v>
                </c:pt>
                <c:pt idx="267">
                  <c:v>65.215517241379317</c:v>
                </c:pt>
                <c:pt idx="268">
                  <c:v>65.525862068965523</c:v>
                </c:pt>
                <c:pt idx="269">
                  <c:v>65.580818965517238</c:v>
                </c:pt>
                <c:pt idx="270">
                  <c:v>65.964439655172413</c:v>
                </c:pt>
                <c:pt idx="271">
                  <c:v>66.250538793103459</c:v>
                </c:pt>
                <c:pt idx="272">
                  <c:v>66.342133620689665</c:v>
                </c:pt>
                <c:pt idx="273">
                  <c:v>66.628232758620697</c:v>
                </c:pt>
                <c:pt idx="274">
                  <c:v>66.962823275862064</c:v>
                </c:pt>
                <c:pt idx="275">
                  <c:v>67.474676724137936</c:v>
                </c:pt>
                <c:pt idx="276">
                  <c:v>67.541487068965523</c:v>
                </c:pt>
                <c:pt idx="277">
                  <c:v>67.559806034482762</c:v>
                </c:pt>
                <c:pt idx="278">
                  <c:v>67.864224137931032</c:v>
                </c:pt>
                <c:pt idx="279">
                  <c:v>68.168642241379317</c:v>
                </c:pt>
                <c:pt idx="280">
                  <c:v>68.400323275862078</c:v>
                </c:pt>
                <c:pt idx="281">
                  <c:v>68.467133620689651</c:v>
                </c:pt>
                <c:pt idx="282">
                  <c:v>68.997306034482762</c:v>
                </c:pt>
                <c:pt idx="283">
                  <c:v>69.167564655172413</c:v>
                </c:pt>
                <c:pt idx="284">
                  <c:v>69.338362068965523</c:v>
                </c:pt>
                <c:pt idx="285">
                  <c:v>69.569504310344826</c:v>
                </c:pt>
                <c:pt idx="286">
                  <c:v>69.904633620689651</c:v>
                </c:pt>
                <c:pt idx="287">
                  <c:v>69.947198275862078</c:v>
                </c:pt>
                <c:pt idx="288">
                  <c:v>70.391702586206904</c:v>
                </c:pt>
                <c:pt idx="289">
                  <c:v>70.470905172413794</c:v>
                </c:pt>
                <c:pt idx="290">
                  <c:v>70.957974137931032</c:v>
                </c:pt>
                <c:pt idx="291">
                  <c:v>71.103987068965523</c:v>
                </c:pt>
                <c:pt idx="292">
                  <c:v>71.341594827586206</c:v>
                </c:pt>
                <c:pt idx="293">
                  <c:v>71.615840517241381</c:v>
                </c:pt>
                <c:pt idx="294">
                  <c:v>71.706896551724142</c:v>
                </c:pt>
                <c:pt idx="295">
                  <c:v>72.102909482758619</c:v>
                </c:pt>
                <c:pt idx="296">
                  <c:v>72.291487068965509</c:v>
                </c:pt>
                <c:pt idx="297">
                  <c:v>72.510775862068968</c:v>
                </c:pt>
                <c:pt idx="298">
                  <c:v>72.754310344827587</c:v>
                </c:pt>
                <c:pt idx="299">
                  <c:v>73.052801724137936</c:v>
                </c:pt>
                <c:pt idx="300">
                  <c:v>73.180495689655174</c:v>
                </c:pt>
                <c:pt idx="301">
                  <c:v>73.436422413793096</c:v>
                </c:pt>
                <c:pt idx="302">
                  <c:v>73.722521551724142</c:v>
                </c:pt>
                <c:pt idx="303">
                  <c:v>73.941810344827587</c:v>
                </c:pt>
                <c:pt idx="304">
                  <c:v>74.276939655172413</c:v>
                </c:pt>
                <c:pt idx="305">
                  <c:v>74.386314655172413</c:v>
                </c:pt>
                <c:pt idx="306">
                  <c:v>74.776400862068968</c:v>
                </c:pt>
                <c:pt idx="307">
                  <c:v>74.843211206896555</c:v>
                </c:pt>
                <c:pt idx="308">
                  <c:v>75.11745689655173</c:v>
                </c:pt>
                <c:pt idx="309">
                  <c:v>75.446120689655174</c:v>
                </c:pt>
                <c:pt idx="310">
                  <c:v>75.744612068965523</c:v>
                </c:pt>
                <c:pt idx="311">
                  <c:v>75.81142241379311</c:v>
                </c:pt>
                <c:pt idx="312">
                  <c:v>76.134159482758619</c:v>
                </c:pt>
                <c:pt idx="313">
                  <c:v>76.384159482758619</c:v>
                </c:pt>
                <c:pt idx="314">
                  <c:v>76.755387931034477</c:v>
                </c:pt>
                <c:pt idx="315">
                  <c:v>76.944504310344826</c:v>
                </c:pt>
                <c:pt idx="316">
                  <c:v>77.017241379310349</c:v>
                </c:pt>
                <c:pt idx="317">
                  <c:v>77.066271551724142</c:v>
                </c:pt>
                <c:pt idx="318">
                  <c:v>77.339978448275858</c:v>
                </c:pt>
                <c:pt idx="319">
                  <c:v>77.614224137931046</c:v>
                </c:pt>
                <c:pt idx="320">
                  <c:v>77.96120689655173</c:v>
                </c:pt>
                <c:pt idx="321">
                  <c:v>78.003771551724142</c:v>
                </c:pt>
                <c:pt idx="322">
                  <c:v>78.424030172413794</c:v>
                </c:pt>
                <c:pt idx="323">
                  <c:v>78.564116379310349</c:v>
                </c:pt>
                <c:pt idx="324">
                  <c:v>78.539870689655174</c:v>
                </c:pt>
                <c:pt idx="325">
                  <c:v>78.92941810344827</c:v>
                </c:pt>
                <c:pt idx="326">
                  <c:v>79.069504310344826</c:v>
                </c:pt>
                <c:pt idx="327">
                  <c:v>78.996767241379303</c:v>
                </c:pt>
                <c:pt idx="328">
                  <c:v>79.410560344827587</c:v>
                </c:pt>
                <c:pt idx="329">
                  <c:v>79.843211206896555</c:v>
                </c:pt>
                <c:pt idx="330">
                  <c:v>80.116918103448285</c:v>
                </c:pt>
                <c:pt idx="331">
                  <c:v>80.28125</c:v>
                </c:pt>
                <c:pt idx="332">
                  <c:v>80.439655172413794</c:v>
                </c:pt>
                <c:pt idx="333">
                  <c:v>80.713900862068968</c:v>
                </c:pt>
                <c:pt idx="334">
                  <c:v>80.926724137931032</c:v>
                </c:pt>
                <c:pt idx="335">
                  <c:v>81.170797413793096</c:v>
                </c:pt>
                <c:pt idx="336">
                  <c:v>81.554418103448285</c:v>
                </c:pt>
                <c:pt idx="337">
                  <c:v>81.700431034482762</c:v>
                </c:pt>
                <c:pt idx="338">
                  <c:v>82.023168103448285</c:v>
                </c:pt>
                <c:pt idx="339">
                  <c:v>82.126616379310349</c:v>
                </c:pt>
                <c:pt idx="340">
                  <c:v>82.425107758620697</c:v>
                </c:pt>
                <c:pt idx="341">
                  <c:v>82.772090517241381</c:v>
                </c:pt>
                <c:pt idx="342">
                  <c:v>83.216594827586206</c:v>
                </c:pt>
                <c:pt idx="343">
                  <c:v>83.216594827586206</c:v>
                </c:pt>
                <c:pt idx="344">
                  <c:v>83.612607758620697</c:v>
                </c:pt>
                <c:pt idx="345">
                  <c:v>83.53933189655173</c:v>
                </c:pt>
                <c:pt idx="346">
                  <c:v>83.850215517241381</c:v>
                </c:pt>
                <c:pt idx="347">
                  <c:v>84.361530172413794</c:v>
                </c:pt>
                <c:pt idx="348">
                  <c:v>84.501616379310349</c:v>
                </c:pt>
                <c:pt idx="349">
                  <c:v>84.544181034482762</c:v>
                </c:pt>
                <c:pt idx="350">
                  <c:v>84.909482758620697</c:v>
                </c:pt>
                <c:pt idx="351">
                  <c:v>84.988685344827587</c:v>
                </c:pt>
                <c:pt idx="352">
                  <c:v>85.415409482758619</c:v>
                </c:pt>
                <c:pt idx="353">
                  <c:v>85.603987068965523</c:v>
                </c:pt>
                <c:pt idx="354">
                  <c:v>85.768318965517253</c:v>
                </c:pt>
                <c:pt idx="355">
                  <c:v>86.048491379310349</c:v>
                </c:pt>
                <c:pt idx="356">
                  <c:v>86.28017241379311</c:v>
                </c:pt>
                <c:pt idx="357">
                  <c:v>86.505387931034477</c:v>
                </c:pt>
                <c:pt idx="358">
                  <c:v>86.913254310344826</c:v>
                </c:pt>
                <c:pt idx="359">
                  <c:v>87.150862068965523</c:v>
                </c:pt>
                <c:pt idx="360">
                  <c:v>87.084051724137936</c:v>
                </c:pt>
                <c:pt idx="361">
                  <c:v>87.363685344827587</c:v>
                </c:pt>
                <c:pt idx="362">
                  <c:v>87.522090517241381</c:v>
                </c:pt>
                <c:pt idx="363">
                  <c:v>87.772090517241381</c:v>
                </c:pt>
                <c:pt idx="364">
                  <c:v>88.113146551724142</c:v>
                </c:pt>
                <c:pt idx="365">
                  <c:v>88.240840517241381</c:v>
                </c:pt>
                <c:pt idx="366">
                  <c:v>88.837823275862064</c:v>
                </c:pt>
                <c:pt idx="367">
                  <c:v>88.788793103448285</c:v>
                </c:pt>
                <c:pt idx="368">
                  <c:v>88.892241379310349</c:v>
                </c:pt>
                <c:pt idx="369">
                  <c:v>89.154094827586206</c:v>
                </c:pt>
                <c:pt idx="370">
                  <c:v>89.214978448275858</c:v>
                </c:pt>
                <c:pt idx="371">
                  <c:v>89.367456896551715</c:v>
                </c:pt>
                <c:pt idx="372">
                  <c:v>89.5625</c:v>
                </c:pt>
                <c:pt idx="373">
                  <c:v>89.660021551724142</c:v>
                </c:pt>
                <c:pt idx="374">
                  <c:v>89.957974137931046</c:v>
                </c:pt>
                <c:pt idx="375">
                  <c:v>89.957974137931046</c:v>
                </c:pt>
                <c:pt idx="376">
                  <c:v>90.293103448275872</c:v>
                </c:pt>
                <c:pt idx="377">
                  <c:v>90.597521551724142</c:v>
                </c:pt>
                <c:pt idx="378">
                  <c:v>90.774245689655174</c:v>
                </c:pt>
                <c:pt idx="379">
                  <c:v>90.908405172413794</c:v>
                </c:pt>
                <c:pt idx="380">
                  <c:v>91.267241379310349</c:v>
                </c:pt>
                <c:pt idx="381">
                  <c:v>91.596443965517238</c:v>
                </c:pt>
                <c:pt idx="382">
                  <c:v>91.66325431034484</c:v>
                </c:pt>
                <c:pt idx="383">
                  <c:v>91.998383620689665</c:v>
                </c:pt>
                <c:pt idx="384">
                  <c:v>92.114224137931046</c:v>
                </c:pt>
                <c:pt idx="385">
                  <c:v>92.351293103448285</c:v>
                </c:pt>
                <c:pt idx="386">
                  <c:v>92.680495689655174</c:v>
                </c:pt>
                <c:pt idx="387">
                  <c:v>92.911637931034491</c:v>
                </c:pt>
                <c:pt idx="388">
                  <c:v>93.191810344827601</c:v>
                </c:pt>
                <c:pt idx="389">
                  <c:v>93.471982758620697</c:v>
                </c:pt>
                <c:pt idx="390">
                  <c:v>93.599676724137922</c:v>
                </c:pt>
                <c:pt idx="391">
                  <c:v>93.837284482758633</c:v>
                </c:pt>
                <c:pt idx="392">
                  <c:v>93.989762931034491</c:v>
                </c:pt>
                <c:pt idx="393">
                  <c:v>94.251616379310335</c:v>
                </c:pt>
                <c:pt idx="394">
                  <c:v>94.568426724137936</c:v>
                </c:pt>
                <c:pt idx="395">
                  <c:v>94.823814655172413</c:v>
                </c:pt>
                <c:pt idx="396">
                  <c:v>95.037176724137936</c:v>
                </c:pt>
                <c:pt idx="397">
                  <c:v>95.433189655172427</c:v>
                </c:pt>
                <c:pt idx="398">
                  <c:v>95.5</c:v>
                </c:pt>
                <c:pt idx="399">
                  <c:v>95.846982758620697</c:v>
                </c:pt>
                <c:pt idx="400">
                  <c:v>96.13308189655173</c:v>
                </c:pt>
                <c:pt idx="401">
                  <c:v>96.394935344827601</c:v>
                </c:pt>
                <c:pt idx="402">
                  <c:v>96.413254310344826</c:v>
                </c:pt>
                <c:pt idx="403">
                  <c:v>96.681573275862064</c:v>
                </c:pt>
                <c:pt idx="404">
                  <c:v>96.991918103448285</c:v>
                </c:pt>
                <c:pt idx="405">
                  <c:v>97.065193965517238</c:v>
                </c:pt>
                <c:pt idx="406">
                  <c:v>97.515625000000014</c:v>
                </c:pt>
                <c:pt idx="407">
                  <c:v>97.716594827586221</c:v>
                </c:pt>
                <c:pt idx="408">
                  <c:v>98.088362068965523</c:v>
                </c:pt>
                <c:pt idx="409">
                  <c:v>98.197737068965523</c:v>
                </c:pt>
                <c:pt idx="410">
                  <c:v>98.42887931034484</c:v>
                </c:pt>
                <c:pt idx="411">
                  <c:v>98.672952586206904</c:v>
                </c:pt>
                <c:pt idx="412">
                  <c:v>98.885775862068968</c:v>
                </c:pt>
                <c:pt idx="413">
                  <c:v>99.184267241379303</c:v>
                </c:pt>
                <c:pt idx="414">
                  <c:v>99.512931034482747</c:v>
                </c:pt>
                <c:pt idx="415">
                  <c:v>99.939655172413794</c:v>
                </c:pt>
                <c:pt idx="416">
                  <c:v>100.21336206896551</c:v>
                </c:pt>
                <c:pt idx="417">
                  <c:v>100.42025862068965</c:v>
                </c:pt>
                <c:pt idx="418">
                  <c:v>100.70689655172414</c:v>
                </c:pt>
                <c:pt idx="419">
                  <c:v>100.69450431034484</c:v>
                </c:pt>
                <c:pt idx="420">
                  <c:v>100.88308189655173</c:v>
                </c:pt>
                <c:pt idx="421">
                  <c:v>101.4375</c:v>
                </c:pt>
                <c:pt idx="422">
                  <c:v>101.60775862068967</c:v>
                </c:pt>
                <c:pt idx="423">
                  <c:v>102.02209051724138</c:v>
                </c:pt>
                <c:pt idx="424">
                  <c:v>102.05872844827586</c:v>
                </c:pt>
                <c:pt idx="425">
                  <c:v>102.30818965517243</c:v>
                </c:pt>
                <c:pt idx="426">
                  <c:v>102.49084051724138</c:v>
                </c:pt>
                <c:pt idx="427">
                  <c:v>102.18049568965517</c:v>
                </c:pt>
                <c:pt idx="428">
                  <c:v>102.67349137931035</c:v>
                </c:pt>
                <c:pt idx="429">
                  <c:v>102.95366379310346</c:v>
                </c:pt>
                <c:pt idx="430">
                  <c:v>103.04525862068967</c:v>
                </c:pt>
                <c:pt idx="431">
                  <c:v>103.48383620689654</c:v>
                </c:pt>
                <c:pt idx="432">
                  <c:v>103.74568965517243</c:v>
                </c:pt>
                <c:pt idx="433">
                  <c:v>103.83674568965517</c:v>
                </c:pt>
                <c:pt idx="434">
                  <c:v>103.91002155172414</c:v>
                </c:pt>
                <c:pt idx="435">
                  <c:v>104.27532327586208</c:v>
                </c:pt>
                <c:pt idx="436">
                  <c:v>104.68965517241381</c:v>
                </c:pt>
                <c:pt idx="437">
                  <c:v>104.7198275862069</c:v>
                </c:pt>
                <c:pt idx="438">
                  <c:v>105.06088362068965</c:v>
                </c:pt>
                <c:pt idx="439">
                  <c:v>105.24353448275863</c:v>
                </c:pt>
                <c:pt idx="440">
                  <c:v>105.31681034482759</c:v>
                </c:pt>
                <c:pt idx="441">
                  <c:v>105.63362068965517</c:v>
                </c:pt>
                <c:pt idx="442">
                  <c:v>106.05334051724138</c:v>
                </c:pt>
                <c:pt idx="443">
                  <c:v>106.17564655172414</c:v>
                </c:pt>
                <c:pt idx="444">
                  <c:v>106.69935344827587</c:v>
                </c:pt>
                <c:pt idx="445">
                  <c:v>107.22898706896552</c:v>
                </c:pt>
                <c:pt idx="446">
                  <c:v>107.19234913793105</c:v>
                </c:pt>
                <c:pt idx="447">
                  <c:v>107.30226293103448</c:v>
                </c:pt>
                <c:pt idx="448">
                  <c:v>107.95366379310346</c:v>
                </c:pt>
                <c:pt idx="449">
                  <c:v>107.81950431034483</c:v>
                </c:pt>
                <c:pt idx="450">
                  <c:v>107.86206896551725</c:v>
                </c:pt>
                <c:pt idx="451">
                  <c:v>108.22144396551725</c:v>
                </c:pt>
                <c:pt idx="452">
                  <c:v>108.41648706896551</c:v>
                </c:pt>
                <c:pt idx="453">
                  <c:v>108.83081896551724</c:v>
                </c:pt>
                <c:pt idx="454">
                  <c:v>55.727370689655174</c:v>
                </c:pt>
                <c:pt idx="455">
                  <c:v>25.120204741379315</c:v>
                </c:pt>
                <c:pt idx="456">
                  <c:v>11.661853448275863</c:v>
                </c:pt>
                <c:pt idx="457">
                  <c:v>5.3041109913793107</c:v>
                </c:pt>
                <c:pt idx="458">
                  <c:v>2.4601939655172416</c:v>
                </c:pt>
                <c:pt idx="459">
                  <c:v>1.1996120689655172</c:v>
                </c:pt>
                <c:pt idx="460">
                  <c:v>0.71242995689655175</c:v>
                </c:pt>
                <c:pt idx="461">
                  <c:v>-2.4431573275862071E-2</c:v>
                </c:pt>
                <c:pt idx="462">
                  <c:v>0.20697952586206897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E4DE-45F7-B9CE-B6A403A236A9}"/>
            </c:ext>
          </c:extLst>
        </c:ser>
        <c:ser>
          <c:idx val="0"/>
          <c:order val="2"/>
          <c:tx>
            <c:v>L30CPTX-3</c:v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'L30CPTX-3'!$B$7:$B$400</c:f>
              <c:numCache>
                <c:formatCode>General</c:formatCode>
                <c:ptCount val="394"/>
                <c:pt idx="0">
                  <c:v>0</c:v>
                </c:pt>
                <c:pt idx="1">
                  <c:v>1.3264400000000001E-4</c:v>
                </c:pt>
                <c:pt idx="2" formatCode="0.00E+00">
                  <c:v>9.6184800000000001E-5</c:v>
                </c:pt>
                <c:pt idx="3" formatCode="0.00E+00">
                  <c:v>1.32269E-5</c:v>
                </c:pt>
                <c:pt idx="4" formatCode="0.00E+00">
                  <c:v>9.7854299999999996E-5</c:v>
                </c:pt>
                <c:pt idx="5">
                  <c:v>1.2861599999999999E-4</c:v>
                </c:pt>
                <c:pt idx="6">
                  <c:v>2.72203E-4</c:v>
                </c:pt>
                <c:pt idx="7">
                  <c:v>1.48412E-4</c:v>
                </c:pt>
                <c:pt idx="8">
                  <c:v>2.1116200000000001E-4</c:v>
                </c:pt>
                <c:pt idx="9">
                  <c:v>1.5896899999999999E-4</c:v>
                </c:pt>
                <c:pt idx="10">
                  <c:v>2.6481900000000001E-4</c:v>
                </c:pt>
                <c:pt idx="11">
                  <c:v>2.7356400000000001E-4</c:v>
                </c:pt>
                <c:pt idx="12">
                  <c:v>3.1324100000000002E-4</c:v>
                </c:pt>
                <c:pt idx="13">
                  <c:v>3.3128600000000003E-4</c:v>
                </c:pt>
                <c:pt idx="14">
                  <c:v>3.6447999999999998E-4</c:v>
                </c:pt>
                <c:pt idx="15">
                  <c:v>4.5769499999999999E-4</c:v>
                </c:pt>
                <c:pt idx="16">
                  <c:v>3.4277100000000002E-4</c:v>
                </c:pt>
                <c:pt idx="17">
                  <c:v>4.0045599999999999E-4</c:v>
                </c:pt>
                <c:pt idx="18">
                  <c:v>4.2308100000000001E-4</c:v>
                </c:pt>
                <c:pt idx="19">
                  <c:v>4.7637500000000002E-4</c:v>
                </c:pt>
                <c:pt idx="20">
                  <c:v>4.29133E-4</c:v>
                </c:pt>
                <c:pt idx="21">
                  <c:v>5.0467999999999997E-4</c:v>
                </c:pt>
                <c:pt idx="22">
                  <c:v>5.4243399999999995E-4</c:v>
                </c:pt>
                <c:pt idx="23">
                  <c:v>5.0959699999999998E-4</c:v>
                </c:pt>
                <c:pt idx="24">
                  <c:v>4.6505299999999999E-4</c:v>
                </c:pt>
                <c:pt idx="25">
                  <c:v>5.5402900000000004E-4</c:v>
                </c:pt>
                <c:pt idx="26">
                  <c:v>4.7554299999999998E-4</c:v>
                </c:pt>
                <c:pt idx="27">
                  <c:v>5.8130699999999998E-4</c:v>
                </c:pt>
                <c:pt idx="28">
                  <c:v>6.1864999999999999E-4</c:v>
                </c:pt>
                <c:pt idx="29">
                  <c:v>6.2993499999999998E-4</c:v>
                </c:pt>
                <c:pt idx="30">
                  <c:v>5.4132900000000001E-4</c:v>
                </c:pt>
                <c:pt idx="31">
                  <c:v>7.1282300000000002E-4</c:v>
                </c:pt>
                <c:pt idx="32">
                  <c:v>6.8937700000000002E-4</c:v>
                </c:pt>
                <c:pt idx="33">
                  <c:v>7.2896099999999998E-4</c:v>
                </c:pt>
                <c:pt idx="34">
                  <c:v>7.0657700000000001E-4</c:v>
                </c:pt>
                <c:pt idx="35">
                  <c:v>7.8362099999999997E-4</c:v>
                </c:pt>
                <c:pt idx="36">
                  <c:v>7.5860900000000004E-4</c:v>
                </c:pt>
                <c:pt idx="37">
                  <c:v>7.9283399999999996E-4</c:v>
                </c:pt>
                <c:pt idx="38">
                  <c:v>8.0162799999999998E-4</c:v>
                </c:pt>
                <c:pt idx="39">
                  <c:v>8.1792599999999996E-4</c:v>
                </c:pt>
                <c:pt idx="40">
                  <c:v>8.1414699999999998E-4</c:v>
                </c:pt>
                <c:pt idx="41">
                  <c:v>8.8621100000000003E-4</c:v>
                </c:pt>
                <c:pt idx="42">
                  <c:v>9.1366899999999998E-4</c:v>
                </c:pt>
                <c:pt idx="43">
                  <c:v>8.3436399999999998E-4</c:v>
                </c:pt>
                <c:pt idx="44">
                  <c:v>9.6233199999999999E-4</c:v>
                </c:pt>
                <c:pt idx="45">
                  <c:v>9.6161499999999997E-4</c:v>
                </c:pt>
                <c:pt idx="46">
                  <c:v>9.8080900000000002E-4</c:v>
                </c:pt>
                <c:pt idx="47">
                  <c:v>1.07387E-3</c:v>
                </c:pt>
                <c:pt idx="48">
                  <c:v>9.9084600000000009E-4</c:v>
                </c:pt>
                <c:pt idx="49">
                  <c:v>1.0271099999999999E-3</c:v>
                </c:pt>
                <c:pt idx="50">
                  <c:v>1.03023E-3</c:v>
                </c:pt>
                <c:pt idx="51">
                  <c:v>1.0427699999999999E-3</c:v>
                </c:pt>
                <c:pt idx="52">
                  <c:v>1.0770199999999999E-3</c:v>
                </c:pt>
                <c:pt idx="53">
                  <c:v>1.0654900000000001E-3</c:v>
                </c:pt>
                <c:pt idx="54">
                  <c:v>1.0868799999999999E-3</c:v>
                </c:pt>
                <c:pt idx="55">
                  <c:v>1.0943000000000001E-3</c:v>
                </c:pt>
                <c:pt idx="56">
                  <c:v>1.15463E-3</c:v>
                </c:pt>
                <c:pt idx="57">
                  <c:v>1.2183999999999999E-3</c:v>
                </c:pt>
                <c:pt idx="58">
                  <c:v>1.13276E-3</c:v>
                </c:pt>
                <c:pt idx="59">
                  <c:v>1.1635E-3</c:v>
                </c:pt>
                <c:pt idx="60">
                  <c:v>1.24558E-3</c:v>
                </c:pt>
                <c:pt idx="61">
                  <c:v>1.168E-3</c:v>
                </c:pt>
                <c:pt idx="62">
                  <c:v>1.2792000000000001E-3</c:v>
                </c:pt>
                <c:pt idx="63">
                  <c:v>1.2922400000000001E-3</c:v>
                </c:pt>
                <c:pt idx="64">
                  <c:v>1.26768E-3</c:v>
                </c:pt>
                <c:pt idx="65">
                  <c:v>1.3257E-3</c:v>
                </c:pt>
                <c:pt idx="66">
                  <c:v>1.36692E-3</c:v>
                </c:pt>
                <c:pt idx="67">
                  <c:v>1.3127200000000001E-3</c:v>
                </c:pt>
                <c:pt idx="68">
                  <c:v>1.3315099999999999E-3</c:v>
                </c:pt>
                <c:pt idx="69">
                  <c:v>1.38613E-3</c:v>
                </c:pt>
                <c:pt idx="70">
                  <c:v>1.3244699999999999E-3</c:v>
                </c:pt>
                <c:pt idx="71">
                  <c:v>1.43202E-3</c:v>
                </c:pt>
                <c:pt idx="72">
                  <c:v>1.5512E-3</c:v>
                </c:pt>
                <c:pt idx="73">
                  <c:v>1.48565E-3</c:v>
                </c:pt>
                <c:pt idx="74">
                  <c:v>1.5038E-3</c:v>
                </c:pt>
                <c:pt idx="75">
                  <c:v>1.4103099999999999E-3</c:v>
                </c:pt>
                <c:pt idx="76">
                  <c:v>1.49825E-3</c:v>
                </c:pt>
                <c:pt idx="77">
                  <c:v>1.4594300000000001E-3</c:v>
                </c:pt>
                <c:pt idx="78">
                  <c:v>1.5429199999999999E-3</c:v>
                </c:pt>
                <c:pt idx="79">
                  <c:v>1.48573E-3</c:v>
                </c:pt>
                <c:pt idx="80">
                  <c:v>1.49238E-3</c:v>
                </c:pt>
                <c:pt idx="81">
                  <c:v>1.5765600000000001E-3</c:v>
                </c:pt>
                <c:pt idx="82">
                  <c:v>1.49468E-3</c:v>
                </c:pt>
                <c:pt idx="83">
                  <c:v>1.5952799999999999E-3</c:v>
                </c:pt>
                <c:pt idx="84">
                  <c:v>1.5771100000000001E-3</c:v>
                </c:pt>
                <c:pt idx="85">
                  <c:v>1.5403599999999999E-3</c:v>
                </c:pt>
                <c:pt idx="86">
                  <c:v>1.6607600000000001E-3</c:v>
                </c:pt>
                <c:pt idx="87">
                  <c:v>1.76826E-3</c:v>
                </c:pt>
                <c:pt idx="88">
                  <c:v>1.59961E-3</c:v>
                </c:pt>
                <c:pt idx="89">
                  <c:v>1.65059E-3</c:v>
                </c:pt>
                <c:pt idx="90">
                  <c:v>1.7028099999999999E-3</c:v>
                </c:pt>
                <c:pt idx="91">
                  <c:v>1.74007E-3</c:v>
                </c:pt>
                <c:pt idx="92">
                  <c:v>1.7541200000000001E-3</c:v>
                </c:pt>
                <c:pt idx="93">
                  <c:v>1.7130299999999999E-3</c:v>
                </c:pt>
                <c:pt idx="94">
                  <c:v>1.7968700000000001E-3</c:v>
                </c:pt>
                <c:pt idx="95">
                  <c:v>1.7821899999999999E-3</c:v>
                </c:pt>
                <c:pt idx="96">
                  <c:v>1.76461E-3</c:v>
                </c:pt>
                <c:pt idx="97">
                  <c:v>1.79565E-3</c:v>
                </c:pt>
                <c:pt idx="98">
                  <c:v>1.9105400000000001E-3</c:v>
                </c:pt>
                <c:pt idx="99">
                  <c:v>1.8150600000000001E-3</c:v>
                </c:pt>
                <c:pt idx="100">
                  <c:v>1.8595700000000001E-3</c:v>
                </c:pt>
                <c:pt idx="101">
                  <c:v>1.83252E-3</c:v>
                </c:pt>
                <c:pt idx="102">
                  <c:v>1.9292599999999999E-3</c:v>
                </c:pt>
                <c:pt idx="103">
                  <c:v>1.9236399999999999E-3</c:v>
                </c:pt>
                <c:pt idx="104">
                  <c:v>1.89044E-3</c:v>
                </c:pt>
                <c:pt idx="105">
                  <c:v>1.8790499999999999E-3</c:v>
                </c:pt>
                <c:pt idx="106">
                  <c:v>1.93516E-3</c:v>
                </c:pt>
                <c:pt idx="107">
                  <c:v>2.0088599999999999E-3</c:v>
                </c:pt>
                <c:pt idx="108">
                  <c:v>1.9565400000000001E-3</c:v>
                </c:pt>
                <c:pt idx="109">
                  <c:v>2.03871E-3</c:v>
                </c:pt>
                <c:pt idx="110">
                  <c:v>1.9888800000000002E-3</c:v>
                </c:pt>
                <c:pt idx="111">
                  <c:v>2.0217199999999999E-3</c:v>
                </c:pt>
                <c:pt idx="112">
                  <c:v>2.05982E-3</c:v>
                </c:pt>
                <c:pt idx="113">
                  <c:v>2.0679399999999999E-3</c:v>
                </c:pt>
                <c:pt idx="114">
                  <c:v>2.1071699999999998E-3</c:v>
                </c:pt>
                <c:pt idx="115">
                  <c:v>2.0886699999999999E-3</c:v>
                </c:pt>
                <c:pt idx="116">
                  <c:v>2.1099199999999999E-3</c:v>
                </c:pt>
                <c:pt idx="117">
                  <c:v>2.0684200000000001E-3</c:v>
                </c:pt>
                <c:pt idx="118">
                  <c:v>2.1737200000000001E-3</c:v>
                </c:pt>
                <c:pt idx="119">
                  <c:v>2.1675499999999999E-3</c:v>
                </c:pt>
                <c:pt idx="120">
                  <c:v>2.1985400000000001E-3</c:v>
                </c:pt>
                <c:pt idx="121">
                  <c:v>2.2126400000000001E-3</c:v>
                </c:pt>
                <c:pt idx="122">
                  <c:v>2.23266E-3</c:v>
                </c:pt>
                <c:pt idx="123">
                  <c:v>2.2849200000000002E-3</c:v>
                </c:pt>
                <c:pt idx="124">
                  <c:v>2.2051499999999999E-3</c:v>
                </c:pt>
                <c:pt idx="125">
                  <c:v>2.2530800000000002E-3</c:v>
                </c:pt>
                <c:pt idx="126">
                  <c:v>2.2551799999999999E-3</c:v>
                </c:pt>
                <c:pt idx="127">
                  <c:v>2.3030300000000002E-3</c:v>
                </c:pt>
                <c:pt idx="128">
                  <c:v>2.2882200000000001E-3</c:v>
                </c:pt>
                <c:pt idx="129">
                  <c:v>2.3325899999999998E-3</c:v>
                </c:pt>
                <c:pt idx="130">
                  <c:v>2.3533999999999998E-3</c:v>
                </c:pt>
                <c:pt idx="131">
                  <c:v>2.4230599999999999E-3</c:v>
                </c:pt>
                <c:pt idx="132">
                  <c:v>2.4007099999999999E-3</c:v>
                </c:pt>
                <c:pt idx="133">
                  <c:v>2.3463199999999998E-3</c:v>
                </c:pt>
                <c:pt idx="134">
                  <c:v>2.3998700000000001E-3</c:v>
                </c:pt>
                <c:pt idx="135">
                  <c:v>2.3557500000000002E-3</c:v>
                </c:pt>
                <c:pt idx="136">
                  <c:v>2.46342E-3</c:v>
                </c:pt>
                <c:pt idx="137">
                  <c:v>2.4660400000000001E-3</c:v>
                </c:pt>
                <c:pt idx="138">
                  <c:v>2.4627899999999999E-3</c:v>
                </c:pt>
                <c:pt idx="139">
                  <c:v>2.48008E-3</c:v>
                </c:pt>
                <c:pt idx="140">
                  <c:v>2.49475E-3</c:v>
                </c:pt>
                <c:pt idx="141">
                  <c:v>2.5490500000000002E-3</c:v>
                </c:pt>
                <c:pt idx="142">
                  <c:v>2.4308400000000001E-3</c:v>
                </c:pt>
                <c:pt idx="143">
                  <c:v>2.5258300000000002E-3</c:v>
                </c:pt>
                <c:pt idx="144">
                  <c:v>2.5412099999999999E-3</c:v>
                </c:pt>
                <c:pt idx="145">
                  <c:v>2.6261499999999998E-3</c:v>
                </c:pt>
                <c:pt idx="146">
                  <c:v>2.6440000000000001E-3</c:v>
                </c:pt>
                <c:pt idx="147">
                  <c:v>2.6210000000000001E-3</c:v>
                </c:pt>
                <c:pt idx="148">
                  <c:v>2.7037599999999999E-3</c:v>
                </c:pt>
                <c:pt idx="149">
                  <c:v>2.6561599999999999E-3</c:v>
                </c:pt>
                <c:pt idx="150">
                  <c:v>2.6895500000000002E-3</c:v>
                </c:pt>
                <c:pt idx="151">
                  <c:v>2.6649199999999999E-3</c:v>
                </c:pt>
                <c:pt idx="152">
                  <c:v>2.68192E-3</c:v>
                </c:pt>
                <c:pt idx="153">
                  <c:v>2.6901099999999999E-3</c:v>
                </c:pt>
                <c:pt idx="154">
                  <c:v>2.6889100000000001E-3</c:v>
                </c:pt>
                <c:pt idx="155">
                  <c:v>2.6982500000000001E-3</c:v>
                </c:pt>
                <c:pt idx="156">
                  <c:v>2.7632300000000002E-3</c:v>
                </c:pt>
                <c:pt idx="157">
                  <c:v>2.7867999999999999E-3</c:v>
                </c:pt>
                <c:pt idx="158">
                  <c:v>2.7607500000000002E-3</c:v>
                </c:pt>
                <c:pt idx="159">
                  <c:v>2.8093100000000002E-3</c:v>
                </c:pt>
                <c:pt idx="160">
                  <c:v>2.8341299999999998E-3</c:v>
                </c:pt>
                <c:pt idx="161">
                  <c:v>2.80832E-3</c:v>
                </c:pt>
                <c:pt idx="162">
                  <c:v>2.8901E-3</c:v>
                </c:pt>
                <c:pt idx="163">
                  <c:v>2.8640599999999999E-3</c:v>
                </c:pt>
                <c:pt idx="164">
                  <c:v>2.94246E-3</c:v>
                </c:pt>
                <c:pt idx="165">
                  <c:v>2.9005599999999999E-3</c:v>
                </c:pt>
                <c:pt idx="166">
                  <c:v>2.9188899999999999E-3</c:v>
                </c:pt>
                <c:pt idx="167">
                  <c:v>2.94137E-3</c:v>
                </c:pt>
                <c:pt idx="168">
                  <c:v>2.9390900000000001E-3</c:v>
                </c:pt>
                <c:pt idx="169">
                  <c:v>2.9557400000000001E-3</c:v>
                </c:pt>
                <c:pt idx="170">
                  <c:v>2.97985E-3</c:v>
                </c:pt>
                <c:pt idx="171">
                  <c:v>3.02959E-3</c:v>
                </c:pt>
                <c:pt idx="172">
                  <c:v>3.0135700000000001E-3</c:v>
                </c:pt>
                <c:pt idx="173">
                  <c:v>3.0266E-3</c:v>
                </c:pt>
                <c:pt idx="174">
                  <c:v>3.0793299999999999E-3</c:v>
                </c:pt>
                <c:pt idx="175">
                  <c:v>3.0654499999999999E-3</c:v>
                </c:pt>
                <c:pt idx="176">
                  <c:v>3.11188E-3</c:v>
                </c:pt>
                <c:pt idx="177">
                  <c:v>3.1437800000000001E-3</c:v>
                </c:pt>
                <c:pt idx="178">
                  <c:v>2.9873E-3</c:v>
                </c:pt>
                <c:pt idx="179">
                  <c:v>3.07998E-3</c:v>
                </c:pt>
                <c:pt idx="180">
                  <c:v>3.1860299999999999E-3</c:v>
                </c:pt>
                <c:pt idx="181">
                  <c:v>3.1208E-3</c:v>
                </c:pt>
                <c:pt idx="182">
                  <c:v>3.1986100000000002E-3</c:v>
                </c:pt>
                <c:pt idx="183">
                  <c:v>3.1846399999999999E-3</c:v>
                </c:pt>
                <c:pt idx="184">
                  <c:v>3.2371499999999998E-3</c:v>
                </c:pt>
                <c:pt idx="185">
                  <c:v>3.20441E-3</c:v>
                </c:pt>
                <c:pt idx="186">
                  <c:v>3.2107799999999999E-3</c:v>
                </c:pt>
                <c:pt idx="187">
                  <c:v>3.3014199999999998E-3</c:v>
                </c:pt>
                <c:pt idx="188">
                  <c:v>3.2674399999999999E-3</c:v>
                </c:pt>
                <c:pt idx="189">
                  <c:v>3.2523600000000001E-3</c:v>
                </c:pt>
                <c:pt idx="190">
                  <c:v>3.2680299999999999E-3</c:v>
                </c:pt>
                <c:pt idx="191">
                  <c:v>3.3176099999999999E-3</c:v>
                </c:pt>
                <c:pt idx="192">
                  <c:v>3.3481600000000002E-3</c:v>
                </c:pt>
                <c:pt idx="193">
                  <c:v>3.3539099999999999E-3</c:v>
                </c:pt>
                <c:pt idx="194">
                  <c:v>3.34608E-3</c:v>
                </c:pt>
                <c:pt idx="195">
                  <c:v>3.3767699999999999E-3</c:v>
                </c:pt>
                <c:pt idx="196">
                  <c:v>3.38273E-3</c:v>
                </c:pt>
                <c:pt idx="197">
                  <c:v>3.4516799999999999E-3</c:v>
                </c:pt>
                <c:pt idx="198">
                  <c:v>3.4276699999999998E-3</c:v>
                </c:pt>
                <c:pt idx="199">
                  <c:v>3.4359500000000001E-3</c:v>
                </c:pt>
                <c:pt idx="200">
                  <c:v>3.4513399999999998E-3</c:v>
                </c:pt>
                <c:pt idx="201">
                  <c:v>3.48819E-3</c:v>
                </c:pt>
                <c:pt idx="202">
                  <c:v>3.5058699999999999E-3</c:v>
                </c:pt>
                <c:pt idx="203">
                  <c:v>3.4628699999999998E-3</c:v>
                </c:pt>
                <c:pt idx="204">
                  <c:v>3.4555900000000001E-3</c:v>
                </c:pt>
                <c:pt idx="205">
                  <c:v>3.5931800000000001E-3</c:v>
                </c:pt>
                <c:pt idx="206">
                  <c:v>3.5641399999999999E-3</c:v>
                </c:pt>
                <c:pt idx="207">
                  <c:v>3.56764E-3</c:v>
                </c:pt>
                <c:pt idx="208">
                  <c:v>3.57961E-3</c:v>
                </c:pt>
                <c:pt idx="209">
                  <c:v>3.6054799999999999E-3</c:v>
                </c:pt>
                <c:pt idx="210">
                  <c:v>3.59181E-3</c:v>
                </c:pt>
                <c:pt idx="211">
                  <c:v>3.64899E-3</c:v>
                </c:pt>
                <c:pt idx="212">
                  <c:v>3.6353700000000002E-3</c:v>
                </c:pt>
                <c:pt idx="213">
                  <c:v>3.6762600000000002E-3</c:v>
                </c:pt>
                <c:pt idx="214">
                  <c:v>3.6934200000000002E-3</c:v>
                </c:pt>
                <c:pt idx="215">
                  <c:v>3.7153199999999998E-3</c:v>
                </c:pt>
                <c:pt idx="216">
                  <c:v>3.7413899999999998E-3</c:v>
                </c:pt>
                <c:pt idx="217">
                  <c:v>3.7801000000000002E-3</c:v>
                </c:pt>
                <c:pt idx="218">
                  <c:v>3.74114E-3</c:v>
                </c:pt>
                <c:pt idx="219">
                  <c:v>3.8230600000000001E-3</c:v>
                </c:pt>
                <c:pt idx="220">
                  <c:v>3.7425100000000001E-3</c:v>
                </c:pt>
                <c:pt idx="221">
                  <c:v>3.7833900000000002E-3</c:v>
                </c:pt>
                <c:pt idx="222">
                  <c:v>3.8888600000000001E-3</c:v>
                </c:pt>
                <c:pt idx="223">
                  <c:v>3.7434199999999999E-3</c:v>
                </c:pt>
                <c:pt idx="224">
                  <c:v>3.8993999999999999E-3</c:v>
                </c:pt>
                <c:pt idx="225">
                  <c:v>3.8566E-3</c:v>
                </c:pt>
                <c:pt idx="226">
                  <c:v>3.9738600000000001E-3</c:v>
                </c:pt>
                <c:pt idx="227">
                  <c:v>3.8372300000000001E-3</c:v>
                </c:pt>
                <c:pt idx="228">
                  <c:v>3.9011200000000001E-3</c:v>
                </c:pt>
                <c:pt idx="229">
                  <c:v>3.9638700000000004E-3</c:v>
                </c:pt>
                <c:pt idx="230">
                  <c:v>3.8850400000000002E-3</c:v>
                </c:pt>
                <c:pt idx="231">
                  <c:v>4.0018199999999997E-3</c:v>
                </c:pt>
                <c:pt idx="232">
                  <c:v>3.9615099999999997E-3</c:v>
                </c:pt>
                <c:pt idx="233">
                  <c:v>4.0003699999999996E-3</c:v>
                </c:pt>
                <c:pt idx="234">
                  <c:v>3.9709699999999999E-3</c:v>
                </c:pt>
                <c:pt idx="235">
                  <c:v>4.0480000000000004E-3</c:v>
                </c:pt>
                <c:pt idx="236">
                  <c:v>4.0697199999999998E-3</c:v>
                </c:pt>
                <c:pt idx="237">
                  <c:v>4.0863899999999996E-3</c:v>
                </c:pt>
                <c:pt idx="238">
                  <c:v>4.0403899999999996E-3</c:v>
                </c:pt>
                <c:pt idx="239">
                  <c:v>4.11349E-3</c:v>
                </c:pt>
                <c:pt idx="240">
                  <c:v>4.1021900000000004E-3</c:v>
                </c:pt>
                <c:pt idx="241">
                  <c:v>4.12649E-3</c:v>
                </c:pt>
                <c:pt idx="242">
                  <c:v>4.15264E-3</c:v>
                </c:pt>
                <c:pt idx="243">
                  <c:v>4.1141499999999996E-3</c:v>
                </c:pt>
                <c:pt idx="244">
                  <c:v>4.1096199999999996E-3</c:v>
                </c:pt>
                <c:pt idx="245">
                  <c:v>4.1610800000000002E-3</c:v>
                </c:pt>
                <c:pt idx="246">
                  <c:v>4.1250899999999997E-3</c:v>
                </c:pt>
                <c:pt idx="247">
                  <c:v>4.2051099999999998E-3</c:v>
                </c:pt>
                <c:pt idx="248">
                  <c:v>4.2454099999999998E-3</c:v>
                </c:pt>
                <c:pt idx="249">
                  <c:v>4.1470600000000002E-3</c:v>
                </c:pt>
                <c:pt idx="250">
                  <c:v>4.2031100000000004E-3</c:v>
                </c:pt>
                <c:pt idx="251">
                  <c:v>4.25327E-3</c:v>
                </c:pt>
                <c:pt idx="252">
                  <c:v>4.2393500000000002E-3</c:v>
                </c:pt>
                <c:pt idx="253">
                  <c:v>4.3146499999999997E-3</c:v>
                </c:pt>
                <c:pt idx="254">
                  <c:v>4.3469600000000004E-3</c:v>
                </c:pt>
                <c:pt idx="255">
                  <c:v>4.3348700000000002E-3</c:v>
                </c:pt>
                <c:pt idx="256">
                  <c:v>4.3633700000000001E-3</c:v>
                </c:pt>
                <c:pt idx="257">
                  <c:v>4.3383099999999997E-3</c:v>
                </c:pt>
                <c:pt idx="258">
                  <c:v>4.3943899999999998E-3</c:v>
                </c:pt>
                <c:pt idx="259">
                  <c:v>4.43933E-3</c:v>
                </c:pt>
                <c:pt idx="260">
                  <c:v>4.4545699999999997E-3</c:v>
                </c:pt>
                <c:pt idx="261">
                  <c:v>4.4281399999999997E-3</c:v>
                </c:pt>
                <c:pt idx="262">
                  <c:v>4.41144E-3</c:v>
                </c:pt>
                <c:pt idx="263">
                  <c:v>4.4487099999999998E-3</c:v>
                </c:pt>
                <c:pt idx="264">
                  <c:v>4.4762999999999999E-3</c:v>
                </c:pt>
                <c:pt idx="265">
                  <c:v>4.4557800000000003E-3</c:v>
                </c:pt>
                <c:pt idx="266">
                  <c:v>4.4728299999999997E-3</c:v>
                </c:pt>
                <c:pt idx="267">
                  <c:v>4.5205100000000002E-3</c:v>
                </c:pt>
                <c:pt idx="268">
                  <c:v>4.5384300000000004E-3</c:v>
                </c:pt>
                <c:pt idx="269">
                  <c:v>4.4881499999999998E-3</c:v>
                </c:pt>
                <c:pt idx="270">
                  <c:v>4.59941E-3</c:v>
                </c:pt>
                <c:pt idx="271">
                  <c:v>4.6109899999999997E-3</c:v>
                </c:pt>
                <c:pt idx="272">
                  <c:v>4.5765099999999998E-3</c:v>
                </c:pt>
                <c:pt idx="273">
                  <c:v>4.6215900000000001E-3</c:v>
                </c:pt>
                <c:pt idx="274">
                  <c:v>4.6510700000000002E-3</c:v>
                </c:pt>
                <c:pt idx="275">
                  <c:v>4.5898400000000004E-3</c:v>
                </c:pt>
                <c:pt idx="276">
                  <c:v>4.6464399999999999E-3</c:v>
                </c:pt>
                <c:pt idx="277">
                  <c:v>4.6679E-3</c:v>
                </c:pt>
                <c:pt idx="278">
                  <c:v>4.6677999999999997E-3</c:v>
                </c:pt>
                <c:pt idx="279">
                  <c:v>4.7440299999999998E-3</c:v>
                </c:pt>
                <c:pt idx="280">
                  <c:v>4.7229699999999999E-3</c:v>
                </c:pt>
                <c:pt idx="281">
                  <c:v>4.7572999999999999E-3</c:v>
                </c:pt>
                <c:pt idx="282">
                  <c:v>4.7374799999999996E-3</c:v>
                </c:pt>
                <c:pt idx="283">
                  <c:v>4.7712199999999996E-3</c:v>
                </c:pt>
                <c:pt idx="284">
                  <c:v>4.8192399999999998E-3</c:v>
                </c:pt>
                <c:pt idx="285">
                  <c:v>4.8051500000000002E-3</c:v>
                </c:pt>
                <c:pt idx="286">
                  <c:v>4.76385E-3</c:v>
                </c:pt>
                <c:pt idx="287">
                  <c:v>4.7871900000000002E-3</c:v>
                </c:pt>
                <c:pt idx="288">
                  <c:v>4.81717E-3</c:v>
                </c:pt>
                <c:pt idx="289">
                  <c:v>4.8406200000000003E-3</c:v>
                </c:pt>
                <c:pt idx="290">
                  <c:v>4.8995999999999996E-3</c:v>
                </c:pt>
                <c:pt idx="291">
                  <c:v>4.89691E-3</c:v>
                </c:pt>
                <c:pt idx="292">
                  <c:v>4.8553900000000002E-3</c:v>
                </c:pt>
                <c:pt idx="293">
                  <c:v>4.9242399999999999E-3</c:v>
                </c:pt>
                <c:pt idx="294">
                  <c:v>4.9204899999999996E-3</c:v>
                </c:pt>
                <c:pt idx="295">
                  <c:v>4.9214200000000001E-3</c:v>
                </c:pt>
                <c:pt idx="296">
                  <c:v>4.9666099999999998E-3</c:v>
                </c:pt>
                <c:pt idx="297">
                  <c:v>4.9129300000000002E-3</c:v>
                </c:pt>
                <c:pt idx="298">
                  <c:v>4.9783600000000003E-3</c:v>
                </c:pt>
                <c:pt idx="299">
                  <c:v>4.9652400000000001E-3</c:v>
                </c:pt>
                <c:pt idx="300">
                  <c:v>4.9488199999999996E-3</c:v>
                </c:pt>
                <c:pt idx="301">
                  <c:v>4.9918799999999998E-3</c:v>
                </c:pt>
                <c:pt idx="302">
                  <c:v>5.0481600000000003E-3</c:v>
                </c:pt>
                <c:pt idx="303">
                  <c:v>5.03492E-3</c:v>
                </c:pt>
                <c:pt idx="304">
                  <c:v>5.0369200000000003E-3</c:v>
                </c:pt>
                <c:pt idx="305">
                  <c:v>5.2223800000000004E-3</c:v>
                </c:pt>
                <c:pt idx="306">
                  <c:v>5.0494700000000003E-3</c:v>
                </c:pt>
                <c:pt idx="307">
                  <c:v>5.1255500000000004E-3</c:v>
                </c:pt>
                <c:pt idx="308">
                  <c:v>5.1371100000000003E-3</c:v>
                </c:pt>
                <c:pt idx="309">
                  <c:v>5.1942400000000001E-3</c:v>
                </c:pt>
                <c:pt idx="310">
                  <c:v>5.2163799999999996E-3</c:v>
                </c:pt>
                <c:pt idx="311">
                  <c:v>5.20201E-3</c:v>
                </c:pt>
                <c:pt idx="312">
                  <c:v>5.2060500000000003E-3</c:v>
                </c:pt>
                <c:pt idx="313">
                  <c:v>5.2102800000000003E-3</c:v>
                </c:pt>
                <c:pt idx="314">
                  <c:v>5.24509E-3</c:v>
                </c:pt>
                <c:pt idx="315">
                  <c:v>5.2610499999999998E-3</c:v>
                </c:pt>
                <c:pt idx="316">
                  <c:v>5.2204399999999998E-3</c:v>
                </c:pt>
                <c:pt idx="317">
                  <c:v>5.2707199999999996E-3</c:v>
                </c:pt>
                <c:pt idx="318">
                  <c:v>5.2953399999999999E-3</c:v>
                </c:pt>
                <c:pt idx="319">
                  <c:v>5.3294400000000004E-3</c:v>
                </c:pt>
                <c:pt idx="320">
                  <c:v>5.3046200000000003E-3</c:v>
                </c:pt>
                <c:pt idx="321">
                  <c:v>5.35214E-3</c:v>
                </c:pt>
                <c:pt idx="322">
                  <c:v>5.3339700000000004E-3</c:v>
                </c:pt>
                <c:pt idx="323">
                  <c:v>5.3883100000000003E-3</c:v>
                </c:pt>
                <c:pt idx="324">
                  <c:v>5.4058800000000001E-3</c:v>
                </c:pt>
                <c:pt idx="325">
                  <c:v>5.3963400000000003E-3</c:v>
                </c:pt>
                <c:pt idx="326">
                  <c:v>5.4398199999999997E-3</c:v>
                </c:pt>
                <c:pt idx="327">
                  <c:v>5.4660899999999998E-3</c:v>
                </c:pt>
                <c:pt idx="328">
                  <c:v>5.4331199999999996E-3</c:v>
                </c:pt>
                <c:pt idx="329">
                  <c:v>5.46943E-3</c:v>
                </c:pt>
                <c:pt idx="330">
                  <c:v>5.4949400000000002E-3</c:v>
                </c:pt>
                <c:pt idx="331">
                  <c:v>5.5004700000000004E-3</c:v>
                </c:pt>
                <c:pt idx="332">
                  <c:v>5.4621399999999999E-3</c:v>
                </c:pt>
                <c:pt idx="333">
                  <c:v>5.6073099999999999E-3</c:v>
                </c:pt>
                <c:pt idx="334">
                  <c:v>5.5689099999999998E-3</c:v>
                </c:pt>
                <c:pt idx="335">
                  <c:v>5.5485300000000003E-3</c:v>
                </c:pt>
                <c:pt idx="336">
                  <c:v>5.5252399999999998E-3</c:v>
                </c:pt>
                <c:pt idx="337">
                  <c:v>5.6245100000000001E-3</c:v>
                </c:pt>
                <c:pt idx="338">
                  <c:v>5.6578399999999999E-3</c:v>
                </c:pt>
                <c:pt idx="339">
                  <c:v>5.5712100000000001E-3</c:v>
                </c:pt>
                <c:pt idx="340">
                  <c:v>5.6041700000000003E-3</c:v>
                </c:pt>
                <c:pt idx="341">
                  <c:v>5.5973200000000002E-3</c:v>
                </c:pt>
                <c:pt idx="342">
                  <c:v>5.7290600000000002E-3</c:v>
                </c:pt>
                <c:pt idx="343">
                  <c:v>5.7498000000000002E-3</c:v>
                </c:pt>
                <c:pt idx="344">
                  <c:v>5.7531700000000002E-3</c:v>
                </c:pt>
                <c:pt idx="345">
                  <c:v>5.8187899999999999E-3</c:v>
                </c:pt>
                <c:pt idx="346">
                  <c:v>5.83411E-3</c:v>
                </c:pt>
                <c:pt idx="347">
                  <c:v>5.7335399999999996E-3</c:v>
                </c:pt>
                <c:pt idx="348">
                  <c:v>5.8283700000000003E-3</c:v>
                </c:pt>
                <c:pt idx="349">
                  <c:v>5.8005699999999997E-3</c:v>
                </c:pt>
                <c:pt idx="350">
                  <c:v>5.7631999999999996E-3</c:v>
                </c:pt>
                <c:pt idx="351">
                  <c:v>5.8843400000000001E-3</c:v>
                </c:pt>
                <c:pt idx="352">
                  <c:v>5.8491000000000003E-3</c:v>
                </c:pt>
                <c:pt idx="353">
                  <c:v>5.8186499999999999E-3</c:v>
                </c:pt>
                <c:pt idx="354">
                  <c:v>5.9462400000000002E-3</c:v>
                </c:pt>
                <c:pt idx="355">
                  <c:v>5.9117500000000003E-3</c:v>
                </c:pt>
                <c:pt idx="356">
                  <c:v>5.9157400000000001E-3</c:v>
                </c:pt>
                <c:pt idx="357">
                  <c:v>5.93971E-3</c:v>
                </c:pt>
                <c:pt idx="358">
                  <c:v>6.0186399999999996E-3</c:v>
                </c:pt>
                <c:pt idx="359">
                  <c:v>5.9677599999999999E-3</c:v>
                </c:pt>
                <c:pt idx="360">
                  <c:v>6.0062800000000001E-3</c:v>
                </c:pt>
                <c:pt idx="361">
                  <c:v>6.0742399999999998E-3</c:v>
                </c:pt>
                <c:pt idx="362">
                  <c:v>6.02281E-3</c:v>
                </c:pt>
                <c:pt idx="363">
                  <c:v>5.9846700000000001E-3</c:v>
                </c:pt>
                <c:pt idx="364">
                  <c:v>6.0922299999999997E-3</c:v>
                </c:pt>
                <c:pt idx="365">
                  <c:v>6.0254200000000001E-3</c:v>
                </c:pt>
                <c:pt idx="366">
                  <c:v>6.0597999999999997E-3</c:v>
                </c:pt>
                <c:pt idx="367">
                  <c:v>6.0660599999999999E-3</c:v>
                </c:pt>
                <c:pt idx="368">
                  <c:v>6.0814399999999996E-3</c:v>
                </c:pt>
                <c:pt idx="369">
                  <c:v>6.16959E-3</c:v>
                </c:pt>
                <c:pt idx="370">
                  <c:v>6.1760799999999996E-3</c:v>
                </c:pt>
                <c:pt idx="371">
                  <c:v>6.0708999999999997E-3</c:v>
                </c:pt>
                <c:pt idx="372">
                  <c:v>6.1654300000000004E-3</c:v>
                </c:pt>
                <c:pt idx="373">
                  <c:v>6.2217699999999997E-3</c:v>
                </c:pt>
                <c:pt idx="374">
                  <c:v>6.2307999999999999E-3</c:v>
                </c:pt>
                <c:pt idx="375">
                  <c:v>6.2429399999999998E-3</c:v>
                </c:pt>
                <c:pt idx="376">
                  <c:v>6.2208799999999998E-3</c:v>
                </c:pt>
                <c:pt idx="377">
                  <c:v>6.3273699999999997E-3</c:v>
                </c:pt>
                <c:pt idx="378">
                  <c:v>6.34849E-3</c:v>
                </c:pt>
                <c:pt idx="379">
                  <c:v>6.3220400000000001E-3</c:v>
                </c:pt>
                <c:pt idx="380">
                  <c:v>6.3464400000000001E-3</c:v>
                </c:pt>
                <c:pt idx="381">
                  <c:v>6.3515899999999998E-3</c:v>
                </c:pt>
                <c:pt idx="382">
                  <c:v>6.3295399999999998E-3</c:v>
                </c:pt>
                <c:pt idx="383">
                  <c:v>6.3509400000000002E-3</c:v>
                </c:pt>
                <c:pt idx="384">
                  <c:v>6.3659600000000004E-3</c:v>
                </c:pt>
                <c:pt idx="385">
                  <c:v>6.4348199999999999E-3</c:v>
                </c:pt>
                <c:pt idx="386">
                  <c:v>6.3867300000000002E-3</c:v>
                </c:pt>
                <c:pt idx="387">
                  <c:v>6.4259499999999997E-3</c:v>
                </c:pt>
                <c:pt idx="388">
                  <c:v>6.4223600000000002E-3</c:v>
                </c:pt>
                <c:pt idx="389">
                  <c:v>6.4805599999999998E-3</c:v>
                </c:pt>
                <c:pt idx="390">
                  <c:v>6.5006400000000002E-3</c:v>
                </c:pt>
                <c:pt idx="391">
                  <c:v>6.5327099999999997E-3</c:v>
                </c:pt>
                <c:pt idx="392">
                  <c:v>6.5291400000000001E-3</c:v>
                </c:pt>
                <c:pt idx="393">
                  <c:v>6.6066700000000003E-3</c:v>
                </c:pt>
              </c:numCache>
            </c:numRef>
          </c:xVal>
          <c:yVal>
            <c:numRef>
              <c:f>'L30CPTX-3'!$V$7:$V$400</c:f>
              <c:numCache>
                <c:formatCode>General</c:formatCode>
                <c:ptCount val="394"/>
                <c:pt idx="0">
                  <c:v>0.30441540948275864</c:v>
                </c:pt>
                <c:pt idx="1">
                  <c:v>0.37749299568965522</c:v>
                </c:pt>
                <c:pt idx="2">
                  <c:v>0.359223599137931</c:v>
                </c:pt>
                <c:pt idx="3">
                  <c:v>0.39576185344827586</c:v>
                </c:pt>
                <c:pt idx="4">
                  <c:v>0.21306896551724139</c:v>
                </c:pt>
                <c:pt idx="5">
                  <c:v>0.8037769396551725</c:v>
                </c:pt>
                <c:pt idx="6">
                  <c:v>1.1448006465517242</c:v>
                </c:pt>
                <c:pt idx="7">
                  <c:v>1.4675592672413795</c:v>
                </c:pt>
                <c:pt idx="8">
                  <c:v>1.7355118534482759</c:v>
                </c:pt>
                <c:pt idx="9">
                  <c:v>2.3749353448275863</c:v>
                </c:pt>
                <c:pt idx="10">
                  <c:v>2.6246174568965519</c:v>
                </c:pt>
                <c:pt idx="11">
                  <c:v>3.0752586206896555</c:v>
                </c:pt>
                <c:pt idx="12">
                  <c:v>3.4162877155172415</c:v>
                </c:pt>
                <c:pt idx="13">
                  <c:v>3.513723060344828</c:v>
                </c:pt>
                <c:pt idx="14">
                  <c:v>3.8851993534482756</c:v>
                </c:pt>
                <c:pt idx="15">
                  <c:v>4.0252640086206899</c:v>
                </c:pt>
                <c:pt idx="16">
                  <c:v>4.2810344827586206</c:v>
                </c:pt>
                <c:pt idx="17">
                  <c:v>4.6281519396551722</c:v>
                </c:pt>
                <c:pt idx="18">
                  <c:v>4.841293103448276</c:v>
                </c:pt>
                <c:pt idx="19">
                  <c:v>5.090969827586207</c:v>
                </c:pt>
                <c:pt idx="20">
                  <c:v>5.2432165948275857</c:v>
                </c:pt>
                <c:pt idx="21">
                  <c:v>5.4928879310344829</c:v>
                </c:pt>
                <c:pt idx="22">
                  <c:v>5.6329741379310345</c:v>
                </c:pt>
                <c:pt idx="23">
                  <c:v>6.0592672413793096</c:v>
                </c:pt>
                <c:pt idx="24">
                  <c:v>6.2114762931034484</c:v>
                </c:pt>
                <c:pt idx="25">
                  <c:v>6.5829741379310347</c:v>
                </c:pt>
                <c:pt idx="26">
                  <c:v>6.7351831896551726</c:v>
                </c:pt>
                <c:pt idx="27">
                  <c:v>7.1310344827586212</c:v>
                </c:pt>
                <c:pt idx="28">
                  <c:v>7.1797413793103448</c:v>
                </c:pt>
                <c:pt idx="29">
                  <c:v>7.3807112068965512</c:v>
                </c:pt>
                <c:pt idx="30">
                  <c:v>7.7095905172413799</c:v>
                </c:pt>
                <c:pt idx="31">
                  <c:v>8.0566810344827591</c:v>
                </c:pt>
                <c:pt idx="32">
                  <c:v>8.2637392241379306</c:v>
                </c:pt>
                <c:pt idx="33">
                  <c:v>8.4951508620689662</c:v>
                </c:pt>
                <c:pt idx="34">
                  <c:v>8.5499461206896541</c:v>
                </c:pt>
                <c:pt idx="35">
                  <c:v>8.909267241379311</c:v>
                </c:pt>
                <c:pt idx="36">
                  <c:v>9.3903556034482758</c:v>
                </c:pt>
                <c:pt idx="37">
                  <c:v>9.7496228448275861</c:v>
                </c:pt>
                <c:pt idx="38">
                  <c:v>9.993211206896552</c:v>
                </c:pt>
                <c:pt idx="39">
                  <c:v>10.011530172413794</c:v>
                </c:pt>
                <c:pt idx="40">
                  <c:v>10.303825431034484</c:v>
                </c:pt>
                <c:pt idx="41">
                  <c:v>10.590032327586208</c:v>
                </c:pt>
                <c:pt idx="42">
                  <c:v>10.827532327586207</c:v>
                </c:pt>
                <c:pt idx="43">
                  <c:v>11.138092672413794</c:v>
                </c:pt>
                <c:pt idx="44">
                  <c:v>11.235560344827588</c:v>
                </c:pt>
                <c:pt idx="45">
                  <c:v>11.667941810344828</c:v>
                </c:pt>
                <c:pt idx="46">
                  <c:v>12.045474137931034</c:v>
                </c:pt>
                <c:pt idx="47">
                  <c:v>12.051562500000001</c:v>
                </c:pt>
                <c:pt idx="48">
                  <c:v>12.374353448275862</c:v>
                </c:pt>
                <c:pt idx="49">
                  <c:v>12.563092672413793</c:v>
                </c:pt>
                <c:pt idx="50">
                  <c:v>12.764062500000001</c:v>
                </c:pt>
                <c:pt idx="51">
                  <c:v>12.995474137931035</c:v>
                </c:pt>
                <c:pt idx="52">
                  <c:v>13.373060344827586</c:v>
                </c:pt>
                <c:pt idx="53">
                  <c:v>13.513092672413794</c:v>
                </c:pt>
                <c:pt idx="54">
                  <c:v>13.671443965517243</c:v>
                </c:pt>
                <c:pt idx="55">
                  <c:v>14.05511853448276</c:v>
                </c:pt>
                <c:pt idx="56">
                  <c:v>14.049030172413794</c:v>
                </c:pt>
                <c:pt idx="57">
                  <c:v>14.487500000000001</c:v>
                </c:pt>
                <c:pt idx="58">
                  <c:v>14.725000000000001</c:v>
                </c:pt>
                <c:pt idx="59">
                  <c:v>14.913739224137931</c:v>
                </c:pt>
                <c:pt idx="60">
                  <c:v>15.078178879310347</c:v>
                </c:pt>
                <c:pt idx="61">
                  <c:v>15.443588362068965</c:v>
                </c:pt>
                <c:pt idx="62">
                  <c:v>15.571443965517242</c:v>
                </c:pt>
                <c:pt idx="63">
                  <c:v>15.851562500000002</c:v>
                </c:pt>
                <c:pt idx="64">
                  <c:v>16.06470905172414</c:v>
                </c:pt>
                <c:pt idx="65">
                  <c:v>16.357058189655174</c:v>
                </c:pt>
                <c:pt idx="66">
                  <c:v>16.491002155172414</c:v>
                </c:pt>
                <c:pt idx="67">
                  <c:v>16.923383620689656</c:v>
                </c:pt>
                <c:pt idx="68">
                  <c:v>17.307058189655173</c:v>
                </c:pt>
                <c:pt idx="69">
                  <c:v>17.294881465517243</c:v>
                </c:pt>
                <c:pt idx="70">
                  <c:v>17.74552801724138</c:v>
                </c:pt>
                <c:pt idx="71">
                  <c:v>17.897737068965519</c:v>
                </c:pt>
                <c:pt idx="72">
                  <c:v>17.946443965517243</c:v>
                </c:pt>
                <c:pt idx="73">
                  <c:v>18.342295258620691</c:v>
                </c:pt>
                <c:pt idx="74">
                  <c:v>18.366648706896552</c:v>
                </c:pt>
                <c:pt idx="75">
                  <c:v>18.811206896551724</c:v>
                </c:pt>
                <c:pt idx="76">
                  <c:v>19.103502155172414</c:v>
                </c:pt>
                <c:pt idx="77">
                  <c:v>19.29229525862069</c:v>
                </c:pt>
                <c:pt idx="78">
                  <c:v>19.462823275862071</c:v>
                </c:pt>
                <c:pt idx="79">
                  <c:v>19.742941810344828</c:v>
                </c:pt>
                <c:pt idx="80">
                  <c:v>19.907381465517243</c:v>
                </c:pt>
                <c:pt idx="81">
                  <c:v>19.913469827586209</c:v>
                </c:pt>
                <c:pt idx="82">
                  <c:v>20.26664870689655</c:v>
                </c:pt>
                <c:pt idx="83">
                  <c:v>20.217941810344826</c:v>
                </c:pt>
                <c:pt idx="84">
                  <c:v>20.528556034482758</c:v>
                </c:pt>
                <c:pt idx="85">
                  <c:v>20.802586206896553</c:v>
                </c:pt>
                <c:pt idx="86">
                  <c:v>20.918265086206898</c:v>
                </c:pt>
                <c:pt idx="87">
                  <c:v>21.326293103448275</c:v>
                </c:pt>
                <c:pt idx="88">
                  <c:v>21.417618534482759</c:v>
                </c:pt>
                <c:pt idx="89">
                  <c:v>21.746497844827587</c:v>
                </c:pt>
                <c:pt idx="90">
                  <c:v>22.032704741379312</c:v>
                </c:pt>
                <c:pt idx="91">
                  <c:v>22.184967672413791</c:v>
                </c:pt>
                <c:pt idx="92">
                  <c:v>22.410290948275865</c:v>
                </c:pt>
                <c:pt idx="93">
                  <c:v>22.678232758620691</c:v>
                </c:pt>
                <c:pt idx="94">
                  <c:v>23.086206896551726</c:v>
                </c:pt>
                <c:pt idx="95">
                  <c:v>23.183674568965518</c:v>
                </c:pt>
                <c:pt idx="96">
                  <c:v>23.354202586206895</c:v>
                </c:pt>
                <c:pt idx="97">
                  <c:v>23.524676724137933</c:v>
                </c:pt>
                <c:pt idx="98">
                  <c:v>23.981411637931036</c:v>
                </c:pt>
                <c:pt idx="99">
                  <c:v>24.188469827586207</c:v>
                </c:pt>
                <c:pt idx="100">
                  <c:v>24.419881465517243</c:v>
                </c:pt>
                <c:pt idx="101">
                  <c:v>24.419881465517243</c:v>
                </c:pt>
                <c:pt idx="102">
                  <c:v>24.742672413793102</c:v>
                </c:pt>
                <c:pt idx="103">
                  <c:v>25.181088362068966</c:v>
                </c:pt>
                <c:pt idx="104">
                  <c:v>25.442995689655174</c:v>
                </c:pt>
                <c:pt idx="105">
                  <c:v>25.534321120689658</c:v>
                </c:pt>
                <c:pt idx="106">
                  <c:v>25.820528017241379</c:v>
                </c:pt>
                <c:pt idx="107">
                  <c:v>26.155495689655172</c:v>
                </c:pt>
                <c:pt idx="108">
                  <c:v>26.423437499999999</c:v>
                </c:pt>
                <c:pt idx="109">
                  <c:v>26.447790948275863</c:v>
                </c:pt>
                <c:pt idx="110">
                  <c:v>26.800969827586208</c:v>
                </c:pt>
                <c:pt idx="111">
                  <c:v>26.861907327586206</c:v>
                </c:pt>
                <c:pt idx="112">
                  <c:v>27.318642241379312</c:v>
                </c:pt>
                <c:pt idx="113">
                  <c:v>27.550053879310344</c:v>
                </c:pt>
                <c:pt idx="114">
                  <c:v>27.909321120689658</c:v>
                </c:pt>
                <c:pt idx="115">
                  <c:v>28.00678879310345</c:v>
                </c:pt>
                <c:pt idx="116">
                  <c:v>28.37823275862069</c:v>
                </c:pt>
                <c:pt idx="117">
                  <c:v>28.554849137931033</c:v>
                </c:pt>
                <c:pt idx="118">
                  <c:v>28.834967672413796</c:v>
                </c:pt>
                <c:pt idx="119">
                  <c:v>28.968965517241383</c:v>
                </c:pt>
                <c:pt idx="120">
                  <c:v>29.151616379310344</c:v>
                </c:pt>
                <c:pt idx="121">
                  <c:v>29.510937499999997</c:v>
                </c:pt>
                <c:pt idx="122">
                  <c:v>29.766702586206897</c:v>
                </c:pt>
                <c:pt idx="123">
                  <c:v>29.943318965517239</c:v>
                </c:pt>
                <c:pt idx="124">
                  <c:v>30.13820043103448</c:v>
                </c:pt>
                <c:pt idx="125">
                  <c:v>30.442672413793105</c:v>
                </c:pt>
                <c:pt idx="126">
                  <c:v>30.68626077586207</c:v>
                </c:pt>
                <c:pt idx="127">
                  <c:v>30.978556034482757</c:v>
                </c:pt>
                <c:pt idx="128">
                  <c:v>31.246497844827591</c:v>
                </c:pt>
                <c:pt idx="129">
                  <c:v>31.471821120689658</c:v>
                </c:pt>
                <c:pt idx="130">
                  <c:v>31.624084051724139</c:v>
                </c:pt>
                <c:pt idx="131">
                  <c:v>31.989493534482758</c:v>
                </c:pt>
                <c:pt idx="132">
                  <c:v>32.099084051724141</c:v>
                </c:pt>
                <c:pt idx="133">
                  <c:v>32.233081896551724</c:v>
                </c:pt>
                <c:pt idx="134">
                  <c:v>32.82376077586207</c:v>
                </c:pt>
                <c:pt idx="135">
                  <c:v>32.976023706896555</c:v>
                </c:pt>
                <c:pt idx="136">
                  <c:v>33.109967672413795</c:v>
                </c:pt>
                <c:pt idx="137">
                  <c:v>33.47537715517241</c:v>
                </c:pt>
                <c:pt idx="138">
                  <c:v>33.658081896551721</c:v>
                </c:pt>
                <c:pt idx="139">
                  <c:v>33.956465517241377</c:v>
                </c:pt>
                <c:pt idx="140">
                  <c:v>34.352316810344831</c:v>
                </c:pt>
                <c:pt idx="141">
                  <c:v>34.327963362068971</c:v>
                </c:pt>
                <c:pt idx="142">
                  <c:v>34.401023706896552</c:v>
                </c:pt>
                <c:pt idx="143">
                  <c:v>34.711584051724138</c:v>
                </c:pt>
                <c:pt idx="144">
                  <c:v>34.997844827586206</c:v>
                </c:pt>
                <c:pt idx="145">
                  <c:v>35.314493534482757</c:v>
                </c:pt>
                <c:pt idx="146">
                  <c:v>35.521551724137936</c:v>
                </c:pt>
                <c:pt idx="147">
                  <c:v>35.850377155172417</c:v>
                </c:pt>
                <c:pt idx="148">
                  <c:v>36.10614224137931</c:v>
                </c:pt>
                <c:pt idx="149">
                  <c:v>36.173168103448276</c:v>
                </c:pt>
                <c:pt idx="150">
                  <c:v>36.380226293103448</c:v>
                </c:pt>
                <c:pt idx="151">
                  <c:v>36.465463362068967</c:v>
                </c:pt>
                <c:pt idx="152">
                  <c:v>36.763846982758622</c:v>
                </c:pt>
                <c:pt idx="153">
                  <c:v>37.043965517241382</c:v>
                </c:pt>
                <c:pt idx="154">
                  <c:v>37.251023706896554</c:v>
                </c:pt>
                <c:pt idx="155">
                  <c:v>37.488523706896551</c:v>
                </c:pt>
                <c:pt idx="156">
                  <c:v>37.634698275862071</c:v>
                </c:pt>
                <c:pt idx="157">
                  <c:v>38.042726293103449</c:v>
                </c:pt>
                <c:pt idx="158">
                  <c:v>38.298491379310342</c:v>
                </c:pt>
                <c:pt idx="159">
                  <c:v>38.46901939655173</c:v>
                </c:pt>
                <c:pt idx="160">
                  <c:v>38.694288793103446</c:v>
                </c:pt>
                <c:pt idx="161">
                  <c:v>39.017079741379312</c:v>
                </c:pt>
                <c:pt idx="162">
                  <c:v>39.157112068965517</c:v>
                </c:pt>
                <c:pt idx="163">
                  <c:v>39.406842672413795</c:v>
                </c:pt>
                <c:pt idx="164">
                  <c:v>39.778286637931039</c:v>
                </c:pt>
                <c:pt idx="165">
                  <c:v>39.857435344827586</c:v>
                </c:pt>
                <c:pt idx="166">
                  <c:v>40.222844827586208</c:v>
                </c:pt>
                <c:pt idx="167">
                  <c:v>40.429903017241379</c:v>
                </c:pt>
                <c:pt idx="168">
                  <c:v>40.758728448275861</c:v>
                </c:pt>
                <c:pt idx="169">
                  <c:v>40.898814655172416</c:v>
                </c:pt>
                <c:pt idx="170">
                  <c:v>41.093696120689657</c:v>
                </c:pt>
                <c:pt idx="171">
                  <c:v>41.416433189655173</c:v>
                </c:pt>
                <c:pt idx="172">
                  <c:v>41.660021551724142</c:v>
                </c:pt>
                <c:pt idx="173">
                  <c:v>41.982812500000001</c:v>
                </c:pt>
                <c:pt idx="174">
                  <c:v>42.019342672413792</c:v>
                </c:pt>
                <c:pt idx="175">
                  <c:v>42.409051724137932</c:v>
                </c:pt>
                <c:pt idx="176">
                  <c:v>42.573491379310347</c:v>
                </c:pt>
                <c:pt idx="177">
                  <c:v>42.871875000000003</c:v>
                </c:pt>
                <c:pt idx="178">
                  <c:v>42.993696120689656</c:v>
                </c:pt>
                <c:pt idx="179">
                  <c:v>43.353017241379312</c:v>
                </c:pt>
                <c:pt idx="180">
                  <c:v>43.505226293103448</c:v>
                </c:pt>
                <c:pt idx="181">
                  <c:v>43.657489224137933</c:v>
                </c:pt>
                <c:pt idx="182">
                  <c:v>44.108135775862074</c:v>
                </c:pt>
                <c:pt idx="183">
                  <c:v>44.357812500000001</c:v>
                </c:pt>
                <c:pt idx="184">
                  <c:v>44.546605603448278</c:v>
                </c:pt>
                <c:pt idx="185">
                  <c:v>44.991163793103453</c:v>
                </c:pt>
                <c:pt idx="186">
                  <c:v>45.045959051724139</c:v>
                </c:pt>
                <c:pt idx="187">
                  <c:v>45.417403017241377</c:v>
                </c:pt>
                <c:pt idx="188">
                  <c:v>45.435721982758629</c:v>
                </c:pt>
                <c:pt idx="189">
                  <c:v>45.758459051724145</c:v>
                </c:pt>
                <c:pt idx="190">
                  <c:v>46.093372844827591</c:v>
                </c:pt>
                <c:pt idx="191">
                  <c:v>46.209105603448279</c:v>
                </c:pt>
                <c:pt idx="192">
                  <c:v>46.507489224137935</c:v>
                </c:pt>
                <c:pt idx="193">
                  <c:v>46.866810344827584</c:v>
                </c:pt>
                <c:pt idx="194">
                  <c:v>46.836368534482759</c:v>
                </c:pt>
                <c:pt idx="195">
                  <c:v>47.201724137931031</c:v>
                </c:pt>
                <c:pt idx="196">
                  <c:v>47.439224137931035</c:v>
                </c:pt>
                <c:pt idx="197">
                  <c:v>47.731519396551725</c:v>
                </c:pt>
                <c:pt idx="198">
                  <c:v>47.902047413793106</c:v>
                </c:pt>
                <c:pt idx="199">
                  <c:v>48.151724137931033</c:v>
                </c:pt>
                <c:pt idx="200">
                  <c:v>48.212607758620692</c:v>
                </c:pt>
                <c:pt idx="201">
                  <c:v>48.657165948275868</c:v>
                </c:pt>
                <c:pt idx="202">
                  <c:v>48.876400862068962</c:v>
                </c:pt>
                <c:pt idx="203">
                  <c:v>48.955603448275866</c:v>
                </c:pt>
                <c:pt idx="204">
                  <c:v>49.394073275862077</c:v>
                </c:pt>
                <c:pt idx="205">
                  <c:v>49.503663793103442</c:v>
                </c:pt>
                <c:pt idx="206">
                  <c:v>49.856896551724141</c:v>
                </c:pt>
                <c:pt idx="207">
                  <c:v>50.100484913793103</c:v>
                </c:pt>
                <c:pt idx="208">
                  <c:v>50.417133620689654</c:v>
                </c:pt>
                <c:pt idx="209">
                  <c:v>50.618103448275861</c:v>
                </c:pt>
                <c:pt idx="210">
                  <c:v>50.837338362068969</c:v>
                </c:pt>
                <c:pt idx="211">
                  <c:v>50.977370689655174</c:v>
                </c:pt>
                <c:pt idx="212">
                  <c:v>51.348868534482762</c:v>
                </c:pt>
                <c:pt idx="213">
                  <c:v>51.43410560344828</c:v>
                </c:pt>
                <c:pt idx="214">
                  <c:v>51.970043103448276</c:v>
                </c:pt>
                <c:pt idx="215">
                  <c:v>52.055280172413788</c:v>
                </c:pt>
                <c:pt idx="216">
                  <c:v>52.164924568965517</c:v>
                </c:pt>
                <c:pt idx="217">
                  <c:v>52.451131465517243</c:v>
                </c:pt>
                <c:pt idx="218">
                  <c:v>52.725161637931038</c:v>
                </c:pt>
                <c:pt idx="219">
                  <c:v>52.712984913793107</c:v>
                </c:pt>
                <c:pt idx="220">
                  <c:v>53.194073275862067</c:v>
                </c:pt>
                <c:pt idx="221">
                  <c:v>53.681249999999999</c:v>
                </c:pt>
                <c:pt idx="222">
                  <c:v>53.790894396551728</c:v>
                </c:pt>
                <c:pt idx="223">
                  <c:v>53.985991379310342</c:v>
                </c:pt>
                <c:pt idx="224">
                  <c:v>54.351293103448278</c:v>
                </c:pt>
                <c:pt idx="225">
                  <c:v>54.625</c:v>
                </c:pt>
                <c:pt idx="226">
                  <c:v>54.71066810344827</c:v>
                </c:pt>
                <c:pt idx="227">
                  <c:v>55.130387931034491</c:v>
                </c:pt>
                <c:pt idx="228">
                  <c:v>55.319504310344826</c:v>
                </c:pt>
                <c:pt idx="229">
                  <c:v>55.471443965517246</c:v>
                </c:pt>
                <c:pt idx="230">
                  <c:v>55.690732758620697</c:v>
                </c:pt>
                <c:pt idx="231">
                  <c:v>55.867456896551722</c:v>
                </c:pt>
                <c:pt idx="232">
                  <c:v>56.269396551724142</c:v>
                </c:pt>
                <c:pt idx="233">
                  <c:v>56.433728448275865</c:v>
                </c:pt>
                <c:pt idx="234">
                  <c:v>56.665409482758626</c:v>
                </c:pt>
                <c:pt idx="235">
                  <c:v>56.859913793103452</c:v>
                </c:pt>
                <c:pt idx="236">
                  <c:v>57.170797413793103</c:v>
                </c:pt>
                <c:pt idx="237">
                  <c:v>57.523706896551722</c:v>
                </c:pt>
                <c:pt idx="238">
                  <c:v>57.554418103448278</c:v>
                </c:pt>
                <c:pt idx="239">
                  <c:v>57.91379310344827</c:v>
                </c:pt>
                <c:pt idx="240">
                  <c:v>58.279094827586214</c:v>
                </c:pt>
                <c:pt idx="241">
                  <c:v>58.419181034482762</c:v>
                </c:pt>
                <c:pt idx="242">
                  <c:v>58.583512931034484</c:v>
                </c:pt>
                <c:pt idx="243">
                  <c:v>58.480064655172413</c:v>
                </c:pt>
                <c:pt idx="244">
                  <c:v>58.760237068965516</c:v>
                </c:pt>
                <c:pt idx="245">
                  <c:v>59.228987068965516</c:v>
                </c:pt>
                <c:pt idx="246">
                  <c:v>59.241379310344833</c:v>
                </c:pt>
                <c:pt idx="247">
                  <c:v>59.67995689655173</c:v>
                </c:pt>
                <c:pt idx="248">
                  <c:v>59.911099137931039</c:v>
                </c:pt>
                <c:pt idx="249">
                  <c:v>60.106142241379317</c:v>
                </c:pt>
                <c:pt idx="250">
                  <c:v>60.172952586206904</c:v>
                </c:pt>
                <c:pt idx="251">
                  <c:v>60.544181034482762</c:v>
                </c:pt>
                <c:pt idx="252">
                  <c:v>60.745150862068961</c:v>
                </c:pt>
                <c:pt idx="253">
                  <c:v>61.110991379310349</c:v>
                </c:pt>
                <c:pt idx="254">
                  <c:v>61.147090517241381</c:v>
                </c:pt>
                <c:pt idx="255">
                  <c:v>61.293642241379317</c:v>
                </c:pt>
                <c:pt idx="256">
                  <c:v>61.762392241379317</c:v>
                </c:pt>
                <c:pt idx="257">
                  <c:v>61.98760775862069</c:v>
                </c:pt>
                <c:pt idx="258">
                  <c:v>62.28017241379311</c:v>
                </c:pt>
                <c:pt idx="259">
                  <c:v>62.523706896551722</c:v>
                </c:pt>
                <c:pt idx="260">
                  <c:v>62.81573275862069</c:v>
                </c:pt>
                <c:pt idx="261">
                  <c:v>62.955818965517246</c:v>
                </c:pt>
                <c:pt idx="262">
                  <c:v>63.315193965517238</c:v>
                </c:pt>
                <c:pt idx="263">
                  <c:v>63.491918103448278</c:v>
                </c:pt>
                <c:pt idx="264">
                  <c:v>63.58943965517242</c:v>
                </c:pt>
                <c:pt idx="265">
                  <c:v>63.973060344827587</c:v>
                </c:pt>
                <c:pt idx="266">
                  <c:v>64.314116379310349</c:v>
                </c:pt>
                <c:pt idx="267">
                  <c:v>64.356681034482762</c:v>
                </c:pt>
                <c:pt idx="268">
                  <c:v>64.703663793103445</c:v>
                </c:pt>
                <c:pt idx="269">
                  <c:v>64.917025862068968</c:v>
                </c:pt>
                <c:pt idx="270">
                  <c:v>65.17887931034484</c:v>
                </c:pt>
                <c:pt idx="271">
                  <c:v>65.446659482758619</c:v>
                </c:pt>
                <c:pt idx="272">
                  <c:v>65.459051724137936</c:v>
                </c:pt>
                <c:pt idx="273">
                  <c:v>65.550107758620697</c:v>
                </c:pt>
                <c:pt idx="274">
                  <c:v>65.84267241379311</c:v>
                </c:pt>
                <c:pt idx="275">
                  <c:v>66.147090517241381</c:v>
                </c:pt>
                <c:pt idx="276">
                  <c:v>66.372306034482762</c:v>
                </c:pt>
                <c:pt idx="277">
                  <c:v>66.683189655172413</c:v>
                </c:pt>
                <c:pt idx="278">
                  <c:v>66.847521551724142</c:v>
                </c:pt>
                <c:pt idx="279">
                  <c:v>67.066810344827587</c:v>
                </c:pt>
                <c:pt idx="280">
                  <c:v>67.206896551724142</c:v>
                </c:pt>
                <c:pt idx="281">
                  <c:v>67.626616379310349</c:v>
                </c:pt>
                <c:pt idx="282">
                  <c:v>67.724137931034491</c:v>
                </c:pt>
                <c:pt idx="283">
                  <c:v>67.834051724137936</c:v>
                </c:pt>
                <c:pt idx="284">
                  <c:v>68.211745689655174</c:v>
                </c:pt>
                <c:pt idx="285">
                  <c:v>68.473599137931046</c:v>
                </c:pt>
                <c:pt idx="286">
                  <c:v>68.771551724137936</c:v>
                </c:pt>
                <c:pt idx="287">
                  <c:v>69.009159482758619</c:v>
                </c:pt>
                <c:pt idx="288">
                  <c:v>69.276939655172413</c:v>
                </c:pt>
                <c:pt idx="289">
                  <c:v>69.575431034482762</c:v>
                </c:pt>
                <c:pt idx="290">
                  <c:v>69.831357758620697</c:v>
                </c:pt>
                <c:pt idx="291">
                  <c:v>69.977370689655174</c:v>
                </c:pt>
                <c:pt idx="292">
                  <c:v>70.239224137931032</c:v>
                </c:pt>
                <c:pt idx="293">
                  <c:v>70.580280172413794</c:v>
                </c:pt>
                <c:pt idx="294">
                  <c:v>70.793642241379303</c:v>
                </c:pt>
                <c:pt idx="295">
                  <c:v>70.963900862068968</c:v>
                </c:pt>
                <c:pt idx="296">
                  <c:v>71.256465517241381</c:v>
                </c:pt>
                <c:pt idx="297">
                  <c:v>71.323275862068968</c:v>
                </c:pt>
                <c:pt idx="298">
                  <c:v>71.713362068965523</c:v>
                </c:pt>
                <c:pt idx="299">
                  <c:v>71.992995689655174</c:v>
                </c:pt>
                <c:pt idx="300">
                  <c:v>72.224676724137936</c:v>
                </c:pt>
                <c:pt idx="301">
                  <c:v>72.535021551724142</c:v>
                </c:pt>
                <c:pt idx="302">
                  <c:v>72.730064655172427</c:v>
                </c:pt>
                <c:pt idx="303">
                  <c:v>72.833512931034477</c:v>
                </c:pt>
                <c:pt idx="304">
                  <c:v>73.168642241379317</c:v>
                </c:pt>
                <c:pt idx="305">
                  <c:v>73.369612068965523</c:v>
                </c:pt>
                <c:pt idx="306">
                  <c:v>73.643318965517253</c:v>
                </c:pt>
                <c:pt idx="307">
                  <c:v>73.862607758620683</c:v>
                </c:pt>
                <c:pt idx="308">
                  <c:v>74.240301724137936</c:v>
                </c:pt>
                <c:pt idx="309">
                  <c:v>74.307112068965523</c:v>
                </c:pt>
                <c:pt idx="310">
                  <c:v>74.51454741379311</c:v>
                </c:pt>
                <c:pt idx="311">
                  <c:v>74.831357758620697</c:v>
                </c:pt>
                <c:pt idx="312">
                  <c:v>75.178340517241381</c:v>
                </c:pt>
                <c:pt idx="313">
                  <c:v>75.263469827586206</c:v>
                </c:pt>
                <c:pt idx="314">
                  <c:v>75.61045258620689</c:v>
                </c:pt>
                <c:pt idx="315">
                  <c:v>75.903017241379317</c:v>
                </c:pt>
                <c:pt idx="316">
                  <c:v>75.951508620689665</c:v>
                </c:pt>
                <c:pt idx="317">
                  <c:v>76.268318965517238</c:v>
                </c:pt>
                <c:pt idx="318">
                  <c:v>76.475215517241381</c:v>
                </c:pt>
                <c:pt idx="319">
                  <c:v>76.700431034482762</c:v>
                </c:pt>
                <c:pt idx="320">
                  <c:v>76.938038793103459</c:v>
                </c:pt>
                <c:pt idx="321">
                  <c:v>77.297413793103445</c:v>
                </c:pt>
                <c:pt idx="322">
                  <c:v>77.504310344827587</c:v>
                </c:pt>
                <c:pt idx="323">
                  <c:v>77.802801724137936</c:v>
                </c:pt>
                <c:pt idx="324">
                  <c:v>78.064655172413794</c:v>
                </c:pt>
                <c:pt idx="325">
                  <c:v>78.204741379310349</c:v>
                </c:pt>
                <c:pt idx="326">
                  <c:v>78.527478448275872</c:v>
                </c:pt>
                <c:pt idx="327">
                  <c:v>78.728448275862078</c:v>
                </c:pt>
                <c:pt idx="328">
                  <c:v>78.78933189655173</c:v>
                </c:pt>
                <c:pt idx="329">
                  <c:v>79.227909482758633</c:v>
                </c:pt>
                <c:pt idx="330">
                  <c:v>79.258620689655174</c:v>
                </c:pt>
                <c:pt idx="331">
                  <c:v>79.611530172413794</c:v>
                </c:pt>
                <c:pt idx="332">
                  <c:v>80.129310344827587</c:v>
                </c:pt>
                <c:pt idx="333">
                  <c:v>79.97683189655173</c:v>
                </c:pt>
                <c:pt idx="334">
                  <c:v>80.275323275862078</c:v>
                </c:pt>
                <c:pt idx="335">
                  <c:v>80.647090517241381</c:v>
                </c:pt>
                <c:pt idx="336">
                  <c:v>80.853987068965523</c:v>
                </c:pt>
                <c:pt idx="337">
                  <c:v>81.134159482758619</c:v>
                </c:pt>
                <c:pt idx="338">
                  <c:v>81.377693965517253</c:v>
                </c:pt>
                <c:pt idx="339">
                  <c:v>81.767241379310349</c:v>
                </c:pt>
                <c:pt idx="340">
                  <c:v>81.938038793103459</c:v>
                </c:pt>
                <c:pt idx="341">
                  <c:v>82.230064655172413</c:v>
                </c:pt>
                <c:pt idx="342">
                  <c:v>82.205818965517238</c:v>
                </c:pt>
                <c:pt idx="343">
                  <c:v>82.668642241379303</c:v>
                </c:pt>
                <c:pt idx="344">
                  <c:v>82.96120689655173</c:v>
                </c:pt>
                <c:pt idx="345">
                  <c:v>82.985452586206904</c:v>
                </c:pt>
                <c:pt idx="346">
                  <c:v>83.308189655172413</c:v>
                </c:pt>
                <c:pt idx="347">
                  <c:v>83.710129310344826</c:v>
                </c:pt>
                <c:pt idx="348">
                  <c:v>83.53933189655173</c:v>
                </c:pt>
                <c:pt idx="349">
                  <c:v>84.233836206896555</c:v>
                </c:pt>
                <c:pt idx="350">
                  <c:v>84.215517241379317</c:v>
                </c:pt>
                <c:pt idx="351">
                  <c:v>84.471443965517238</c:v>
                </c:pt>
                <c:pt idx="352">
                  <c:v>84.800107758620683</c:v>
                </c:pt>
                <c:pt idx="353">
                  <c:v>84.921875</c:v>
                </c:pt>
                <c:pt idx="354">
                  <c:v>85.317887931034491</c:v>
                </c:pt>
                <c:pt idx="355">
                  <c:v>85.664870689655174</c:v>
                </c:pt>
                <c:pt idx="356">
                  <c:v>85.75</c:v>
                </c:pt>
                <c:pt idx="357">
                  <c:v>85.865840517241381</c:v>
                </c:pt>
                <c:pt idx="358">
                  <c:v>86.334590517241381</c:v>
                </c:pt>
                <c:pt idx="359">
                  <c:v>86.773168103448285</c:v>
                </c:pt>
                <c:pt idx="360">
                  <c:v>86.876616379310349</c:v>
                </c:pt>
                <c:pt idx="361">
                  <c:v>87.047413793103445</c:v>
                </c:pt>
                <c:pt idx="362">
                  <c:v>87.114224137931032</c:v>
                </c:pt>
                <c:pt idx="363">
                  <c:v>87.479525862068968</c:v>
                </c:pt>
                <c:pt idx="364">
                  <c:v>87.674568965517238</c:v>
                </c:pt>
                <c:pt idx="365">
                  <c:v>88.058189655172413</c:v>
                </c:pt>
                <c:pt idx="366">
                  <c:v>88.088362068965523</c:v>
                </c:pt>
                <c:pt idx="367">
                  <c:v>88.45420258620689</c:v>
                </c:pt>
                <c:pt idx="368">
                  <c:v>88.721982758620683</c:v>
                </c:pt>
                <c:pt idx="369">
                  <c:v>88.917025862068968</c:v>
                </c:pt>
                <c:pt idx="370">
                  <c:v>89.190732758620683</c:v>
                </c:pt>
                <c:pt idx="371">
                  <c:v>89.410021551724142</c:v>
                </c:pt>
                <c:pt idx="372">
                  <c:v>89.72683189655173</c:v>
                </c:pt>
                <c:pt idx="373">
                  <c:v>89.988685344827601</c:v>
                </c:pt>
                <c:pt idx="374">
                  <c:v>90.250538793103445</c:v>
                </c:pt>
                <c:pt idx="375">
                  <c:v>90.402478448275872</c:v>
                </c:pt>
                <c:pt idx="376">
                  <c:v>90.579202586206904</c:v>
                </c:pt>
                <c:pt idx="377">
                  <c:v>90.707435344827587</c:v>
                </c:pt>
                <c:pt idx="378">
                  <c:v>91.145474137931032</c:v>
                </c:pt>
                <c:pt idx="379">
                  <c:v>91.468211206896555</c:v>
                </c:pt>
                <c:pt idx="380">
                  <c:v>91.60829741379311</c:v>
                </c:pt>
                <c:pt idx="381">
                  <c:v>91.900862068965523</c:v>
                </c:pt>
                <c:pt idx="382">
                  <c:v>92.114224137931046</c:v>
                </c:pt>
                <c:pt idx="383">
                  <c:v>92.40625</c:v>
                </c:pt>
                <c:pt idx="384">
                  <c:v>92.60129310344827</c:v>
                </c:pt>
                <c:pt idx="385">
                  <c:v>92.783943965517253</c:v>
                </c:pt>
                <c:pt idx="386">
                  <c:v>93.027478448275872</c:v>
                </c:pt>
                <c:pt idx="387">
                  <c:v>93.234375</c:v>
                </c:pt>
                <c:pt idx="388">
                  <c:v>93.599676724137922</c:v>
                </c:pt>
                <c:pt idx="389">
                  <c:v>93.691271551724128</c:v>
                </c:pt>
                <c:pt idx="390">
                  <c:v>94.129849137931032</c:v>
                </c:pt>
                <c:pt idx="391">
                  <c:v>94.360991379310349</c:v>
                </c:pt>
                <c:pt idx="392">
                  <c:v>94.403556034482762</c:v>
                </c:pt>
                <c:pt idx="393">
                  <c:v>94.580280172413794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E4DE-45F7-B9CE-B6A403A236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70498992"/>
        <c:axId val="270499552"/>
      </c:scatterChart>
      <c:valAx>
        <c:axId val="270498992"/>
        <c:scaling>
          <c:orientation val="minMax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400"/>
                </a:pPr>
                <a:r>
                  <a:rPr lang="el-GR" sz="1400" b="0" i="0" u="none" strike="noStrike" baseline="0">
                    <a:effectLst/>
                  </a:rPr>
                  <a:t>ε</a:t>
                </a:r>
                <a:r>
                  <a:rPr lang="en-US" sz="1400" b="0" i="0" u="none" strike="noStrike" baseline="-25000">
                    <a:effectLst/>
                  </a:rPr>
                  <a:t>x</a:t>
                </a:r>
                <a:r>
                  <a:rPr lang="en-US" sz="1400" b="0" i="0" baseline="0"/>
                  <a:t>, %</a:t>
                </a:r>
                <a:endParaRPr lang="ru-RU" sz="1400" b="0" i="0" baseline="0"/>
              </a:p>
            </c:rich>
          </c:tx>
          <c:layout>
            <c:manualLayout>
              <c:xMode val="edge"/>
              <c:yMode val="edge"/>
              <c:x val="0.47064976851851859"/>
              <c:y val="0.89814826388888869"/>
            </c:manualLayout>
          </c:layout>
          <c:overlay val="0"/>
        </c:title>
        <c:numFmt formatCode="0.0%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70499552"/>
        <c:crosses val="autoZero"/>
        <c:crossBetween val="midCat"/>
      </c:valAx>
      <c:valAx>
        <c:axId val="27049955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400"/>
                </a:pPr>
                <a:r>
                  <a:rPr lang="el-GR" sz="1400" b="0" i="0" u="none" strike="noStrike" baseline="0">
                    <a:effectLst/>
                  </a:rPr>
                  <a:t>σ</a:t>
                </a:r>
                <a:r>
                  <a:rPr lang="en-US" sz="1400" b="0" i="0" u="none" strike="noStrike" baseline="-25000">
                    <a:effectLst/>
                  </a:rPr>
                  <a:t>x</a:t>
                </a:r>
                <a:r>
                  <a:rPr lang="en-US" sz="1400" b="0" i="0" baseline="0"/>
                  <a:t>, MPa</a:t>
                </a:r>
                <a:endParaRPr lang="ru-RU" sz="1400" b="0" i="0" baseline="0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70498992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73461242344706912"/>
          <c:y val="0.51360866681146577"/>
          <c:w val="0.16672112860892388"/>
          <c:h val="0.25277185047343426"/>
        </c:manualLayout>
      </c:layout>
      <c:overlay val="0"/>
      <c:spPr>
        <a:solidFill>
          <a:schemeClr val="bg1"/>
        </a:solidFill>
      </c:spPr>
    </c:legend>
    <c:plotVisOnly val="1"/>
    <c:dispBlanksAs val="gap"/>
    <c:showDLblsOverMax val="0"/>
  </c:chart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baseline="0">
                <a:solidFill>
                  <a:sysClr val="windowText" lastClr="000000"/>
                </a:solidFill>
              </a:rPr>
              <a:t>Tension in X direction. Sample type 3</a:t>
            </a:r>
            <a:endParaRPr lang="ru-RU" sz="1400" b="0" i="0" u="none" strike="noStrike" kern="1200" baseline="0">
              <a:solidFill>
                <a:sysClr val="windowText" lastClr="000000"/>
              </a:solidFill>
            </a:endParaRPr>
          </a:p>
        </c:rich>
      </c:tx>
      <c:layout>
        <c:manualLayout>
          <c:xMode val="edge"/>
          <c:yMode val="edge"/>
          <c:x val="0.21075162037037035"/>
          <c:y val="2.6458333333333334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7074537037037038"/>
          <c:y val="0.13375801983085447"/>
          <c:w val="0.77866527777777783"/>
          <c:h val="0.66625000000000001"/>
        </c:manualLayout>
      </c:layout>
      <c:scatterChart>
        <c:scatterStyle val="lineMarker"/>
        <c:varyColors val="0"/>
        <c:ser>
          <c:idx val="1"/>
          <c:order val="0"/>
          <c:tx>
            <c:v>L30CPTX-1</c:v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2"/>
          </c:marker>
          <c:trendline>
            <c:trendlineType val="linear"/>
            <c:dispRSqr val="0"/>
            <c:dispEq val="0"/>
          </c:trendline>
          <c:xVal>
            <c:numRef>
              <c:f>'L30CPTX-1'!$B$7:$B$417</c:f>
              <c:numCache>
                <c:formatCode>0.00E+00</c:formatCode>
                <c:ptCount val="411"/>
                <c:pt idx="0" formatCode="General">
                  <c:v>0</c:v>
                </c:pt>
                <c:pt idx="1">
                  <c:v>-9.6237400000000001E-6</c:v>
                </c:pt>
                <c:pt idx="2">
                  <c:v>2.8467400000000001E-5</c:v>
                </c:pt>
                <c:pt idx="3">
                  <c:v>4.85617E-5</c:v>
                </c:pt>
                <c:pt idx="4" formatCode="General">
                  <c:v>1.3281E-4</c:v>
                </c:pt>
                <c:pt idx="5">
                  <c:v>7.2601600000000006E-5</c:v>
                </c:pt>
                <c:pt idx="6">
                  <c:v>8.0993499999999996E-5</c:v>
                </c:pt>
                <c:pt idx="7">
                  <c:v>7.1365799999999994E-5</c:v>
                </c:pt>
                <c:pt idx="8">
                  <c:v>8.8585199999999993E-5</c:v>
                </c:pt>
                <c:pt idx="9" formatCode="General">
                  <c:v>1.07899E-4</c:v>
                </c:pt>
                <c:pt idx="10" formatCode="General">
                  <c:v>1.2531400000000001E-4</c:v>
                </c:pt>
                <c:pt idx="11" formatCode="General">
                  <c:v>1.6745799999999999E-4</c:v>
                </c:pt>
                <c:pt idx="12" formatCode="General">
                  <c:v>1.6999699999999999E-4</c:v>
                </c:pt>
                <c:pt idx="13" formatCode="General">
                  <c:v>2.2569199999999999E-4</c:v>
                </c:pt>
                <c:pt idx="14" formatCode="General">
                  <c:v>2.6232000000000002E-4</c:v>
                </c:pt>
                <c:pt idx="15" formatCode="General">
                  <c:v>2.4120500000000001E-4</c:v>
                </c:pt>
                <c:pt idx="16" formatCode="General">
                  <c:v>2.8669900000000001E-4</c:v>
                </c:pt>
                <c:pt idx="17" formatCode="General">
                  <c:v>3.04037E-4</c:v>
                </c:pt>
                <c:pt idx="18" formatCode="General">
                  <c:v>3.0203700000000001E-4</c:v>
                </c:pt>
                <c:pt idx="19" formatCode="General">
                  <c:v>3.3367599999999998E-4</c:v>
                </c:pt>
                <c:pt idx="20" formatCode="General">
                  <c:v>3.5913299999999998E-4</c:v>
                </c:pt>
                <c:pt idx="21" formatCode="General">
                  <c:v>3.2269999999999998E-4</c:v>
                </c:pt>
                <c:pt idx="22" formatCode="General">
                  <c:v>3.6304600000000001E-4</c:v>
                </c:pt>
                <c:pt idx="23" formatCode="General">
                  <c:v>3.62092E-4</c:v>
                </c:pt>
                <c:pt idx="24" formatCode="General">
                  <c:v>2.9358100000000001E-4</c:v>
                </c:pt>
                <c:pt idx="25" formatCode="General">
                  <c:v>4.7600600000000001E-4</c:v>
                </c:pt>
                <c:pt idx="26" formatCode="General">
                  <c:v>4.8424500000000001E-4</c:v>
                </c:pt>
                <c:pt idx="27" formatCode="General">
                  <c:v>4.9406299999999999E-4</c:v>
                </c:pt>
                <c:pt idx="28" formatCode="General">
                  <c:v>4.6192E-4</c:v>
                </c:pt>
                <c:pt idx="29" formatCode="General">
                  <c:v>4.6202299999999999E-4</c:v>
                </c:pt>
                <c:pt idx="30" formatCode="General">
                  <c:v>4.9509800000000002E-4</c:v>
                </c:pt>
                <c:pt idx="31" formatCode="General">
                  <c:v>4.80302E-4</c:v>
                </c:pt>
                <c:pt idx="32" formatCode="General">
                  <c:v>5.0887600000000001E-4</c:v>
                </c:pt>
                <c:pt idx="33" formatCode="General">
                  <c:v>4.92528E-4</c:v>
                </c:pt>
                <c:pt idx="34" formatCode="General">
                  <c:v>5.0475300000000004E-4</c:v>
                </c:pt>
                <c:pt idx="35" formatCode="General">
                  <c:v>5.57669E-4</c:v>
                </c:pt>
                <c:pt idx="36" formatCode="General">
                  <c:v>5.2065599999999998E-4</c:v>
                </c:pt>
                <c:pt idx="37" formatCode="General">
                  <c:v>5.6266200000000001E-4</c:v>
                </c:pt>
                <c:pt idx="38" formatCode="General">
                  <c:v>6.1326900000000005E-4</c:v>
                </c:pt>
                <c:pt idx="39" formatCode="General">
                  <c:v>5.8314900000000004E-4</c:v>
                </c:pt>
                <c:pt idx="40" formatCode="General">
                  <c:v>6.0293599999999999E-4</c:v>
                </c:pt>
                <c:pt idx="41" formatCode="General">
                  <c:v>5.9453999999999996E-4</c:v>
                </c:pt>
                <c:pt idx="42" formatCode="General">
                  <c:v>6.3854199999999997E-4</c:v>
                </c:pt>
                <c:pt idx="43" formatCode="General">
                  <c:v>7.2149300000000003E-4</c:v>
                </c:pt>
                <c:pt idx="44" formatCode="General">
                  <c:v>7.1943699999999996E-4</c:v>
                </c:pt>
                <c:pt idx="45" formatCode="General">
                  <c:v>6.1595200000000001E-4</c:v>
                </c:pt>
                <c:pt idx="46" formatCode="General">
                  <c:v>6.4712199999999998E-4</c:v>
                </c:pt>
                <c:pt idx="47" formatCode="General">
                  <c:v>7.1452500000000003E-4</c:v>
                </c:pt>
                <c:pt idx="48" formatCode="General">
                  <c:v>7.0247300000000001E-4</c:v>
                </c:pt>
                <c:pt idx="49" formatCode="General">
                  <c:v>7.0178799999999996E-4</c:v>
                </c:pt>
                <c:pt idx="50" formatCode="General">
                  <c:v>7.2503499999999996E-4</c:v>
                </c:pt>
                <c:pt idx="51" formatCode="General">
                  <c:v>7.4122399999999996E-4</c:v>
                </c:pt>
                <c:pt idx="52" formatCode="General">
                  <c:v>7.4732900000000003E-4</c:v>
                </c:pt>
                <c:pt idx="53" formatCode="General">
                  <c:v>8.3342699999999997E-4</c:v>
                </c:pt>
                <c:pt idx="54" formatCode="General">
                  <c:v>7.7998499999999997E-4</c:v>
                </c:pt>
                <c:pt idx="55" formatCode="General">
                  <c:v>7.5309699999999999E-4</c:v>
                </c:pt>
                <c:pt idx="56" formatCode="General">
                  <c:v>7.9553399999999998E-4</c:v>
                </c:pt>
                <c:pt idx="57" formatCode="General">
                  <c:v>8.3064100000000002E-4</c:v>
                </c:pt>
                <c:pt idx="58" formatCode="General">
                  <c:v>7.8165000000000005E-4</c:v>
                </c:pt>
                <c:pt idx="59" formatCode="General">
                  <c:v>8.3753400000000002E-4</c:v>
                </c:pt>
                <c:pt idx="60" formatCode="General">
                  <c:v>9.04863E-4</c:v>
                </c:pt>
                <c:pt idx="61" formatCode="General">
                  <c:v>8.5576100000000002E-4</c:v>
                </c:pt>
                <c:pt idx="62" formatCode="General">
                  <c:v>9.0072399999999999E-4</c:v>
                </c:pt>
                <c:pt idx="63" formatCode="General">
                  <c:v>8.8862999999999995E-4</c:v>
                </c:pt>
                <c:pt idx="64" formatCode="General">
                  <c:v>8.9771999999999996E-4</c:v>
                </c:pt>
                <c:pt idx="65" formatCode="General">
                  <c:v>9.1442699999999999E-4</c:v>
                </c:pt>
                <c:pt idx="66" formatCode="General">
                  <c:v>9.5847499999999997E-4</c:v>
                </c:pt>
                <c:pt idx="67" formatCode="General">
                  <c:v>9.6073399999999998E-4</c:v>
                </c:pt>
                <c:pt idx="68" formatCode="General">
                  <c:v>9.4201400000000002E-4</c:v>
                </c:pt>
                <c:pt idx="69" formatCode="General">
                  <c:v>9.3498799999999999E-4</c:v>
                </c:pt>
                <c:pt idx="70" formatCode="General">
                  <c:v>9.9892699999999993E-4</c:v>
                </c:pt>
                <c:pt idx="71" formatCode="General">
                  <c:v>9.8148599999999995E-4</c:v>
                </c:pt>
                <c:pt idx="72" formatCode="General">
                  <c:v>1.0097999999999999E-3</c:v>
                </c:pt>
                <c:pt idx="73" formatCode="General">
                  <c:v>1.0605300000000001E-3</c:v>
                </c:pt>
                <c:pt idx="74" formatCode="General">
                  <c:v>1.0210200000000001E-3</c:v>
                </c:pt>
                <c:pt idx="75" formatCode="General">
                  <c:v>1.0422599999999999E-3</c:v>
                </c:pt>
                <c:pt idx="76" formatCode="General">
                  <c:v>1.04126E-3</c:v>
                </c:pt>
                <c:pt idx="77" formatCode="General">
                  <c:v>1.09249E-3</c:v>
                </c:pt>
                <c:pt idx="78" formatCode="General">
                  <c:v>1.0475899999999999E-3</c:v>
                </c:pt>
                <c:pt idx="79" formatCode="General">
                  <c:v>1.1021900000000001E-3</c:v>
                </c:pt>
                <c:pt idx="80" formatCode="General">
                  <c:v>1.1206899999999999E-3</c:v>
                </c:pt>
                <c:pt idx="81" formatCode="General">
                  <c:v>1.13805E-3</c:v>
                </c:pt>
                <c:pt idx="82" formatCode="General">
                  <c:v>1.08946E-3</c:v>
                </c:pt>
                <c:pt idx="83" formatCode="General">
                  <c:v>1.1366900000000001E-3</c:v>
                </c:pt>
                <c:pt idx="84" formatCode="General">
                  <c:v>1.16238E-3</c:v>
                </c:pt>
                <c:pt idx="85" formatCode="General">
                  <c:v>1.1405499999999999E-3</c:v>
                </c:pt>
                <c:pt idx="86" formatCode="General">
                  <c:v>1.21363E-3</c:v>
                </c:pt>
                <c:pt idx="87" formatCode="General">
                  <c:v>1.2074E-3</c:v>
                </c:pt>
                <c:pt idx="88" formatCode="General">
                  <c:v>1.20134E-3</c:v>
                </c:pt>
                <c:pt idx="89" formatCode="General">
                  <c:v>1.1898099999999999E-3</c:v>
                </c:pt>
                <c:pt idx="90" formatCode="General">
                  <c:v>1.20988E-3</c:v>
                </c:pt>
                <c:pt idx="91" formatCode="General">
                  <c:v>1.2444000000000001E-3</c:v>
                </c:pt>
                <c:pt idx="92" formatCode="General">
                  <c:v>1.25143E-3</c:v>
                </c:pt>
                <c:pt idx="93" formatCode="General">
                  <c:v>1.23178E-3</c:v>
                </c:pt>
                <c:pt idx="94" formatCode="General">
                  <c:v>1.2555699999999999E-3</c:v>
                </c:pt>
                <c:pt idx="95" formatCode="General">
                  <c:v>1.3069100000000001E-3</c:v>
                </c:pt>
                <c:pt idx="96" formatCode="General">
                  <c:v>1.3119099999999999E-3</c:v>
                </c:pt>
                <c:pt idx="97" formatCode="General">
                  <c:v>1.29298E-3</c:v>
                </c:pt>
                <c:pt idx="98" formatCode="General">
                  <c:v>1.30294E-3</c:v>
                </c:pt>
                <c:pt idx="99" formatCode="General">
                  <c:v>1.33183E-3</c:v>
                </c:pt>
                <c:pt idx="100" formatCode="General">
                  <c:v>1.3300899999999999E-3</c:v>
                </c:pt>
                <c:pt idx="101" formatCode="General">
                  <c:v>1.3077500000000001E-3</c:v>
                </c:pt>
                <c:pt idx="102" formatCode="General">
                  <c:v>1.3924199999999999E-3</c:v>
                </c:pt>
                <c:pt idx="103" formatCode="General">
                  <c:v>1.36725E-3</c:v>
                </c:pt>
                <c:pt idx="104" formatCode="General">
                  <c:v>1.4584999999999999E-3</c:v>
                </c:pt>
                <c:pt idx="105" formatCode="General">
                  <c:v>1.43585E-3</c:v>
                </c:pt>
                <c:pt idx="106" formatCode="General">
                  <c:v>1.40683E-3</c:v>
                </c:pt>
                <c:pt idx="107" formatCode="General">
                  <c:v>1.4278800000000001E-3</c:v>
                </c:pt>
                <c:pt idx="108" formatCode="General">
                  <c:v>1.43794E-3</c:v>
                </c:pt>
                <c:pt idx="109" formatCode="General">
                  <c:v>1.4544600000000001E-3</c:v>
                </c:pt>
                <c:pt idx="110" formatCode="General">
                  <c:v>1.4450699999999999E-3</c:v>
                </c:pt>
                <c:pt idx="111" formatCode="General">
                  <c:v>1.41822E-3</c:v>
                </c:pt>
                <c:pt idx="112" formatCode="General">
                  <c:v>1.53122E-3</c:v>
                </c:pt>
                <c:pt idx="113" formatCode="General">
                  <c:v>1.4820899999999999E-3</c:v>
                </c:pt>
                <c:pt idx="114" formatCode="General">
                  <c:v>1.53651E-3</c:v>
                </c:pt>
                <c:pt idx="115" formatCode="General">
                  <c:v>1.5200700000000001E-3</c:v>
                </c:pt>
                <c:pt idx="116" formatCode="General">
                  <c:v>1.6081100000000001E-3</c:v>
                </c:pt>
                <c:pt idx="117" formatCode="General">
                  <c:v>1.52867E-3</c:v>
                </c:pt>
                <c:pt idx="118" formatCode="General">
                  <c:v>1.52305E-3</c:v>
                </c:pt>
                <c:pt idx="119" formatCode="General">
                  <c:v>1.5728599999999999E-3</c:v>
                </c:pt>
                <c:pt idx="120" formatCode="General">
                  <c:v>1.5520200000000001E-3</c:v>
                </c:pt>
                <c:pt idx="121" formatCode="General">
                  <c:v>1.5620600000000001E-3</c:v>
                </c:pt>
                <c:pt idx="122" formatCode="General">
                  <c:v>1.5784499999999999E-3</c:v>
                </c:pt>
                <c:pt idx="123" formatCode="General">
                  <c:v>1.62174E-3</c:v>
                </c:pt>
                <c:pt idx="124" formatCode="General">
                  <c:v>1.6366200000000001E-3</c:v>
                </c:pt>
                <c:pt idx="125" formatCode="General">
                  <c:v>1.6523E-3</c:v>
                </c:pt>
                <c:pt idx="126" formatCode="General">
                  <c:v>1.6885400000000001E-3</c:v>
                </c:pt>
                <c:pt idx="127" formatCode="General">
                  <c:v>1.72697E-3</c:v>
                </c:pt>
                <c:pt idx="128" formatCode="General">
                  <c:v>1.6619200000000001E-3</c:v>
                </c:pt>
                <c:pt idx="129" formatCode="General">
                  <c:v>1.6691500000000001E-3</c:v>
                </c:pt>
                <c:pt idx="130" formatCode="General">
                  <c:v>1.75414E-3</c:v>
                </c:pt>
                <c:pt idx="131" formatCode="General">
                  <c:v>1.7277099999999999E-3</c:v>
                </c:pt>
                <c:pt idx="132" formatCode="General">
                  <c:v>1.74412E-3</c:v>
                </c:pt>
                <c:pt idx="133" formatCode="General">
                  <c:v>1.7499600000000001E-3</c:v>
                </c:pt>
                <c:pt idx="134" formatCode="General">
                  <c:v>1.74942E-3</c:v>
                </c:pt>
                <c:pt idx="135" formatCode="General">
                  <c:v>1.81968E-3</c:v>
                </c:pt>
                <c:pt idx="136" formatCode="General">
                  <c:v>1.7634199999999999E-3</c:v>
                </c:pt>
                <c:pt idx="137" formatCode="General">
                  <c:v>1.8335000000000001E-3</c:v>
                </c:pt>
                <c:pt idx="138" formatCode="General">
                  <c:v>1.84344E-3</c:v>
                </c:pt>
                <c:pt idx="139" formatCode="General">
                  <c:v>1.8381700000000001E-3</c:v>
                </c:pt>
                <c:pt idx="140" formatCode="General">
                  <c:v>1.8045100000000001E-3</c:v>
                </c:pt>
                <c:pt idx="141" formatCode="General">
                  <c:v>1.8770900000000001E-3</c:v>
                </c:pt>
                <c:pt idx="142" formatCode="General">
                  <c:v>1.89003E-3</c:v>
                </c:pt>
                <c:pt idx="143" formatCode="General">
                  <c:v>1.83073E-3</c:v>
                </c:pt>
                <c:pt idx="144" formatCode="General">
                  <c:v>1.9843199999999999E-3</c:v>
                </c:pt>
                <c:pt idx="145" formatCode="General">
                  <c:v>1.9057900000000001E-3</c:v>
                </c:pt>
                <c:pt idx="146" formatCode="General">
                  <c:v>1.92946E-3</c:v>
                </c:pt>
                <c:pt idx="147" formatCode="General">
                  <c:v>1.95392E-3</c:v>
                </c:pt>
                <c:pt idx="148" formatCode="General">
                  <c:v>2.00285E-3</c:v>
                </c:pt>
                <c:pt idx="149" formatCode="General">
                  <c:v>2.0514800000000001E-3</c:v>
                </c:pt>
                <c:pt idx="150" formatCode="General">
                  <c:v>1.99315E-3</c:v>
                </c:pt>
                <c:pt idx="151" formatCode="General">
                  <c:v>1.9773400000000002E-3</c:v>
                </c:pt>
                <c:pt idx="152" formatCode="General">
                  <c:v>2.0371399999999998E-3</c:v>
                </c:pt>
                <c:pt idx="153" formatCode="General">
                  <c:v>1.99533E-3</c:v>
                </c:pt>
                <c:pt idx="154" formatCode="General">
                  <c:v>2.0384999999999999E-3</c:v>
                </c:pt>
                <c:pt idx="155" formatCode="General">
                  <c:v>2.0640799999999998E-3</c:v>
                </c:pt>
                <c:pt idx="156" formatCode="General">
                  <c:v>2.1091299999999999E-3</c:v>
                </c:pt>
                <c:pt idx="157" formatCode="General">
                  <c:v>2.1093499999999999E-3</c:v>
                </c:pt>
                <c:pt idx="158" formatCode="General">
                  <c:v>2.1334800000000001E-3</c:v>
                </c:pt>
                <c:pt idx="159" formatCode="General">
                  <c:v>2.1292099999999999E-3</c:v>
                </c:pt>
                <c:pt idx="160" formatCode="General">
                  <c:v>2.1557299999999998E-3</c:v>
                </c:pt>
                <c:pt idx="161" formatCode="General">
                  <c:v>2.19688E-3</c:v>
                </c:pt>
                <c:pt idx="162" formatCode="General">
                  <c:v>2.1843499999999998E-3</c:v>
                </c:pt>
                <c:pt idx="163" formatCode="General">
                  <c:v>2.1895E-3</c:v>
                </c:pt>
                <c:pt idx="164" formatCode="General">
                  <c:v>2.1531699999999998E-3</c:v>
                </c:pt>
                <c:pt idx="165" formatCode="General">
                  <c:v>2.1664800000000001E-3</c:v>
                </c:pt>
                <c:pt idx="166" formatCode="General">
                  <c:v>2.19959E-3</c:v>
                </c:pt>
                <c:pt idx="167" formatCode="General">
                  <c:v>2.22134E-3</c:v>
                </c:pt>
                <c:pt idx="168" formatCode="General">
                  <c:v>2.2410899999999998E-3</c:v>
                </c:pt>
                <c:pt idx="169" formatCode="General">
                  <c:v>2.27158E-3</c:v>
                </c:pt>
                <c:pt idx="170" formatCode="General">
                  <c:v>2.2531299999999999E-3</c:v>
                </c:pt>
                <c:pt idx="171" formatCode="General">
                  <c:v>2.3222300000000002E-3</c:v>
                </c:pt>
                <c:pt idx="172" formatCode="General">
                  <c:v>2.3449E-3</c:v>
                </c:pt>
                <c:pt idx="173" formatCode="General">
                  <c:v>2.2830799999999998E-3</c:v>
                </c:pt>
                <c:pt idx="174" formatCode="General">
                  <c:v>2.3414099999999999E-3</c:v>
                </c:pt>
                <c:pt idx="175" formatCode="General">
                  <c:v>2.3640800000000002E-3</c:v>
                </c:pt>
                <c:pt idx="176" formatCode="General">
                  <c:v>2.36841E-3</c:v>
                </c:pt>
                <c:pt idx="177" formatCode="General">
                  <c:v>2.3957200000000001E-3</c:v>
                </c:pt>
                <c:pt idx="178" formatCode="General">
                  <c:v>2.4069199999999999E-3</c:v>
                </c:pt>
                <c:pt idx="179" formatCode="General">
                  <c:v>2.5117999999999998E-3</c:v>
                </c:pt>
                <c:pt idx="180" formatCode="General">
                  <c:v>2.3272100000000001E-3</c:v>
                </c:pt>
                <c:pt idx="181" formatCode="General">
                  <c:v>2.4439900000000001E-3</c:v>
                </c:pt>
                <c:pt idx="182" formatCode="General">
                  <c:v>2.43428E-3</c:v>
                </c:pt>
                <c:pt idx="183" formatCode="General">
                  <c:v>2.4714799999999999E-3</c:v>
                </c:pt>
                <c:pt idx="184" formatCode="General">
                  <c:v>2.48628E-3</c:v>
                </c:pt>
                <c:pt idx="185" formatCode="General">
                  <c:v>2.5304300000000002E-3</c:v>
                </c:pt>
                <c:pt idx="186" formatCode="General">
                  <c:v>2.55091E-3</c:v>
                </c:pt>
                <c:pt idx="187" formatCode="General">
                  <c:v>2.53996E-3</c:v>
                </c:pt>
                <c:pt idx="188" formatCode="General">
                  <c:v>2.56288E-3</c:v>
                </c:pt>
                <c:pt idx="189" formatCode="General">
                  <c:v>2.5533600000000002E-3</c:v>
                </c:pt>
                <c:pt idx="190" formatCode="General">
                  <c:v>2.5601899999999999E-3</c:v>
                </c:pt>
                <c:pt idx="191" formatCode="General">
                  <c:v>2.5394100000000002E-3</c:v>
                </c:pt>
                <c:pt idx="192" formatCode="General">
                  <c:v>2.5865300000000001E-3</c:v>
                </c:pt>
                <c:pt idx="193" formatCode="General">
                  <c:v>2.6028499999999999E-3</c:v>
                </c:pt>
                <c:pt idx="194" formatCode="General">
                  <c:v>2.6136800000000002E-3</c:v>
                </c:pt>
                <c:pt idx="195" formatCode="General">
                  <c:v>2.5925499999999999E-3</c:v>
                </c:pt>
                <c:pt idx="196" formatCode="General">
                  <c:v>2.6552099999999999E-3</c:v>
                </c:pt>
                <c:pt idx="197" formatCode="General">
                  <c:v>2.6301900000000001E-3</c:v>
                </c:pt>
                <c:pt idx="198" formatCode="General">
                  <c:v>2.7014500000000002E-3</c:v>
                </c:pt>
                <c:pt idx="199" formatCode="General">
                  <c:v>2.6400299999999998E-3</c:v>
                </c:pt>
                <c:pt idx="200" formatCode="General">
                  <c:v>2.6669300000000001E-3</c:v>
                </c:pt>
                <c:pt idx="201" formatCode="General">
                  <c:v>2.6755899999999998E-3</c:v>
                </c:pt>
                <c:pt idx="202" formatCode="General">
                  <c:v>2.7177799999999999E-3</c:v>
                </c:pt>
                <c:pt idx="203" formatCode="General">
                  <c:v>2.7246100000000001E-3</c:v>
                </c:pt>
                <c:pt idx="204" formatCode="General">
                  <c:v>2.7347999999999999E-3</c:v>
                </c:pt>
                <c:pt idx="205" formatCode="General">
                  <c:v>2.7812700000000002E-3</c:v>
                </c:pt>
                <c:pt idx="206" formatCode="General">
                  <c:v>2.7709700000000002E-3</c:v>
                </c:pt>
                <c:pt idx="207" formatCode="General">
                  <c:v>2.7992099999999999E-3</c:v>
                </c:pt>
                <c:pt idx="208" formatCode="General">
                  <c:v>2.74566E-3</c:v>
                </c:pt>
                <c:pt idx="209" formatCode="General">
                  <c:v>2.8195500000000001E-3</c:v>
                </c:pt>
                <c:pt idx="210" formatCode="General">
                  <c:v>2.83498E-3</c:v>
                </c:pt>
                <c:pt idx="211" formatCode="General">
                  <c:v>2.8823899999999999E-3</c:v>
                </c:pt>
                <c:pt idx="212" formatCode="General">
                  <c:v>2.8818699999999999E-3</c:v>
                </c:pt>
                <c:pt idx="213" formatCode="General">
                  <c:v>2.9006399999999999E-3</c:v>
                </c:pt>
                <c:pt idx="214" formatCode="General">
                  <c:v>2.8820199999999999E-3</c:v>
                </c:pt>
                <c:pt idx="215" formatCode="General">
                  <c:v>2.9030100000000001E-3</c:v>
                </c:pt>
                <c:pt idx="216" formatCode="General">
                  <c:v>2.9048899999999998E-3</c:v>
                </c:pt>
                <c:pt idx="217" formatCode="General">
                  <c:v>2.8873599999999998E-3</c:v>
                </c:pt>
                <c:pt idx="218" formatCode="General">
                  <c:v>2.9688200000000001E-3</c:v>
                </c:pt>
                <c:pt idx="219" formatCode="General">
                  <c:v>2.94896E-3</c:v>
                </c:pt>
                <c:pt idx="220" formatCode="General">
                  <c:v>3.0084700000000001E-3</c:v>
                </c:pt>
                <c:pt idx="221" formatCode="General">
                  <c:v>2.9885799999999998E-3</c:v>
                </c:pt>
                <c:pt idx="222" formatCode="General">
                  <c:v>2.97109E-3</c:v>
                </c:pt>
                <c:pt idx="223" formatCode="General">
                  <c:v>2.9739900000000001E-3</c:v>
                </c:pt>
                <c:pt idx="224" formatCode="General">
                  <c:v>2.9833300000000002E-3</c:v>
                </c:pt>
                <c:pt idx="225" formatCode="General">
                  <c:v>3.02959E-3</c:v>
                </c:pt>
                <c:pt idx="226" formatCode="General">
                  <c:v>3.0313699999999998E-3</c:v>
                </c:pt>
                <c:pt idx="227" formatCode="General">
                  <c:v>3.0627699999999998E-3</c:v>
                </c:pt>
                <c:pt idx="228" formatCode="General">
                  <c:v>3.1225200000000002E-3</c:v>
                </c:pt>
                <c:pt idx="229" formatCode="General">
                  <c:v>3.0575200000000002E-3</c:v>
                </c:pt>
                <c:pt idx="230" formatCode="General">
                  <c:v>3.0617299999999999E-3</c:v>
                </c:pt>
                <c:pt idx="231" formatCode="General">
                  <c:v>3.0907600000000001E-3</c:v>
                </c:pt>
                <c:pt idx="232" formatCode="General">
                  <c:v>3.13416E-3</c:v>
                </c:pt>
                <c:pt idx="233" formatCode="General">
                  <c:v>3.0949300000000001E-3</c:v>
                </c:pt>
                <c:pt idx="234" formatCode="General">
                  <c:v>3.18607E-3</c:v>
                </c:pt>
                <c:pt idx="235" formatCode="General">
                  <c:v>3.1521800000000001E-3</c:v>
                </c:pt>
                <c:pt idx="236" formatCode="General">
                  <c:v>3.2437500000000001E-3</c:v>
                </c:pt>
                <c:pt idx="237" formatCode="General">
                  <c:v>3.1568899999999999E-3</c:v>
                </c:pt>
                <c:pt idx="238" formatCode="General">
                  <c:v>3.1321700000000001E-3</c:v>
                </c:pt>
                <c:pt idx="239" formatCode="General">
                  <c:v>3.3207599999999999E-3</c:v>
                </c:pt>
                <c:pt idx="240" formatCode="General">
                  <c:v>3.2896399999999999E-3</c:v>
                </c:pt>
                <c:pt idx="241" formatCode="General">
                  <c:v>3.2268700000000002E-3</c:v>
                </c:pt>
                <c:pt idx="242" formatCode="General">
                  <c:v>3.27823E-3</c:v>
                </c:pt>
                <c:pt idx="243" formatCode="General">
                  <c:v>3.2545600000000001E-3</c:v>
                </c:pt>
                <c:pt idx="244" formatCode="General">
                  <c:v>3.2471000000000002E-3</c:v>
                </c:pt>
                <c:pt idx="245" formatCode="General">
                  <c:v>3.3409099999999999E-3</c:v>
                </c:pt>
                <c:pt idx="246" formatCode="General">
                  <c:v>3.3467000000000002E-3</c:v>
                </c:pt>
                <c:pt idx="247" formatCode="General">
                  <c:v>3.3284600000000001E-3</c:v>
                </c:pt>
                <c:pt idx="248" formatCode="General">
                  <c:v>3.34221E-3</c:v>
                </c:pt>
                <c:pt idx="249" formatCode="General">
                  <c:v>3.3172599999999998E-3</c:v>
                </c:pt>
                <c:pt idx="250" formatCode="General">
                  <c:v>3.3352500000000001E-3</c:v>
                </c:pt>
                <c:pt idx="251" formatCode="General">
                  <c:v>3.4100900000000002E-3</c:v>
                </c:pt>
                <c:pt idx="252" formatCode="General">
                  <c:v>3.4442600000000002E-3</c:v>
                </c:pt>
                <c:pt idx="253" formatCode="General">
                  <c:v>3.3835499999999999E-3</c:v>
                </c:pt>
                <c:pt idx="254" formatCode="General">
                  <c:v>3.4268699999999998E-3</c:v>
                </c:pt>
                <c:pt idx="255" formatCode="General">
                  <c:v>3.4375400000000002E-3</c:v>
                </c:pt>
                <c:pt idx="256" formatCode="General">
                  <c:v>3.4807000000000002E-3</c:v>
                </c:pt>
                <c:pt idx="257" formatCode="General">
                  <c:v>3.4302099999999999E-3</c:v>
                </c:pt>
                <c:pt idx="258" formatCode="General">
                  <c:v>3.4537600000000002E-3</c:v>
                </c:pt>
                <c:pt idx="259" formatCode="General">
                  <c:v>3.50615E-3</c:v>
                </c:pt>
                <c:pt idx="260" formatCode="General">
                  <c:v>3.4914199999999999E-3</c:v>
                </c:pt>
                <c:pt idx="261" formatCode="General">
                  <c:v>3.5087400000000002E-3</c:v>
                </c:pt>
                <c:pt idx="262" formatCode="General">
                  <c:v>3.5606000000000001E-3</c:v>
                </c:pt>
                <c:pt idx="263" formatCode="General">
                  <c:v>3.5525299999999999E-3</c:v>
                </c:pt>
                <c:pt idx="264" formatCode="General">
                  <c:v>3.53659E-3</c:v>
                </c:pt>
                <c:pt idx="265" formatCode="General">
                  <c:v>3.5537899999999998E-3</c:v>
                </c:pt>
                <c:pt idx="266" formatCode="General">
                  <c:v>3.6052300000000001E-3</c:v>
                </c:pt>
                <c:pt idx="267" formatCode="General">
                  <c:v>3.5992099999999998E-3</c:v>
                </c:pt>
                <c:pt idx="268" formatCode="General">
                  <c:v>3.61444E-3</c:v>
                </c:pt>
                <c:pt idx="269" formatCode="General">
                  <c:v>3.6465500000000001E-3</c:v>
                </c:pt>
                <c:pt idx="270" formatCode="General">
                  <c:v>3.6487199999999998E-3</c:v>
                </c:pt>
                <c:pt idx="271" formatCode="General">
                  <c:v>3.6407200000000001E-3</c:v>
                </c:pt>
                <c:pt idx="272" formatCode="General">
                  <c:v>3.6826200000000002E-3</c:v>
                </c:pt>
                <c:pt idx="273" formatCode="General">
                  <c:v>3.6846600000000002E-3</c:v>
                </c:pt>
                <c:pt idx="274" formatCode="General">
                  <c:v>3.6934400000000001E-3</c:v>
                </c:pt>
                <c:pt idx="275" formatCode="General">
                  <c:v>3.7267799999999998E-3</c:v>
                </c:pt>
                <c:pt idx="276" formatCode="General">
                  <c:v>3.68893E-3</c:v>
                </c:pt>
                <c:pt idx="277" formatCode="General">
                  <c:v>3.75319E-3</c:v>
                </c:pt>
                <c:pt idx="278" formatCode="General">
                  <c:v>3.7119200000000001E-3</c:v>
                </c:pt>
                <c:pt idx="279" formatCode="General">
                  <c:v>3.8036099999999998E-3</c:v>
                </c:pt>
                <c:pt idx="280" formatCode="General">
                  <c:v>3.7385999999999999E-3</c:v>
                </c:pt>
                <c:pt idx="281" formatCode="General">
                  <c:v>3.7885599999999998E-3</c:v>
                </c:pt>
                <c:pt idx="282" formatCode="General">
                  <c:v>3.7863300000000001E-3</c:v>
                </c:pt>
                <c:pt idx="283" formatCode="General">
                  <c:v>3.8005600000000001E-3</c:v>
                </c:pt>
                <c:pt idx="284" formatCode="General">
                  <c:v>3.8685199999999999E-3</c:v>
                </c:pt>
                <c:pt idx="285" formatCode="General">
                  <c:v>3.82746E-3</c:v>
                </c:pt>
                <c:pt idx="286" formatCode="General">
                  <c:v>3.8463500000000001E-3</c:v>
                </c:pt>
                <c:pt idx="287" formatCode="General">
                  <c:v>3.8622299999999999E-3</c:v>
                </c:pt>
                <c:pt idx="288" formatCode="General">
                  <c:v>3.8535499999999999E-3</c:v>
                </c:pt>
                <c:pt idx="289" formatCode="General">
                  <c:v>3.9025700000000002E-3</c:v>
                </c:pt>
                <c:pt idx="290" formatCode="General">
                  <c:v>3.9437500000000002E-3</c:v>
                </c:pt>
                <c:pt idx="291" formatCode="General">
                  <c:v>3.8466799999999999E-3</c:v>
                </c:pt>
                <c:pt idx="292" formatCode="General">
                  <c:v>3.92071E-3</c:v>
                </c:pt>
                <c:pt idx="293" formatCode="General">
                  <c:v>3.9385599999999998E-3</c:v>
                </c:pt>
                <c:pt idx="294" formatCode="General">
                  <c:v>4.0127299999999999E-3</c:v>
                </c:pt>
                <c:pt idx="295" formatCode="General">
                  <c:v>3.9599500000000003E-3</c:v>
                </c:pt>
                <c:pt idx="296" formatCode="General">
                  <c:v>4.0390799999999996E-3</c:v>
                </c:pt>
                <c:pt idx="297" formatCode="General">
                  <c:v>4.0330899999999996E-3</c:v>
                </c:pt>
                <c:pt idx="298" formatCode="General">
                  <c:v>3.9901499999999996E-3</c:v>
                </c:pt>
                <c:pt idx="299" formatCode="General">
                  <c:v>4.0886999999999998E-3</c:v>
                </c:pt>
                <c:pt idx="300" formatCode="General">
                  <c:v>4.0226200000000002E-3</c:v>
                </c:pt>
                <c:pt idx="301" formatCode="General">
                  <c:v>4.0851500000000001E-3</c:v>
                </c:pt>
                <c:pt idx="302" formatCode="General">
                  <c:v>4.0321300000000001E-3</c:v>
                </c:pt>
                <c:pt idx="303" formatCode="General">
                  <c:v>4.0367199999999997E-3</c:v>
                </c:pt>
                <c:pt idx="304" formatCode="General">
                  <c:v>4.1013899999999999E-3</c:v>
                </c:pt>
                <c:pt idx="305" formatCode="General">
                  <c:v>4.1518299999999996E-3</c:v>
                </c:pt>
                <c:pt idx="306" formatCode="General">
                  <c:v>4.1144399999999996E-3</c:v>
                </c:pt>
                <c:pt idx="307" formatCode="General">
                  <c:v>4.1488000000000002E-3</c:v>
                </c:pt>
                <c:pt idx="308" formatCode="General">
                  <c:v>4.1476100000000004E-3</c:v>
                </c:pt>
                <c:pt idx="309" formatCode="General">
                  <c:v>4.1765099999999996E-3</c:v>
                </c:pt>
                <c:pt idx="310" formatCode="General">
                  <c:v>4.1687900000000003E-3</c:v>
                </c:pt>
                <c:pt idx="311" formatCode="General">
                  <c:v>4.1980000000000003E-3</c:v>
                </c:pt>
                <c:pt idx="312" formatCode="General">
                  <c:v>4.2448199999999998E-3</c:v>
                </c:pt>
                <c:pt idx="313" formatCode="General">
                  <c:v>4.2260900000000001E-3</c:v>
                </c:pt>
                <c:pt idx="314" formatCode="General">
                  <c:v>4.2291400000000002E-3</c:v>
                </c:pt>
                <c:pt idx="315" formatCode="General">
                  <c:v>4.2675999999999999E-3</c:v>
                </c:pt>
                <c:pt idx="316" formatCode="General">
                  <c:v>4.2802400000000003E-3</c:v>
                </c:pt>
                <c:pt idx="317" formatCode="General">
                  <c:v>4.3020000000000003E-3</c:v>
                </c:pt>
                <c:pt idx="318" formatCode="General">
                  <c:v>4.2926600000000002E-3</c:v>
                </c:pt>
                <c:pt idx="319" formatCode="General">
                  <c:v>4.2836799999999998E-3</c:v>
                </c:pt>
                <c:pt idx="320" formatCode="General">
                  <c:v>4.2678899999999999E-3</c:v>
                </c:pt>
                <c:pt idx="321" formatCode="General">
                  <c:v>4.2818600000000002E-3</c:v>
                </c:pt>
                <c:pt idx="322" formatCode="General">
                  <c:v>4.3231700000000003E-3</c:v>
                </c:pt>
                <c:pt idx="323" formatCode="General">
                  <c:v>4.3344999999999998E-3</c:v>
                </c:pt>
                <c:pt idx="324" formatCode="General">
                  <c:v>4.3814600000000002E-3</c:v>
                </c:pt>
                <c:pt idx="325" formatCode="General">
                  <c:v>4.37916E-3</c:v>
                </c:pt>
                <c:pt idx="326" formatCode="General">
                  <c:v>4.4809400000000001E-3</c:v>
                </c:pt>
                <c:pt idx="327" formatCode="General">
                  <c:v>4.4301499999999999E-3</c:v>
                </c:pt>
                <c:pt idx="328" formatCode="General">
                  <c:v>4.4081499999999996E-3</c:v>
                </c:pt>
                <c:pt idx="329" formatCode="General">
                  <c:v>4.4459399999999998E-3</c:v>
                </c:pt>
                <c:pt idx="330" formatCode="General">
                  <c:v>4.4529399999999998E-3</c:v>
                </c:pt>
                <c:pt idx="331" formatCode="General">
                  <c:v>4.45978E-3</c:v>
                </c:pt>
                <c:pt idx="332" formatCode="General">
                  <c:v>4.5069899999999998E-3</c:v>
                </c:pt>
                <c:pt idx="333" formatCode="General">
                  <c:v>4.4684900000000003E-3</c:v>
                </c:pt>
                <c:pt idx="334" formatCode="General">
                  <c:v>4.5616600000000004E-3</c:v>
                </c:pt>
                <c:pt idx="335" formatCode="General">
                  <c:v>4.5773000000000003E-3</c:v>
                </c:pt>
                <c:pt idx="336" formatCode="General">
                  <c:v>4.5551000000000003E-3</c:v>
                </c:pt>
                <c:pt idx="337" formatCode="General">
                  <c:v>4.5884400000000001E-3</c:v>
                </c:pt>
                <c:pt idx="338" formatCode="General">
                  <c:v>4.5797499999999996E-3</c:v>
                </c:pt>
                <c:pt idx="339" formatCode="General">
                  <c:v>4.5745899999999999E-3</c:v>
                </c:pt>
                <c:pt idx="340" formatCode="General">
                  <c:v>4.6470799999999996E-3</c:v>
                </c:pt>
                <c:pt idx="341" formatCode="General">
                  <c:v>4.6283799999999996E-3</c:v>
                </c:pt>
                <c:pt idx="342" formatCode="General">
                  <c:v>4.66951E-3</c:v>
                </c:pt>
                <c:pt idx="343" formatCode="General">
                  <c:v>4.6495E-3</c:v>
                </c:pt>
                <c:pt idx="344" formatCode="General">
                  <c:v>4.64511E-3</c:v>
                </c:pt>
                <c:pt idx="345" formatCode="General">
                  <c:v>4.6938600000000002E-3</c:v>
                </c:pt>
                <c:pt idx="346" formatCode="General">
                  <c:v>4.6669600000000004E-3</c:v>
                </c:pt>
                <c:pt idx="347" formatCode="General">
                  <c:v>4.6598500000000001E-3</c:v>
                </c:pt>
                <c:pt idx="348" formatCode="General">
                  <c:v>4.7081299999999996E-3</c:v>
                </c:pt>
                <c:pt idx="349" formatCode="General">
                  <c:v>4.7287500000000003E-3</c:v>
                </c:pt>
                <c:pt idx="350" formatCode="General">
                  <c:v>4.6553699999999998E-3</c:v>
                </c:pt>
                <c:pt idx="351" formatCode="General">
                  <c:v>4.7838100000000003E-3</c:v>
                </c:pt>
                <c:pt idx="352" formatCode="General">
                  <c:v>4.6632899999999996E-3</c:v>
                </c:pt>
                <c:pt idx="353" formatCode="General">
                  <c:v>4.6983299999999997E-3</c:v>
                </c:pt>
                <c:pt idx="354" formatCode="General">
                  <c:v>4.7272800000000004E-3</c:v>
                </c:pt>
                <c:pt idx="355" formatCode="General">
                  <c:v>4.7264000000000004E-3</c:v>
                </c:pt>
                <c:pt idx="356" formatCode="General">
                  <c:v>4.79E-3</c:v>
                </c:pt>
                <c:pt idx="357" formatCode="General">
                  <c:v>4.7893500000000004E-3</c:v>
                </c:pt>
                <c:pt idx="358" formatCode="General">
                  <c:v>4.77743E-3</c:v>
                </c:pt>
                <c:pt idx="359" formatCode="General">
                  <c:v>4.7646900000000002E-3</c:v>
                </c:pt>
                <c:pt idx="360" formatCode="General">
                  <c:v>4.8353500000000004E-3</c:v>
                </c:pt>
                <c:pt idx="361" formatCode="General">
                  <c:v>4.8319799999999996E-3</c:v>
                </c:pt>
                <c:pt idx="362" formatCode="General">
                  <c:v>4.8387899999999999E-3</c:v>
                </c:pt>
                <c:pt idx="363" formatCode="General">
                  <c:v>4.8640699999999999E-3</c:v>
                </c:pt>
                <c:pt idx="364" formatCode="General">
                  <c:v>4.89633E-3</c:v>
                </c:pt>
                <c:pt idx="365" formatCode="General">
                  <c:v>4.9126400000000002E-3</c:v>
                </c:pt>
                <c:pt idx="366" formatCode="General">
                  <c:v>4.8788299999999998E-3</c:v>
                </c:pt>
                <c:pt idx="367" formatCode="General">
                  <c:v>4.8888899999999999E-3</c:v>
                </c:pt>
                <c:pt idx="368" formatCode="General">
                  <c:v>4.9931799999999998E-3</c:v>
                </c:pt>
                <c:pt idx="369" formatCode="General">
                  <c:v>4.92392E-3</c:v>
                </c:pt>
                <c:pt idx="370" formatCode="General">
                  <c:v>4.9426000000000001E-3</c:v>
                </c:pt>
                <c:pt idx="371" formatCode="General">
                  <c:v>4.9676199999999998E-3</c:v>
                </c:pt>
                <c:pt idx="372" formatCode="General">
                  <c:v>5.0166799999999999E-3</c:v>
                </c:pt>
                <c:pt idx="373" formatCode="General">
                  <c:v>5.0082800000000004E-3</c:v>
                </c:pt>
                <c:pt idx="374" formatCode="General">
                  <c:v>5.0125200000000003E-3</c:v>
                </c:pt>
                <c:pt idx="375" formatCode="General">
                  <c:v>5.0288800000000003E-3</c:v>
                </c:pt>
                <c:pt idx="376" formatCode="General">
                  <c:v>5.06077E-3</c:v>
                </c:pt>
                <c:pt idx="377" formatCode="General">
                  <c:v>5.0884900000000002E-3</c:v>
                </c:pt>
                <c:pt idx="378" formatCode="General">
                  <c:v>5.0912500000000003E-3</c:v>
                </c:pt>
                <c:pt idx="379" formatCode="General">
                  <c:v>5.1544399999999997E-3</c:v>
                </c:pt>
                <c:pt idx="380" formatCode="General">
                  <c:v>5.13905E-3</c:v>
                </c:pt>
                <c:pt idx="381" formatCode="General">
                  <c:v>5.1272599999999998E-3</c:v>
                </c:pt>
                <c:pt idx="382" formatCode="General">
                  <c:v>5.1251400000000003E-3</c:v>
                </c:pt>
                <c:pt idx="383" formatCode="General">
                  <c:v>5.1562500000000002E-3</c:v>
                </c:pt>
                <c:pt idx="384" formatCode="General">
                  <c:v>5.1330200000000003E-3</c:v>
                </c:pt>
                <c:pt idx="385" formatCode="General">
                  <c:v>5.2453500000000002E-3</c:v>
                </c:pt>
                <c:pt idx="386" formatCode="General">
                  <c:v>5.2167300000000002E-3</c:v>
                </c:pt>
                <c:pt idx="387" formatCode="General">
                  <c:v>5.1581999999999999E-3</c:v>
                </c:pt>
                <c:pt idx="388" formatCode="General">
                  <c:v>5.2519200000000002E-3</c:v>
                </c:pt>
                <c:pt idx="389" formatCode="General">
                  <c:v>5.2448E-3</c:v>
                </c:pt>
                <c:pt idx="390" formatCode="General">
                  <c:v>5.2759399999999998E-3</c:v>
                </c:pt>
                <c:pt idx="391" formatCode="General">
                  <c:v>5.2517900000000001E-3</c:v>
                </c:pt>
                <c:pt idx="392" formatCode="General">
                  <c:v>5.2682800000000002E-3</c:v>
                </c:pt>
                <c:pt idx="393" formatCode="General">
                  <c:v>5.3706700000000001E-3</c:v>
                </c:pt>
                <c:pt idx="394" formatCode="General">
                  <c:v>5.3303300000000003E-3</c:v>
                </c:pt>
                <c:pt idx="395" formatCode="General">
                  <c:v>5.3090200000000002E-3</c:v>
                </c:pt>
                <c:pt idx="396" formatCode="General">
                  <c:v>5.3195600000000001E-3</c:v>
                </c:pt>
                <c:pt idx="397" formatCode="General">
                  <c:v>5.3435399999999999E-3</c:v>
                </c:pt>
                <c:pt idx="398" formatCode="General">
                  <c:v>5.3625900000000004E-3</c:v>
                </c:pt>
                <c:pt idx="399" formatCode="General">
                  <c:v>5.3847499999999998E-3</c:v>
                </c:pt>
                <c:pt idx="400" formatCode="General">
                  <c:v>5.3690200000000004E-3</c:v>
                </c:pt>
                <c:pt idx="401" formatCode="General">
                  <c:v>5.4028000000000001E-3</c:v>
                </c:pt>
                <c:pt idx="402" formatCode="General">
                  <c:v>5.44474E-3</c:v>
                </c:pt>
                <c:pt idx="403" formatCode="General">
                  <c:v>5.4191100000000004E-3</c:v>
                </c:pt>
                <c:pt idx="404" formatCode="General">
                  <c:v>5.5034799999999998E-3</c:v>
                </c:pt>
                <c:pt idx="405" formatCode="General">
                  <c:v>5.4247399999999999E-3</c:v>
                </c:pt>
                <c:pt idx="406" formatCode="General">
                  <c:v>5.4698000000000004E-3</c:v>
                </c:pt>
                <c:pt idx="407" formatCode="General">
                  <c:v>5.5348200000000002E-3</c:v>
                </c:pt>
                <c:pt idx="408" formatCode="General">
                  <c:v>5.4924700000000002E-3</c:v>
                </c:pt>
                <c:pt idx="409" formatCode="General">
                  <c:v>5.52433E-3</c:v>
                </c:pt>
                <c:pt idx="410" formatCode="General">
                  <c:v>5.5218899999999998E-3</c:v>
                </c:pt>
              </c:numCache>
            </c:numRef>
          </c:xVal>
          <c:yVal>
            <c:numRef>
              <c:f>'L30CPTX-1'!$W$7:$W$430</c:f>
              <c:numCache>
                <c:formatCode>General</c:formatCode>
                <c:ptCount val="424"/>
                <c:pt idx="0">
                  <c:v>0</c:v>
                </c:pt>
                <c:pt idx="1">
                  <c:v>-1.7515066666666668E-5</c:v>
                </c:pt>
                <c:pt idx="2">
                  <c:v>2.9816199999999998E-5</c:v>
                </c:pt>
                <c:pt idx="3">
                  <c:v>1.3566620000000001E-5</c:v>
                </c:pt>
                <c:pt idx="4">
                  <c:v>-2.6931266666666667E-5</c:v>
                </c:pt>
                <c:pt idx="5">
                  <c:v>-1.0956596666666666E-5</c:v>
                </c:pt>
                <c:pt idx="6">
                  <c:v>-9.208203333333333E-5</c:v>
                </c:pt>
                <c:pt idx="7">
                  <c:v>-1.7700476666666665E-5</c:v>
                </c:pt>
                <c:pt idx="8">
                  <c:v>9.1244966666666658E-5</c:v>
                </c:pt>
                <c:pt idx="9">
                  <c:v>1.9767166666666668E-4</c:v>
                </c:pt>
                <c:pt idx="10">
                  <c:v>5.6773210000000001E-5</c:v>
                </c:pt>
                <c:pt idx="11">
                  <c:v>6.3941633333333331E-5</c:v>
                </c:pt>
                <c:pt idx="12">
                  <c:v>1.2082199999999999E-4</c:v>
                </c:pt>
                <c:pt idx="13">
                  <c:v>5.8094499999999997E-5</c:v>
                </c:pt>
                <c:pt idx="14">
                  <c:v>1.3623123333333334E-5</c:v>
                </c:pt>
                <c:pt idx="15">
                  <c:v>7.7643699999999997E-5</c:v>
                </c:pt>
                <c:pt idx="16">
                  <c:v>1.021941E-4</c:v>
                </c:pt>
                <c:pt idx="17">
                  <c:v>2.7069528666666668E-5</c:v>
                </c:pt>
                <c:pt idx="18">
                  <c:v>8.3736933333333321E-5</c:v>
                </c:pt>
                <c:pt idx="19">
                  <c:v>1.1557116666666666E-4</c:v>
                </c:pt>
                <c:pt idx="20">
                  <c:v>1.5913266666666668E-4</c:v>
                </c:pt>
                <c:pt idx="21">
                  <c:v>1.2098926666666667E-4</c:v>
                </c:pt>
                <c:pt idx="22">
                  <c:v>6.3376700000000006E-5</c:v>
                </c:pt>
                <c:pt idx="23">
                  <c:v>1.79865E-4</c:v>
                </c:pt>
                <c:pt idx="24">
                  <c:v>3.0254333333333333E-4</c:v>
                </c:pt>
                <c:pt idx="25">
                  <c:v>-2.9628376666666666E-5</c:v>
                </c:pt>
                <c:pt idx="26">
                  <c:v>-4.5312666666666684E-6</c:v>
                </c:pt>
                <c:pt idx="27">
                  <c:v>7.3518816666666662E-5</c:v>
                </c:pt>
                <c:pt idx="28">
                  <c:v>1.3657173333333334E-4</c:v>
                </c:pt>
                <c:pt idx="29">
                  <c:v>1.3039303333333332E-4</c:v>
                </c:pt>
                <c:pt idx="30">
                  <c:v>1.8744483333333335E-4</c:v>
                </c:pt>
                <c:pt idx="31">
                  <c:v>1.6981626666666668E-4</c:v>
                </c:pt>
                <c:pt idx="32">
                  <c:v>1.3458739999999998E-4</c:v>
                </c:pt>
                <c:pt idx="33">
                  <c:v>1.5234609999999999E-4</c:v>
                </c:pt>
                <c:pt idx="34">
                  <c:v>1.8915126666666665E-4</c:v>
                </c:pt>
                <c:pt idx="35">
                  <c:v>1.3718589999999999E-4</c:v>
                </c:pt>
                <c:pt idx="36">
                  <c:v>2.9146933333333336E-4</c:v>
                </c:pt>
                <c:pt idx="37">
                  <c:v>2.0377150000000001E-4</c:v>
                </c:pt>
                <c:pt idx="38">
                  <c:v>1.4609643333333335E-4</c:v>
                </c:pt>
                <c:pt idx="39">
                  <c:v>1.9303699999999999E-4</c:v>
                </c:pt>
                <c:pt idx="40">
                  <c:v>1.6181720000000001E-4</c:v>
                </c:pt>
                <c:pt idx="41">
                  <c:v>2.5014833333333332E-4</c:v>
                </c:pt>
                <c:pt idx="42">
                  <c:v>1.3836949999999998E-4</c:v>
                </c:pt>
                <c:pt idx="43">
                  <c:v>1.6320033333333333E-4</c:v>
                </c:pt>
                <c:pt idx="44">
                  <c:v>1.2729559999999999E-4</c:v>
                </c:pt>
                <c:pt idx="45">
                  <c:v>2.5186633333333332E-4</c:v>
                </c:pt>
                <c:pt idx="46">
                  <c:v>3.041236666666667E-4</c:v>
                </c:pt>
                <c:pt idx="47">
                  <c:v>2.3614E-4</c:v>
                </c:pt>
                <c:pt idx="48">
                  <c:v>2.4815266666666666E-4</c:v>
                </c:pt>
                <c:pt idx="49">
                  <c:v>2.6114699999999999E-4</c:v>
                </c:pt>
                <c:pt idx="50">
                  <c:v>2.0240809999999998E-4</c:v>
                </c:pt>
                <c:pt idx="51">
                  <c:v>2.7443633333333329E-4</c:v>
                </c:pt>
                <c:pt idx="52">
                  <c:v>2.3139060000000001E-4</c:v>
                </c:pt>
                <c:pt idx="53">
                  <c:v>2.4546899999999995E-4</c:v>
                </c:pt>
                <c:pt idx="54">
                  <c:v>2.4021199999999998E-4</c:v>
                </c:pt>
                <c:pt idx="55">
                  <c:v>2.5523433333333334E-4</c:v>
                </c:pt>
                <c:pt idx="56">
                  <c:v>2.3803400000000003E-4</c:v>
                </c:pt>
                <c:pt idx="57">
                  <c:v>3.2162500000000003E-4</c:v>
                </c:pt>
                <c:pt idx="58">
                  <c:v>3.2805666666666666E-4</c:v>
                </c:pt>
                <c:pt idx="59">
                  <c:v>2.0599989999999999E-4</c:v>
                </c:pt>
                <c:pt idx="60">
                  <c:v>2.61086E-4</c:v>
                </c:pt>
                <c:pt idx="61">
                  <c:v>3.5043833333333333E-4</c:v>
                </c:pt>
                <c:pt idx="62">
                  <c:v>3.2826099999999999E-4</c:v>
                </c:pt>
                <c:pt idx="63">
                  <c:v>3.2583333333333336E-4</c:v>
                </c:pt>
                <c:pt idx="64">
                  <c:v>2.9342800000000004E-4</c:v>
                </c:pt>
                <c:pt idx="65">
                  <c:v>2.9911233333333335E-4</c:v>
                </c:pt>
                <c:pt idx="66">
                  <c:v>3.8607166666666668E-4</c:v>
                </c:pt>
                <c:pt idx="67">
                  <c:v>4.158933333333334E-4</c:v>
                </c:pt>
                <c:pt idx="68">
                  <c:v>3.9484566666666659E-4</c:v>
                </c:pt>
                <c:pt idx="69">
                  <c:v>3.0673899999999999E-4</c:v>
                </c:pt>
                <c:pt idx="70">
                  <c:v>3.4142900000000003E-4</c:v>
                </c:pt>
                <c:pt idx="71">
                  <c:v>2.9292366666666664E-4</c:v>
                </c:pt>
                <c:pt idx="72">
                  <c:v>3.6016733333333337E-4</c:v>
                </c:pt>
                <c:pt idx="73">
                  <c:v>3.934376666666667E-4</c:v>
                </c:pt>
                <c:pt idx="74">
                  <c:v>3.4590833333333334E-4</c:v>
                </c:pt>
                <c:pt idx="75">
                  <c:v>4.5510400000000001E-4</c:v>
                </c:pt>
                <c:pt idx="76">
                  <c:v>4.280976666666667E-4</c:v>
                </c:pt>
                <c:pt idx="77">
                  <c:v>4.1741600000000004E-4</c:v>
                </c:pt>
                <c:pt idx="78">
                  <c:v>4.1122633333333337E-4</c:v>
                </c:pt>
                <c:pt idx="79">
                  <c:v>3.5474266666666665E-4</c:v>
                </c:pt>
                <c:pt idx="80">
                  <c:v>4.1898299999999994E-4</c:v>
                </c:pt>
                <c:pt idx="81">
                  <c:v>4.0227133333333337E-4</c:v>
                </c:pt>
                <c:pt idx="82">
                  <c:v>4.0276599999999999E-4</c:v>
                </c:pt>
                <c:pt idx="83">
                  <c:v>3.9558799999999994E-4</c:v>
                </c:pt>
                <c:pt idx="84">
                  <c:v>4.0881766666666665E-4</c:v>
                </c:pt>
                <c:pt idx="85">
                  <c:v>4.9184933333333331E-4</c:v>
                </c:pt>
                <c:pt idx="86">
                  <c:v>4.9993800000000001E-4</c:v>
                </c:pt>
                <c:pt idx="87">
                  <c:v>4.4941333333333339E-4</c:v>
                </c:pt>
                <c:pt idx="88">
                  <c:v>4.1117466666666663E-4</c:v>
                </c:pt>
                <c:pt idx="89">
                  <c:v>4.6567633333333331E-4</c:v>
                </c:pt>
                <c:pt idx="90">
                  <c:v>4.6778233333333329E-4</c:v>
                </c:pt>
                <c:pt idx="91">
                  <c:v>4.8649199999999999E-4</c:v>
                </c:pt>
                <c:pt idx="92">
                  <c:v>4.6522966666666664E-4</c:v>
                </c:pt>
                <c:pt idx="93">
                  <c:v>5.2918266666666664E-4</c:v>
                </c:pt>
                <c:pt idx="94">
                  <c:v>5.4967066666666668E-4</c:v>
                </c:pt>
                <c:pt idx="95">
                  <c:v>4.5368500000000006E-4</c:v>
                </c:pt>
                <c:pt idx="96">
                  <c:v>3.8958900000000003E-4</c:v>
                </c:pt>
                <c:pt idx="97">
                  <c:v>5.3125266666666671E-4</c:v>
                </c:pt>
                <c:pt idx="98">
                  <c:v>4.3091833333333334E-4</c:v>
                </c:pt>
                <c:pt idx="99">
                  <c:v>5.7695100000000003E-4</c:v>
                </c:pt>
                <c:pt idx="100">
                  <c:v>5.1732500000000001E-4</c:v>
                </c:pt>
                <c:pt idx="101">
                  <c:v>5.1124199999999997E-4</c:v>
                </c:pt>
                <c:pt idx="102">
                  <c:v>4.7255733333333334E-4</c:v>
                </c:pt>
                <c:pt idx="103">
                  <c:v>5.5191866666666662E-4</c:v>
                </c:pt>
                <c:pt idx="104">
                  <c:v>5.5830699999999997E-4</c:v>
                </c:pt>
                <c:pt idx="105">
                  <c:v>4.5846366666666669E-4</c:v>
                </c:pt>
                <c:pt idx="106">
                  <c:v>5.6004133333333332E-4</c:v>
                </c:pt>
                <c:pt idx="107">
                  <c:v>5.4479733333333334E-4</c:v>
                </c:pt>
                <c:pt idx="108">
                  <c:v>5.9659799999999994E-4</c:v>
                </c:pt>
                <c:pt idx="109">
                  <c:v>4.8660666666666669E-4</c:v>
                </c:pt>
                <c:pt idx="110">
                  <c:v>4.6440199999999999E-4</c:v>
                </c:pt>
                <c:pt idx="111">
                  <c:v>5.2653633333333335E-4</c:v>
                </c:pt>
                <c:pt idx="112">
                  <c:v>5.5232133333333331E-4</c:v>
                </c:pt>
                <c:pt idx="113">
                  <c:v>5.6945833333333338E-4</c:v>
                </c:pt>
                <c:pt idx="114">
                  <c:v>5.833306666666666E-4</c:v>
                </c:pt>
                <c:pt idx="115">
                  <c:v>5.8012233333333335E-4</c:v>
                </c:pt>
                <c:pt idx="116">
                  <c:v>5.6895666666666666E-4</c:v>
                </c:pt>
                <c:pt idx="117">
                  <c:v>6.0430166666666665E-4</c:v>
                </c:pt>
                <c:pt idx="118">
                  <c:v>5.5778700000000002E-4</c:v>
                </c:pt>
                <c:pt idx="119">
                  <c:v>6.6945933333333334E-4</c:v>
                </c:pt>
                <c:pt idx="120">
                  <c:v>5.8805233333333331E-4</c:v>
                </c:pt>
                <c:pt idx="121">
                  <c:v>5.2912866666666666E-4</c:v>
                </c:pt>
                <c:pt idx="122">
                  <c:v>5.7920699999999999E-4</c:v>
                </c:pt>
                <c:pt idx="123">
                  <c:v>6.1207833333333332E-4</c:v>
                </c:pt>
                <c:pt idx="124">
                  <c:v>6.7707733333333337E-4</c:v>
                </c:pt>
                <c:pt idx="125">
                  <c:v>5.29099E-4</c:v>
                </c:pt>
                <c:pt idx="126">
                  <c:v>6.1256699999999995E-4</c:v>
                </c:pt>
                <c:pt idx="127">
                  <c:v>5.4660566666666667E-4</c:v>
                </c:pt>
                <c:pt idx="128">
                  <c:v>7.2594599999999999E-4</c:v>
                </c:pt>
                <c:pt idx="129">
                  <c:v>6.912596666666667E-4</c:v>
                </c:pt>
                <c:pt idx="130">
                  <c:v>6.7201866666666667E-4</c:v>
                </c:pt>
                <c:pt idx="131">
                  <c:v>6.3985966666666664E-4</c:v>
                </c:pt>
                <c:pt idx="132">
                  <c:v>6.6556099999999995E-4</c:v>
                </c:pt>
                <c:pt idx="133">
                  <c:v>6.7772466666666663E-4</c:v>
                </c:pt>
                <c:pt idx="134">
                  <c:v>8.2720999999999999E-4</c:v>
                </c:pt>
                <c:pt idx="135">
                  <c:v>6.8198066666666675E-4</c:v>
                </c:pt>
                <c:pt idx="136">
                  <c:v>6.7379800000000008E-4</c:v>
                </c:pt>
                <c:pt idx="137">
                  <c:v>7.1472933333333337E-4</c:v>
                </c:pt>
                <c:pt idx="138">
                  <c:v>6.8024833333333332E-4</c:v>
                </c:pt>
                <c:pt idx="139">
                  <c:v>6.9586199999999989E-4</c:v>
                </c:pt>
                <c:pt idx="140">
                  <c:v>7.3102733333333325E-4</c:v>
                </c:pt>
                <c:pt idx="141">
                  <c:v>7.5171233333333335E-4</c:v>
                </c:pt>
                <c:pt idx="142">
                  <c:v>7.1768366666666685E-4</c:v>
                </c:pt>
                <c:pt idx="143">
                  <c:v>8.2215899999999993E-4</c:v>
                </c:pt>
                <c:pt idx="144">
                  <c:v>7.0495066666666662E-4</c:v>
                </c:pt>
                <c:pt idx="145">
                  <c:v>7.5414199999999985E-4</c:v>
                </c:pt>
                <c:pt idx="146">
                  <c:v>7.2262266666666666E-4</c:v>
                </c:pt>
                <c:pt idx="147">
                  <c:v>7.4277166666666657E-4</c:v>
                </c:pt>
                <c:pt idx="148">
                  <c:v>8.353616666666666E-4</c:v>
                </c:pt>
                <c:pt idx="149">
                  <c:v>7.3747366666666663E-4</c:v>
                </c:pt>
                <c:pt idx="150">
                  <c:v>7.3126266666666674E-4</c:v>
                </c:pt>
                <c:pt idx="151">
                  <c:v>7.8687700000000006E-4</c:v>
                </c:pt>
                <c:pt idx="152">
                  <c:v>7.9442633333333347E-4</c:v>
                </c:pt>
                <c:pt idx="153">
                  <c:v>7.9350933333333323E-4</c:v>
                </c:pt>
                <c:pt idx="154">
                  <c:v>8.338806666666667E-4</c:v>
                </c:pt>
                <c:pt idx="155">
                  <c:v>8.2540666666666663E-4</c:v>
                </c:pt>
                <c:pt idx="156">
                  <c:v>8.7128800000000001E-4</c:v>
                </c:pt>
                <c:pt idx="157">
                  <c:v>8.2395066666666669E-4</c:v>
                </c:pt>
                <c:pt idx="158">
                  <c:v>8.2668966666666656E-4</c:v>
                </c:pt>
                <c:pt idx="159">
                  <c:v>8.5754266666666662E-4</c:v>
                </c:pt>
                <c:pt idx="160">
                  <c:v>7.9706466666666675E-4</c:v>
                </c:pt>
                <c:pt idx="161">
                  <c:v>8.2880933333333328E-4</c:v>
                </c:pt>
                <c:pt idx="162">
                  <c:v>8.5729466666666662E-4</c:v>
                </c:pt>
                <c:pt idx="163">
                  <c:v>8.4204133333333345E-4</c:v>
                </c:pt>
                <c:pt idx="164">
                  <c:v>8.4463400000000003E-4</c:v>
                </c:pt>
                <c:pt idx="165">
                  <c:v>9.1978133333333332E-4</c:v>
                </c:pt>
                <c:pt idx="166">
                  <c:v>8.3843600000000002E-4</c:v>
                </c:pt>
                <c:pt idx="167">
                  <c:v>8.6893533333333342E-4</c:v>
                </c:pt>
                <c:pt idx="168">
                  <c:v>8.9697766666666683E-4</c:v>
                </c:pt>
                <c:pt idx="169">
                  <c:v>8.8522966666666671E-4</c:v>
                </c:pt>
                <c:pt idx="170">
                  <c:v>9.9418333333333342E-4</c:v>
                </c:pt>
                <c:pt idx="171">
                  <c:v>8.6544833333333326E-4</c:v>
                </c:pt>
                <c:pt idx="172">
                  <c:v>8.9843000000000008E-4</c:v>
                </c:pt>
                <c:pt idx="173">
                  <c:v>9.3418233333333325E-4</c:v>
                </c:pt>
                <c:pt idx="174">
                  <c:v>7.7946566666666666E-4</c:v>
                </c:pt>
                <c:pt idx="175">
                  <c:v>9.33591E-4</c:v>
                </c:pt>
                <c:pt idx="176">
                  <c:v>9.5457099999999998E-4</c:v>
                </c:pt>
                <c:pt idx="177">
                  <c:v>1.0318853333333333E-3</c:v>
                </c:pt>
                <c:pt idx="178">
                  <c:v>9.5711100000000007E-4</c:v>
                </c:pt>
                <c:pt idx="179">
                  <c:v>8.4064566666666675E-4</c:v>
                </c:pt>
                <c:pt idx="180">
                  <c:v>1.0451533333333334E-3</c:v>
                </c:pt>
                <c:pt idx="181">
                  <c:v>9.2300233333333329E-4</c:v>
                </c:pt>
                <c:pt idx="182">
                  <c:v>9.9381933333333333E-4</c:v>
                </c:pt>
                <c:pt idx="183">
                  <c:v>9.7481166666666666E-4</c:v>
                </c:pt>
                <c:pt idx="184">
                  <c:v>1.0058856666666667E-3</c:v>
                </c:pt>
                <c:pt idx="185">
                  <c:v>9.6090233333333329E-4</c:v>
                </c:pt>
                <c:pt idx="186">
                  <c:v>9.8356099999999998E-4</c:v>
                </c:pt>
                <c:pt idx="187">
                  <c:v>9.6351366666666668E-4</c:v>
                </c:pt>
                <c:pt idx="188">
                  <c:v>9.3556133333333328E-4</c:v>
                </c:pt>
                <c:pt idx="189">
                  <c:v>1.0104743333333333E-3</c:v>
                </c:pt>
                <c:pt idx="190">
                  <c:v>1.0102550000000001E-3</c:v>
                </c:pt>
                <c:pt idx="191">
                  <c:v>1.0916470000000001E-3</c:v>
                </c:pt>
                <c:pt idx="192">
                  <c:v>1.0159183333333334E-3</c:v>
                </c:pt>
                <c:pt idx="193">
                  <c:v>1.0272023333333334E-3</c:v>
                </c:pt>
                <c:pt idx="194">
                  <c:v>1.0941466666666668E-3</c:v>
                </c:pt>
                <c:pt idx="195">
                  <c:v>1.0730246666666666E-3</c:v>
                </c:pt>
                <c:pt idx="196">
                  <c:v>1.0262036666666668E-3</c:v>
                </c:pt>
                <c:pt idx="197">
                  <c:v>1.0472106666666668E-3</c:v>
                </c:pt>
                <c:pt idx="198">
                  <c:v>1.0327716666666666E-3</c:v>
                </c:pt>
                <c:pt idx="199">
                  <c:v>1.068781E-3</c:v>
                </c:pt>
                <c:pt idx="200">
                  <c:v>1.1127120000000001E-3</c:v>
                </c:pt>
                <c:pt idx="201">
                  <c:v>1.0945369999999998E-3</c:v>
                </c:pt>
                <c:pt idx="202">
                  <c:v>1.0427609999999999E-3</c:v>
                </c:pt>
                <c:pt idx="203">
                  <c:v>1.104503E-3</c:v>
                </c:pt>
                <c:pt idx="204">
                  <c:v>1.1209633333333334E-3</c:v>
                </c:pt>
                <c:pt idx="205">
                  <c:v>1.0342176666666666E-3</c:v>
                </c:pt>
                <c:pt idx="206">
                  <c:v>1.0877956666666669E-3</c:v>
                </c:pt>
                <c:pt idx="207">
                  <c:v>1.0975050000000001E-3</c:v>
                </c:pt>
                <c:pt idx="208">
                  <c:v>1.1634053333333333E-3</c:v>
                </c:pt>
                <c:pt idx="209">
                  <c:v>1.2015036666666668E-3</c:v>
                </c:pt>
                <c:pt idx="210">
                  <c:v>1.1723439999999999E-3</c:v>
                </c:pt>
                <c:pt idx="211">
                  <c:v>1.1192520000000001E-3</c:v>
                </c:pt>
                <c:pt idx="212">
                  <c:v>1.188712E-3</c:v>
                </c:pt>
                <c:pt idx="213">
                  <c:v>1.1325556666666667E-3</c:v>
                </c:pt>
                <c:pt idx="214">
                  <c:v>1.1714023333333334E-3</c:v>
                </c:pt>
                <c:pt idx="215">
                  <c:v>1.1475463333333333E-3</c:v>
                </c:pt>
                <c:pt idx="216">
                  <c:v>1.1642860000000001E-3</c:v>
                </c:pt>
                <c:pt idx="217">
                  <c:v>1.1952216666666667E-3</c:v>
                </c:pt>
                <c:pt idx="218">
                  <c:v>1.1769766666666667E-3</c:v>
                </c:pt>
                <c:pt idx="219">
                  <c:v>1.192303E-3</c:v>
                </c:pt>
                <c:pt idx="220">
                  <c:v>1.1635883333333333E-3</c:v>
                </c:pt>
                <c:pt idx="221">
                  <c:v>1.1279969999999999E-3</c:v>
                </c:pt>
                <c:pt idx="222">
                  <c:v>1.216094E-3</c:v>
                </c:pt>
                <c:pt idx="223">
                  <c:v>1.214604E-3</c:v>
                </c:pt>
                <c:pt idx="224">
                  <c:v>1.092591E-3</c:v>
                </c:pt>
                <c:pt idx="225">
                  <c:v>1.1514436666666666E-3</c:v>
                </c:pt>
                <c:pt idx="226">
                  <c:v>1.1647623333333333E-3</c:v>
                </c:pt>
                <c:pt idx="227">
                  <c:v>1.1641113333333334E-3</c:v>
                </c:pt>
                <c:pt idx="228">
                  <c:v>1.2311146666666667E-3</c:v>
                </c:pt>
                <c:pt idx="229">
                  <c:v>1.1604746666666666E-3</c:v>
                </c:pt>
                <c:pt idx="230">
                  <c:v>1.2378553333333333E-3</c:v>
                </c:pt>
                <c:pt idx="231">
                  <c:v>1.192884E-3</c:v>
                </c:pt>
                <c:pt idx="232">
                  <c:v>1.1958416666666668E-3</c:v>
                </c:pt>
                <c:pt idx="233">
                  <c:v>1.3291953333333334E-3</c:v>
                </c:pt>
                <c:pt idx="234">
                  <c:v>1.2356096666666665E-3</c:v>
                </c:pt>
                <c:pt idx="235">
                  <c:v>1.2835750000000001E-3</c:v>
                </c:pt>
                <c:pt idx="236">
                  <c:v>1.1973103333333334E-3</c:v>
                </c:pt>
                <c:pt idx="237">
                  <c:v>1.2091146666666666E-3</c:v>
                </c:pt>
                <c:pt idx="238">
                  <c:v>1.3016953333333334E-3</c:v>
                </c:pt>
                <c:pt idx="239">
                  <c:v>1.2482423333333333E-3</c:v>
                </c:pt>
                <c:pt idx="240">
                  <c:v>1.3281283333333334E-3</c:v>
                </c:pt>
                <c:pt idx="241">
                  <c:v>1.2721346666666666E-3</c:v>
                </c:pt>
                <c:pt idx="242">
                  <c:v>1.3313203333333334E-3</c:v>
                </c:pt>
                <c:pt idx="243">
                  <c:v>1.3620423333333333E-3</c:v>
                </c:pt>
                <c:pt idx="244">
                  <c:v>1.2964490000000001E-3</c:v>
                </c:pt>
                <c:pt idx="245">
                  <c:v>1.2805866666666668E-3</c:v>
                </c:pt>
                <c:pt idx="246">
                  <c:v>1.2949186666666665E-3</c:v>
                </c:pt>
                <c:pt idx="247">
                  <c:v>1.2977080000000001E-3</c:v>
                </c:pt>
                <c:pt idx="248">
                  <c:v>1.3025889999999998E-3</c:v>
                </c:pt>
                <c:pt idx="249">
                  <c:v>1.3160313333333334E-3</c:v>
                </c:pt>
                <c:pt idx="250">
                  <c:v>1.3769586666666667E-3</c:v>
                </c:pt>
                <c:pt idx="251">
                  <c:v>1.380537E-3</c:v>
                </c:pt>
                <c:pt idx="252">
                  <c:v>1.3187229999999999E-3</c:v>
                </c:pt>
                <c:pt idx="253">
                  <c:v>1.424914E-3</c:v>
                </c:pt>
                <c:pt idx="254">
                  <c:v>1.3582849999999999E-3</c:v>
                </c:pt>
                <c:pt idx="255">
                  <c:v>1.4026129999999998E-3</c:v>
                </c:pt>
                <c:pt idx="256">
                  <c:v>1.3338066666666668E-3</c:v>
                </c:pt>
                <c:pt idx="257">
                  <c:v>1.3948423333333335E-3</c:v>
                </c:pt>
                <c:pt idx="258">
                  <c:v>1.4239250000000001E-3</c:v>
                </c:pt>
                <c:pt idx="259">
                  <c:v>1.3923243333333335E-3</c:v>
                </c:pt>
                <c:pt idx="260">
                  <c:v>1.3825323333333335E-3</c:v>
                </c:pt>
                <c:pt idx="261">
                  <c:v>1.4773376666666668E-3</c:v>
                </c:pt>
                <c:pt idx="262">
                  <c:v>1.4452066666666666E-3</c:v>
                </c:pt>
                <c:pt idx="263">
                  <c:v>1.4670736666666667E-3</c:v>
                </c:pt>
                <c:pt idx="264">
                  <c:v>1.4172996666666667E-3</c:v>
                </c:pt>
                <c:pt idx="265">
                  <c:v>1.396473333333333E-3</c:v>
                </c:pt>
                <c:pt idx="266">
                  <c:v>1.4302519999999999E-3</c:v>
                </c:pt>
                <c:pt idx="267">
                  <c:v>1.4731630000000002E-3</c:v>
                </c:pt>
                <c:pt idx="268">
                  <c:v>1.5182670000000002E-3</c:v>
                </c:pt>
                <c:pt idx="269">
                  <c:v>1.4348613333333333E-3</c:v>
                </c:pt>
                <c:pt idx="270">
                  <c:v>1.4537316666666667E-3</c:v>
                </c:pt>
                <c:pt idx="271">
                  <c:v>1.4702813333333333E-3</c:v>
                </c:pt>
                <c:pt idx="272">
                  <c:v>1.4660363333333334E-3</c:v>
                </c:pt>
                <c:pt idx="273">
                  <c:v>1.5037666666666664E-3</c:v>
                </c:pt>
                <c:pt idx="274">
                  <c:v>1.4756646666666668E-3</c:v>
                </c:pt>
                <c:pt idx="275">
                  <c:v>1.5126266666666667E-3</c:v>
                </c:pt>
                <c:pt idx="276">
                  <c:v>1.4977160000000003E-3</c:v>
                </c:pt>
                <c:pt idx="277">
                  <c:v>1.5322406666666664E-3</c:v>
                </c:pt>
                <c:pt idx="278">
                  <c:v>1.469634E-3</c:v>
                </c:pt>
                <c:pt idx="279">
                  <c:v>1.5483283333333332E-3</c:v>
                </c:pt>
                <c:pt idx="280">
                  <c:v>1.5935743333333335E-3</c:v>
                </c:pt>
                <c:pt idx="281">
                  <c:v>1.5273580000000001E-3</c:v>
                </c:pt>
                <c:pt idx="282">
                  <c:v>1.5223493333333335E-3</c:v>
                </c:pt>
                <c:pt idx="283">
                  <c:v>1.57792E-3</c:v>
                </c:pt>
                <c:pt idx="284">
                  <c:v>1.5188386666666668E-3</c:v>
                </c:pt>
                <c:pt idx="285">
                  <c:v>1.6127279999999999E-3</c:v>
                </c:pt>
                <c:pt idx="286">
                  <c:v>1.577665E-3</c:v>
                </c:pt>
                <c:pt idx="287">
                  <c:v>1.5589396666666668E-3</c:v>
                </c:pt>
                <c:pt idx="288">
                  <c:v>1.6001646666666666E-3</c:v>
                </c:pt>
                <c:pt idx="289">
                  <c:v>1.5738643333333333E-3</c:v>
                </c:pt>
                <c:pt idx="290">
                  <c:v>1.6336103333333331E-3</c:v>
                </c:pt>
                <c:pt idx="291">
                  <c:v>1.5948173333333333E-3</c:v>
                </c:pt>
                <c:pt idx="292">
                  <c:v>1.6040129999999998E-3</c:v>
                </c:pt>
                <c:pt idx="293">
                  <c:v>1.6137429999999999E-3</c:v>
                </c:pt>
                <c:pt idx="294">
                  <c:v>1.5800986666666666E-3</c:v>
                </c:pt>
                <c:pt idx="295">
                  <c:v>1.5842406666666667E-3</c:v>
                </c:pt>
                <c:pt idx="296">
                  <c:v>1.5923856666666669E-3</c:v>
                </c:pt>
                <c:pt idx="297">
                  <c:v>1.6416039999999998E-3</c:v>
                </c:pt>
                <c:pt idx="298">
                  <c:v>1.5684736666666664E-3</c:v>
                </c:pt>
                <c:pt idx="299">
                  <c:v>1.6256613333333334E-3</c:v>
                </c:pt>
                <c:pt idx="300">
                  <c:v>1.6656049999999999E-3</c:v>
                </c:pt>
                <c:pt idx="301">
                  <c:v>1.6733283333333333E-3</c:v>
                </c:pt>
                <c:pt idx="302">
                  <c:v>1.6333856666666665E-3</c:v>
                </c:pt>
                <c:pt idx="303">
                  <c:v>1.6228463333333332E-3</c:v>
                </c:pt>
                <c:pt idx="304">
                  <c:v>1.6248290000000002E-3</c:v>
                </c:pt>
                <c:pt idx="305">
                  <c:v>1.598141E-3</c:v>
                </c:pt>
                <c:pt idx="306">
                  <c:v>1.6386686666666668E-3</c:v>
                </c:pt>
                <c:pt idx="307">
                  <c:v>1.5988576666666667E-3</c:v>
                </c:pt>
                <c:pt idx="308">
                  <c:v>1.6717069999999999E-3</c:v>
                </c:pt>
                <c:pt idx="309">
                  <c:v>1.6258479999999998E-3</c:v>
                </c:pt>
                <c:pt idx="310">
                  <c:v>1.6850856666666668E-3</c:v>
                </c:pt>
                <c:pt idx="311">
                  <c:v>1.7156079999999998E-3</c:v>
                </c:pt>
                <c:pt idx="312">
                  <c:v>1.6776023333333334E-3</c:v>
                </c:pt>
                <c:pt idx="313">
                  <c:v>1.7251403333333332E-3</c:v>
                </c:pt>
                <c:pt idx="314">
                  <c:v>1.69899E-3</c:v>
                </c:pt>
                <c:pt idx="315">
                  <c:v>1.7233413333333336E-3</c:v>
                </c:pt>
                <c:pt idx="316">
                  <c:v>1.709606E-3</c:v>
                </c:pt>
                <c:pt idx="317">
                  <c:v>1.6910846666666663E-3</c:v>
                </c:pt>
                <c:pt idx="318">
                  <c:v>1.7720736666666668E-3</c:v>
                </c:pt>
                <c:pt idx="319">
                  <c:v>1.7522773333333334E-3</c:v>
                </c:pt>
                <c:pt idx="320">
                  <c:v>1.7096686666666667E-3</c:v>
                </c:pt>
                <c:pt idx="321">
                  <c:v>1.7245403333333333E-3</c:v>
                </c:pt>
                <c:pt idx="322">
                  <c:v>1.8350319999999997E-3</c:v>
                </c:pt>
                <c:pt idx="323">
                  <c:v>1.7809606666666668E-3</c:v>
                </c:pt>
                <c:pt idx="324">
                  <c:v>1.7984376666666669E-3</c:v>
                </c:pt>
                <c:pt idx="325">
                  <c:v>1.8925933333333335E-3</c:v>
                </c:pt>
                <c:pt idx="326">
                  <c:v>1.741919E-3</c:v>
                </c:pt>
                <c:pt idx="327">
                  <c:v>1.8512583333333331E-3</c:v>
                </c:pt>
                <c:pt idx="328">
                  <c:v>1.7982216666666666E-3</c:v>
                </c:pt>
                <c:pt idx="329">
                  <c:v>1.7552333333333333E-3</c:v>
                </c:pt>
                <c:pt idx="330">
                  <c:v>1.8226266666666665E-3</c:v>
                </c:pt>
                <c:pt idx="331">
                  <c:v>1.835054E-3</c:v>
                </c:pt>
                <c:pt idx="332">
                  <c:v>1.8614E-3</c:v>
                </c:pt>
                <c:pt idx="333">
                  <c:v>1.8606563333333334E-3</c:v>
                </c:pt>
                <c:pt idx="334">
                  <c:v>1.7494556666666668E-3</c:v>
                </c:pt>
                <c:pt idx="335">
                  <c:v>1.7897199999999999E-3</c:v>
                </c:pt>
                <c:pt idx="336">
                  <c:v>1.7805526666666667E-3</c:v>
                </c:pt>
                <c:pt idx="337">
                  <c:v>1.7986243333333333E-3</c:v>
                </c:pt>
                <c:pt idx="338">
                  <c:v>1.8199116666666668E-3</c:v>
                </c:pt>
                <c:pt idx="339">
                  <c:v>1.8462453333333336E-3</c:v>
                </c:pt>
                <c:pt idx="340">
                  <c:v>1.848906E-3</c:v>
                </c:pt>
                <c:pt idx="341">
                  <c:v>1.8435856666666665E-3</c:v>
                </c:pt>
                <c:pt idx="342">
                  <c:v>1.7718659999999998E-3</c:v>
                </c:pt>
                <c:pt idx="343">
                  <c:v>1.8016816666666666E-3</c:v>
                </c:pt>
                <c:pt idx="344">
                  <c:v>1.8962619999999999E-3</c:v>
                </c:pt>
                <c:pt idx="345">
                  <c:v>1.8858786666666667E-3</c:v>
                </c:pt>
                <c:pt idx="346">
                  <c:v>1.912794E-3</c:v>
                </c:pt>
                <c:pt idx="347">
                  <c:v>1.9525333333333332E-3</c:v>
                </c:pt>
                <c:pt idx="348">
                  <c:v>1.7987799999999998E-3</c:v>
                </c:pt>
                <c:pt idx="349">
                  <c:v>1.9515933333333335E-3</c:v>
                </c:pt>
                <c:pt idx="350">
                  <c:v>1.9259466666666665E-3</c:v>
                </c:pt>
                <c:pt idx="351">
                  <c:v>1.7839703333333333E-3</c:v>
                </c:pt>
                <c:pt idx="352">
                  <c:v>2.0263E-3</c:v>
                </c:pt>
                <c:pt idx="353">
                  <c:v>2.0794466666666667E-3</c:v>
                </c:pt>
                <c:pt idx="354">
                  <c:v>1.881314E-3</c:v>
                </c:pt>
                <c:pt idx="355">
                  <c:v>2.1049166666666668E-3</c:v>
                </c:pt>
                <c:pt idx="356">
                  <c:v>1.947547E-3</c:v>
                </c:pt>
                <c:pt idx="357">
                  <c:v>1.8332883333333331E-3</c:v>
                </c:pt>
                <c:pt idx="358">
                  <c:v>2.0170366666666666E-3</c:v>
                </c:pt>
                <c:pt idx="359">
                  <c:v>1.9511829999999998E-3</c:v>
                </c:pt>
                <c:pt idx="360">
                  <c:v>2.0608133333333335E-3</c:v>
                </c:pt>
                <c:pt idx="361">
                  <c:v>2.0995433333333333E-3</c:v>
                </c:pt>
                <c:pt idx="362">
                  <c:v>2.0293199999999998E-3</c:v>
                </c:pt>
                <c:pt idx="363">
                  <c:v>2.0677999999999998E-3</c:v>
                </c:pt>
                <c:pt idx="364">
                  <c:v>1.9194696666666666E-3</c:v>
                </c:pt>
                <c:pt idx="365">
                  <c:v>2.1167466666666668E-3</c:v>
                </c:pt>
                <c:pt idx="366">
                  <c:v>2.0502666666666666E-3</c:v>
                </c:pt>
                <c:pt idx="367">
                  <c:v>2.0281333333333333E-3</c:v>
                </c:pt>
                <c:pt idx="368">
                  <c:v>2.1037233333333332E-3</c:v>
                </c:pt>
                <c:pt idx="369">
                  <c:v>2.0472300000000001E-3</c:v>
                </c:pt>
                <c:pt idx="370">
                  <c:v>2.0368833333333333E-3</c:v>
                </c:pt>
                <c:pt idx="371">
                  <c:v>2.09049E-3</c:v>
                </c:pt>
                <c:pt idx="372">
                  <c:v>2.0641600000000002E-3</c:v>
                </c:pt>
                <c:pt idx="373">
                  <c:v>2.0617999999999999E-3</c:v>
                </c:pt>
                <c:pt idx="374">
                  <c:v>2.0845033333333333E-3</c:v>
                </c:pt>
                <c:pt idx="375">
                  <c:v>2.0242433333333334E-3</c:v>
                </c:pt>
                <c:pt idx="376">
                  <c:v>2.1062900000000002E-3</c:v>
                </c:pt>
                <c:pt idx="377">
                  <c:v>2.0706233333333333E-3</c:v>
                </c:pt>
                <c:pt idx="378">
                  <c:v>2.1429633333333331E-3</c:v>
                </c:pt>
                <c:pt idx="379">
                  <c:v>2.102963333333333E-3</c:v>
                </c:pt>
                <c:pt idx="380">
                  <c:v>2.0824400000000001E-3</c:v>
                </c:pt>
                <c:pt idx="381">
                  <c:v>2.1163200000000001E-3</c:v>
                </c:pt>
                <c:pt idx="382">
                  <c:v>2.1376366666666668E-3</c:v>
                </c:pt>
                <c:pt idx="383">
                  <c:v>2.1530566666666667E-3</c:v>
                </c:pt>
                <c:pt idx="384">
                  <c:v>2.2242500000000001E-3</c:v>
                </c:pt>
                <c:pt idx="385">
                  <c:v>2.1537266666666667E-3</c:v>
                </c:pt>
                <c:pt idx="386">
                  <c:v>2.1124266666666665E-3</c:v>
                </c:pt>
                <c:pt idx="387">
                  <c:v>2.17775E-3</c:v>
                </c:pt>
                <c:pt idx="388">
                  <c:v>2.13306E-3</c:v>
                </c:pt>
                <c:pt idx="389">
                  <c:v>2.1879733333333333E-3</c:v>
                </c:pt>
                <c:pt idx="390">
                  <c:v>2.1748333333333337E-3</c:v>
                </c:pt>
                <c:pt idx="391">
                  <c:v>2.2369633333333334E-3</c:v>
                </c:pt>
                <c:pt idx="392">
                  <c:v>2.2316766666666669E-3</c:v>
                </c:pt>
                <c:pt idx="393">
                  <c:v>2.2463033333333334E-3</c:v>
                </c:pt>
                <c:pt idx="394">
                  <c:v>2.2150533333333334E-3</c:v>
                </c:pt>
                <c:pt idx="395">
                  <c:v>2.2554133333333331E-3</c:v>
                </c:pt>
                <c:pt idx="396">
                  <c:v>2.1743933333333333E-3</c:v>
                </c:pt>
                <c:pt idx="397">
                  <c:v>2.2419566666666666E-3</c:v>
                </c:pt>
                <c:pt idx="398">
                  <c:v>2.2194133333333335E-3</c:v>
                </c:pt>
                <c:pt idx="399">
                  <c:v>2.2838533333333333E-3</c:v>
                </c:pt>
                <c:pt idx="400">
                  <c:v>2.2941166666666669E-3</c:v>
                </c:pt>
                <c:pt idx="401">
                  <c:v>2.1975833333333331E-3</c:v>
                </c:pt>
                <c:pt idx="402">
                  <c:v>2.2335900000000001E-3</c:v>
                </c:pt>
                <c:pt idx="403">
                  <c:v>2.2492766666666665E-3</c:v>
                </c:pt>
                <c:pt idx="404">
                  <c:v>2.2549200000000001E-3</c:v>
                </c:pt>
                <c:pt idx="405">
                  <c:v>2.2662199999999998E-3</c:v>
                </c:pt>
                <c:pt idx="406">
                  <c:v>2.3230833333333333E-3</c:v>
                </c:pt>
                <c:pt idx="407">
                  <c:v>2.1809966666666669E-3</c:v>
                </c:pt>
                <c:pt idx="408">
                  <c:v>2.325276666666667E-3</c:v>
                </c:pt>
                <c:pt idx="409">
                  <c:v>2.2969233333333334E-3</c:v>
                </c:pt>
                <c:pt idx="410">
                  <c:v>2.2657533333333333E-3</c:v>
                </c:pt>
                <c:pt idx="411">
                  <c:v>2.31949E-3</c:v>
                </c:pt>
                <c:pt idx="412">
                  <c:v>2.34505E-3</c:v>
                </c:pt>
                <c:pt idx="413">
                  <c:v>2.2284200000000001E-3</c:v>
                </c:pt>
                <c:pt idx="414">
                  <c:v>2.2251133333333335E-3</c:v>
                </c:pt>
                <c:pt idx="415">
                  <c:v>2.32686E-3</c:v>
                </c:pt>
                <c:pt idx="416">
                  <c:v>3.9929500000000003E-4</c:v>
                </c:pt>
                <c:pt idx="417">
                  <c:v>3.0777223333333333E-4</c:v>
                </c:pt>
                <c:pt idx="418">
                  <c:v>2.5050989999999998E-4</c:v>
                </c:pt>
                <c:pt idx="419">
                  <c:v>2.2116203333333336E-4</c:v>
                </c:pt>
                <c:pt idx="420">
                  <c:v>2.3557556666666665E-4</c:v>
                </c:pt>
                <c:pt idx="421">
                  <c:v>1.60808E-4</c:v>
                </c:pt>
                <c:pt idx="422">
                  <c:v>2.4498263333333335E-4</c:v>
                </c:pt>
                <c:pt idx="423">
                  <c:v>2.4042326666666664E-4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C95-4318-AE77-5909D2E290E1}"/>
            </c:ext>
          </c:extLst>
        </c:ser>
        <c:ser>
          <c:idx val="2"/>
          <c:order val="1"/>
          <c:tx>
            <c:v>L30CPTX-2</c:v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2"/>
          </c:marker>
          <c:trendline>
            <c:trendlineType val="linear"/>
            <c:dispRSqr val="0"/>
            <c:dispEq val="0"/>
          </c:trendline>
          <c:xVal>
            <c:numRef>
              <c:f>'L30CPTX-2'!$B$7:$B$469</c:f>
              <c:numCache>
                <c:formatCode>0.00E+00</c:formatCode>
                <c:ptCount val="463"/>
                <c:pt idx="0" formatCode="General">
                  <c:v>0</c:v>
                </c:pt>
                <c:pt idx="1">
                  <c:v>3.2257E-5</c:v>
                </c:pt>
                <c:pt idx="2">
                  <c:v>3.7366800000000003E-5</c:v>
                </c:pt>
                <c:pt idx="3">
                  <c:v>7.1578500000000006E-5</c:v>
                </c:pt>
                <c:pt idx="4">
                  <c:v>2.1960999999999999E-5</c:v>
                </c:pt>
                <c:pt idx="5">
                  <c:v>8.6544299999999997E-5</c:v>
                </c:pt>
                <c:pt idx="6">
                  <c:v>-3.5736700000000002E-6</c:v>
                </c:pt>
                <c:pt idx="7">
                  <c:v>5.6288700000000002E-5</c:v>
                </c:pt>
                <c:pt idx="8">
                  <c:v>9.43517E-5</c:v>
                </c:pt>
                <c:pt idx="9" formatCode="General">
                  <c:v>1.5118999999999999E-4</c:v>
                </c:pt>
                <c:pt idx="10" formatCode="General">
                  <c:v>1.2964500000000001E-4</c:v>
                </c:pt>
                <c:pt idx="11" formatCode="General">
                  <c:v>1.11093E-4</c:v>
                </c:pt>
                <c:pt idx="12" formatCode="General">
                  <c:v>1.3529300000000001E-4</c:v>
                </c:pt>
                <c:pt idx="13" formatCode="General">
                  <c:v>2.1248099999999999E-4</c:v>
                </c:pt>
                <c:pt idx="14" formatCode="General">
                  <c:v>1.20159E-4</c:v>
                </c:pt>
                <c:pt idx="15" formatCode="General">
                  <c:v>2.0402899999999999E-4</c:v>
                </c:pt>
                <c:pt idx="16" formatCode="General">
                  <c:v>1.6258000000000001E-4</c:v>
                </c:pt>
                <c:pt idx="17" formatCode="General">
                  <c:v>2.2034499999999999E-4</c:v>
                </c:pt>
                <c:pt idx="18" formatCode="General">
                  <c:v>2.0136700000000001E-4</c:v>
                </c:pt>
                <c:pt idx="19" formatCode="General">
                  <c:v>2.29185E-4</c:v>
                </c:pt>
                <c:pt idx="20" formatCode="General">
                  <c:v>1.89421E-4</c:v>
                </c:pt>
                <c:pt idx="21" formatCode="General">
                  <c:v>2.48881E-4</c:v>
                </c:pt>
                <c:pt idx="22" formatCode="General">
                  <c:v>2.5966599999999998E-4</c:v>
                </c:pt>
                <c:pt idx="23" formatCode="General">
                  <c:v>3.1008799999999998E-4</c:v>
                </c:pt>
                <c:pt idx="24" formatCode="General">
                  <c:v>3.0299800000000002E-4</c:v>
                </c:pt>
                <c:pt idx="25" formatCode="General">
                  <c:v>2.9239499999999998E-4</c:v>
                </c:pt>
                <c:pt idx="26" formatCode="General">
                  <c:v>2.8607900000000001E-4</c:v>
                </c:pt>
                <c:pt idx="27" formatCode="General">
                  <c:v>3.3840999999999998E-4</c:v>
                </c:pt>
                <c:pt idx="28" formatCode="General">
                  <c:v>3.8794200000000001E-4</c:v>
                </c:pt>
                <c:pt idx="29" formatCode="General">
                  <c:v>3.3313800000000002E-4</c:v>
                </c:pt>
                <c:pt idx="30" formatCode="General">
                  <c:v>4.5851099999999999E-4</c:v>
                </c:pt>
                <c:pt idx="31" formatCode="General">
                  <c:v>4.4288999999999998E-4</c:v>
                </c:pt>
                <c:pt idx="32" formatCode="General">
                  <c:v>4.1921800000000001E-4</c:v>
                </c:pt>
                <c:pt idx="33" formatCode="General">
                  <c:v>4.4313600000000001E-4</c:v>
                </c:pt>
                <c:pt idx="34" formatCode="General">
                  <c:v>4.0531699999999998E-4</c:v>
                </c:pt>
                <c:pt idx="35" formatCode="General">
                  <c:v>4.5894300000000001E-4</c:v>
                </c:pt>
                <c:pt idx="36" formatCode="General">
                  <c:v>4.8116599999999999E-4</c:v>
                </c:pt>
                <c:pt idx="37" formatCode="General">
                  <c:v>5.3707899999999999E-4</c:v>
                </c:pt>
                <c:pt idx="38" formatCode="General">
                  <c:v>4.2487100000000001E-4</c:v>
                </c:pt>
                <c:pt idx="39" formatCode="General">
                  <c:v>5.4637800000000003E-4</c:v>
                </c:pt>
                <c:pt idx="40" formatCode="General">
                  <c:v>5.4157800000000002E-4</c:v>
                </c:pt>
                <c:pt idx="41" formatCode="General">
                  <c:v>5.6832400000000004E-4</c:v>
                </c:pt>
                <c:pt idx="42" formatCode="General">
                  <c:v>5.7848700000000003E-4</c:v>
                </c:pt>
                <c:pt idx="43" formatCode="General">
                  <c:v>4.88934E-4</c:v>
                </c:pt>
                <c:pt idx="44" formatCode="General">
                  <c:v>5.8260799999999998E-4</c:v>
                </c:pt>
                <c:pt idx="45" formatCode="General">
                  <c:v>6.3686899999999998E-4</c:v>
                </c:pt>
                <c:pt idx="46" formatCode="General">
                  <c:v>6.0461300000000005E-4</c:v>
                </c:pt>
                <c:pt idx="47" formatCode="General">
                  <c:v>6.7904900000000004E-4</c:v>
                </c:pt>
                <c:pt idx="48" formatCode="General">
                  <c:v>6.4364200000000004E-4</c:v>
                </c:pt>
                <c:pt idx="49" formatCode="General">
                  <c:v>7.1472099999999998E-4</c:v>
                </c:pt>
                <c:pt idx="50" formatCode="General">
                  <c:v>6.6863800000000004E-4</c:v>
                </c:pt>
                <c:pt idx="51" formatCode="General">
                  <c:v>7.0459699999999995E-4</c:v>
                </c:pt>
                <c:pt idx="52" formatCode="General">
                  <c:v>7.5142500000000001E-4</c:v>
                </c:pt>
                <c:pt idx="53" formatCode="General">
                  <c:v>7.6102600000000004E-4</c:v>
                </c:pt>
                <c:pt idx="54" formatCode="General">
                  <c:v>7.85971E-4</c:v>
                </c:pt>
                <c:pt idx="55" formatCode="General">
                  <c:v>7.3733200000000005E-4</c:v>
                </c:pt>
                <c:pt idx="56" formatCode="General">
                  <c:v>6.8946800000000005E-4</c:v>
                </c:pt>
                <c:pt idx="57" formatCode="General">
                  <c:v>8.2822400000000002E-4</c:v>
                </c:pt>
                <c:pt idx="58" formatCode="General">
                  <c:v>7.73728E-4</c:v>
                </c:pt>
                <c:pt idx="59" formatCode="General">
                  <c:v>8.5323799999999998E-4</c:v>
                </c:pt>
                <c:pt idx="60" formatCode="General">
                  <c:v>8.6057799999999997E-4</c:v>
                </c:pt>
                <c:pt idx="61" formatCode="General">
                  <c:v>8.1855999999999997E-4</c:v>
                </c:pt>
                <c:pt idx="62" formatCode="General">
                  <c:v>8.5024000000000005E-4</c:v>
                </c:pt>
                <c:pt idx="63" formatCode="General">
                  <c:v>9.3157899999999998E-4</c:v>
                </c:pt>
                <c:pt idx="64" formatCode="General">
                  <c:v>9.0960200000000002E-4</c:v>
                </c:pt>
                <c:pt idx="65" formatCode="General">
                  <c:v>8.3813699999999997E-4</c:v>
                </c:pt>
                <c:pt idx="66" formatCode="General">
                  <c:v>9.3192399999999999E-4</c:v>
                </c:pt>
                <c:pt idx="67" formatCode="General">
                  <c:v>8.9687199999999995E-4</c:v>
                </c:pt>
                <c:pt idx="68" formatCode="General">
                  <c:v>9.6727300000000005E-4</c:v>
                </c:pt>
                <c:pt idx="69" formatCode="General">
                  <c:v>8.9384700000000002E-4</c:v>
                </c:pt>
                <c:pt idx="70" formatCode="General">
                  <c:v>9.4019999999999998E-4</c:v>
                </c:pt>
                <c:pt idx="71" formatCode="General">
                  <c:v>1.0412500000000001E-3</c:v>
                </c:pt>
                <c:pt idx="72" formatCode="General">
                  <c:v>1.0034499999999999E-3</c:v>
                </c:pt>
                <c:pt idx="73" formatCode="General">
                  <c:v>1.06869E-3</c:v>
                </c:pt>
                <c:pt idx="74" formatCode="General">
                  <c:v>1.05872E-3</c:v>
                </c:pt>
                <c:pt idx="75" formatCode="General">
                  <c:v>1.0695399999999999E-3</c:v>
                </c:pt>
                <c:pt idx="76" formatCode="General">
                  <c:v>1.0937500000000001E-3</c:v>
                </c:pt>
                <c:pt idx="77" formatCode="General">
                  <c:v>1.09815E-3</c:v>
                </c:pt>
                <c:pt idx="78" formatCode="General">
                  <c:v>1.1367700000000001E-3</c:v>
                </c:pt>
                <c:pt idx="79" formatCode="General">
                  <c:v>1.1829200000000001E-3</c:v>
                </c:pt>
                <c:pt idx="80" formatCode="General">
                  <c:v>1.1151799999999999E-3</c:v>
                </c:pt>
                <c:pt idx="81" formatCode="General">
                  <c:v>1.0974400000000001E-3</c:v>
                </c:pt>
                <c:pt idx="82" formatCode="General">
                  <c:v>1.1653E-3</c:v>
                </c:pt>
                <c:pt idx="83" formatCode="General">
                  <c:v>1.2129300000000001E-3</c:v>
                </c:pt>
                <c:pt idx="84" formatCode="General">
                  <c:v>1.1256199999999999E-3</c:v>
                </c:pt>
                <c:pt idx="85" formatCode="General">
                  <c:v>1.25595E-3</c:v>
                </c:pt>
                <c:pt idx="86" formatCode="General">
                  <c:v>1.2611199999999999E-3</c:v>
                </c:pt>
                <c:pt idx="87" formatCode="General">
                  <c:v>1.2479399999999999E-3</c:v>
                </c:pt>
                <c:pt idx="88" formatCode="General">
                  <c:v>1.3054500000000001E-3</c:v>
                </c:pt>
                <c:pt idx="89" formatCode="General">
                  <c:v>1.25624E-3</c:v>
                </c:pt>
                <c:pt idx="90" formatCode="General">
                  <c:v>1.2589000000000001E-3</c:v>
                </c:pt>
                <c:pt idx="91" formatCode="General">
                  <c:v>1.27717E-3</c:v>
                </c:pt>
                <c:pt idx="92" formatCode="General">
                  <c:v>1.2873400000000001E-3</c:v>
                </c:pt>
                <c:pt idx="93" formatCode="General">
                  <c:v>1.3513100000000001E-3</c:v>
                </c:pt>
                <c:pt idx="94" formatCode="General">
                  <c:v>1.3460499999999999E-3</c:v>
                </c:pt>
                <c:pt idx="95" formatCode="General">
                  <c:v>1.39989E-3</c:v>
                </c:pt>
                <c:pt idx="96" formatCode="General">
                  <c:v>1.4116300000000001E-3</c:v>
                </c:pt>
                <c:pt idx="97" formatCode="General">
                  <c:v>1.4011200000000001E-3</c:v>
                </c:pt>
                <c:pt idx="98" formatCode="General">
                  <c:v>1.4138499999999999E-3</c:v>
                </c:pt>
                <c:pt idx="99" formatCode="General">
                  <c:v>1.43417E-3</c:v>
                </c:pt>
                <c:pt idx="100" formatCode="General">
                  <c:v>1.43812E-3</c:v>
                </c:pt>
                <c:pt idx="101" formatCode="General">
                  <c:v>1.40372E-3</c:v>
                </c:pt>
                <c:pt idx="102" formatCode="General">
                  <c:v>1.42311E-3</c:v>
                </c:pt>
                <c:pt idx="103" formatCode="General">
                  <c:v>1.4739099999999999E-3</c:v>
                </c:pt>
                <c:pt idx="104" formatCode="General">
                  <c:v>1.5771699999999999E-3</c:v>
                </c:pt>
                <c:pt idx="105" formatCode="General">
                  <c:v>1.56499E-3</c:v>
                </c:pt>
                <c:pt idx="106" formatCode="General">
                  <c:v>1.57679E-3</c:v>
                </c:pt>
                <c:pt idx="107" formatCode="General">
                  <c:v>1.59796E-3</c:v>
                </c:pt>
                <c:pt idx="108" formatCode="General">
                  <c:v>1.6037899999999999E-3</c:v>
                </c:pt>
                <c:pt idx="109" formatCode="General">
                  <c:v>1.6043699999999999E-3</c:v>
                </c:pt>
                <c:pt idx="110" formatCode="General">
                  <c:v>1.61228E-3</c:v>
                </c:pt>
                <c:pt idx="111" formatCode="General">
                  <c:v>1.54412E-3</c:v>
                </c:pt>
                <c:pt idx="112" formatCode="General">
                  <c:v>1.6245400000000001E-3</c:v>
                </c:pt>
                <c:pt idx="113" formatCode="General">
                  <c:v>1.6185399999999999E-3</c:v>
                </c:pt>
                <c:pt idx="114" formatCode="General">
                  <c:v>1.60425E-3</c:v>
                </c:pt>
                <c:pt idx="115" formatCode="General">
                  <c:v>1.6759100000000001E-3</c:v>
                </c:pt>
                <c:pt idx="116" formatCode="General">
                  <c:v>1.64474E-3</c:v>
                </c:pt>
                <c:pt idx="117" formatCode="General">
                  <c:v>1.7068599999999999E-3</c:v>
                </c:pt>
                <c:pt idx="118" formatCode="General">
                  <c:v>1.77546E-3</c:v>
                </c:pt>
                <c:pt idx="119" formatCode="General">
                  <c:v>1.7290199999999999E-3</c:v>
                </c:pt>
                <c:pt idx="120" formatCode="General">
                  <c:v>1.7814199999999999E-3</c:v>
                </c:pt>
                <c:pt idx="121" formatCode="General">
                  <c:v>1.7831399999999999E-3</c:v>
                </c:pt>
                <c:pt idx="122" formatCode="General">
                  <c:v>1.7905600000000001E-3</c:v>
                </c:pt>
                <c:pt idx="123" formatCode="General">
                  <c:v>1.8386699999999999E-3</c:v>
                </c:pt>
                <c:pt idx="124" formatCode="General">
                  <c:v>1.8566500000000001E-3</c:v>
                </c:pt>
                <c:pt idx="125" formatCode="General">
                  <c:v>1.92223E-3</c:v>
                </c:pt>
                <c:pt idx="126" formatCode="General">
                  <c:v>1.8800799999999999E-3</c:v>
                </c:pt>
                <c:pt idx="127" formatCode="General">
                  <c:v>1.8723699999999999E-3</c:v>
                </c:pt>
                <c:pt idx="128" formatCode="General">
                  <c:v>1.9016E-3</c:v>
                </c:pt>
                <c:pt idx="129" formatCode="General">
                  <c:v>1.93089E-3</c:v>
                </c:pt>
                <c:pt idx="130" formatCode="General">
                  <c:v>1.9503299999999999E-3</c:v>
                </c:pt>
                <c:pt idx="131" formatCode="General">
                  <c:v>1.92165E-3</c:v>
                </c:pt>
                <c:pt idx="132" formatCode="General">
                  <c:v>1.91617E-3</c:v>
                </c:pt>
                <c:pt idx="133" formatCode="General">
                  <c:v>1.9302500000000001E-3</c:v>
                </c:pt>
                <c:pt idx="134" formatCode="General">
                  <c:v>1.9737800000000001E-3</c:v>
                </c:pt>
                <c:pt idx="135" formatCode="General">
                  <c:v>2.0573499999999999E-3</c:v>
                </c:pt>
                <c:pt idx="136" formatCode="General">
                  <c:v>2.02111E-3</c:v>
                </c:pt>
                <c:pt idx="137" formatCode="General">
                  <c:v>2.0503800000000001E-3</c:v>
                </c:pt>
                <c:pt idx="138" formatCode="General">
                  <c:v>2.0201799999999999E-3</c:v>
                </c:pt>
                <c:pt idx="139" formatCode="General">
                  <c:v>2.0484000000000001E-3</c:v>
                </c:pt>
                <c:pt idx="140" formatCode="General">
                  <c:v>2.1005799999999999E-3</c:v>
                </c:pt>
                <c:pt idx="141" formatCode="General">
                  <c:v>2.0953999999999999E-3</c:v>
                </c:pt>
                <c:pt idx="142" formatCode="General">
                  <c:v>2.14795E-3</c:v>
                </c:pt>
                <c:pt idx="143" formatCode="General">
                  <c:v>2.15059E-3</c:v>
                </c:pt>
                <c:pt idx="144" formatCode="General">
                  <c:v>2.1333900000000002E-3</c:v>
                </c:pt>
                <c:pt idx="145" formatCode="General">
                  <c:v>2.04843E-3</c:v>
                </c:pt>
                <c:pt idx="146" formatCode="General">
                  <c:v>2.1901400000000001E-3</c:v>
                </c:pt>
                <c:pt idx="147" formatCode="General">
                  <c:v>2.2635300000000001E-3</c:v>
                </c:pt>
                <c:pt idx="148" formatCode="General">
                  <c:v>2.1970499999999999E-3</c:v>
                </c:pt>
                <c:pt idx="149" formatCode="General">
                  <c:v>2.2323199999999999E-3</c:v>
                </c:pt>
                <c:pt idx="150" formatCode="General">
                  <c:v>2.3059500000000002E-3</c:v>
                </c:pt>
                <c:pt idx="151" formatCode="General">
                  <c:v>2.3064399999999999E-3</c:v>
                </c:pt>
                <c:pt idx="152" formatCode="General">
                  <c:v>2.3828899999999999E-3</c:v>
                </c:pt>
                <c:pt idx="153" formatCode="General">
                  <c:v>2.30752E-3</c:v>
                </c:pt>
                <c:pt idx="154" formatCode="General">
                  <c:v>2.3875099999999998E-3</c:v>
                </c:pt>
                <c:pt idx="155" formatCode="General">
                  <c:v>2.3591300000000001E-3</c:v>
                </c:pt>
                <c:pt idx="156" formatCode="General">
                  <c:v>2.3410499999999999E-3</c:v>
                </c:pt>
                <c:pt idx="157" formatCode="General">
                  <c:v>2.4137799999999999E-3</c:v>
                </c:pt>
                <c:pt idx="158" formatCode="General">
                  <c:v>2.4557099999999998E-3</c:v>
                </c:pt>
                <c:pt idx="159" formatCode="General">
                  <c:v>2.4034500000000001E-3</c:v>
                </c:pt>
                <c:pt idx="160" formatCode="General">
                  <c:v>2.4446300000000002E-3</c:v>
                </c:pt>
                <c:pt idx="161" formatCode="General">
                  <c:v>2.5485799999999999E-3</c:v>
                </c:pt>
                <c:pt idx="162" formatCode="General">
                  <c:v>2.4968199999999999E-3</c:v>
                </c:pt>
                <c:pt idx="163" formatCode="General">
                  <c:v>2.5000000000000001E-3</c:v>
                </c:pt>
                <c:pt idx="164" formatCode="General">
                  <c:v>2.4727299999999998E-3</c:v>
                </c:pt>
                <c:pt idx="165" formatCode="General">
                  <c:v>2.5008500000000002E-3</c:v>
                </c:pt>
                <c:pt idx="166" formatCode="General">
                  <c:v>2.5371600000000001E-3</c:v>
                </c:pt>
                <c:pt idx="167" formatCode="General">
                  <c:v>2.5719100000000002E-3</c:v>
                </c:pt>
                <c:pt idx="168" formatCode="General">
                  <c:v>2.5528399999999998E-3</c:v>
                </c:pt>
                <c:pt idx="169" formatCode="General">
                  <c:v>2.5554800000000002E-3</c:v>
                </c:pt>
                <c:pt idx="170" formatCode="General">
                  <c:v>2.5657000000000002E-3</c:v>
                </c:pt>
                <c:pt idx="171" formatCode="General">
                  <c:v>2.6302600000000001E-3</c:v>
                </c:pt>
                <c:pt idx="172" formatCode="General">
                  <c:v>2.6326100000000001E-3</c:v>
                </c:pt>
                <c:pt idx="173" formatCode="General">
                  <c:v>2.5926399999999998E-3</c:v>
                </c:pt>
                <c:pt idx="174" formatCode="General">
                  <c:v>2.6420699999999998E-3</c:v>
                </c:pt>
                <c:pt idx="175" formatCode="General">
                  <c:v>2.6118700000000001E-3</c:v>
                </c:pt>
                <c:pt idx="176" formatCode="General">
                  <c:v>2.63379E-3</c:v>
                </c:pt>
                <c:pt idx="177" formatCode="General">
                  <c:v>2.6832100000000001E-3</c:v>
                </c:pt>
                <c:pt idx="178" formatCode="General">
                  <c:v>2.6761100000000002E-3</c:v>
                </c:pt>
                <c:pt idx="179" formatCode="General">
                  <c:v>2.7103700000000001E-3</c:v>
                </c:pt>
                <c:pt idx="180" formatCode="General">
                  <c:v>2.7199300000000002E-3</c:v>
                </c:pt>
                <c:pt idx="181" formatCode="General">
                  <c:v>2.7651099999999999E-3</c:v>
                </c:pt>
                <c:pt idx="182" formatCode="General">
                  <c:v>2.6997100000000001E-3</c:v>
                </c:pt>
                <c:pt idx="183" formatCode="General">
                  <c:v>2.7939200000000001E-3</c:v>
                </c:pt>
                <c:pt idx="184" formatCode="General">
                  <c:v>2.7375899999999998E-3</c:v>
                </c:pt>
                <c:pt idx="185" formatCode="General">
                  <c:v>2.8333E-3</c:v>
                </c:pt>
                <c:pt idx="186" formatCode="General">
                  <c:v>2.7683199999999999E-3</c:v>
                </c:pt>
                <c:pt idx="187" formatCode="General">
                  <c:v>2.8541299999999999E-3</c:v>
                </c:pt>
                <c:pt idx="188" formatCode="General">
                  <c:v>2.8375700000000002E-3</c:v>
                </c:pt>
                <c:pt idx="189" formatCode="General">
                  <c:v>2.7416699999999999E-3</c:v>
                </c:pt>
                <c:pt idx="190" formatCode="General">
                  <c:v>2.8558899999999998E-3</c:v>
                </c:pt>
                <c:pt idx="191" formatCode="General">
                  <c:v>2.8313399999999999E-3</c:v>
                </c:pt>
                <c:pt idx="192" formatCode="General">
                  <c:v>2.826E-3</c:v>
                </c:pt>
                <c:pt idx="193" formatCode="General">
                  <c:v>2.8696099999999999E-3</c:v>
                </c:pt>
                <c:pt idx="194" formatCode="General">
                  <c:v>2.9726399999999999E-3</c:v>
                </c:pt>
                <c:pt idx="195" formatCode="General">
                  <c:v>2.9397799999999999E-3</c:v>
                </c:pt>
                <c:pt idx="196" formatCode="General">
                  <c:v>3.04894E-3</c:v>
                </c:pt>
                <c:pt idx="197" formatCode="General">
                  <c:v>2.9429999999999999E-3</c:v>
                </c:pt>
                <c:pt idx="198" formatCode="General">
                  <c:v>2.9635400000000002E-3</c:v>
                </c:pt>
                <c:pt idx="199" formatCode="General">
                  <c:v>3.01732E-3</c:v>
                </c:pt>
                <c:pt idx="200" formatCode="General">
                  <c:v>2.9862199999999999E-3</c:v>
                </c:pt>
                <c:pt idx="201" formatCode="General">
                  <c:v>3.06054E-3</c:v>
                </c:pt>
                <c:pt idx="202" formatCode="General">
                  <c:v>2.9899100000000001E-3</c:v>
                </c:pt>
                <c:pt idx="203" formatCode="General">
                  <c:v>3.0288099999999998E-3</c:v>
                </c:pt>
                <c:pt idx="204" formatCode="General">
                  <c:v>3.0747399999999999E-3</c:v>
                </c:pt>
                <c:pt idx="205" formatCode="General">
                  <c:v>3.0536700000000001E-3</c:v>
                </c:pt>
                <c:pt idx="206" formatCode="General">
                  <c:v>3.1060900000000002E-3</c:v>
                </c:pt>
                <c:pt idx="207" formatCode="General">
                  <c:v>3.0955000000000002E-3</c:v>
                </c:pt>
                <c:pt idx="208" formatCode="General">
                  <c:v>3.1335299999999998E-3</c:v>
                </c:pt>
                <c:pt idx="209" formatCode="General">
                  <c:v>3.1985500000000001E-3</c:v>
                </c:pt>
                <c:pt idx="210" formatCode="General">
                  <c:v>3.1440600000000002E-3</c:v>
                </c:pt>
                <c:pt idx="211" formatCode="General">
                  <c:v>3.1610499999999999E-3</c:v>
                </c:pt>
                <c:pt idx="212" formatCode="General">
                  <c:v>3.1744899999999999E-3</c:v>
                </c:pt>
                <c:pt idx="213" formatCode="General">
                  <c:v>3.1159E-3</c:v>
                </c:pt>
                <c:pt idx="214" formatCode="General">
                  <c:v>3.2254900000000001E-3</c:v>
                </c:pt>
                <c:pt idx="215" formatCode="General">
                  <c:v>3.28204E-3</c:v>
                </c:pt>
                <c:pt idx="216" formatCode="General">
                  <c:v>3.2510999999999998E-3</c:v>
                </c:pt>
                <c:pt idx="217" formatCode="General">
                  <c:v>3.2391999999999998E-3</c:v>
                </c:pt>
                <c:pt idx="218" formatCode="General">
                  <c:v>3.2768799999999998E-3</c:v>
                </c:pt>
                <c:pt idx="219" formatCode="General">
                  <c:v>3.27392E-3</c:v>
                </c:pt>
                <c:pt idx="220" formatCode="General">
                  <c:v>3.2821199999999999E-3</c:v>
                </c:pt>
                <c:pt idx="221" formatCode="General">
                  <c:v>3.31139E-3</c:v>
                </c:pt>
                <c:pt idx="222" formatCode="General">
                  <c:v>3.3964099999999999E-3</c:v>
                </c:pt>
                <c:pt idx="223" formatCode="General">
                  <c:v>3.3349400000000002E-3</c:v>
                </c:pt>
                <c:pt idx="224" formatCode="General">
                  <c:v>3.3681800000000001E-3</c:v>
                </c:pt>
                <c:pt idx="225" formatCode="General">
                  <c:v>3.34169E-3</c:v>
                </c:pt>
                <c:pt idx="226" formatCode="General">
                  <c:v>3.37456E-3</c:v>
                </c:pt>
                <c:pt idx="227" formatCode="General">
                  <c:v>3.3940400000000001E-3</c:v>
                </c:pt>
                <c:pt idx="228" formatCode="General">
                  <c:v>3.4454899999999998E-3</c:v>
                </c:pt>
                <c:pt idx="229" formatCode="General">
                  <c:v>3.4153600000000001E-3</c:v>
                </c:pt>
                <c:pt idx="230" formatCode="General">
                  <c:v>3.4062799999999998E-3</c:v>
                </c:pt>
                <c:pt idx="231" formatCode="General">
                  <c:v>3.4113199999999998E-3</c:v>
                </c:pt>
                <c:pt idx="232" formatCode="General">
                  <c:v>3.47445E-3</c:v>
                </c:pt>
                <c:pt idx="233" formatCode="General">
                  <c:v>3.4504700000000002E-3</c:v>
                </c:pt>
                <c:pt idx="234" formatCode="General">
                  <c:v>3.5361199999999998E-3</c:v>
                </c:pt>
                <c:pt idx="235" formatCode="General">
                  <c:v>3.4786000000000001E-3</c:v>
                </c:pt>
                <c:pt idx="236" formatCode="General">
                  <c:v>3.46431E-3</c:v>
                </c:pt>
                <c:pt idx="237" formatCode="General">
                  <c:v>3.5307200000000002E-3</c:v>
                </c:pt>
                <c:pt idx="238" formatCode="General">
                  <c:v>3.5873799999999998E-3</c:v>
                </c:pt>
                <c:pt idx="239" formatCode="General">
                  <c:v>3.5385999999999998E-3</c:v>
                </c:pt>
                <c:pt idx="240" formatCode="General">
                  <c:v>3.60414E-3</c:v>
                </c:pt>
                <c:pt idx="241" formatCode="General">
                  <c:v>3.6011099999999998E-3</c:v>
                </c:pt>
                <c:pt idx="242" formatCode="General">
                  <c:v>3.6071599999999999E-3</c:v>
                </c:pt>
                <c:pt idx="243" formatCode="General">
                  <c:v>3.6399000000000002E-3</c:v>
                </c:pt>
                <c:pt idx="244" formatCode="General">
                  <c:v>3.6584500000000002E-3</c:v>
                </c:pt>
                <c:pt idx="245" formatCode="General">
                  <c:v>3.6624600000000002E-3</c:v>
                </c:pt>
                <c:pt idx="246" formatCode="General">
                  <c:v>3.6443399999999998E-3</c:v>
                </c:pt>
                <c:pt idx="247" formatCode="General">
                  <c:v>3.6581399999999998E-3</c:v>
                </c:pt>
                <c:pt idx="248" formatCode="General">
                  <c:v>3.7190700000000001E-3</c:v>
                </c:pt>
                <c:pt idx="249" formatCode="General">
                  <c:v>3.72471E-3</c:v>
                </c:pt>
                <c:pt idx="250" formatCode="General">
                  <c:v>3.7533499999999999E-3</c:v>
                </c:pt>
                <c:pt idx="251" formatCode="General">
                  <c:v>3.6169599999999998E-3</c:v>
                </c:pt>
                <c:pt idx="252" formatCode="General">
                  <c:v>3.6743499999999998E-3</c:v>
                </c:pt>
                <c:pt idx="253" formatCode="General">
                  <c:v>3.74253E-3</c:v>
                </c:pt>
                <c:pt idx="254" formatCode="General">
                  <c:v>3.7615700000000001E-3</c:v>
                </c:pt>
                <c:pt idx="255" formatCode="General">
                  <c:v>3.80518E-3</c:v>
                </c:pt>
                <c:pt idx="256" formatCode="General">
                  <c:v>3.72493E-3</c:v>
                </c:pt>
                <c:pt idx="257" formatCode="General">
                  <c:v>3.7760200000000002E-3</c:v>
                </c:pt>
                <c:pt idx="258" formatCode="General">
                  <c:v>3.8373299999999999E-3</c:v>
                </c:pt>
                <c:pt idx="259" formatCode="General">
                  <c:v>3.8006400000000001E-3</c:v>
                </c:pt>
                <c:pt idx="260" formatCode="General">
                  <c:v>3.7634500000000002E-3</c:v>
                </c:pt>
                <c:pt idx="261" formatCode="General">
                  <c:v>3.77028E-3</c:v>
                </c:pt>
                <c:pt idx="262" formatCode="General">
                  <c:v>3.8500600000000002E-3</c:v>
                </c:pt>
                <c:pt idx="263" formatCode="General">
                  <c:v>3.8818799999999999E-3</c:v>
                </c:pt>
                <c:pt idx="264" formatCode="General">
                  <c:v>3.9104999999999999E-3</c:v>
                </c:pt>
                <c:pt idx="265" formatCode="General">
                  <c:v>3.8508700000000002E-3</c:v>
                </c:pt>
                <c:pt idx="266" formatCode="General">
                  <c:v>3.9620100000000002E-3</c:v>
                </c:pt>
                <c:pt idx="267" formatCode="General">
                  <c:v>3.9863199999999998E-3</c:v>
                </c:pt>
                <c:pt idx="268" formatCode="General">
                  <c:v>4.0567399999999997E-3</c:v>
                </c:pt>
                <c:pt idx="269" formatCode="General">
                  <c:v>3.9957200000000003E-3</c:v>
                </c:pt>
                <c:pt idx="270" formatCode="General">
                  <c:v>3.9437700000000001E-3</c:v>
                </c:pt>
                <c:pt idx="271" formatCode="General">
                  <c:v>3.9929600000000003E-3</c:v>
                </c:pt>
                <c:pt idx="272" formatCode="General">
                  <c:v>4.0280300000000002E-3</c:v>
                </c:pt>
                <c:pt idx="273" formatCode="General">
                  <c:v>4.0018500000000004E-3</c:v>
                </c:pt>
                <c:pt idx="274" formatCode="General">
                  <c:v>4.0804600000000002E-3</c:v>
                </c:pt>
                <c:pt idx="275" formatCode="General">
                  <c:v>4.0574599999999997E-3</c:v>
                </c:pt>
                <c:pt idx="276" formatCode="General">
                  <c:v>4.0892400000000001E-3</c:v>
                </c:pt>
                <c:pt idx="277" formatCode="General">
                  <c:v>4.12372E-3</c:v>
                </c:pt>
                <c:pt idx="278" formatCode="General">
                  <c:v>4.1483099999999997E-3</c:v>
                </c:pt>
                <c:pt idx="279" formatCode="General">
                  <c:v>4.1140200000000004E-3</c:v>
                </c:pt>
                <c:pt idx="280" formatCode="General">
                  <c:v>4.1131099999999997E-3</c:v>
                </c:pt>
                <c:pt idx="281" formatCode="General">
                  <c:v>4.1681599999999997E-3</c:v>
                </c:pt>
                <c:pt idx="282" formatCode="General">
                  <c:v>4.1851700000000002E-3</c:v>
                </c:pt>
                <c:pt idx="283" formatCode="General">
                  <c:v>4.2210700000000004E-3</c:v>
                </c:pt>
                <c:pt idx="284" formatCode="General">
                  <c:v>4.1770100000000001E-3</c:v>
                </c:pt>
                <c:pt idx="285" formatCode="General">
                  <c:v>4.2574800000000001E-3</c:v>
                </c:pt>
                <c:pt idx="286" formatCode="General">
                  <c:v>4.2922200000000002E-3</c:v>
                </c:pt>
                <c:pt idx="287" formatCode="General">
                  <c:v>4.24304E-3</c:v>
                </c:pt>
                <c:pt idx="288" formatCode="General">
                  <c:v>4.2516300000000002E-3</c:v>
                </c:pt>
                <c:pt idx="289" formatCode="General">
                  <c:v>4.3198100000000003E-3</c:v>
                </c:pt>
                <c:pt idx="290" formatCode="General">
                  <c:v>4.3086399999999999E-3</c:v>
                </c:pt>
                <c:pt idx="291" formatCode="General">
                  <c:v>4.3361700000000003E-3</c:v>
                </c:pt>
                <c:pt idx="292" formatCode="General">
                  <c:v>4.3275700000000002E-3</c:v>
                </c:pt>
                <c:pt idx="293" formatCode="General">
                  <c:v>4.4087500000000003E-3</c:v>
                </c:pt>
                <c:pt idx="294" formatCode="General">
                  <c:v>4.4003200000000001E-3</c:v>
                </c:pt>
                <c:pt idx="295" formatCode="General">
                  <c:v>4.4162899999999998E-3</c:v>
                </c:pt>
                <c:pt idx="296" formatCode="General">
                  <c:v>4.3502000000000002E-3</c:v>
                </c:pt>
                <c:pt idx="297" formatCode="General">
                  <c:v>4.4093600000000002E-3</c:v>
                </c:pt>
                <c:pt idx="298" formatCode="General">
                  <c:v>4.3917499999999998E-3</c:v>
                </c:pt>
                <c:pt idx="299" formatCode="General">
                  <c:v>4.4863500000000001E-3</c:v>
                </c:pt>
                <c:pt idx="300" formatCode="General">
                  <c:v>4.4429700000000001E-3</c:v>
                </c:pt>
                <c:pt idx="301" formatCode="General">
                  <c:v>4.4748499999999998E-3</c:v>
                </c:pt>
                <c:pt idx="302" formatCode="General">
                  <c:v>4.4503299999999997E-3</c:v>
                </c:pt>
                <c:pt idx="303" formatCode="General">
                  <c:v>4.5133300000000003E-3</c:v>
                </c:pt>
                <c:pt idx="304" formatCode="General">
                  <c:v>4.59429E-3</c:v>
                </c:pt>
                <c:pt idx="305" formatCode="General">
                  <c:v>4.5150900000000002E-3</c:v>
                </c:pt>
                <c:pt idx="306" formatCode="General">
                  <c:v>4.5209500000000001E-3</c:v>
                </c:pt>
                <c:pt idx="307" formatCode="General">
                  <c:v>4.5561500000000001E-3</c:v>
                </c:pt>
                <c:pt idx="308" formatCode="General">
                  <c:v>4.5361999999999998E-3</c:v>
                </c:pt>
                <c:pt idx="309" formatCode="General">
                  <c:v>4.61503E-3</c:v>
                </c:pt>
                <c:pt idx="310" formatCode="General">
                  <c:v>4.6408700000000001E-3</c:v>
                </c:pt>
                <c:pt idx="311" formatCode="General">
                  <c:v>4.5688300000000003E-3</c:v>
                </c:pt>
                <c:pt idx="312" formatCode="General">
                  <c:v>4.6020499999999999E-3</c:v>
                </c:pt>
                <c:pt idx="313" formatCode="General">
                  <c:v>4.6049400000000001E-3</c:v>
                </c:pt>
                <c:pt idx="314" formatCode="General">
                  <c:v>4.6277599999999999E-3</c:v>
                </c:pt>
                <c:pt idx="315" formatCode="General">
                  <c:v>4.6799500000000004E-3</c:v>
                </c:pt>
                <c:pt idx="316" formatCode="General">
                  <c:v>4.5925899999999997E-3</c:v>
                </c:pt>
                <c:pt idx="317" formatCode="General">
                  <c:v>4.6827300000000004E-3</c:v>
                </c:pt>
                <c:pt idx="318" formatCode="General">
                  <c:v>4.7633299999999996E-3</c:v>
                </c:pt>
                <c:pt idx="319" formatCode="General">
                  <c:v>4.7376500000000004E-3</c:v>
                </c:pt>
                <c:pt idx="320" formatCode="General">
                  <c:v>4.7122400000000004E-3</c:v>
                </c:pt>
                <c:pt idx="321" formatCode="General">
                  <c:v>4.6626100000000002E-3</c:v>
                </c:pt>
                <c:pt idx="322" formatCode="General">
                  <c:v>4.70382E-3</c:v>
                </c:pt>
                <c:pt idx="323" formatCode="General">
                  <c:v>4.7474099999999997E-3</c:v>
                </c:pt>
                <c:pt idx="324" formatCode="General">
                  <c:v>4.7733599999999999E-3</c:v>
                </c:pt>
                <c:pt idx="325" formatCode="General">
                  <c:v>4.7417900000000001E-3</c:v>
                </c:pt>
                <c:pt idx="326" formatCode="General">
                  <c:v>4.8383499999999999E-3</c:v>
                </c:pt>
                <c:pt idx="327" formatCode="General">
                  <c:v>4.8205699999999997E-3</c:v>
                </c:pt>
                <c:pt idx="328" formatCode="General">
                  <c:v>4.8344399999999997E-3</c:v>
                </c:pt>
                <c:pt idx="329" formatCode="General">
                  <c:v>4.8885400000000002E-3</c:v>
                </c:pt>
                <c:pt idx="330" formatCode="General">
                  <c:v>4.8742200000000003E-3</c:v>
                </c:pt>
                <c:pt idx="331" formatCode="General">
                  <c:v>4.8916100000000002E-3</c:v>
                </c:pt>
                <c:pt idx="332" formatCode="General">
                  <c:v>4.9197800000000003E-3</c:v>
                </c:pt>
                <c:pt idx="333" formatCode="General">
                  <c:v>4.9147799999999997E-3</c:v>
                </c:pt>
                <c:pt idx="334" formatCode="General">
                  <c:v>4.9386999999999999E-3</c:v>
                </c:pt>
                <c:pt idx="335" formatCode="General">
                  <c:v>4.9501700000000003E-3</c:v>
                </c:pt>
                <c:pt idx="336" formatCode="General">
                  <c:v>5.0148600000000003E-3</c:v>
                </c:pt>
                <c:pt idx="337" formatCode="General">
                  <c:v>4.9324E-3</c:v>
                </c:pt>
                <c:pt idx="338" formatCode="General">
                  <c:v>5.0070699999999998E-3</c:v>
                </c:pt>
                <c:pt idx="339" formatCode="General">
                  <c:v>4.9187299999999996E-3</c:v>
                </c:pt>
                <c:pt idx="340" formatCode="General">
                  <c:v>5.0501900000000004E-3</c:v>
                </c:pt>
                <c:pt idx="341" formatCode="General">
                  <c:v>5.0531400000000002E-3</c:v>
                </c:pt>
                <c:pt idx="342" formatCode="General">
                  <c:v>5.0476799999999997E-3</c:v>
                </c:pt>
                <c:pt idx="343" formatCode="General">
                  <c:v>5.0580399999999998E-3</c:v>
                </c:pt>
                <c:pt idx="344" formatCode="General">
                  <c:v>5.0541900000000001E-3</c:v>
                </c:pt>
                <c:pt idx="345" formatCode="General">
                  <c:v>5.0715400000000002E-3</c:v>
                </c:pt>
                <c:pt idx="346" formatCode="General">
                  <c:v>5.0775500000000001E-3</c:v>
                </c:pt>
                <c:pt idx="347" formatCode="General">
                  <c:v>5.1352699999999999E-3</c:v>
                </c:pt>
                <c:pt idx="348" formatCode="General">
                  <c:v>5.1043599999999996E-3</c:v>
                </c:pt>
                <c:pt idx="349" formatCode="General">
                  <c:v>5.1329699999999997E-3</c:v>
                </c:pt>
                <c:pt idx="350" formatCode="General">
                  <c:v>5.1660899999999999E-3</c:v>
                </c:pt>
                <c:pt idx="351" formatCode="General">
                  <c:v>5.19499E-3</c:v>
                </c:pt>
                <c:pt idx="352" formatCode="General">
                  <c:v>5.11466E-3</c:v>
                </c:pt>
                <c:pt idx="353" formatCode="General">
                  <c:v>5.2264800000000004E-3</c:v>
                </c:pt>
                <c:pt idx="354" formatCode="General">
                  <c:v>5.2119899999999997E-3</c:v>
                </c:pt>
                <c:pt idx="355" formatCode="General">
                  <c:v>5.2853400000000004E-3</c:v>
                </c:pt>
                <c:pt idx="356" formatCode="General">
                  <c:v>5.2648199999999999E-3</c:v>
                </c:pt>
                <c:pt idx="357" formatCode="General">
                  <c:v>5.2665000000000003E-3</c:v>
                </c:pt>
                <c:pt idx="358" formatCode="General">
                  <c:v>5.2554699999999999E-3</c:v>
                </c:pt>
                <c:pt idx="359" formatCode="General">
                  <c:v>5.2701600000000003E-3</c:v>
                </c:pt>
                <c:pt idx="360" formatCode="General">
                  <c:v>5.2481699999999999E-3</c:v>
                </c:pt>
                <c:pt idx="361" formatCode="General">
                  <c:v>5.2769100000000001E-3</c:v>
                </c:pt>
                <c:pt idx="362" formatCode="General">
                  <c:v>5.3036799999999999E-3</c:v>
                </c:pt>
                <c:pt idx="363" formatCode="General">
                  <c:v>5.32191E-3</c:v>
                </c:pt>
                <c:pt idx="364" formatCode="General">
                  <c:v>5.3902300000000002E-3</c:v>
                </c:pt>
                <c:pt idx="365" formatCode="General">
                  <c:v>5.3932499999999996E-3</c:v>
                </c:pt>
                <c:pt idx="366" formatCode="General">
                  <c:v>5.3961699999999996E-3</c:v>
                </c:pt>
                <c:pt idx="367" formatCode="General">
                  <c:v>5.3641399999999999E-3</c:v>
                </c:pt>
                <c:pt idx="368" formatCode="General">
                  <c:v>5.4138299999999997E-3</c:v>
                </c:pt>
                <c:pt idx="369" formatCode="General">
                  <c:v>5.4072800000000004E-3</c:v>
                </c:pt>
                <c:pt idx="370" formatCode="General">
                  <c:v>5.3867200000000002E-3</c:v>
                </c:pt>
                <c:pt idx="371" formatCode="General">
                  <c:v>5.4279699999999998E-3</c:v>
                </c:pt>
                <c:pt idx="372" formatCode="General">
                  <c:v>5.4225699999999998E-3</c:v>
                </c:pt>
                <c:pt idx="373" formatCode="General">
                  <c:v>5.4550299999999996E-3</c:v>
                </c:pt>
                <c:pt idx="374" formatCode="General">
                  <c:v>5.3911000000000002E-3</c:v>
                </c:pt>
                <c:pt idx="375" formatCode="General">
                  <c:v>5.4666000000000003E-3</c:v>
                </c:pt>
                <c:pt idx="376" formatCode="General">
                  <c:v>5.4682100000000003E-3</c:v>
                </c:pt>
                <c:pt idx="377" formatCode="General">
                  <c:v>5.5368300000000004E-3</c:v>
                </c:pt>
                <c:pt idx="378" formatCode="General">
                  <c:v>5.4926799999999998E-3</c:v>
                </c:pt>
                <c:pt idx="379" formatCode="General">
                  <c:v>5.5092700000000001E-3</c:v>
                </c:pt>
                <c:pt idx="380" formatCode="General">
                  <c:v>5.5454199999999997E-3</c:v>
                </c:pt>
                <c:pt idx="381" formatCode="General">
                  <c:v>5.6232900000000004E-3</c:v>
                </c:pt>
                <c:pt idx="382" formatCode="General">
                  <c:v>5.5698400000000004E-3</c:v>
                </c:pt>
                <c:pt idx="383" formatCode="General">
                  <c:v>5.6069199999999996E-3</c:v>
                </c:pt>
                <c:pt idx="384" formatCode="General">
                  <c:v>5.6037099999999996E-3</c:v>
                </c:pt>
                <c:pt idx="385" formatCode="General">
                  <c:v>5.6092900000000003E-3</c:v>
                </c:pt>
                <c:pt idx="386" formatCode="General">
                  <c:v>5.6500500000000002E-3</c:v>
                </c:pt>
                <c:pt idx="387" formatCode="General">
                  <c:v>5.6667100000000001E-3</c:v>
                </c:pt>
                <c:pt idx="388" formatCode="General">
                  <c:v>5.6631900000000002E-3</c:v>
                </c:pt>
                <c:pt idx="389" formatCode="General">
                  <c:v>5.5782200000000001E-3</c:v>
                </c:pt>
                <c:pt idx="390" formatCode="General">
                  <c:v>5.6271899999999998E-3</c:v>
                </c:pt>
                <c:pt idx="391" formatCode="General">
                  <c:v>5.6280200000000001E-3</c:v>
                </c:pt>
                <c:pt idx="392" formatCode="General">
                  <c:v>5.78284E-3</c:v>
                </c:pt>
                <c:pt idx="393" formatCode="General">
                  <c:v>5.6936299999999999E-3</c:v>
                </c:pt>
                <c:pt idx="394" formatCode="General">
                  <c:v>5.7118200000000003E-3</c:v>
                </c:pt>
                <c:pt idx="395" formatCode="General">
                  <c:v>5.7307699999999996E-3</c:v>
                </c:pt>
                <c:pt idx="396" formatCode="General">
                  <c:v>5.8077900000000002E-3</c:v>
                </c:pt>
                <c:pt idx="397" formatCode="General">
                  <c:v>5.7289999999999997E-3</c:v>
                </c:pt>
                <c:pt idx="398" formatCode="General">
                  <c:v>5.7888799999999997E-3</c:v>
                </c:pt>
                <c:pt idx="399" formatCode="General">
                  <c:v>5.7899400000000004E-3</c:v>
                </c:pt>
                <c:pt idx="400" formatCode="General">
                  <c:v>5.8669799999999999E-3</c:v>
                </c:pt>
                <c:pt idx="401" formatCode="General">
                  <c:v>5.8342899999999998E-3</c:v>
                </c:pt>
                <c:pt idx="402" formatCode="General">
                  <c:v>5.84711E-3</c:v>
                </c:pt>
                <c:pt idx="403" formatCode="General">
                  <c:v>5.8732599999999999E-3</c:v>
                </c:pt>
                <c:pt idx="404" formatCode="General">
                  <c:v>5.8733500000000003E-3</c:v>
                </c:pt>
                <c:pt idx="405" formatCode="General">
                  <c:v>5.8683199999999998E-3</c:v>
                </c:pt>
                <c:pt idx="406" formatCode="General">
                  <c:v>5.8726899999999999E-3</c:v>
                </c:pt>
                <c:pt idx="407" formatCode="General">
                  <c:v>5.9233200000000001E-3</c:v>
                </c:pt>
                <c:pt idx="408" formatCode="General">
                  <c:v>5.89895E-3</c:v>
                </c:pt>
                <c:pt idx="409" formatCode="General">
                  <c:v>5.9178399999999997E-3</c:v>
                </c:pt>
                <c:pt idx="410" formatCode="General">
                  <c:v>6.0001799999999999E-3</c:v>
                </c:pt>
                <c:pt idx="411" formatCode="General">
                  <c:v>6.0244799999999996E-3</c:v>
                </c:pt>
                <c:pt idx="412" formatCode="General">
                  <c:v>6.0231399999999997E-3</c:v>
                </c:pt>
                <c:pt idx="413" formatCode="General">
                  <c:v>6.0195800000000001E-3</c:v>
                </c:pt>
                <c:pt idx="414" formatCode="General">
                  <c:v>6.0120399999999997E-3</c:v>
                </c:pt>
                <c:pt idx="415" formatCode="General">
                  <c:v>6.08589E-3</c:v>
                </c:pt>
                <c:pt idx="416" formatCode="General">
                  <c:v>6.0726599999999997E-3</c:v>
                </c:pt>
                <c:pt idx="417" formatCode="General">
                  <c:v>6.0576299999999996E-3</c:v>
                </c:pt>
                <c:pt idx="418" formatCode="General">
                  <c:v>6.0747500000000003E-3</c:v>
                </c:pt>
                <c:pt idx="419" formatCode="General">
                  <c:v>6.1968700000000002E-3</c:v>
                </c:pt>
                <c:pt idx="420" formatCode="General">
                  <c:v>6.0827800000000003E-3</c:v>
                </c:pt>
                <c:pt idx="421" formatCode="General">
                  <c:v>6.16593E-3</c:v>
                </c:pt>
                <c:pt idx="422" formatCode="General">
                  <c:v>6.13E-3</c:v>
                </c:pt>
                <c:pt idx="423" formatCode="General">
                  <c:v>6.1663600000000001E-3</c:v>
                </c:pt>
                <c:pt idx="424" formatCode="General">
                  <c:v>6.20259E-3</c:v>
                </c:pt>
                <c:pt idx="425" formatCode="General">
                  <c:v>6.1670800000000001E-3</c:v>
                </c:pt>
                <c:pt idx="426" formatCode="General">
                  <c:v>6.2484200000000002E-3</c:v>
                </c:pt>
                <c:pt idx="427" formatCode="General">
                  <c:v>6.1736100000000004E-3</c:v>
                </c:pt>
                <c:pt idx="428" formatCode="General">
                  <c:v>6.2682099999999998E-3</c:v>
                </c:pt>
                <c:pt idx="429" formatCode="General">
                  <c:v>6.2361200000000004E-3</c:v>
                </c:pt>
                <c:pt idx="430" formatCode="General">
                  <c:v>6.3064699999999998E-3</c:v>
                </c:pt>
                <c:pt idx="431" formatCode="General">
                  <c:v>6.2551100000000004E-3</c:v>
                </c:pt>
                <c:pt idx="432" formatCode="General">
                  <c:v>6.3029399999999999E-3</c:v>
                </c:pt>
                <c:pt idx="433" formatCode="General">
                  <c:v>6.3330599999999997E-3</c:v>
                </c:pt>
                <c:pt idx="434" formatCode="General">
                  <c:v>6.3391599999999999E-3</c:v>
                </c:pt>
                <c:pt idx="435" formatCode="General">
                  <c:v>6.31169E-3</c:v>
                </c:pt>
                <c:pt idx="436" formatCode="General">
                  <c:v>6.378E-3</c:v>
                </c:pt>
                <c:pt idx="437" formatCode="General">
                  <c:v>6.2897500000000002E-3</c:v>
                </c:pt>
                <c:pt idx="438" formatCode="General">
                  <c:v>6.3941400000000004E-3</c:v>
                </c:pt>
                <c:pt idx="439" formatCode="General">
                  <c:v>6.40954E-3</c:v>
                </c:pt>
                <c:pt idx="440" formatCode="General">
                  <c:v>6.4124000000000004E-3</c:v>
                </c:pt>
                <c:pt idx="441" formatCode="General">
                  <c:v>6.4299700000000001E-3</c:v>
                </c:pt>
                <c:pt idx="442" formatCode="General">
                  <c:v>6.5161200000000002E-3</c:v>
                </c:pt>
                <c:pt idx="443" formatCode="General">
                  <c:v>6.4057799999999998E-3</c:v>
                </c:pt>
                <c:pt idx="444" formatCode="General">
                  <c:v>6.49834E-3</c:v>
                </c:pt>
                <c:pt idx="445" formatCode="General">
                  <c:v>6.5482300000000004E-3</c:v>
                </c:pt>
                <c:pt idx="446" formatCode="General">
                  <c:v>6.5350299999999998E-3</c:v>
                </c:pt>
                <c:pt idx="447" formatCode="General">
                  <c:v>6.5383100000000003E-3</c:v>
                </c:pt>
                <c:pt idx="448" formatCode="General">
                  <c:v>6.5332000000000003E-3</c:v>
                </c:pt>
                <c:pt idx="449" formatCode="General">
                  <c:v>6.5641099999999997E-3</c:v>
                </c:pt>
                <c:pt idx="450" formatCode="General">
                  <c:v>6.5373899999999997E-3</c:v>
                </c:pt>
                <c:pt idx="451" formatCode="General">
                  <c:v>6.5704800000000001E-3</c:v>
                </c:pt>
                <c:pt idx="452" formatCode="General">
                  <c:v>6.63051E-3</c:v>
                </c:pt>
                <c:pt idx="453" formatCode="General">
                  <c:v>6.5814599999999999E-3</c:v>
                </c:pt>
              </c:numCache>
            </c:numRef>
          </c:xVal>
          <c:yVal>
            <c:numRef>
              <c:f>'L30CPTX-2'!$W$7:$W$469</c:f>
              <c:numCache>
                <c:formatCode>General</c:formatCode>
                <c:ptCount val="463"/>
                <c:pt idx="0">
                  <c:v>0</c:v>
                </c:pt>
                <c:pt idx="1">
                  <c:v>-2.2370766666666666E-5</c:v>
                </c:pt>
                <c:pt idx="2">
                  <c:v>7.1479333333333332E-5</c:v>
                </c:pt>
                <c:pt idx="3">
                  <c:v>5.2495000000000026E-7</c:v>
                </c:pt>
                <c:pt idx="4">
                  <c:v>-4.0847000000000009E-6</c:v>
                </c:pt>
                <c:pt idx="5">
                  <c:v>-1.218706E-4</c:v>
                </c:pt>
                <c:pt idx="6">
                  <c:v>-7.4097933333333341E-5</c:v>
                </c:pt>
                <c:pt idx="7">
                  <c:v>-1.6612033333333333E-5</c:v>
                </c:pt>
                <c:pt idx="8">
                  <c:v>-2.779136666666667E-5</c:v>
                </c:pt>
                <c:pt idx="9">
                  <c:v>-9.6419333333333317E-6</c:v>
                </c:pt>
                <c:pt idx="10">
                  <c:v>5.9970099999999997E-5</c:v>
                </c:pt>
                <c:pt idx="11">
                  <c:v>5.365306666666667E-5</c:v>
                </c:pt>
                <c:pt idx="12">
                  <c:v>3.1108133333333335E-5</c:v>
                </c:pt>
                <c:pt idx="13">
                  <c:v>3.6799376666666666E-5</c:v>
                </c:pt>
                <c:pt idx="14">
                  <c:v>3.3942566666666669E-5</c:v>
                </c:pt>
                <c:pt idx="15">
                  <c:v>3.2829300000000001E-5</c:v>
                </c:pt>
                <c:pt idx="16">
                  <c:v>1.4751366666666666E-4</c:v>
                </c:pt>
                <c:pt idx="17">
                  <c:v>-3.9093279999999999E-5</c:v>
                </c:pt>
                <c:pt idx="18">
                  <c:v>8.817693333333334E-5</c:v>
                </c:pt>
                <c:pt idx="19">
                  <c:v>-2.3889666666666669E-5</c:v>
                </c:pt>
                <c:pt idx="20">
                  <c:v>4.7214859999999998E-5</c:v>
                </c:pt>
                <c:pt idx="21">
                  <c:v>3.9337300000000007E-5</c:v>
                </c:pt>
                <c:pt idx="22">
                  <c:v>7.3904533333333337E-5</c:v>
                </c:pt>
                <c:pt idx="23">
                  <c:v>3.8892966666666668E-5</c:v>
                </c:pt>
                <c:pt idx="24">
                  <c:v>1.056417E-4</c:v>
                </c:pt>
                <c:pt idx="25">
                  <c:v>4.4565093333333329E-5</c:v>
                </c:pt>
                <c:pt idx="26">
                  <c:v>1.2179736666666667E-4</c:v>
                </c:pt>
                <c:pt idx="27">
                  <c:v>1.4604023333333332E-4</c:v>
                </c:pt>
                <c:pt idx="28">
                  <c:v>8.5637243333333321E-5</c:v>
                </c:pt>
                <c:pt idx="29">
                  <c:v>1.6330066666666665E-4</c:v>
                </c:pt>
                <c:pt idx="30">
                  <c:v>1.2277700000000001E-5</c:v>
                </c:pt>
                <c:pt idx="31">
                  <c:v>2.2147633333333334E-4</c:v>
                </c:pt>
                <c:pt idx="32">
                  <c:v>1.5940646666666667E-4</c:v>
                </c:pt>
                <c:pt idx="33">
                  <c:v>1.6251016666666665E-4</c:v>
                </c:pt>
                <c:pt idx="34">
                  <c:v>2.1314833333333332E-4</c:v>
                </c:pt>
                <c:pt idx="35">
                  <c:v>1.4647940000000001E-4</c:v>
                </c:pt>
                <c:pt idx="36">
                  <c:v>1.6142540000000001E-4</c:v>
                </c:pt>
                <c:pt idx="37">
                  <c:v>1.7655303333333336E-4</c:v>
                </c:pt>
                <c:pt idx="38">
                  <c:v>1.70734E-4</c:v>
                </c:pt>
                <c:pt idx="39">
                  <c:v>2.3744233333333333E-4</c:v>
                </c:pt>
                <c:pt idx="40">
                  <c:v>1.7205863333333334E-4</c:v>
                </c:pt>
                <c:pt idx="41">
                  <c:v>2.4271433333333334E-4</c:v>
                </c:pt>
                <c:pt idx="42">
                  <c:v>7.9976473333333338E-5</c:v>
                </c:pt>
                <c:pt idx="43">
                  <c:v>2.9289533333333331E-4</c:v>
                </c:pt>
                <c:pt idx="44">
                  <c:v>3.011076666666667E-4</c:v>
                </c:pt>
                <c:pt idx="45">
                  <c:v>2.6498733333333332E-4</c:v>
                </c:pt>
                <c:pt idx="46">
                  <c:v>2.67011E-4</c:v>
                </c:pt>
                <c:pt idx="47">
                  <c:v>3.7067266666666665E-4</c:v>
                </c:pt>
                <c:pt idx="48">
                  <c:v>2.2815366666666665E-4</c:v>
                </c:pt>
                <c:pt idx="49">
                  <c:v>3.383313333333333E-4</c:v>
                </c:pt>
                <c:pt idx="50">
                  <c:v>2.4356499999999998E-4</c:v>
                </c:pt>
                <c:pt idx="51">
                  <c:v>3.2375266666666665E-4</c:v>
                </c:pt>
                <c:pt idx="52">
                  <c:v>3.398383333333334E-4</c:v>
                </c:pt>
                <c:pt idx="53">
                  <c:v>3.8530833333333333E-4</c:v>
                </c:pt>
                <c:pt idx="54">
                  <c:v>3.27621E-4</c:v>
                </c:pt>
                <c:pt idx="55">
                  <c:v>3.4889866666666663E-4</c:v>
                </c:pt>
                <c:pt idx="56">
                  <c:v>3.5652933333333334E-4</c:v>
                </c:pt>
                <c:pt idx="57">
                  <c:v>3.3865933333333337E-4</c:v>
                </c:pt>
                <c:pt idx="58">
                  <c:v>3.4703733333333334E-4</c:v>
                </c:pt>
                <c:pt idx="59">
                  <c:v>3.6430333333333339E-4</c:v>
                </c:pt>
                <c:pt idx="60">
                  <c:v>3.5058733333333329E-4</c:v>
                </c:pt>
                <c:pt idx="61">
                  <c:v>3.5865733333333329E-4</c:v>
                </c:pt>
                <c:pt idx="62">
                  <c:v>3.2922633333333333E-4</c:v>
                </c:pt>
                <c:pt idx="63">
                  <c:v>3.5770300000000001E-4</c:v>
                </c:pt>
                <c:pt idx="64">
                  <c:v>3.4333066666666668E-4</c:v>
                </c:pt>
                <c:pt idx="65">
                  <c:v>4.3292100000000001E-4</c:v>
                </c:pt>
                <c:pt idx="66">
                  <c:v>3.2631499999999998E-4</c:v>
                </c:pt>
                <c:pt idx="67">
                  <c:v>4.5154166666666666E-4</c:v>
                </c:pt>
                <c:pt idx="68">
                  <c:v>4.9051499999999996E-4</c:v>
                </c:pt>
                <c:pt idx="69">
                  <c:v>4.2647066666666672E-4</c:v>
                </c:pt>
                <c:pt idx="70">
                  <c:v>4.49467E-4</c:v>
                </c:pt>
                <c:pt idx="71">
                  <c:v>4.2769899999999997E-4</c:v>
                </c:pt>
                <c:pt idx="72">
                  <c:v>5.2147100000000002E-4</c:v>
                </c:pt>
                <c:pt idx="73">
                  <c:v>4.9961600000000004E-4</c:v>
                </c:pt>
                <c:pt idx="74">
                  <c:v>4.5697333333333327E-4</c:v>
                </c:pt>
                <c:pt idx="75">
                  <c:v>5.1189133333333326E-4</c:v>
                </c:pt>
                <c:pt idx="76">
                  <c:v>4.4822133333333332E-4</c:v>
                </c:pt>
                <c:pt idx="77">
                  <c:v>4.4556566666666668E-4</c:v>
                </c:pt>
                <c:pt idx="78">
                  <c:v>4.424453333333334E-4</c:v>
                </c:pt>
                <c:pt idx="79">
                  <c:v>4.4806766666666666E-4</c:v>
                </c:pt>
                <c:pt idx="80">
                  <c:v>5.510053333333334E-4</c:v>
                </c:pt>
                <c:pt idx="81">
                  <c:v>6.0534633333333325E-4</c:v>
                </c:pt>
                <c:pt idx="82">
                  <c:v>6.7813233333333328E-4</c:v>
                </c:pt>
                <c:pt idx="83">
                  <c:v>5.1897066666666675E-4</c:v>
                </c:pt>
                <c:pt idx="84">
                  <c:v>5.2295099999999991E-4</c:v>
                </c:pt>
                <c:pt idx="85">
                  <c:v>6.2439966666666662E-4</c:v>
                </c:pt>
                <c:pt idx="86">
                  <c:v>5.5642599999999995E-4</c:v>
                </c:pt>
                <c:pt idx="87">
                  <c:v>6.1341966666666667E-4</c:v>
                </c:pt>
                <c:pt idx="88">
                  <c:v>5.7357033333333329E-4</c:v>
                </c:pt>
                <c:pt idx="89">
                  <c:v>5.5567933333333338E-4</c:v>
                </c:pt>
                <c:pt idx="90">
                  <c:v>6.7644933333333346E-4</c:v>
                </c:pt>
                <c:pt idx="91">
                  <c:v>6.2689033333333333E-4</c:v>
                </c:pt>
                <c:pt idx="92">
                  <c:v>6.3736466666666671E-4</c:v>
                </c:pt>
                <c:pt idx="93">
                  <c:v>7.2232166666666659E-4</c:v>
                </c:pt>
                <c:pt idx="94">
                  <c:v>6.1519366666666663E-4</c:v>
                </c:pt>
                <c:pt idx="95">
                  <c:v>6.3047033333333332E-4</c:v>
                </c:pt>
                <c:pt idx="96">
                  <c:v>6.3628266666666659E-4</c:v>
                </c:pt>
                <c:pt idx="97">
                  <c:v>6.1738866666666671E-4</c:v>
                </c:pt>
                <c:pt idx="98">
                  <c:v>7.24831E-4</c:v>
                </c:pt>
                <c:pt idx="99">
                  <c:v>7.0488966666666663E-4</c:v>
                </c:pt>
                <c:pt idx="100">
                  <c:v>6.6271133333333334E-4</c:v>
                </c:pt>
                <c:pt idx="101">
                  <c:v>7.6281533333333329E-4</c:v>
                </c:pt>
                <c:pt idx="102">
                  <c:v>7.166579999999999E-4</c:v>
                </c:pt>
                <c:pt idx="103">
                  <c:v>7.652230000000001E-4</c:v>
                </c:pt>
                <c:pt idx="104">
                  <c:v>7.172313333333333E-4</c:v>
                </c:pt>
                <c:pt idx="105">
                  <c:v>7.911993333333334E-4</c:v>
                </c:pt>
                <c:pt idx="106">
                  <c:v>7.2507700000000008E-4</c:v>
                </c:pt>
                <c:pt idx="107">
                  <c:v>7.1113499999999989E-4</c:v>
                </c:pt>
                <c:pt idx="108">
                  <c:v>7.6803666666666658E-4</c:v>
                </c:pt>
                <c:pt idx="109">
                  <c:v>7.825326666666666E-4</c:v>
                </c:pt>
                <c:pt idx="110">
                  <c:v>6.6240466666666676E-4</c:v>
                </c:pt>
                <c:pt idx="111">
                  <c:v>9.0012200000000005E-4</c:v>
                </c:pt>
                <c:pt idx="112">
                  <c:v>8.6867733333333347E-4</c:v>
                </c:pt>
                <c:pt idx="113">
                  <c:v>8.8534299999999992E-4</c:v>
                </c:pt>
                <c:pt idx="114">
                  <c:v>8.0126533333333327E-4</c:v>
                </c:pt>
                <c:pt idx="115">
                  <c:v>8.2191333333333334E-4</c:v>
                </c:pt>
                <c:pt idx="116">
                  <c:v>8.1405500000000005E-4</c:v>
                </c:pt>
                <c:pt idx="117">
                  <c:v>7.6805900000000008E-4</c:v>
                </c:pt>
                <c:pt idx="118">
                  <c:v>8.3928533333333321E-4</c:v>
                </c:pt>
                <c:pt idx="119">
                  <c:v>9.3131466666666668E-4</c:v>
                </c:pt>
                <c:pt idx="120">
                  <c:v>7.8346833333333332E-4</c:v>
                </c:pt>
                <c:pt idx="121">
                  <c:v>8.4590900000000005E-4</c:v>
                </c:pt>
                <c:pt idx="122">
                  <c:v>8.5410966666666678E-4</c:v>
                </c:pt>
                <c:pt idx="123">
                  <c:v>8.2474666666666665E-4</c:v>
                </c:pt>
                <c:pt idx="124">
                  <c:v>8.3598600000000004E-4</c:v>
                </c:pt>
                <c:pt idx="125">
                  <c:v>9.0335633333333328E-4</c:v>
                </c:pt>
                <c:pt idx="126">
                  <c:v>8.2494466666666662E-4</c:v>
                </c:pt>
                <c:pt idx="127">
                  <c:v>9.2398666666666665E-4</c:v>
                </c:pt>
                <c:pt idx="128">
                  <c:v>8.9255299999999992E-4</c:v>
                </c:pt>
                <c:pt idx="129">
                  <c:v>9.0759299999999994E-4</c:v>
                </c:pt>
                <c:pt idx="130">
                  <c:v>8.8222266666666664E-4</c:v>
                </c:pt>
                <c:pt idx="131">
                  <c:v>1.0007E-3</c:v>
                </c:pt>
                <c:pt idx="132">
                  <c:v>9.5688066666666665E-4</c:v>
                </c:pt>
                <c:pt idx="133">
                  <c:v>9.3415333333333333E-4</c:v>
                </c:pt>
                <c:pt idx="134">
                  <c:v>9.1693433333333337E-4</c:v>
                </c:pt>
                <c:pt idx="135">
                  <c:v>8.8433800000000003E-4</c:v>
                </c:pt>
                <c:pt idx="136">
                  <c:v>9.7886000000000002E-4</c:v>
                </c:pt>
                <c:pt idx="137">
                  <c:v>9.2347899999999994E-4</c:v>
                </c:pt>
                <c:pt idx="138">
                  <c:v>1.0038240000000002E-3</c:v>
                </c:pt>
                <c:pt idx="139">
                  <c:v>1.114449E-3</c:v>
                </c:pt>
                <c:pt idx="140">
                  <c:v>1.087371E-3</c:v>
                </c:pt>
                <c:pt idx="141">
                  <c:v>1.0269366666666665E-3</c:v>
                </c:pt>
                <c:pt idx="142">
                  <c:v>1.0082713333333332E-3</c:v>
                </c:pt>
                <c:pt idx="143">
                  <c:v>9.576686666666667E-4</c:v>
                </c:pt>
                <c:pt idx="144">
                  <c:v>1.1036833333333334E-3</c:v>
                </c:pt>
                <c:pt idx="145">
                  <c:v>9.7576766666666664E-4</c:v>
                </c:pt>
                <c:pt idx="146">
                  <c:v>1.097373E-3</c:v>
                </c:pt>
                <c:pt idx="147">
                  <c:v>1.0280473333333332E-3</c:v>
                </c:pt>
                <c:pt idx="148">
                  <c:v>8.7613166666666679E-4</c:v>
                </c:pt>
                <c:pt idx="149">
                  <c:v>1.0361013333333334E-3</c:v>
                </c:pt>
                <c:pt idx="150">
                  <c:v>1.0684596666666667E-3</c:v>
                </c:pt>
                <c:pt idx="151">
                  <c:v>1.19758E-3</c:v>
                </c:pt>
                <c:pt idx="152">
                  <c:v>1.0392393333333333E-3</c:v>
                </c:pt>
                <c:pt idx="153">
                  <c:v>1.2113033333333333E-3</c:v>
                </c:pt>
                <c:pt idx="154">
                  <c:v>1.1273216666666667E-3</c:v>
                </c:pt>
                <c:pt idx="155">
                  <c:v>1.1465933333333334E-3</c:v>
                </c:pt>
                <c:pt idx="156">
                  <c:v>1.1260113333333335E-3</c:v>
                </c:pt>
                <c:pt idx="157">
                  <c:v>1.1045153333333333E-3</c:v>
                </c:pt>
                <c:pt idx="158">
                  <c:v>1.1452056666666668E-3</c:v>
                </c:pt>
                <c:pt idx="159">
                  <c:v>1.1607E-3</c:v>
                </c:pt>
                <c:pt idx="160">
                  <c:v>1.1419436666666666E-3</c:v>
                </c:pt>
                <c:pt idx="161">
                  <c:v>1.1022226666666665E-3</c:v>
                </c:pt>
                <c:pt idx="162">
                  <c:v>1.2505233333333333E-3</c:v>
                </c:pt>
                <c:pt idx="163">
                  <c:v>1.1618913333333333E-3</c:v>
                </c:pt>
                <c:pt idx="164">
                  <c:v>1.26399E-3</c:v>
                </c:pt>
                <c:pt idx="165">
                  <c:v>1.22463E-3</c:v>
                </c:pt>
                <c:pt idx="166">
                  <c:v>1.1117003333333333E-3</c:v>
                </c:pt>
                <c:pt idx="167">
                  <c:v>1.0841673333333334E-3</c:v>
                </c:pt>
                <c:pt idx="168">
                  <c:v>1.2266400000000002E-3</c:v>
                </c:pt>
                <c:pt idx="169">
                  <c:v>1.3179933333333333E-3</c:v>
                </c:pt>
                <c:pt idx="170">
                  <c:v>1.1771666666666666E-3</c:v>
                </c:pt>
                <c:pt idx="171">
                  <c:v>1.2216033333333333E-3</c:v>
                </c:pt>
                <c:pt idx="172">
                  <c:v>1.1362716666666666E-3</c:v>
                </c:pt>
                <c:pt idx="173">
                  <c:v>1.2861066666666667E-3</c:v>
                </c:pt>
                <c:pt idx="174">
                  <c:v>1.2649933333333332E-3</c:v>
                </c:pt>
                <c:pt idx="175">
                  <c:v>1.2760666666666667E-3</c:v>
                </c:pt>
                <c:pt idx="176">
                  <c:v>1.2687166666666666E-3</c:v>
                </c:pt>
                <c:pt idx="177">
                  <c:v>1.2826000000000001E-3</c:v>
                </c:pt>
                <c:pt idx="178">
                  <c:v>1.3609466666666666E-3</c:v>
                </c:pt>
                <c:pt idx="179">
                  <c:v>1.31167E-3</c:v>
                </c:pt>
                <c:pt idx="180">
                  <c:v>1.3966133333333335E-3</c:v>
                </c:pt>
                <c:pt idx="181">
                  <c:v>1.2464466666666668E-3</c:v>
                </c:pt>
                <c:pt idx="182">
                  <c:v>1.29598E-3</c:v>
                </c:pt>
                <c:pt idx="183">
                  <c:v>1.2082600000000001E-3</c:v>
                </c:pt>
                <c:pt idx="184">
                  <c:v>1.3306533333333334E-3</c:v>
                </c:pt>
                <c:pt idx="185">
                  <c:v>1.3751499999999997E-3</c:v>
                </c:pt>
                <c:pt idx="186">
                  <c:v>1.34267E-3</c:v>
                </c:pt>
                <c:pt idx="187">
                  <c:v>1.3971466666666665E-3</c:v>
                </c:pt>
                <c:pt idx="188">
                  <c:v>1.3873333333333333E-3</c:v>
                </c:pt>
                <c:pt idx="189">
                  <c:v>1.48207E-3</c:v>
                </c:pt>
                <c:pt idx="190">
                  <c:v>1.4057E-3</c:v>
                </c:pt>
                <c:pt idx="191">
                  <c:v>1.5318633333333334E-3</c:v>
                </c:pt>
                <c:pt idx="192">
                  <c:v>1.3237966666666667E-3</c:v>
                </c:pt>
                <c:pt idx="193">
                  <c:v>1.3252000000000001E-3</c:v>
                </c:pt>
                <c:pt idx="194">
                  <c:v>1.4265366666666665E-3</c:v>
                </c:pt>
                <c:pt idx="195">
                  <c:v>1.3835233333333334E-3</c:v>
                </c:pt>
                <c:pt idx="196">
                  <c:v>1.4493433333333334E-3</c:v>
                </c:pt>
                <c:pt idx="197">
                  <c:v>1.3855333333333334E-3</c:v>
                </c:pt>
                <c:pt idx="198">
                  <c:v>1.4194499999999998E-3</c:v>
                </c:pt>
                <c:pt idx="199">
                  <c:v>1.5036800000000001E-3</c:v>
                </c:pt>
                <c:pt idx="200">
                  <c:v>1.4093333333333334E-3</c:v>
                </c:pt>
                <c:pt idx="201">
                  <c:v>1.44929E-3</c:v>
                </c:pt>
                <c:pt idx="202">
                  <c:v>1.46528E-3</c:v>
                </c:pt>
                <c:pt idx="203">
                  <c:v>1.4726966666666664E-3</c:v>
                </c:pt>
                <c:pt idx="204">
                  <c:v>1.4938199999999999E-3</c:v>
                </c:pt>
                <c:pt idx="205">
                  <c:v>1.5182533333333332E-3</c:v>
                </c:pt>
                <c:pt idx="206">
                  <c:v>1.4678366666666665E-3</c:v>
                </c:pt>
                <c:pt idx="207">
                  <c:v>1.5122933333333334E-3</c:v>
                </c:pt>
                <c:pt idx="208">
                  <c:v>1.5523966666666665E-3</c:v>
                </c:pt>
                <c:pt idx="209">
                  <c:v>1.5113866666666665E-3</c:v>
                </c:pt>
                <c:pt idx="210">
                  <c:v>1.5244566666666667E-3</c:v>
                </c:pt>
                <c:pt idx="211">
                  <c:v>1.5036499999999998E-3</c:v>
                </c:pt>
                <c:pt idx="212">
                  <c:v>1.5555200000000001E-3</c:v>
                </c:pt>
                <c:pt idx="213">
                  <c:v>1.6063266666666669E-3</c:v>
                </c:pt>
                <c:pt idx="214">
                  <c:v>1.5714500000000001E-3</c:v>
                </c:pt>
                <c:pt idx="215">
                  <c:v>1.6276666666666668E-3</c:v>
                </c:pt>
                <c:pt idx="216">
                  <c:v>1.6102566666666665E-3</c:v>
                </c:pt>
                <c:pt idx="217">
                  <c:v>1.6778599999999998E-3</c:v>
                </c:pt>
                <c:pt idx="218">
                  <c:v>1.6206966666666666E-3</c:v>
                </c:pt>
                <c:pt idx="219">
                  <c:v>1.5999033333333331E-3</c:v>
                </c:pt>
                <c:pt idx="220">
                  <c:v>1.6009733333333335E-3</c:v>
                </c:pt>
                <c:pt idx="221">
                  <c:v>1.5938533333333335E-3</c:v>
                </c:pt>
                <c:pt idx="222">
                  <c:v>1.6822033333333333E-3</c:v>
                </c:pt>
                <c:pt idx="223">
                  <c:v>1.6345800000000001E-3</c:v>
                </c:pt>
                <c:pt idx="224">
                  <c:v>1.62754E-3</c:v>
                </c:pt>
                <c:pt idx="225">
                  <c:v>1.6289800000000001E-3</c:v>
                </c:pt>
                <c:pt idx="226">
                  <c:v>1.6209899999999999E-3</c:v>
                </c:pt>
                <c:pt idx="227">
                  <c:v>1.6249066666666667E-3</c:v>
                </c:pt>
                <c:pt idx="228">
                  <c:v>1.6491400000000001E-3</c:v>
                </c:pt>
                <c:pt idx="229">
                  <c:v>1.6057199999999999E-3</c:v>
                </c:pt>
                <c:pt idx="230">
                  <c:v>1.8030800000000001E-3</c:v>
                </c:pt>
                <c:pt idx="231">
                  <c:v>1.6319633333333333E-3</c:v>
                </c:pt>
                <c:pt idx="232">
                  <c:v>1.6326766666666665E-3</c:v>
                </c:pt>
                <c:pt idx="233">
                  <c:v>1.7232E-3</c:v>
                </c:pt>
                <c:pt idx="234">
                  <c:v>1.7467366666666668E-3</c:v>
                </c:pt>
                <c:pt idx="235">
                  <c:v>1.7067133333333333E-3</c:v>
                </c:pt>
                <c:pt idx="236">
                  <c:v>1.7405433333333332E-3</c:v>
                </c:pt>
                <c:pt idx="237">
                  <c:v>1.7119833333333334E-3</c:v>
                </c:pt>
                <c:pt idx="238">
                  <c:v>1.7266966666666668E-3</c:v>
                </c:pt>
                <c:pt idx="239">
                  <c:v>1.7981833333333332E-3</c:v>
                </c:pt>
                <c:pt idx="240">
                  <c:v>1.80196E-3</c:v>
                </c:pt>
                <c:pt idx="241">
                  <c:v>1.8390766666666666E-3</c:v>
                </c:pt>
                <c:pt idx="242">
                  <c:v>1.8223733333333333E-3</c:v>
                </c:pt>
                <c:pt idx="243">
                  <c:v>1.7440000000000001E-3</c:v>
                </c:pt>
                <c:pt idx="244">
                  <c:v>1.8479499999999999E-3</c:v>
                </c:pt>
                <c:pt idx="245">
                  <c:v>1.8277333333333336E-3</c:v>
                </c:pt>
                <c:pt idx="246">
                  <c:v>1.8531066666666665E-3</c:v>
                </c:pt>
                <c:pt idx="247">
                  <c:v>1.7929199999999999E-3</c:v>
                </c:pt>
                <c:pt idx="248">
                  <c:v>1.9084333333333333E-3</c:v>
                </c:pt>
                <c:pt idx="249">
                  <c:v>1.929273333333333E-3</c:v>
                </c:pt>
                <c:pt idx="250">
                  <c:v>1.8576599999999999E-3</c:v>
                </c:pt>
                <c:pt idx="251">
                  <c:v>1.82888E-3</c:v>
                </c:pt>
                <c:pt idx="252">
                  <c:v>1.9075800000000001E-3</c:v>
                </c:pt>
                <c:pt idx="253">
                  <c:v>1.8791433333333336E-3</c:v>
                </c:pt>
                <c:pt idx="254">
                  <c:v>1.9348899999999999E-3</c:v>
                </c:pt>
                <c:pt idx="255">
                  <c:v>1.8112366666666665E-3</c:v>
                </c:pt>
                <c:pt idx="256">
                  <c:v>1.9193066666666665E-3</c:v>
                </c:pt>
                <c:pt idx="257">
                  <c:v>1.9594566666666668E-3</c:v>
                </c:pt>
                <c:pt idx="258">
                  <c:v>1.8319833333333331E-3</c:v>
                </c:pt>
                <c:pt idx="259">
                  <c:v>1.9541566666666666E-3</c:v>
                </c:pt>
                <c:pt idx="260">
                  <c:v>1.9863033333333332E-3</c:v>
                </c:pt>
                <c:pt idx="261">
                  <c:v>1.8642133333333334E-3</c:v>
                </c:pt>
                <c:pt idx="262">
                  <c:v>1.9454333333333333E-3</c:v>
                </c:pt>
                <c:pt idx="263">
                  <c:v>1.8963266666666666E-3</c:v>
                </c:pt>
                <c:pt idx="264">
                  <c:v>1.8940199999999997E-3</c:v>
                </c:pt>
                <c:pt idx="265">
                  <c:v>1.8560333333333334E-3</c:v>
                </c:pt>
                <c:pt idx="266">
                  <c:v>1.9890833333333336E-3</c:v>
                </c:pt>
                <c:pt idx="267">
                  <c:v>1.8947266666666668E-3</c:v>
                </c:pt>
                <c:pt idx="268">
                  <c:v>1.8585133333333334E-3</c:v>
                </c:pt>
                <c:pt idx="269">
                  <c:v>1.8936666666666668E-3</c:v>
                </c:pt>
                <c:pt idx="270">
                  <c:v>1.9966333333333334E-3</c:v>
                </c:pt>
                <c:pt idx="271">
                  <c:v>1.97525E-3</c:v>
                </c:pt>
                <c:pt idx="272">
                  <c:v>1.9518566666666666E-3</c:v>
                </c:pt>
                <c:pt idx="273">
                  <c:v>1.9424366666666668E-3</c:v>
                </c:pt>
                <c:pt idx="274">
                  <c:v>1.9074000000000001E-3</c:v>
                </c:pt>
                <c:pt idx="275">
                  <c:v>1.9893966666666668E-3</c:v>
                </c:pt>
                <c:pt idx="276">
                  <c:v>2.0108033333333334E-3</c:v>
                </c:pt>
                <c:pt idx="277">
                  <c:v>2.000143333333333E-3</c:v>
                </c:pt>
                <c:pt idx="278">
                  <c:v>1.9987433333333335E-3</c:v>
                </c:pt>
                <c:pt idx="279">
                  <c:v>2.0364100000000002E-3</c:v>
                </c:pt>
                <c:pt idx="280">
                  <c:v>2.0622433333333332E-3</c:v>
                </c:pt>
                <c:pt idx="281">
                  <c:v>2.0496033333333333E-3</c:v>
                </c:pt>
                <c:pt idx="282">
                  <c:v>2.1254133333333332E-3</c:v>
                </c:pt>
                <c:pt idx="283">
                  <c:v>2.0592700000000002E-3</c:v>
                </c:pt>
                <c:pt idx="284">
                  <c:v>2.0581566666666665E-3</c:v>
                </c:pt>
                <c:pt idx="285">
                  <c:v>2.0412566666666667E-3</c:v>
                </c:pt>
                <c:pt idx="286">
                  <c:v>2.0946066666666665E-3</c:v>
                </c:pt>
                <c:pt idx="287">
                  <c:v>2.1399433333333332E-3</c:v>
                </c:pt>
                <c:pt idx="288">
                  <c:v>2.0590566666666668E-3</c:v>
                </c:pt>
                <c:pt idx="289">
                  <c:v>2.073163333333333E-3</c:v>
                </c:pt>
                <c:pt idx="290">
                  <c:v>2.14146E-3</c:v>
                </c:pt>
                <c:pt idx="291">
                  <c:v>2.1305999999999999E-3</c:v>
                </c:pt>
                <c:pt idx="292">
                  <c:v>2.0931966666666666E-3</c:v>
                </c:pt>
                <c:pt idx="293">
                  <c:v>2.1870966666666671E-3</c:v>
                </c:pt>
                <c:pt idx="294">
                  <c:v>2.1398699999999999E-3</c:v>
                </c:pt>
                <c:pt idx="295">
                  <c:v>2.2424300000000001E-3</c:v>
                </c:pt>
                <c:pt idx="296">
                  <c:v>2.2295933333333334E-3</c:v>
                </c:pt>
                <c:pt idx="297">
                  <c:v>2.20411E-3</c:v>
                </c:pt>
                <c:pt idx="298">
                  <c:v>2.2314033333333335E-3</c:v>
                </c:pt>
                <c:pt idx="299">
                  <c:v>2.2028E-3</c:v>
                </c:pt>
                <c:pt idx="300">
                  <c:v>2.2308599999999999E-3</c:v>
                </c:pt>
                <c:pt idx="301">
                  <c:v>2.2242566666666667E-3</c:v>
                </c:pt>
                <c:pt idx="302">
                  <c:v>2.2488166666666666E-3</c:v>
                </c:pt>
                <c:pt idx="303">
                  <c:v>2.2895866666666665E-3</c:v>
                </c:pt>
                <c:pt idx="304">
                  <c:v>2.1508166666666666E-3</c:v>
                </c:pt>
                <c:pt idx="305">
                  <c:v>2.2014300000000003E-3</c:v>
                </c:pt>
                <c:pt idx="306">
                  <c:v>2.1886433333333333E-3</c:v>
                </c:pt>
                <c:pt idx="307">
                  <c:v>2.26041E-3</c:v>
                </c:pt>
                <c:pt idx="308">
                  <c:v>2.2713166666666665E-3</c:v>
                </c:pt>
                <c:pt idx="309">
                  <c:v>2.30664E-3</c:v>
                </c:pt>
                <c:pt idx="310">
                  <c:v>2.3238466666666668E-3</c:v>
                </c:pt>
                <c:pt idx="311">
                  <c:v>2.4031566666666664E-3</c:v>
                </c:pt>
                <c:pt idx="312">
                  <c:v>2.3222233333333336E-3</c:v>
                </c:pt>
                <c:pt idx="313">
                  <c:v>2.3246399999999998E-3</c:v>
                </c:pt>
                <c:pt idx="314">
                  <c:v>2.324976666666667E-3</c:v>
                </c:pt>
                <c:pt idx="315">
                  <c:v>2.2488233333333332E-3</c:v>
                </c:pt>
                <c:pt idx="316">
                  <c:v>2.3759599999999999E-3</c:v>
                </c:pt>
                <c:pt idx="317">
                  <c:v>2.3354066666666667E-3</c:v>
                </c:pt>
                <c:pt idx="318">
                  <c:v>2.3091866666666671E-3</c:v>
                </c:pt>
                <c:pt idx="319">
                  <c:v>2.3514100000000004E-3</c:v>
                </c:pt>
                <c:pt idx="320">
                  <c:v>2.3443033333333334E-3</c:v>
                </c:pt>
                <c:pt idx="321">
                  <c:v>2.3789333333333333E-3</c:v>
                </c:pt>
                <c:pt idx="322">
                  <c:v>2.36484E-3</c:v>
                </c:pt>
                <c:pt idx="323">
                  <c:v>2.2896600000000002E-3</c:v>
                </c:pt>
                <c:pt idx="324">
                  <c:v>2.3615166666666669E-3</c:v>
                </c:pt>
                <c:pt idx="325">
                  <c:v>2.3905733333333336E-3</c:v>
                </c:pt>
                <c:pt idx="326">
                  <c:v>2.4986033333333334E-3</c:v>
                </c:pt>
                <c:pt idx="327">
                  <c:v>2.4232933333333331E-3</c:v>
                </c:pt>
                <c:pt idx="328">
                  <c:v>2.5246533333333336E-3</c:v>
                </c:pt>
                <c:pt idx="329">
                  <c:v>2.4132433333333334E-3</c:v>
                </c:pt>
                <c:pt idx="330">
                  <c:v>2.4703333333333335E-3</c:v>
                </c:pt>
                <c:pt idx="331">
                  <c:v>2.38303E-3</c:v>
                </c:pt>
                <c:pt idx="332">
                  <c:v>2.3937566666666662E-3</c:v>
                </c:pt>
                <c:pt idx="333">
                  <c:v>2.4666900000000001E-3</c:v>
                </c:pt>
                <c:pt idx="334">
                  <c:v>2.4526500000000002E-3</c:v>
                </c:pt>
                <c:pt idx="335">
                  <c:v>2.4694199999999999E-3</c:v>
                </c:pt>
                <c:pt idx="336">
                  <c:v>2.51081E-3</c:v>
                </c:pt>
                <c:pt idx="337">
                  <c:v>2.4778999999999999E-3</c:v>
                </c:pt>
                <c:pt idx="338">
                  <c:v>2.5287733333333334E-3</c:v>
                </c:pt>
                <c:pt idx="339">
                  <c:v>2.6025700000000002E-3</c:v>
                </c:pt>
                <c:pt idx="340">
                  <c:v>2.515436666666667E-3</c:v>
                </c:pt>
                <c:pt idx="341">
                  <c:v>2.4848000000000001E-3</c:v>
                </c:pt>
                <c:pt idx="342">
                  <c:v>2.4069266666666665E-3</c:v>
                </c:pt>
                <c:pt idx="343">
                  <c:v>2.5528000000000005E-3</c:v>
                </c:pt>
                <c:pt idx="344">
                  <c:v>2.5784699999999998E-3</c:v>
                </c:pt>
                <c:pt idx="345">
                  <c:v>2.5366899999999999E-3</c:v>
                </c:pt>
                <c:pt idx="346">
                  <c:v>2.4780866666666668E-3</c:v>
                </c:pt>
                <c:pt idx="347">
                  <c:v>2.5837566666666672E-3</c:v>
                </c:pt>
                <c:pt idx="348">
                  <c:v>2.6064400000000002E-3</c:v>
                </c:pt>
                <c:pt idx="349">
                  <c:v>2.5296666666666666E-3</c:v>
                </c:pt>
                <c:pt idx="350">
                  <c:v>2.6683066666666668E-3</c:v>
                </c:pt>
                <c:pt idx="351">
                  <c:v>2.6731099999999998E-3</c:v>
                </c:pt>
                <c:pt idx="352">
                  <c:v>2.6857933333333333E-3</c:v>
                </c:pt>
                <c:pt idx="353">
                  <c:v>2.5647233333333332E-3</c:v>
                </c:pt>
                <c:pt idx="354">
                  <c:v>2.5819100000000002E-3</c:v>
                </c:pt>
                <c:pt idx="355">
                  <c:v>2.4822866666666665E-3</c:v>
                </c:pt>
                <c:pt idx="356">
                  <c:v>2.5794300000000002E-3</c:v>
                </c:pt>
                <c:pt idx="357">
                  <c:v>2.6463266666666668E-3</c:v>
                </c:pt>
                <c:pt idx="358">
                  <c:v>2.7122266666666666E-3</c:v>
                </c:pt>
                <c:pt idx="359">
                  <c:v>2.7530733333333336E-3</c:v>
                </c:pt>
                <c:pt idx="360">
                  <c:v>2.742653333333333E-3</c:v>
                </c:pt>
                <c:pt idx="361">
                  <c:v>2.6816566666666669E-3</c:v>
                </c:pt>
                <c:pt idx="362">
                  <c:v>2.7046866666666663E-3</c:v>
                </c:pt>
                <c:pt idx="363">
                  <c:v>2.6736766666666666E-3</c:v>
                </c:pt>
                <c:pt idx="364">
                  <c:v>2.6706533333333334E-3</c:v>
                </c:pt>
                <c:pt idx="365">
                  <c:v>2.6758200000000002E-3</c:v>
                </c:pt>
                <c:pt idx="366">
                  <c:v>2.6628466666666663E-3</c:v>
                </c:pt>
                <c:pt idx="367">
                  <c:v>2.6734433333333329E-3</c:v>
                </c:pt>
                <c:pt idx="368">
                  <c:v>2.6643266666666666E-3</c:v>
                </c:pt>
                <c:pt idx="369">
                  <c:v>2.7108533333333336E-3</c:v>
                </c:pt>
                <c:pt idx="370">
                  <c:v>2.7487433333333333E-3</c:v>
                </c:pt>
                <c:pt idx="371">
                  <c:v>2.7295833333333334E-3</c:v>
                </c:pt>
                <c:pt idx="372">
                  <c:v>2.7716366666666668E-3</c:v>
                </c:pt>
                <c:pt idx="373">
                  <c:v>2.7381866666666664E-3</c:v>
                </c:pt>
                <c:pt idx="374">
                  <c:v>2.8049033333333328E-3</c:v>
                </c:pt>
                <c:pt idx="375">
                  <c:v>2.7550066666666667E-3</c:v>
                </c:pt>
                <c:pt idx="376">
                  <c:v>2.7812400000000004E-3</c:v>
                </c:pt>
                <c:pt idx="377">
                  <c:v>2.7796100000000001E-3</c:v>
                </c:pt>
                <c:pt idx="378">
                  <c:v>2.8591399999999996E-3</c:v>
                </c:pt>
                <c:pt idx="379">
                  <c:v>2.7809500000000003E-3</c:v>
                </c:pt>
                <c:pt idx="380">
                  <c:v>2.7868033333333336E-3</c:v>
                </c:pt>
                <c:pt idx="381">
                  <c:v>2.8104500000000004E-3</c:v>
                </c:pt>
                <c:pt idx="382">
                  <c:v>2.8472966666666668E-3</c:v>
                </c:pt>
                <c:pt idx="383">
                  <c:v>2.8082166666666668E-3</c:v>
                </c:pt>
                <c:pt idx="384">
                  <c:v>2.8259000000000005E-3</c:v>
                </c:pt>
                <c:pt idx="385">
                  <c:v>2.845076666666667E-3</c:v>
                </c:pt>
                <c:pt idx="386">
                  <c:v>2.8599766666666665E-3</c:v>
                </c:pt>
                <c:pt idx="387">
                  <c:v>2.8346166666666666E-3</c:v>
                </c:pt>
                <c:pt idx="388">
                  <c:v>2.8334533333333333E-3</c:v>
                </c:pt>
                <c:pt idx="389">
                  <c:v>2.91084E-3</c:v>
                </c:pt>
                <c:pt idx="390">
                  <c:v>2.8875599999999995E-3</c:v>
                </c:pt>
                <c:pt idx="391">
                  <c:v>2.9225633333333331E-3</c:v>
                </c:pt>
                <c:pt idx="392">
                  <c:v>2.928723333333333E-3</c:v>
                </c:pt>
                <c:pt idx="393">
                  <c:v>2.9181933333333331E-3</c:v>
                </c:pt>
                <c:pt idx="394">
                  <c:v>2.9166433333333332E-3</c:v>
                </c:pt>
                <c:pt idx="395">
                  <c:v>2.8948333333333339E-3</c:v>
                </c:pt>
                <c:pt idx="396">
                  <c:v>2.9081933333333335E-3</c:v>
                </c:pt>
                <c:pt idx="397">
                  <c:v>2.895186666666666E-3</c:v>
                </c:pt>
                <c:pt idx="398">
                  <c:v>2.95283E-3</c:v>
                </c:pt>
                <c:pt idx="399">
                  <c:v>2.9567233333333332E-3</c:v>
                </c:pt>
                <c:pt idx="400">
                  <c:v>2.94524E-3</c:v>
                </c:pt>
                <c:pt idx="401">
                  <c:v>3.0129833333333335E-3</c:v>
                </c:pt>
                <c:pt idx="402">
                  <c:v>2.9939300000000001E-3</c:v>
                </c:pt>
                <c:pt idx="403">
                  <c:v>3.0111533333333335E-3</c:v>
                </c:pt>
                <c:pt idx="404">
                  <c:v>3.0207700000000003E-3</c:v>
                </c:pt>
                <c:pt idx="405">
                  <c:v>3.0311133333333334E-3</c:v>
                </c:pt>
                <c:pt idx="406">
                  <c:v>2.9853266666666663E-3</c:v>
                </c:pt>
                <c:pt idx="407">
                  <c:v>3.0526833333333332E-3</c:v>
                </c:pt>
                <c:pt idx="408">
                  <c:v>3.0322766666666667E-3</c:v>
                </c:pt>
                <c:pt idx="409">
                  <c:v>3.0963366666666666E-3</c:v>
                </c:pt>
                <c:pt idx="410">
                  <c:v>3.0180899999999997E-3</c:v>
                </c:pt>
                <c:pt idx="411">
                  <c:v>3.0155733333333337E-3</c:v>
                </c:pt>
                <c:pt idx="412">
                  <c:v>3.07428E-3</c:v>
                </c:pt>
                <c:pt idx="413">
                  <c:v>3.0666033333333338E-3</c:v>
                </c:pt>
                <c:pt idx="414">
                  <c:v>3.0640066666666669E-3</c:v>
                </c:pt>
                <c:pt idx="415">
                  <c:v>3.1421633333333331E-3</c:v>
                </c:pt>
                <c:pt idx="416">
                  <c:v>2.968083333333333E-3</c:v>
                </c:pt>
                <c:pt idx="417">
                  <c:v>3.1210666666666668E-3</c:v>
                </c:pt>
                <c:pt idx="418">
                  <c:v>3.1471566666666667E-3</c:v>
                </c:pt>
                <c:pt idx="419">
                  <c:v>3.0783033333333328E-3</c:v>
                </c:pt>
                <c:pt idx="420">
                  <c:v>3.1079633333333332E-3</c:v>
                </c:pt>
                <c:pt idx="421">
                  <c:v>3.1373366666666669E-3</c:v>
                </c:pt>
                <c:pt idx="422">
                  <c:v>3.1754066666666663E-3</c:v>
                </c:pt>
                <c:pt idx="423">
                  <c:v>3.166493333333333E-3</c:v>
                </c:pt>
                <c:pt idx="424">
                  <c:v>3.0610866666666669E-3</c:v>
                </c:pt>
                <c:pt idx="425">
                  <c:v>3.1698999999999998E-3</c:v>
                </c:pt>
                <c:pt idx="426">
                  <c:v>3.1841833333333333E-3</c:v>
                </c:pt>
                <c:pt idx="427">
                  <c:v>3.2639333333333333E-3</c:v>
                </c:pt>
                <c:pt idx="428">
                  <c:v>3.153156666666667E-3</c:v>
                </c:pt>
                <c:pt idx="429">
                  <c:v>3.1848799999999997E-3</c:v>
                </c:pt>
                <c:pt idx="430">
                  <c:v>3.2443366666666668E-3</c:v>
                </c:pt>
                <c:pt idx="431">
                  <c:v>3.2399466666666668E-3</c:v>
                </c:pt>
                <c:pt idx="432">
                  <c:v>3.1385000000000002E-3</c:v>
                </c:pt>
                <c:pt idx="433">
                  <c:v>3.0824333333333335E-3</c:v>
                </c:pt>
                <c:pt idx="434">
                  <c:v>3.2175200000000002E-3</c:v>
                </c:pt>
                <c:pt idx="435">
                  <c:v>3.1882500000000001E-3</c:v>
                </c:pt>
                <c:pt idx="436">
                  <c:v>3.230206666666667E-3</c:v>
                </c:pt>
                <c:pt idx="437">
                  <c:v>3.2829166666666666E-3</c:v>
                </c:pt>
                <c:pt idx="438">
                  <c:v>3.3092400000000002E-3</c:v>
                </c:pt>
                <c:pt idx="439">
                  <c:v>3.1484799999999999E-3</c:v>
                </c:pt>
                <c:pt idx="440">
                  <c:v>3.2535700000000003E-3</c:v>
                </c:pt>
                <c:pt idx="441">
                  <c:v>3.273716666666667E-3</c:v>
                </c:pt>
                <c:pt idx="442">
                  <c:v>3.15884E-3</c:v>
                </c:pt>
                <c:pt idx="443">
                  <c:v>3.31131E-3</c:v>
                </c:pt>
                <c:pt idx="444">
                  <c:v>3.2852966666666664E-3</c:v>
                </c:pt>
                <c:pt idx="445">
                  <c:v>3.2094500000000004E-3</c:v>
                </c:pt>
                <c:pt idx="446">
                  <c:v>3.29657E-3</c:v>
                </c:pt>
                <c:pt idx="447">
                  <c:v>3.386433333333333E-3</c:v>
                </c:pt>
                <c:pt idx="448">
                  <c:v>3.3273966666666661E-3</c:v>
                </c:pt>
                <c:pt idx="449">
                  <c:v>3.2962700000000004E-3</c:v>
                </c:pt>
                <c:pt idx="450">
                  <c:v>3.3803133333333338E-3</c:v>
                </c:pt>
                <c:pt idx="451">
                  <c:v>3.3334700000000003E-3</c:v>
                </c:pt>
                <c:pt idx="452">
                  <c:v>3.2456E-3</c:v>
                </c:pt>
                <c:pt idx="453">
                  <c:v>3.3941400000000004E-3</c:v>
                </c:pt>
                <c:pt idx="454">
                  <c:v>3.1558733333333336E-4</c:v>
                </c:pt>
                <c:pt idx="455">
                  <c:v>1.4052710999999999E-4</c:v>
                </c:pt>
                <c:pt idx="456">
                  <c:v>1.0263849333333332E-4</c:v>
                </c:pt>
                <c:pt idx="457">
                  <c:v>2.6250166666666672E-5</c:v>
                </c:pt>
                <c:pt idx="458">
                  <c:v>2.7079533333333337E-5</c:v>
                </c:pt>
                <c:pt idx="459">
                  <c:v>7.6588566666666667E-5</c:v>
                </c:pt>
                <c:pt idx="460">
                  <c:v>8.1233700000000008E-5</c:v>
                </c:pt>
                <c:pt idx="461">
                  <c:v>5.9089409999999998E-5</c:v>
                </c:pt>
                <c:pt idx="462">
                  <c:v>-3.9781966666666666E-5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C95-4318-AE77-5909D2E290E1}"/>
            </c:ext>
          </c:extLst>
        </c:ser>
        <c:ser>
          <c:idx val="0"/>
          <c:order val="2"/>
          <c:tx>
            <c:v>L30CPTX-3</c:v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trendlineType val="linear"/>
            <c:dispRSqr val="0"/>
            <c:dispEq val="0"/>
          </c:trendline>
          <c:xVal>
            <c:numRef>
              <c:f>'L30CPTX-3'!$B$7:$B$400</c:f>
              <c:numCache>
                <c:formatCode>General</c:formatCode>
                <c:ptCount val="394"/>
                <c:pt idx="0">
                  <c:v>0</c:v>
                </c:pt>
                <c:pt idx="1">
                  <c:v>1.3264400000000001E-4</c:v>
                </c:pt>
                <c:pt idx="2" formatCode="0.00E+00">
                  <c:v>9.6184800000000001E-5</c:v>
                </c:pt>
                <c:pt idx="3" formatCode="0.00E+00">
                  <c:v>1.32269E-5</c:v>
                </c:pt>
                <c:pt idx="4" formatCode="0.00E+00">
                  <c:v>9.7854299999999996E-5</c:v>
                </c:pt>
                <c:pt idx="5">
                  <c:v>1.2861599999999999E-4</c:v>
                </c:pt>
                <c:pt idx="6">
                  <c:v>2.72203E-4</c:v>
                </c:pt>
                <c:pt idx="7">
                  <c:v>1.48412E-4</c:v>
                </c:pt>
                <c:pt idx="8">
                  <c:v>2.1116200000000001E-4</c:v>
                </c:pt>
                <c:pt idx="9">
                  <c:v>1.5896899999999999E-4</c:v>
                </c:pt>
                <c:pt idx="10">
                  <c:v>2.6481900000000001E-4</c:v>
                </c:pt>
                <c:pt idx="11">
                  <c:v>2.7356400000000001E-4</c:v>
                </c:pt>
                <c:pt idx="12">
                  <c:v>3.1324100000000002E-4</c:v>
                </c:pt>
                <c:pt idx="13">
                  <c:v>3.3128600000000003E-4</c:v>
                </c:pt>
                <c:pt idx="14">
                  <c:v>3.6447999999999998E-4</c:v>
                </c:pt>
                <c:pt idx="15">
                  <c:v>4.5769499999999999E-4</c:v>
                </c:pt>
                <c:pt idx="16">
                  <c:v>3.4277100000000002E-4</c:v>
                </c:pt>
                <c:pt idx="17">
                  <c:v>4.0045599999999999E-4</c:v>
                </c:pt>
                <c:pt idx="18">
                  <c:v>4.2308100000000001E-4</c:v>
                </c:pt>
                <c:pt idx="19">
                  <c:v>4.7637500000000002E-4</c:v>
                </c:pt>
                <c:pt idx="20">
                  <c:v>4.29133E-4</c:v>
                </c:pt>
                <c:pt idx="21">
                  <c:v>5.0467999999999997E-4</c:v>
                </c:pt>
                <c:pt idx="22">
                  <c:v>5.4243399999999995E-4</c:v>
                </c:pt>
                <c:pt idx="23">
                  <c:v>5.0959699999999998E-4</c:v>
                </c:pt>
                <c:pt idx="24">
                  <c:v>4.6505299999999999E-4</c:v>
                </c:pt>
                <c:pt idx="25">
                  <c:v>5.5402900000000004E-4</c:v>
                </c:pt>
                <c:pt idx="26">
                  <c:v>4.7554299999999998E-4</c:v>
                </c:pt>
                <c:pt idx="27">
                  <c:v>5.8130699999999998E-4</c:v>
                </c:pt>
                <c:pt idx="28">
                  <c:v>6.1864999999999999E-4</c:v>
                </c:pt>
                <c:pt idx="29">
                  <c:v>6.2993499999999998E-4</c:v>
                </c:pt>
                <c:pt idx="30">
                  <c:v>5.4132900000000001E-4</c:v>
                </c:pt>
                <c:pt idx="31">
                  <c:v>7.1282300000000002E-4</c:v>
                </c:pt>
                <c:pt idx="32">
                  <c:v>6.8937700000000002E-4</c:v>
                </c:pt>
                <c:pt idx="33">
                  <c:v>7.2896099999999998E-4</c:v>
                </c:pt>
                <c:pt idx="34">
                  <c:v>7.0657700000000001E-4</c:v>
                </c:pt>
                <c:pt idx="35">
                  <c:v>7.8362099999999997E-4</c:v>
                </c:pt>
                <c:pt idx="36">
                  <c:v>7.5860900000000004E-4</c:v>
                </c:pt>
                <c:pt idx="37">
                  <c:v>7.9283399999999996E-4</c:v>
                </c:pt>
                <c:pt idx="38">
                  <c:v>8.0162799999999998E-4</c:v>
                </c:pt>
                <c:pt idx="39">
                  <c:v>8.1792599999999996E-4</c:v>
                </c:pt>
                <c:pt idx="40">
                  <c:v>8.1414699999999998E-4</c:v>
                </c:pt>
                <c:pt idx="41">
                  <c:v>8.8621100000000003E-4</c:v>
                </c:pt>
                <c:pt idx="42">
                  <c:v>9.1366899999999998E-4</c:v>
                </c:pt>
                <c:pt idx="43">
                  <c:v>8.3436399999999998E-4</c:v>
                </c:pt>
                <c:pt idx="44">
                  <c:v>9.6233199999999999E-4</c:v>
                </c:pt>
                <c:pt idx="45">
                  <c:v>9.6161499999999997E-4</c:v>
                </c:pt>
                <c:pt idx="46">
                  <c:v>9.8080900000000002E-4</c:v>
                </c:pt>
                <c:pt idx="47">
                  <c:v>1.07387E-3</c:v>
                </c:pt>
                <c:pt idx="48">
                  <c:v>9.9084600000000009E-4</c:v>
                </c:pt>
                <c:pt idx="49">
                  <c:v>1.0271099999999999E-3</c:v>
                </c:pt>
                <c:pt idx="50">
                  <c:v>1.03023E-3</c:v>
                </c:pt>
                <c:pt idx="51">
                  <c:v>1.0427699999999999E-3</c:v>
                </c:pt>
                <c:pt idx="52">
                  <c:v>1.0770199999999999E-3</c:v>
                </c:pt>
                <c:pt idx="53">
                  <c:v>1.0654900000000001E-3</c:v>
                </c:pt>
                <c:pt idx="54">
                  <c:v>1.0868799999999999E-3</c:v>
                </c:pt>
                <c:pt idx="55">
                  <c:v>1.0943000000000001E-3</c:v>
                </c:pt>
                <c:pt idx="56">
                  <c:v>1.15463E-3</c:v>
                </c:pt>
                <c:pt idx="57">
                  <c:v>1.2183999999999999E-3</c:v>
                </c:pt>
                <c:pt idx="58">
                  <c:v>1.13276E-3</c:v>
                </c:pt>
                <c:pt idx="59">
                  <c:v>1.1635E-3</c:v>
                </c:pt>
                <c:pt idx="60">
                  <c:v>1.24558E-3</c:v>
                </c:pt>
                <c:pt idx="61">
                  <c:v>1.168E-3</c:v>
                </c:pt>
                <c:pt idx="62">
                  <c:v>1.2792000000000001E-3</c:v>
                </c:pt>
                <c:pt idx="63">
                  <c:v>1.2922400000000001E-3</c:v>
                </c:pt>
                <c:pt idx="64">
                  <c:v>1.26768E-3</c:v>
                </c:pt>
                <c:pt idx="65">
                  <c:v>1.3257E-3</c:v>
                </c:pt>
                <c:pt idx="66">
                  <c:v>1.36692E-3</c:v>
                </c:pt>
                <c:pt idx="67">
                  <c:v>1.3127200000000001E-3</c:v>
                </c:pt>
                <c:pt idx="68">
                  <c:v>1.3315099999999999E-3</c:v>
                </c:pt>
                <c:pt idx="69">
                  <c:v>1.38613E-3</c:v>
                </c:pt>
                <c:pt idx="70">
                  <c:v>1.3244699999999999E-3</c:v>
                </c:pt>
                <c:pt idx="71">
                  <c:v>1.43202E-3</c:v>
                </c:pt>
                <c:pt idx="72">
                  <c:v>1.5512E-3</c:v>
                </c:pt>
                <c:pt idx="73">
                  <c:v>1.48565E-3</c:v>
                </c:pt>
                <c:pt idx="74">
                  <c:v>1.5038E-3</c:v>
                </c:pt>
                <c:pt idx="75">
                  <c:v>1.4103099999999999E-3</c:v>
                </c:pt>
                <c:pt idx="76">
                  <c:v>1.49825E-3</c:v>
                </c:pt>
                <c:pt idx="77">
                  <c:v>1.4594300000000001E-3</c:v>
                </c:pt>
                <c:pt idx="78">
                  <c:v>1.5429199999999999E-3</c:v>
                </c:pt>
                <c:pt idx="79">
                  <c:v>1.48573E-3</c:v>
                </c:pt>
                <c:pt idx="80">
                  <c:v>1.49238E-3</c:v>
                </c:pt>
                <c:pt idx="81">
                  <c:v>1.5765600000000001E-3</c:v>
                </c:pt>
                <c:pt idx="82">
                  <c:v>1.49468E-3</c:v>
                </c:pt>
                <c:pt idx="83">
                  <c:v>1.5952799999999999E-3</c:v>
                </c:pt>
                <c:pt idx="84">
                  <c:v>1.5771100000000001E-3</c:v>
                </c:pt>
                <c:pt idx="85">
                  <c:v>1.5403599999999999E-3</c:v>
                </c:pt>
                <c:pt idx="86">
                  <c:v>1.6607600000000001E-3</c:v>
                </c:pt>
                <c:pt idx="87">
                  <c:v>1.76826E-3</c:v>
                </c:pt>
                <c:pt idx="88">
                  <c:v>1.59961E-3</c:v>
                </c:pt>
                <c:pt idx="89">
                  <c:v>1.65059E-3</c:v>
                </c:pt>
                <c:pt idx="90">
                  <c:v>1.7028099999999999E-3</c:v>
                </c:pt>
                <c:pt idx="91">
                  <c:v>1.74007E-3</c:v>
                </c:pt>
                <c:pt idx="92">
                  <c:v>1.7541200000000001E-3</c:v>
                </c:pt>
                <c:pt idx="93">
                  <c:v>1.7130299999999999E-3</c:v>
                </c:pt>
                <c:pt idx="94">
                  <c:v>1.7968700000000001E-3</c:v>
                </c:pt>
                <c:pt idx="95">
                  <c:v>1.7821899999999999E-3</c:v>
                </c:pt>
                <c:pt idx="96">
                  <c:v>1.76461E-3</c:v>
                </c:pt>
                <c:pt idx="97">
                  <c:v>1.79565E-3</c:v>
                </c:pt>
                <c:pt idx="98">
                  <c:v>1.9105400000000001E-3</c:v>
                </c:pt>
                <c:pt idx="99">
                  <c:v>1.8150600000000001E-3</c:v>
                </c:pt>
                <c:pt idx="100">
                  <c:v>1.8595700000000001E-3</c:v>
                </c:pt>
                <c:pt idx="101">
                  <c:v>1.83252E-3</c:v>
                </c:pt>
                <c:pt idx="102">
                  <c:v>1.9292599999999999E-3</c:v>
                </c:pt>
                <c:pt idx="103">
                  <c:v>1.9236399999999999E-3</c:v>
                </c:pt>
                <c:pt idx="104">
                  <c:v>1.89044E-3</c:v>
                </c:pt>
                <c:pt idx="105">
                  <c:v>1.8790499999999999E-3</c:v>
                </c:pt>
                <c:pt idx="106">
                  <c:v>1.93516E-3</c:v>
                </c:pt>
                <c:pt idx="107">
                  <c:v>2.0088599999999999E-3</c:v>
                </c:pt>
                <c:pt idx="108">
                  <c:v>1.9565400000000001E-3</c:v>
                </c:pt>
                <c:pt idx="109">
                  <c:v>2.03871E-3</c:v>
                </c:pt>
                <c:pt idx="110">
                  <c:v>1.9888800000000002E-3</c:v>
                </c:pt>
                <c:pt idx="111">
                  <c:v>2.0217199999999999E-3</c:v>
                </c:pt>
                <c:pt idx="112">
                  <c:v>2.05982E-3</c:v>
                </c:pt>
                <c:pt idx="113">
                  <c:v>2.0679399999999999E-3</c:v>
                </c:pt>
                <c:pt idx="114">
                  <c:v>2.1071699999999998E-3</c:v>
                </c:pt>
                <c:pt idx="115">
                  <c:v>2.0886699999999999E-3</c:v>
                </c:pt>
                <c:pt idx="116">
                  <c:v>2.1099199999999999E-3</c:v>
                </c:pt>
                <c:pt idx="117">
                  <c:v>2.0684200000000001E-3</c:v>
                </c:pt>
                <c:pt idx="118">
                  <c:v>2.1737200000000001E-3</c:v>
                </c:pt>
                <c:pt idx="119">
                  <c:v>2.1675499999999999E-3</c:v>
                </c:pt>
                <c:pt idx="120">
                  <c:v>2.1985400000000001E-3</c:v>
                </c:pt>
                <c:pt idx="121">
                  <c:v>2.2126400000000001E-3</c:v>
                </c:pt>
                <c:pt idx="122">
                  <c:v>2.23266E-3</c:v>
                </c:pt>
                <c:pt idx="123">
                  <c:v>2.2849200000000002E-3</c:v>
                </c:pt>
                <c:pt idx="124">
                  <c:v>2.2051499999999999E-3</c:v>
                </c:pt>
                <c:pt idx="125">
                  <c:v>2.2530800000000002E-3</c:v>
                </c:pt>
                <c:pt idx="126">
                  <c:v>2.2551799999999999E-3</c:v>
                </c:pt>
                <c:pt idx="127">
                  <c:v>2.3030300000000002E-3</c:v>
                </c:pt>
                <c:pt idx="128">
                  <c:v>2.2882200000000001E-3</c:v>
                </c:pt>
                <c:pt idx="129">
                  <c:v>2.3325899999999998E-3</c:v>
                </c:pt>
                <c:pt idx="130">
                  <c:v>2.3533999999999998E-3</c:v>
                </c:pt>
                <c:pt idx="131">
                  <c:v>2.4230599999999999E-3</c:v>
                </c:pt>
                <c:pt idx="132">
                  <c:v>2.4007099999999999E-3</c:v>
                </c:pt>
                <c:pt idx="133">
                  <c:v>2.3463199999999998E-3</c:v>
                </c:pt>
                <c:pt idx="134">
                  <c:v>2.3998700000000001E-3</c:v>
                </c:pt>
                <c:pt idx="135">
                  <c:v>2.3557500000000002E-3</c:v>
                </c:pt>
                <c:pt idx="136">
                  <c:v>2.46342E-3</c:v>
                </c:pt>
                <c:pt idx="137">
                  <c:v>2.4660400000000001E-3</c:v>
                </c:pt>
                <c:pt idx="138">
                  <c:v>2.4627899999999999E-3</c:v>
                </c:pt>
                <c:pt idx="139">
                  <c:v>2.48008E-3</c:v>
                </c:pt>
                <c:pt idx="140">
                  <c:v>2.49475E-3</c:v>
                </c:pt>
                <c:pt idx="141">
                  <c:v>2.5490500000000002E-3</c:v>
                </c:pt>
                <c:pt idx="142">
                  <c:v>2.4308400000000001E-3</c:v>
                </c:pt>
                <c:pt idx="143">
                  <c:v>2.5258300000000002E-3</c:v>
                </c:pt>
                <c:pt idx="144">
                  <c:v>2.5412099999999999E-3</c:v>
                </c:pt>
                <c:pt idx="145">
                  <c:v>2.6261499999999998E-3</c:v>
                </c:pt>
                <c:pt idx="146">
                  <c:v>2.6440000000000001E-3</c:v>
                </c:pt>
                <c:pt idx="147">
                  <c:v>2.6210000000000001E-3</c:v>
                </c:pt>
                <c:pt idx="148">
                  <c:v>2.7037599999999999E-3</c:v>
                </c:pt>
                <c:pt idx="149">
                  <c:v>2.6561599999999999E-3</c:v>
                </c:pt>
                <c:pt idx="150">
                  <c:v>2.6895500000000002E-3</c:v>
                </c:pt>
                <c:pt idx="151">
                  <c:v>2.6649199999999999E-3</c:v>
                </c:pt>
                <c:pt idx="152">
                  <c:v>2.68192E-3</c:v>
                </c:pt>
                <c:pt idx="153">
                  <c:v>2.6901099999999999E-3</c:v>
                </c:pt>
                <c:pt idx="154">
                  <c:v>2.6889100000000001E-3</c:v>
                </c:pt>
                <c:pt idx="155">
                  <c:v>2.6982500000000001E-3</c:v>
                </c:pt>
                <c:pt idx="156">
                  <c:v>2.7632300000000002E-3</c:v>
                </c:pt>
                <c:pt idx="157">
                  <c:v>2.7867999999999999E-3</c:v>
                </c:pt>
                <c:pt idx="158">
                  <c:v>2.7607500000000002E-3</c:v>
                </c:pt>
                <c:pt idx="159">
                  <c:v>2.8093100000000002E-3</c:v>
                </c:pt>
                <c:pt idx="160">
                  <c:v>2.8341299999999998E-3</c:v>
                </c:pt>
                <c:pt idx="161">
                  <c:v>2.80832E-3</c:v>
                </c:pt>
                <c:pt idx="162">
                  <c:v>2.8901E-3</c:v>
                </c:pt>
                <c:pt idx="163">
                  <c:v>2.8640599999999999E-3</c:v>
                </c:pt>
                <c:pt idx="164">
                  <c:v>2.94246E-3</c:v>
                </c:pt>
                <c:pt idx="165">
                  <c:v>2.9005599999999999E-3</c:v>
                </c:pt>
                <c:pt idx="166">
                  <c:v>2.9188899999999999E-3</c:v>
                </c:pt>
                <c:pt idx="167">
                  <c:v>2.94137E-3</c:v>
                </c:pt>
                <c:pt idx="168">
                  <c:v>2.9390900000000001E-3</c:v>
                </c:pt>
                <c:pt idx="169">
                  <c:v>2.9557400000000001E-3</c:v>
                </c:pt>
                <c:pt idx="170">
                  <c:v>2.97985E-3</c:v>
                </c:pt>
                <c:pt idx="171">
                  <c:v>3.02959E-3</c:v>
                </c:pt>
                <c:pt idx="172">
                  <c:v>3.0135700000000001E-3</c:v>
                </c:pt>
                <c:pt idx="173">
                  <c:v>3.0266E-3</c:v>
                </c:pt>
                <c:pt idx="174">
                  <c:v>3.0793299999999999E-3</c:v>
                </c:pt>
                <c:pt idx="175">
                  <c:v>3.0654499999999999E-3</c:v>
                </c:pt>
                <c:pt idx="176">
                  <c:v>3.11188E-3</c:v>
                </c:pt>
                <c:pt idx="177">
                  <c:v>3.1437800000000001E-3</c:v>
                </c:pt>
                <c:pt idx="178">
                  <c:v>2.9873E-3</c:v>
                </c:pt>
                <c:pt idx="179">
                  <c:v>3.07998E-3</c:v>
                </c:pt>
                <c:pt idx="180">
                  <c:v>3.1860299999999999E-3</c:v>
                </c:pt>
                <c:pt idx="181">
                  <c:v>3.1208E-3</c:v>
                </c:pt>
                <c:pt idx="182">
                  <c:v>3.1986100000000002E-3</c:v>
                </c:pt>
                <c:pt idx="183">
                  <c:v>3.1846399999999999E-3</c:v>
                </c:pt>
                <c:pt idx="184">
                  <c:v>3.2371499999999998E-3</c:v>
                </c:pt>
                <c:pt idx="185">
                  <c:v>3.20441E-3</c:v>
                </c:pt>
                <c:pt idx="186">
                  <c:v>3.2107799999999999E-3</c:v>
                </c:pt>
                <c:pt idx="187">
                  <c:v>3.3014199999999998E-3</c:v>
                </c:pt>
                <c:pt idx="188">
                  <c:v>3.2674399999999999E-3</c:v>
                </c:pt>
                <c:pt idx="189">
                  <c:v>3.2523600000000001E-3</c:v>
                </c:pt>
                <c:pt idx="190">
                  <c:v>3.2680299999999999E-3</c:v>
                </c:pt>
                <c:pt idx="191">
                  <c:v>3.3176099999999999E-3</c:v>
                </c:pt>
                <c:pt idx="192">
                  <c:v>3.3481600000000002E-3</c:v>
                </c:pt>
                <c:pt idx="193">
                  <c:v>3.3539099999999999E-3</c:v>
                </c:pt>
                <c:pt idx="194">
                  <c:v>3.34608E-3</c:v>
                </c:pt>
                <c:pt idx="195">
                  <c:v>3.3767699999999999E-3</c:v>
                </c:pt>
                <c:pt idx="196">
                  <c:v>3.38273E-3</c:v>
                </c:pt>
                <c:pt idx="197">
                  <c:v>3.4516799999999999E-3</c:v>
                </c:pt>
                <c:pt idx="198">
                  <c:v>3.4276699999999998E-3</c:v>
                </c:pt>
                <c:pt idx="199">
                  <c:v>3.4359500000000001E-3</c:v>
                </c:pt>
                <c:pt idx="200">
                  <c:v>3.4513399999999998E-3</c:v>
                </c:pt>
                <c:pt idx="201">
                  <c:v>3.48819E-3</c:v>
                </c:pt>
                <c:pt idx="202">
                  <c:v>3.5058699999999999E-3</c:v>
                </c:pt>
                <c:pt idx="203">
                  <c:v>3.4628699999999998E-3</c:v>
                </c:pt>
                <c:pt idx="204">
                  <c:v>3.4555900000000001E-3</c:v>
                </c:pt>
                <c:pt idx="205">
                  <c:v>3.5931800000000001E-3</c:v>
                </c:pt>
                <c:pt idx="206">
                  <c:v>3.5641399999999999E-3</c:v>
                </c:pt>
                <c:pt idx="207">
                  <c:v>3.56764E-3</c:v>
                </c:pt>
                <c:pt idx="208">
                  <c:v>3.57961E-3</c:v>
                </c:pt>
                <c:pt idx="209">
                  <c:v>3.6054799999999999E-3</c:v>
                </c:pt>
                <c:pt idx="210">
                  <c:v>3.59181E-3</c:v>
                </c:pt>
                <c:pt idx="211">
                  <c:v>3.64899E-3</c:v>
                </c:pt>
                <c:pt idx="212">
                  <c:v>3.6353700000000002E-3</c:v>
                </c:pt>
                <c:pt idx="213">
                  <c:v>3.6762600000000002E-3</c:v>
                </c:pt>
                <c:pt idx="214">
                  <c:v>3.6934200000000002E-3</c:v>
                </c:pt>
                <c:pt idx="215">
                  <c:v>3.7153199999999998E-3</c:v>
                </c:pt>
                <c:pt idx="216">
                  <c:v>3.7413899999999998E-3</c:v>
                </c:pt>
                <c:pt idx="217">
                  <c:v>3.7801000000000002E-3</c:v>
                </c:pt>
                <c:pt idx="218">
                  <c:v>3.74114E-3</c:v>
                </c:pt>
                <c:pt idx="219">
                  <c:v>3.8230600000000001E-3</c:v>
                </c:pt>
                <c:pt idx="220">
                  <c:v>3.7425100000000001E-3</c:v>
                </c:pt>
                <c:pt idx="221">
                  <c:v>3.7833900000000002E-3</c:v>
                </c:pt>
                <c:pt idx="222">
                  <c:v>3.8888600000000001E-3</c:v>
                </c:pt>
                <c:pt idx="223">
                  <c:v>3.7434199999999999E-3</c:v>
                </c:pt>
                <c:pt idx="224">
                  <c:v>3.8993999999999999E-3</c:v>
                </c:pt>
                <c:pt idx="225">
                  <c:v>3.8566E-3</c:v>
                </c:pt>
                <c:pt idx="226">
                  <c:v>3.9738600000000001E-3</c:v>
                </c:pt>
                <c:pt idx="227">
                  <c:v>3.8372300000000001E-3</c:v>
                </c:pt>
                <c:pt idx="228">
                  <c:v>3.9011200000000001E-3</c:v>
                </c:pt>
                <c:pt idx="229">
                  <c:v>3.9638700000000004E-3</c:v>
                </c:pt>
                <c:pt idx="230">
                  <c:v>3.8850400000000002E-3</c:v>
                </c:pt>
                <c:pt idx="231">
                  <c:v>4.0018199999999997E-3</c:v>
                </c:pt>
                <c:pt idx="232">
                  <c:v>3.9615099999999997E-3</c:v>
                </c:pt>
                <c:pt idx="233">
                  <c:v>4.0003699999999996E-3</c:v>
                </c:pt>
                <c:pt idx="234">
                  <c:v>3.9709699999999999E-3</c:v>
                </c:pt>
                <c:pt idx="235">
                  <c:v>4.0480000000000004E-3</c:v>
                </c:pt>
                <c:pt idx="236">
                  <c:v>4.0697199999999998E-3</c:v>
                </c:pt>
                <c:pt idx="237">
                  <c:v>4.0863899999999996E-3</c:v>
                </c:pt>
                <c:pt idx="238">
                  <c:v>4.0403899999999996E-3</c:v>
                </c:pt>
                <c:pt idx="239">
                  <c:v>4.11349E-3</c:v>
                </c:pt>
                <c:pt idx="240">
                  <c:v>4.1021900000000004E-3</c:v>
                </c:pt>
                <c:pt idx="241">
                  <c:v>4.12649E-3</c:v>
                </c:pt>
                <c:pt idx="242">
                  <c:v>4.15264E-3</c:v>
                </c:pt>
                <c:pt idx="243">
                  <c:v>4.1141499999999996E-3</c:v>
                </c:pt>
                <c:pt idx="244">
                  <c:v>4.1096199999999996E-3</c:v>
                </c:pt>
                <c:pt idx="245">
                  <c:v>4.1610800000000002E-3</c:v>
                </c:pt>
                <c:pt idx="246">
                  <c:v>4.1250899999999997E-3</c:v>
                </c:pt>
                <c:pt idx="247">
                  <c:v>4.2051099999999998E-3</c:v>
                </c:pt>
                <c:pt idx="248">
                  <c:v>4.2454099999999998E-3</c:v>
                </c:pt>
                <c:pt idx="249">
                  <c:v>4.1470600000000002E-3</c:v>
                </c:pt>
                <c:pt idx="250">
                  <c:v>4.2031100000000004E-3</c:v>
                </c:pt>
                <c:pt idx="251">
                  <c:v>4.25327E-3</c:v>
                </c:pt>
                <c:pt idx="252">
                  <c:v>4.2393500000000002E-3</c:v>
                </c:pt>
                <c:pt idx="253">
                  <c:v>4.3146499999999997E-3</c:v>
                </c:pt>
                <c:pt idx="254">
                  <c:v>4.3469600000000004E-3</c:v>
                </c:pt>
                <c:pt idx="255">
                  <c:v>4.3348700000000002E-3</c:v>
                </c:pt>
                <c:pt idx="256">
                  <c:v>4.3633700000000001E-3</c:v>
                </c:pt>
                <c:pt idx="257">
                  <c:v>4.3383099999999997E-3</c:v>
                </c:pt>
                <c:pt idx="258">
                  <c:v>4.3943899999999998E-3</c:v>
                </c:pt>
                <c:pt idx="259">
                  <c:v>4.43933E-3</c:v>
                </c:pt>
                <c:pt idx="260">
                  <c:v>4.4545699999999997E-3</c:v>
                </c:pt>
                <c:pt idx="261">
                  <c:v>4.4281399999999997E-3</c:v>
                </c:pt>
                <c:pt idx="262">
                  <c:v>4.41144E-3</c:v>
                </c:pt>
                <c:pt idx="263">
                  <c:v>4.4487099999999998E-3</c:v>
                </c:pt>
                <c:pt idx="264">
                  <c:v>4.4762999999999999E-3</c:v>
                </c:pt>
                <c:pt idx="265">
                  <c:v>4.4557800000000003E-3</c:v>
                </c:pt>
                <c:pt idx="266">
                  <c:v>4.4728299999999997E-3</c:v>
                </c:pt>
                <c:pt idx="267">
                  <c:v>4.5205100000000002E-3</c:v>
                </c:pt>
                <c:pt idx="268">
                  <c:v>4.5384300000000004E-3</c:v>
                </c:pt>
                <c:pt idx="269">
                  <c:v>4.4881499999999998E-3</c:v>
                </c:pt>
                <c:pt idx="270">
                  <c:v>4.59941E-3</c:v>
                </c:pt>
                <c:pt idx="271">
                  <c:v>4.6109899999999997E-3</c:v>
                </c:pt>
                <c:pt idx="272">
                  <c:v>4.5765099999999998E-3</c:v>
                </c:pt>
                <c:pt idx="273">
                  <c:v>4.6215900000000001E-3</c:v>
                </c:pt>
                <c:pt idx="274">
                  <c:v>4.6510700000000002E-3</c:v>
                </c:pt>
                <c:pt idx="275">
                  <c:v>4.5898400000000004E-3</c:v>
                </c:pt>
                <c:pt idx="276">
                  <c:v>4.6464399999999999E-3</c:v>
                </c:pt>
                <c:pt idx="277">
                  <c:v>4.6679E-3</c:v>
                </c:pt>
                <c:pt idx="278">
                  <c:v>4.6677999999999997E-3</c:v>
                </c:pt>
                <c:pt idx="279">
                  <c:v>4.7440299999999998E-3</c:v>
                </c:pt>
                <c:pt idx="280">
                  <c:v>4.7229699999999999E-3</c:v>
                </c:pt>
                <c:pt idx="281">
                  <c:v>4.7572999999999999E-3</c:v>
                </c:pt>
                <c:pt idx="282">
                  <c:v>4.7374799999999996E-3</c:v>
                </c:pt>
                <c:pt idx="283">
                  <c:v>4.7712199999999996E-3</c:v>
                </c:pt>
                <c:pt idx="284">
                  <c:v>4.8192399999999998E-3</c:v>
                </c:pt>
                <c:pt idx="285">
                  <c:v>4.8051500000000002E-3</c:v>
                </c:pt>
                <c:pt idx="286">
                  <c:v>4.76385E-3</c:v>
                </c:pt>
                <c:pt idx="287">
                  <c:v>4.7871900000000002E-3</c:v>
                </c:pt>
                <c:pt idx="288">
                  <c:v>4.81717E-3</c:v>
                </c:pt>
                <c:pt idx="289">
                  <c:v>4.8406200000000003E-3</c:v>
                </c:pt>
                <c:pt idx="290">
                  <c:v>4.8995999999999996E-3</c:v>
                </c:pt>
                <c:pt idx="291">
                  <c:v>4.89691E-3</c:v>
                </c:pt>
                <c:pt idx="292">
                  <c:v>4.8553900000000002E-3</c:v>
                </c:pt>
                <c:pt idx="293">
                  <c:v>4.9242399999999999E-3</c:v>
                </c:pt>
                <c:pt idx="294">
                  <c:v>4.9204899999999996E-3</c:v>
                </c:pt>
                <c:pt idx="295">
                  <c:v>4.9214200000000001E-3</c:v>
                </c:pt>
                <c:pt idx="296">
                  <c:v>4.9666099999999998E-3</c:v>
                </c:pt>
                <c:pt idx="297">
                  <c:v>4.9129300000000002E-3</c:v>
                </c:pt>
                <c:pt idx="298">
                  <c:v>4.9783600000000003E-3</c:v>
                </c:pt>
                <c:pt idx="299">
                  <c:v>4.9652400000000001E-3</c:v>
                </c:pt>
                <c:pt idx="300">
                  <c:v>4.9488199999999996E-3</c:v>
                </c:pt>
                <c:pt idx="301">
                  <c:v>4.9918799999999998E-3</c:v>
                </c:pt>
                <c:pt idx="302">
                  <c:v>5.0481600000000003E-3</c:v>
                </c:pt>
                <c:pt idx="303">
                  <c:v>5.03492E-3</c:v>
                </c:pt>
                <c:pt idx="304">
                  <c:v>5.0369200000000003E-3</c:v>
                </c:pt>
                <c:pt idx="305">
                  <c:v>5.2223800000000004E-3</c:v>
                </c:pt>
                <c:pt idx="306">
                  <c:v>5.0494700000000003E-3</c:v>
                </c:pt>
                <c:pt idx="307">
                  <c:v>5.1255500000000004E-3</c:v>
                </c:pt>
                <c:pt idx="308">
                  <c:v>5.1371100000000003E-3</c:v>
                </c:pt>
                <c:pt idx="309">
                  <c:v>5.1942400000000001E-3</c:v>
                </c:pt>
                <c:pt idx="310">
                  <c:v>5.2163799999999996E-3</c:v>
                </c:pt>
                <c:pt idx="311">
                  <c:v>5.20201E-3</c:v>
                </c:pt>
                <c:pt idx="312">
                  <c:v>5.2060500000000003E-3</c:v>
                </c:pt>
                <c:pt idx="313">
                  <c:v>5.2102800000000003E-3</c:v>
                </c:pt>
                <c:pt idx="314">
                  <c:v>5.24509E-3</c:v>
                </c:pt>
                <c:pt idx="315">
                  <c:v>5.2610499999999998E-3</c:v>
                </c:pt>
                <c:pt idx="316">
                  <c:v>5.2204399999999998E-3</c:v>
                </c:pt>
                <c:pt idx="317">
                  <c:v>5.2707199999999996E-3</c:v>
                </c:pt>
                <c:pt idx="318">
                  <c:v>5.2953399999999999E-3</c:v>
                </c:pt>
                <c:pt idx="319">
                  <c:v>5.3294400000000004E-3</c:v>
                </c:pt>
                <c:pt idx="320">
                  <c:v>5.3046200000000003E-3</c:v>
                </c:pt>
                <c:pt idx="321">
                  <c:v>5.35214E-3</c:v>
                </c:pt>
                <c:pt idx="322">
                  <c:v>5.3339700000000004E-3</c:v>
                </c:pt>
                <c:pt idx="323">
                  <c:v>5.3883100000000003E-3</c:v>
                </c:pt>
                <c:pt idx="324">
                  <c:v>5.4058800000000001E-3</c:v>
                </c:pt>
                <c:pt idx="325">
                  <c:v>5.3963400000000003E-3</c:v>
                </c:pt>
                <c:pt idx="326">
                  <c:v>5.4398199999999997E-3</c:v>
                </c:pt>
                <c:pt idx="327">
                  <c:v>5.4660899999999998E-3</c:v>
                </c:pt>
                <c:pt idx="328">
                  <c:v>5.4331199999999996E-3</c:v>
                </c:pt>
                <c:pt idx="329">
                  <c:v>5.46943E-3</c:v>
                </c:pt>
                <c:pt idx="330">
                  <c:v>5.4949400000000002E-3</c:v>
                </c:pt>
                <c:pt idx="331">
                  <c:v>5.5004700000000004E-3</c:v>
                </c:pt>
                <c:pt idx="332">
                  <c:v>5.4621399999999999E-3</c:v>
                </c:pt>
                <c:pt idx="333">
                  <c:v>5.6073099999999999E-3</c:v>
                </c:pt>
                <c:pt idx="334">
                  <c:v>5.5689099999999998E-3</c:v>
                </c:pt>
                <c:pt idx="335">
                  <c:v>5.5485300000000003E-3</c:v>
                </c:pt>
                <c:pt idx="336">
                  <c:v>5.5252399999999998E-3</c:v>
                </c:pt>
                <c:pt idx="337">
                  <c:v>5.6245100000000001E-3</c:v>
                </c:pt>
                <c:pt idx="338">
                  <c:v>5.6578399999999999E-3</c:v>
                </c:pt>
                <c:pt idx="339">
                  <c:v>5.5712100000000001E-3</c:v>
                </c:pt>
                <c:pt idx="340">
                  <c:v>5.6041700000000003E-3</c:v>
                </c:pt>
                <c:pt idx="341">
                  <c:v>5.5973200000000002E-3</c:v>
                </c:pt>
                <c:pt idx="342">
                  <c:v>5.7290600000000002E-3</c:v>
                </c:pt>
                <c:pt idx="343">
                  <c:v>5.7498000000000002E-3</c:v>
                </c:pt>
                <c:pt idx="344">
                  <c:v>5.7531700000000002E-3</c:v>
                </c:pt>
                <c:pt idx="345">
                  <c:v>5.8187899999999999E-3</c:v>
                </c:pt>
                <c:pt idx="346">
                  <c:v>5.83411E-3</c:v>
                </c:pt>
                <c:pt idx="347">
                  <c:v>5.7335399999999996E-3</c:v>
                </c:pt>
                <c:pt idx="348">
                  <c:v>5.8283700000000003E-3</c:v>
                </c:pt>
                <c:pt idx="349">
                  <c:v>5.8005699999999997E-3</c:v>
                </c:pt>
                <c:pt idx="350">
                  <c:v>5.7631999999999996E-3</c:v>
                </c:pt>
                <c:pt idx="351">
                  <c:v>5.8843400000000001E-3</c:v>
                </c:pt>
                <c:pt idx="352">
                  <c:v>5.8491000000000003E-3</c:v>
                </c:pt>
                <c:pt idx="353">
                  <c:v>5.8186499999999999E-3</c:v>
                </c:pt>
                <c:pt idx="354">
                  <c:v>5.9462400000000002E-3</c:v>
                </c:pt>
                <c:pt idx="355">
                  <c:v>5.9117500000000003E-3</c:v>
                </c:pt>
                <c:pt idx="356">
                  <c:v>5.9157400000000001E-3</c:v>
                </c:pt>
                <c:pt idx="357">
                  <c:v>5.93971E-3</c:v>
                </c:pt>
                <c:pt idx="358">
                  <c:v>6.0186399999999996E-3</c:v>
                </c:pt>
                <c:pt idx="359">
                  <c:v>5.9677599999999999E-3</c:v>
                </c:pt>
                <c:pt idx="360">
                  <c:v>6.0062800000000001E-3</c:v>
                </c:pt>
                <c:pt idx="361">
                  <c:v>6.0742399999999998E-3</c:v>
                </c:pt>
                <c:pt idx="362">
                  <c:v>6.02281E-3</c:v>
                </c:pt>
                <c:pt idx="363">
                  <c:v>5.9846700000000001E-3</c:v>
                </c:pt>
                <c:pt idx="364">
                  <c:v>6.0922299999999997E-3</c:v>
                </c:pt>
                <c:pt idx="365">
                  <c:v>6.0254200000000001E-3</c:v>
                </c:pt>
                <c:pt idx="366">
                  <c:v>6.0597999999999997E-3</c:v>
                </c:pt>
                <c:pt idx="367">
                  <c:v>6.0660599999999999E-3</c:v>
                </c:pt>
                <c:pt idx="368">
                  <c:v>6.0814399999999996E-3</c:v>
                </c:pt>
                <c:pt idx="369">
                  <c:v>6.16959E-3</c:v>
                </c:pt>
                <c:pt idx="370">
                  <c:v>6.1760799999999996E-3</c:v>
                </c:pt>
                <c:pt idx="371">
                  <c:v>6.0708999999999997E-3</c:v>
                </c:pt>
                <c:pt idx="372">
                  <c:v>6.1654300000000004E-3</c:v>
                </c:pt>
                <c:pt idx="373">
                  <c:v>6.2217699999999997E-3</c:v>
                </c:pt>
                <c:pt idx="374">
                  <c:v>6.2307999999999999E-3</c:v>
                </c:pt>
                <c:pt idx="375">
                  <c:v>6.2429399999999998E-3</c:v>
                </c:pt>
                <c:pt idx="376">
                  <c:v>6.2208799999999998E-3</c:v>
                </c:pt>
                <c:pt idx="377">
                  <c:v>6.3273699999999997E-3</c:v>
                </c:pt>
                <c:pt idx="378">
                  <c:v>6.34849E-3</c:v>
                </c:pt>
                <c:pt idx="379">
                  <c:v>6.3220400000000001E-3</c:v>
                </c:pt>
                <c:pt idx="380">
                  <c:v>6.3464400000000001E-3</c:v>
                </c:pt>
                <c:pt idx="381">
                  <c:v>6.3515899999999998E-3</c:v>
                </c:pt>
                <c:pt idx="382">
                  <c:v>6.3295399999999998E-3</c:v>
                </c:pt>
                <c:pt idx="383">
                  <c:v>6.3509400000000002E-3</c:v>
                </c:pt>
                <c:pt idx="384">
                  <c:v>6.3659600000000004E-3</c:v>
                </c:pt>
                <c:pt idx="385">
                  <c:v>6.4348199999999999E-3</c:v>
                </c:pt>
                <c:pt idx="386">
                  <c:v>6.3867300000000002E-3</c:v>
                </c:pt>
                <c:pt idx="387">
                  <c:v>6.4259499999999997E-3</c:v>
                </c:pt>
                <c:pt idx="388">
                  <c:v>6.4223600000000002E-3</c:v>
                </c:pt>
                <c:pt idx="389">
                  <c:v>6.4805599999999998E-3</c:v>
                </c:pt>
                <c:pt idx="390">
                  <c:v>6.5006400000000002E-3</c:v>
                </c:pt>
                <c:pt idx="391">
                  <c:v>6.5327099999999997E-3</c:v>
                </c:pt>
                <c:pt idx="392">
                  <c:v>6.5291400000000001E-3</c:v>
                </c:pt>
                <c:pt idx="393">
                  <c:v>6.6066700000000003E-3</c:v>
                </c:pt>
              </c:numCache>
            </c:numRef>
          </c:xVal>
          <c:yVal>
            <c:numRef>
              <c:f>'L30CPTX-3'!$W$7:$W$414</c:f>
              <c:numCache>
                <c:formatCode>General</c:formatCode>
                <c:ptCount val="408"/>
                <c:pt idx="0">
                  <c:v>0</c:v>
                </c:pt>
                <c:pt idx="1">
                  <c:v>-8.0628766666666676E-5</c:v>
                </c:pt>
                <c:pt idx="2">
                  <c:v>-1.0421200000000001E-5</c:v>
                </c:pt>
                <c:pt idx="3">
                  <c:v>1.0635806666666667E-4</c:v>
                </c:pt>
                <c:pt idx="4">
                  <c:v>-1.7606180000000003E-5</c:v>
                </c:pt>
                <c:pt idx="5">
                  <c:v>-7.7287000000000007E-5</c:v>
                </c:pt>
                <c:pt idx="6">
                  <c:v>-5.720733333333333E-5</c:v>
                </c:pt>
                <c:pt idx="7">
                  <c:v>2.0174466666666668E-5</c:v>
                </c:pt>
                <c:pt idx="8">
                  <c:v>1.1814099999999999E-5</c:v>
                </c:pt>
                <c:pt idx="9">
                  <c:v>7.0867233333333325E-5</c:v>
                </c:pt>
                <c:pt idx="10">
                  <c:v>7.0513266666666661E-5</c:v>
                </c:pt>
                <c:pt idx="11">
                  <c:v>1.0745296666666666E-4</c:v>
                </c:pt>
                <c:pt idx="12">
                  <c:v>1.0968013333333333E-4</c:v>
                </c:pt>
                <c:pt idx="13">
                  <c:v>2.3143566666666666E-5</c:v>
                </c:pt>
                <c:pt idx="14">
                  <c:v>1.4595746666666665E-4</c:v>
                </c:pt>
                <c:pt idx="15">
                  <c:v>5.1234519999999993E-5</c:v>
                </c:pt>
                <c:pt idx="16">
                  <c:v>-4.4583190000000003E-5</c:v>
                </c:pt>
                <c:pt idx="17">
                  <c:v>8.6479126666666668E-5</c:v>
                </c:pt>
                <c:pt idx="18">
                  <c:v>1.1324066666666666E-4</c:v>
                </c:pt>
                <c:pt idx="19">
                  <c:v>2.3230466666666669E-4</c:v>
                </c:pt>
                <c:pt idx="20">
                  <c:v>6.1021600000000005E-5</c:v>
                </c:pt>
                <c:pt idx="21">
                  <c:v>6.8868269999999997E-5</c:v>
                </c:pt>
                <c:pt idx="22">
                  <c:v>7.1273594333333328E-5</c:v>
                </c:pt>
                <c:pt idx="23">
                  <c:v>2.3744599999999999E-4</c:v>
                </c:pt>
                <c:pt idx="24">
                  <c:v>1.6885700000000001E-4</c:v>
                </c:pt>
                <c:pt idx="25">
                  <c:v>1.662968E-4</c:v>
                </c:pt>
                <c:pt idx="26">
                  <c:v>1.958136666666667E-4</c:v>
                </c:pt>
                <c:pt idx="27">
                  <c:v>1.2910803333333334E-4</c:v>
                </c:pt>
                <c:pt idx="28">
                  <c:v>7.0722600000000006E-5</c:v>
                </c:pt>
                <c:pt idx="29">
                  <c:v>1.7563453333333334E-4</c:v>
                </c:pt>
                <c:pt idx="30">
                  <c:v>2.5635600000000001E-4</c:v>
                </c:pt>
                <c:pt idx="31">
                  <c:v>-4.8093400000000003E-5</c:v>
                </c:pt>
                <c:pt idx="32">
                  <c:v>1.4470166666666665E-4</c:v>
                </c:pt>
                <c:pt idx="33">
                  <c:v>2.4212299999999999E-4</c:v>
                </c:pt>
                <c:pt idx="34">
                  <c:v>2.1440293333333332E-4</c:v>
                </c:pt>
                <c:pt idx="35">
                  <c:v>2.1018353333333332E-4</c:v>
                </c:pt>
                <c:pt idx="36">
                  <c:v>1.7034740333333334E-4</c:v>
                </c:pt>
                <c:pt idx="37">
                  <c:v>1.5909931000000001E-4</c:v>
                </c:pt>
                <c:pt idx="38">
                  <c:v>2.818269333333333E-4</c:v>
                </c:pt>
                <c:pt idx="39">
                  <c:v>2.3193880000000003E-4</c:v>
                </c:pt>
                <c:pt idx="40">
                  <c:v>1.8789383333333337E-4</c:v>
                </c:pt>
                <c:pt idx="41">
                  <c:v>2.4957626666666666E-4</c:v>
                </c:pt>
                <c:pt idx="42">
                  <c:v>2.3166123333333332E-4</c:v>
                </c:pt>
                <c:pt idx="43">
                  <c:v>3.5764800000000007E-4</c:v>
                </c:pt>
                <c:pt idx="44">
                  <c:v>2.5282033333333333E-4</c:v>
                </c:pt>
                <c:pt idx="45">
                  <c:v>2.0474053333333333E-4</c:v>
                </c:pt>
                <c:pt idx="46">
                  <c:v>3.1032433333333333E-4</c:v>
                </c:pt>
                <c:pt idx="47">
                  <c:v>1.9866999999999997E-4</c:v>
                </c:pt>
                <c:pt idx="48">
                  <c:v>3.0041760000000002E-4</c:v>
                </c:pt>
                <c:pt idx="49">
                  <c:v>2.972283333333334E-4</c:v>
                </c:pt>
                <c:pt idx="50">
                  <c:v>4.3448766666666664E-4</c:v>
                </c:pt>
                <c:pt idx="51">
                  <c:v>4.5058000000000007E-4</c:v>
                </c:pt>
                <c:pt idx="52">
                  <c:v>3.5946533333333338E-4</c:v>
                </c:pt>
                <c:pt idx="53">
                  <c:v>4.1648600000000004E-4</c:v>
                </c:pt>
                <c:pt idx="54">
                  <c:v>2.9108466666666663E-4</c:v>
                </c:pt>
                <c:pt idx="55">
                  <c:v>3.7233966666666666E-4</c:v>
                </c:pt>
                <c:pt idx="56">
                  <c:v>3.0104573333333335E-4</c:v>
                </c:pt>
                <c:pt idx="57">
                  <c:v>3.8654100000000001E-4</c:v>
                </c:pt>
                <c:pt idx="58">
                  <c:v>4.7707566666666668E-4</c:v>
                </c:pt>
                <c:pt idx="59">
                  <c:v>3.2162899999999998E-4</c:v>
                </c:pt>
                <c:pt idx="60">
                  <c:v>3.4812163333333332E-4</c:v>
                </c:pt>
                <c:pt idx="61">
                  <c:v>3.6433233333333336E-4</c:v>
                </c:pt>
                <c:pt idx="62">
                  <c:v>2.6768903333333332E-4</c:v>
                </c:pt>
                <c:pt idx="63">
                  <c:v>3.5808866666666665E-4</c:v>
                </c:pt>
                <c:pt idx="64">
                  <c:v>4.0534766666666666E-4</c:v>
                </c:pt>
                <c:pt idx="65">
                  <c:v>4.4211333333333338E-4</c:v>
                </c:pt>
                <c:pt idx="66">
                  <c:v>3.7266099999999999E-4</c:v>
                </c:pt>
                <c:pt idx="67">
                  <c:v>4.3821933333333332E-4</c:v>
                </c:pt>
                <c:pt idx="68">
                  <c:v>3.5711333333333337E-4</c:v>
                </c:pt>
                <c:pt idx="69">
                  <c:v>4.5987599999999996E-4</c:v>
                </c:pt>
                <c:pt idx="70">
                  <c:v>5.9627366666666667E-4</c:v>
                </c:pt>
                <c:pt idx="71">
                  <c:v>4.1431933333333334E-4</c:v>
                </c:pt>
                <c:pt idx="72">
                  <c:v>4.4616366666666677E-4</c:v>
                </c:pt>
                <c:pt idx="73">
                  <c:v>4.4677266666666671E-4</c:v>
                </c:pt>
                <c:pt idx="74">
                  <c:v>4.6489200000000001E-4</c:v>
                </c:pt>
                <c:pt idx="75">
                  <c:v>5.4073700000000001E-4</c:v>
                </c:pt>
                <c:pt idx="76">
                  <c:v>4.5777866666666663E-4</c:v>
                </c:pt>
                <c:pt idx="77">
                  <c:v>5.4838100000000002E-4</c:v>
                </c:pt>
                <c:pt idx="78">
                  <c:v>4.6159966666666662E-4</c:v>
                </c:pt>
                <c:pt idx="79">
                  <c:v>4.8972066666666666E-4</c:v>
                </c:pt>
                <c:pt idx="80">
                  <c:v>4.9756966666666665E-4</c:v>
                </c:pt>
                <c:pt idx="81">
                  <c:v>4.6506533333333334E-4</c:v>
                </c:pt>
                <c:pt idx="82">
                  <c:v>4.7070466666666665E-4</c:v>
                </c:pt>
                <c:pt idx="83">
                  <c:v>5.4459133333333335E-4</c:v>
                </c:pt>
                <c:pt idx="84">
                  <c:v>6.5235733333333327E-4</c:v>
                </c:pt>
                <c:pt idx="85">
                  <c:v>5.5305833333333331E-4</c:v>
                </c:pt>
                <c:pt idx="86">
                  <c:v>6.2363333333333333E-4</c:v>
                </c:pt>
                <c:pt idx="87">
                  <c:v>4.833296666666667E-4</c:v>
                </c:pt>
                <c:pt idx="88">
                  <c:v>5.8505733333333342E-4</c:v>
                </c:pt>
                <c:pt idx="89">
                  <c:v>5.4632400000000005E-4</c:v>
                </c:pt>
                <c:pt idx="90">
                  <c:v>5.8863299999999997E-4</c:v>
                </c:pt>
                <c:pt idx="91">
                  <c:v>4.589943E-4</c:v>
                </c:pt>
                <c:pt idx="92">
                  <c:v>5.4049899999999995E-4</c:v>
                </c:pt>
                <c:pt idx="93">
                  <c:v>6.5117099999999998E-4</c:v>
                </c:pt>
                <c:pt idx="94">
                  <c:v>4.9749966666666663E-4</c:v>
                </c:pt>
                <c:pt idx="95">
                  <c:v>5.3174233333333324E-4</c:v>
                </c:pt>
                <c:pt idx="96">
                  <c:v>6.0642200000000002E-4</c:v>
                </c:pt>
                <c:pt idx="97">
                  <c:v>6.7376033333333329E-4</c:v>
                </c:pt>
                <c:pt idx="98">
                  <c:v>5.2666666666666671E-4</c:v>
                </c:pt>
                <c:pt idx="99">
                  <c:v>7.3611800000000002E-4</c:v>
                </c:pt>
                <c:pt idx="100">
                  <c:v>6.6050266666666663E-4</c:v>
                </c:pt>
                <c:pt idx="101">
                  <c:v>6.0626300000000001E-4</c:v>
                </c:pt>
                <c:pt idx="102">
                  <c:v>5.6492066666666665E-4</c:v>
                </c:pt>
                <c:pt idx="103">
                  <c:v>5.7254233333333337E-4</c:v>
                </c:pt>
                <c:pt idx="104">
                  <c:v>6.5947733333333338E-4</c:v>
                </c:pt>
                <c:pt idx="105">
                  <c:v>6.0982733333333333E-4</c:v>
                </c:pt>
                <c:pt idx="106">
                  <c:v>7.4696366666666665E-4</c:v>
                </c:pt>
                <c:pt idx="107">
                  <c:v>6.3098033333333333E-4</c:v>
                </c:pt>
                <c:pt idx="108">
                  <c:v>7.3269833333333343E-4</c:v>
                </c:pt>
                <c:pt idx="109">
                  <c:v>6.2535866666666665E-4</c:v>
                </c:pt>
                <c:pt idx="110">
                  <c:v>6.6893966666666665E-4</c:v>
                </c:pt>
                <c:pt idx="111">
                  <c:v>6.0570600000000002E-4</c:v>
                </c:pt>
                <c:pt idx="112">
                  <c:v>5.5005100000000008E-4</c:v>
                </c:pt>
                <c:pt idx="113">
                  <c:v>6.9671666666666664E-4</c:v>
                </c:pt>
                <c:pt idx="114">
                  <c:v>7.3008466666666663E-4</c:v>
                </c:pt>
                <c:pt idx="115">
                  <c:v>6.3203866666666666E-4</c:v>
                </c:pt>
                <c:pt idx="116">
                  <c:v>7.2495333333333324E-4</c:v>
                </c:pt>
                <c:pt idx="117">
                  <c:v>7.7048500000000001E-4</c:v>
                </c:pt>
                <c:pt idx="118">
                  <c:v>7.12684E-4</c:v>
                </c:pt>
                <c:pt idx="119">
                  <c:v>7.6617433333333327E-4</c:v>
                </c:pt>
                <c:pt idx="120">
                  <c:v>7.5295166666666672E-4</c:v>
                </c:pt>
                <c:pt idx="121">
                  <c:v>7.9730266666666659E-4</c:v>
                </c:pt>
                <c:pt idx="122">
                  <c:v>7.2816433333333338E-4</c:v>
                </c:pt>
                <c:pt idx="123">
                  <c:v>6.2956200000000007E-4</c:v>
                </c:pt>
                <c:pt idx="124">
                  <c:v>6.047656666666667E-4</c:v>
                </c:pt>
                <c:pt idx="125">
                  <c:v>7.26477E-4</c:v>
                </c:pt>
                <c:pt idx="126">
                  <c:v>6.9897199999999996E-4</c:v>
                </c:pt>
                <c:pt idx="127">
                  <c:v>6.6335033333333332E-4</c:v>
                </c:pt>
                <c:pt idx="128">
                  <c:v>7.0093000000000011E-4</c:v>
                </c:pt>
                <c:pt idx="129">
                  <c:v>7.8962033333333326E-4</c:v>
                </c:pt>
                <c:pt idx="130">
                  <c:v>8.0420799999999994E-4</c:v>
                </c:pt>
                <c:pt idx="131">
                  <c:v>7.431069999999999E-4</c:v>
                </c:pt>
                <c:pt idx="132">
                  <c:v>8.2433333333333328E-4</c:v>
                </c:pt>
                <c:pt idx="133">
                  <c:v>7.3884366666666674E-4</c:v>
                </c:pt>
                <c:pt idx="134">
                  <c:v>8.1019766666666666E-4</c:v>
                </c:pt>
                <c:pt idx="135">
                  <c:v>7.0641666666666672E-4</c:v>
                </c:pt>
                <c:pt idx="136">
                  <c:v>8.1354533333333331E-4</c:v>
                </c:pt>
                <c:pt idx="137">
                  <c:v>8.8784133333333337E-4</c:v>
                </c:pt>
                <c:pt idx="138">
                  <c:v>9.715143333333333E-4</c:v>
                </c:pt>
                <c:pt idx="139">
                  <c:v>8.9670133333333334E-4</c:v>
                </c:pt>
                <c:pt idx="140">
                  <c:v>8.6118066666666677E-4</c:v>
                </c:pt>
                <c:pt idx="141">
                  <c:v>8.5452633333333325E-4</c:v>
                </c:pt>
                <c:pt idx="142">
                  <c:v>9.2664600000000005E-4</c:v>
                </c:pt>
                <c:pt idx="143">
                  <c:v>8.3966266666666656E-4</c:v>
                </c:pt>
                <c:pt idx="144">
                  <c:v>8.9052900000000004E-4</c:v>
                </c:pt>
                <c:pt idx="145">
                  <c:v>7.8489733333333327E-4</c:v>
                </c:pt>
                <c:pt idx="146">
                  <c:v>7.8161399999999992E-4</c:v>
                </c:pt>
                <c:pt idx="147">
                  <c:v>8.6194166666666661E-4</c:v>
                </c:pt>
                <c:pt idx="148">
                  <c:v>8.860943333333333E-4</c:v>
                </c:pt>
                <c:pt idx="149">
                  <c:v>8.4024566666666663E-4</c:v>
                </c:pt>
                <c:pt idx="150">
                  <c:v>9.7067466666666668E-4</c:v>
                </c:pt>
                <c:pt idx="151">
                  <c:v>1.0562899999999999E-3</c:v>
                </c:pt>
                <c:pt idx="152">
                  <c:v>9.2616499999999995E-4</c:v>
                </c:pt>
                <c:pt idx="153">
                  <c:v>8.8532666666666672E-4</c:v>
                </c:pt>
                <c:pt idx="154">
                  <c:v>1.0457576666666666E-3</c:v>
                </c:pt>
                <c:pt idx="155">
                  <c:v>1.0610423333333333E-3</c:v>
                </c:pt>
                <c:pt idx="156">
                  <c:v>9.4828433333333324E-4</c:v>
                </c:pt>
                <c:pt idx="157">
                  <c:v>9.5418366666666669E-4</c:v>
                </c:pt>
                <c:pt idx="158">
                  <c:v>9.7743933333333324E-4</c:v>
                </c:pt>
                <c:pt idx="159">
                  <c:v>9.9770666666666665E-4</c:v>
                </c:pt>
                <c:pt idx="160">
                  <c:v>9.806933333333333E-4</c:v>
                </c:pt>
                <c:pt idx="161">
                  <c:v>8.8971833333333344E-4</c:v>
                </c:pt>
                <c:pt idx="162">
                  <c:v>1.022149E-3</c:v>
                </c:pt>
                <c:pt idx="163">
                  <c:v>8.9958633333333345E-4</c:v>
                </c:pt>
                <c:pt idx="164">
                  <c:v>9.8692399999999992E-4</c:v>
                </c:pt>
                <c:pt idx="165">
                  <c:v>9.9905566666666674E-4</c:v>
                </c:pt>
                <c:pt idx="166">
                  <c:v>1.05816E-3</c:v>
                </c:pt>
                <c:pt idx="167">
                  <c:v>1.0326116666666667E-3</c:v>
                </c:pt>
                <c:pt idx="168">
                  <c:v>1.0582326666666666E-3</c:v>
                </c:pt>
                <c:pt idx="169">
                  <c:v>1.1055786666666666E-3</c:v>
                </c:pt>
                <c:pt idx="170">
                  <c:v>1.0207146666666668E-3</c:v>
                </c:pt>
                <c:pt idx="171">
                  <c:v>1.021054E-3</c:v>
                </c:pt>
                <c:pt idx="172">
                  <c:v>1.126405E-3</c:v>
                </c:pt>
                <c:pt idx="173">
                  <c:v>9.6074033333333334E-4</c:v>
                </c:pt>
                <c:pt idx="174">
                  <c:v>1.0393269999999998E-3</c:v>
                </c:pt>
                <c:pt idx="175">
                  <c:v>1.1509953333333333E-3</c:v>
                </c:pt>
                <c:pt idx="176">
                  <c:v>1.1171326666666668E-3</c:v>
                </c:pt>
                <c:pt idx="177">
                  <c:v>9.8036133333333328E-4</c:v>
                </c:pt>
                <c:pt idx="178">
                  <c:v>1.1316926666666666E-3</c:v>
                </c:pt>
                <c:pt idx="179">
                  <c:v>1.2045316666666665E-3</c:v>
                </c:pt>
                <c:pt idx="180">
                  <c:v>1.1264593333333334E-3</c:v>
                </c:pt>
                <c:pt idx="181">
                  <c:v>1.16709E-3</c:v>
                </c:pt>
                <c:pt idx="182">
                  <c:v>9.6994433333333341E-4</c:v>
                </c:pt>
                <c:pt idx="183">
                  <c:v>1.1239716666666666E-3</c:v>
                </c:pt>
                <c:pt idx="184">
                  <c:v>1.191959E-3</c:v>
                </c:pt>
                <c:pt idx="185">
                  <c:v>1.335508E-3</c:v>
                </c:pt>
                <c:pt idx="186">
                  <c:v>1.0282406666666667E-3</c:v>
                </c:pt>
                <c:pt idx="187">
                  <c:v>1.1212073333333333E-3</c:v>
                </c:pt>
                <c:pt idx="188">
                  <c:v>1.0914706666666667E-3</c:v>
                </c:pt>
                <c:pt idx="189">
                  <c:v>1.0796323333333334E-3</c:v>
                </c:pt>
                <c:pt idx="190">
                  <c:v>1.1522030000000001E-3</c:v>
                </c:pt>
                <c:pt idx="191">
                  <c:v>1.1062023333333333E-3</c:v>
                </c:pt>
                <c:pt idx="192">
                  <c:v>1.1136436666666666E-3</c:v>
                </c:pt>
                <c:pt idx="193">
                  <c:v>1.2067949999999999E-3</c:v>
                </c:pt>
                <c:pt idx="194">
                  <c:v>1.215844E-3</c:v>
                </c:pt>
                <c:pt idx="195">
                  <c:v>1.2312613333333334E-3</c:v>
                </c:pt>
                <c:pt idx="196">
                  <c:v>1.1853029999999997E-3</c:v>
                </c:pt>
                <c:pt idx="197">
                  <c:v>1.3185113333333335E-3</c:v>
                </c:pt>
                <c:pt idx="198">
                  <c:v>1.2581059999999999E-3</c:v>
                </c:pt>
                <c:pt idx="199">
                  <c:v>1.1350496666666667E-3</c:v>
                </c:pt>
                <c:pt idx="200">
                  <c:v>1.2005763333333334E-3</c:v>
                </c:pt>
                <c:pt idx="201">
                  <c:v>1.1885763333333334E-3</c:v>
                </c:pt>
                <c:pt idx="202">
                  <c:v>1.2229053333333332E-3</c:v>
                </c:pt>
                <c:pt idx="203">
                  <c:v>1.285289E-3</c:v>
                </c:pt>
                <c:pt idx="204">
                  <c:v>1.2719460000000001E-3</c:v>
                </c:pt>
                <c:pt idx="205">
                  <c:v>1.2187556666666667E-3</c:v>
                </c:pt>
                <c:pt idx="206">
                  <c:v>1.2577143333333332E-3</c:v>
                </c:pt>
                <c:pt idx="207">
                  <c:v>1.2778449999999999E-3</c:v>
                </c:pt>
                <c:pt idx="208">
                  <c:v>1.3854526666666669E-3</c:v>
                </c:pt>
                <c:pt idx="209">
                  <c:v>1.2084680000000001E-3</c:v>
                </c:pt>
                <c:pt idx="210">
                  <c:v>1.2868909999999999E-3</c:v>
                </c:pt>
                <c:pt idx="211">
                  <c:v>1.3231453333333333E-3</c:v>
                </c:pt>
                <c:pt idx="212">
                  <c:v>1.2649690000000001E-3</c:v>
                </c:pt>
                <c:pt idx="213">
                  <c:v>1.2473503333333333E-3</c:v>
                </c:pt>
                <c:pt idx="214">
                  <c:v>1.2417646666666666E-3</c:v>
                </c:pt>
                <c:pt idx="215">
                  <c:v>1.3576379999999998E-3</c:v>
                </c:pt>
                <c:pt idx="216">
                  <c:v>1.2769060000000002E-3</c:v>
                </c:pt>
                <c:pt idx="217">
                  <c:v>1.2267806666666668E-3</c:v>
                </c:pt>
                <c:pt idx="218">
                  <c:v>1.3672313333333332E-3</c:v>
                </c:pt>
                <c:pt idx="219">
                  <c:v>1.285221E-3</c:v>
                </c:pt>
                <c:pt idx="220">
                  <c:v>1.3812696666666666E-3</c:v>
                </c:pt>
                <c:pt idx="221">
                  <c:v>1.2947563333333334E-3</c:v>
                </c:pt>
                <c:pt idx="222">
                  <c:v>1.2540136666666665E-3</c:v>
                </c:pt>
                <c:pt idx="223">
                  <c:v>1.4687219999999998E-3</c:v>
                </c:pt>
                <c:pt idx="224">
                  <c:v>1.3132436666666667E-3</c:v>
                </c:pt>
                <c:pt idx="225">
                  <c:v>1.3464433333333333E-3</c:v>
                </c:pt>
                <c:pt idx="226">
                  <c:v>1.4031666666666665E-3</c:v>
                </c:pt>
                <c:pt idx="227">
                  <c:v>1.3657216666666666E-3</c:v>
                </c:pt>
                <c:pt idx="228">
                  <c:v>1.4325350000000002E-3</c:v>
                </c:pt>
                <c:pt idx="229">
                  <c:v>1.4420173333333335E-3</c:v>
                </c:pt>
                <c:pt idx="230">
                  <c:v>1.3657223333333331E-3</c:v>
                </c:pt>
                <c:pt idx="231">
                  <c:v>1.4615979999999999E-3</c:v>
                </c:pt>
                <c:pt idx="232">
                  <c:v>1.4603013333333332E-3</c:v>
                </c:pt>
                <c:pt idx="233">
                  <c:v>1.4543703333333333E-3</c:v>
                </c:pt>
                <c:pt idx="234">
                  <c:v>1.4965926666666667E-3</c:v>
                </c:pt>
                <c:pt idx="235">
                  <c:v>1.4184589999999997E-3</c:v>
                </c:pt>
                <c:pt idx="236">
                  <c:v>1.450532E-3</c:v>
                </c:pt>
                <c:pt idx="237">
                  <c:v>1.3817486666666667E-3</c:v>
                </c:pt>
                <c:pt idx="238">
                  <c:v>1.5552176666666668E-3</c:v>
                </c:pt>
                <c:pt idx="239">
                  <c:v>1.4228646666666668E-3</c:v>
                </c:pt>
                <c:pt idx="240">
                  <c:v>1.4579983333333334E-3</c:v>
                </c:pt>
                <c:pt idx="241">
                  <c:v>1.4425423333333332E-3</c:v>
                </c:pt>
                <c:pt idx="242">
                  <c:v>1.415721E-3</c:v>
                </c:pt>
                <c:pt idx="243">
                  <c:v>1.4948326666666667E-3</c:v>
                </c:pt>
                <c:pt idx="244">
                  <c:v>1.4930603333333334E-3</c:v>
                </c:pt>
                <c:pt idx="245">
                  <c:v>1.4987139999999999E-3</c:v>
                </c:pt>
                <c:pt idx="246">
                  <c:v>1.5593906666666669E-3</c:v>
                </c:pt>
                <c:pt idx="247">
                  <c:v>1.5927956666666667E-3</c:v>
                </c:pt>
                <c:pt idx="248">
                  <c:v>1.5693310000000002E-3</c:v>
                </c:pt>
                <c:pt idx="249">
                  <c:v>1.6159966666666667E-3</c:v>
                </c:pt>
                <c:pt idx="250">
                  <c:v>1.541377E-3</c:v>
                </c:pt>
                <c:pt idx="251">
                  <c:v>1.53108E-3</c:v>
                </c:pt>
                <c:pt idx="252">
                  <c:v>1.5573793333333332E-3</c:v>
                </c:pt>
                <c:pt idx="253">
                  <c:v>1.6060763333333335E-3</c:v>
                </c:pt>
                <c:pt idx="254">
                  <c:v>1.5443393333333334E-3</c:v>
                </c:pt>
                <c:pt idx="255">
                  <c:v>1.5309800000000001E-3</c:v>
                </c:pt>
                <c:pt idx="256">
                  <c:v>1.5518473333333335E-3</c:v>
                </c:pt>
                <c:pt idx="257">
                  <c:v>1.6338926666666668E-3</c:v>
                </c:pt>
                <c:pt idx="258">
                  <c:v>1.6294739999999999E-3</c:v>
                </c:pt>
                <c:pt idx="259">
                  <c:v>1.5135899999999998E-3</c:v>
                </c:pt>
                <c:pt idx="260">
                  <c:v>1.5694073333333333E-3</c:v>
                </c:pt>
                <c:pt idx="261">
                  <c:v>1.5678533333333335E-3</c:v>
                </c:pt>
                <c:pt idx="262">
                  <c:v>1.6086850000000001E-3</c:v>
                </c:pt>
                <c:pt idx="263">
                  <c:v>1.5941633333333334E-3</c:v>
                </c:pt>
                <c:pt idx="264">
                  <c:v>1.5731026666666668E-3</c:v>
                </c:pt>
                <c:pt idx="265">
                  <c:v>1.6536196666666666E-3</c:v>
                </c:pt>
                <c:pt idx="266">
                  <c:v>1.7760016666666667E-3</c:v>
                </c:pt>
                <c:pt idx="267">
                  <c:v>1.6537286666666667E-3</c:v>
                </c:pt>
                <c:pt idx="268">
                  <c:v>1.5730463333333332E-3</c:v>
                </c:pt>
                <c:pt idx="269">
                  <c:v>1.6546073333333332E-3</c:v>
                </c:pt>
                <c:pt idx="270">
                  <c:v>1.6493463333333333E-3</c:v>
                </c:pt>
                <c:pt idx="271">
                  <c:v>1.6592293333333333E-3</c:v>
                </c:pt>
                <c:pt idx="272">
                  <c:v>1.6981526666666666E-3</c:v>
                </c:pt>
                <c:pt idx="273">
                  <c:v>1.6519760000000001E-3</c:v>
                </c:pt>
                <c:pt idx="274">
                  <c:v>1.7463119999999999E-3</c:v>
                </c:pt>
                <c:pt idx="275">
                  <c:v>1.7316643333333333E-3</c:v>
                </c:pt>
                <c:pt idx="276">
                  <c:v>1.7567620000000003E-3</c:v>
                </c:pt>
                <c:pt idx="277">
                  <c:v>1.763962E-3</c:v>
                </c:pt>
                <c:pt idx="278">
                  <c:v>1.6037916666666666E-3</c:v>
                </c:pt>
                <c:pt idx="279">
                  <c:v>1.6820510000000002E-3</c:v>
                </c:pt>
                <c:pt idx="280">
                  <c:v>1.6879423333333334E-3</c:v>
                </c:pt>
                <c:pt idx="281">
                  <c:v>1.5559829999999997E-3</c:v>
                </c:pt>
                <c:pt idx="282">
                  <c:v>1.6343713333333333E-3</c:v>
                </c:pt>
                <c:pt idx="283">
                  <c:v>1.7069863333333331E-3</c:v>
                </c:pt>
                <c:pt idx="284">
                  <c:v>1.7073640000000001E-3</c:v>
                </c:pt>
                <c:pt idx="285">
                  <c:v>1.7185723333333336E-3</c:v>
                </c:pt>
                <c:pt idx="286">
                  <c:v>1.7751046666666665E-3</c:v>
                </c:pt>
                <c:pt idx="287">
                  <c:v>1.8349736666666665E-3</c:v>
                </c:pt>
                <c:pt idx="288">
                  <c:v>1.8608209999999997E-3</c:v>
                </c:pt>
                <c:pt idx="289">
                  <c:v>1.8241226666666666E-3</c:v>
                </c:pt>
                <c:pt idx="290">
                  <c:v>1.7825230000000001E-3</c:v>
                </c:pt>
                <c:pt idx="291">
                  <c:v>1.7981023333333334E-3</c:v>
                </c:pt>
                <c:pt idx="292">
                  <c:v>1.8358556666666665E-3</c:v>
                </c:pt>
                <c:pt idx="293">
                  <c:v>1.9478693333333335E-3</c:v>
                </c:pt>
                <c:pt idx="294">
                  <c:v>1.8705670000000001E-3</c:v>
                </c:pt>
                <c:pt idx="295">
                  <c:v>1.9021183333333333E-3</c:v>
                </c:pt>
                <c:pt idx="296">
                  <c:v>1.809972E-3</c:v>
                </c:pt>
                <c:pt idx="297">
                  <c:v>1.8162556666666667E-3</c:v>
                </c:pt>
                <c:pt idx="298">
                  <c:v>1.9194213333333333E-3</c:v>
                </c:pt>
                <c:pt idx="299">
                  <c:v>1.8221006666666664E-3</c:v>
                </c:pt>
                <c:pt idx="300">
                  <c:v>1.9617806666666665E-3</c:v>
                </c:pt>
                <c:pt idx="301">
                  <c:v>1.9403386666666668E-3</c:v>
                </c:pt>
                <c:pt idx="302">
                  <c:v>1.8935610000000002E-3</c:v>
                </c:pt>
                <c:pt idx="303">
                  <c:v>1.8585039999999998E-3</c:v>
                </c:pt>
                <c:pt idx="304">
                  <c:v>2.0535766666666664E-3</c:v>
                </c:pt>
                <c:pt idx="305">
                  <c:v>1.7961643333333332E-3</c:v>
                </c:pt>
                <c:pt idx="306">
                  <c:v>1.960949E-3</c:v>
                </c:pt>
                <c:pt idx="307">
                  <c:v>1.8838373333333333E-3</c:v>
                </c:pt>
                <c:pt idx="308">
                  <c:v>1.8954826666666667E-3</c:v>
                </c:pt>
                <c:pt idx="309">
                  <c:v>1.9368056666666667E-3</c:v>
                </c:pt>
                <c:pt idx="310">
                  <c:v>1.879955E-3</c:v>
                </c:pt>
                <c:pt idx="311">
                  <c:v>1.9415150000000002E-3</c:v>
                </c:pt>
                <c:pt idx="312">
                  <c:v>1.9763886666666667E-3</c:v>
                </c:pt>
                <c:pt idx="313">
                  <c:v>1.9436643333333333E-3</c:v>
                </c:pt>
                <c:pt idx="314">
                  <c:v>1.993711E-3</c:v>
                </c:pt>
                <c:pt idx="315">
                  <c:v>1.884365E-3</c:v>
                </c:pt>
                <c:pt idx="316">
                  <c:v>1.9751983333333332E-3</c:v>
                </c:pt>
                <c:pt idx="317">
                  <c:v>1.9453326666666667E-3</c:v>
                </c:pt>
                <c:pt idx="318">
                  <c:v>1.9888330000000002E-3</c:v>
                </c:pt>
                <c:pt idx="319">
                  <c:v>1.9222633333333334E-3</c:v>
                </c:pt>
                <c:pt idx="320">
                  <c:v>2.0206626666666666E-3</c:v>
                </c:pt>
                <c:pt idx="321">
                  <c:v>1.9805399999999998E-3</c:v>
                </c:pt>
                <c:pt idx="322">
                  <c:v>2.0435896666666665E-3</c:v>
                </c:pt>
                <c:pt idx="323">
                  <c:v>2.0469910000000002E-3</c:v>
                </c:pt>
                <c:pt idx="324">
                  <c:v>2.0333206666666667E-3</c:v>
                </c:pt>
                <c:pt idx="325">
                  <c:v>2.0163860000000002E-3</c:v>
                </c:pt>
                <c:pt idx="326">
                  <c:v>1.9909366666666668E-3</c:v>
                </c:pt>
                <c:pt idx="327">
                  <c:v>2.0573233333333334E-3</c:v>
                </c:pt>
                <c:pt idx="328">
                  <c:v>2.0706123333333335E-3</c:v>
                </c:pt>
                <c:pt idx="329">
                  <c:v>2.0577533333333334E-3</c:v>
                </c:pt>
                <c:pt idx="330">
                  <c:v>2.0627366666666667E-3</c:v>
                </c:pt>
                <c:pt idx="331">
                  <c:v>1.9761399999999999E-3</c:v>
                </c:pt>
                <c:pt idx="332">
                  <c:v>2.0730596666666667E-3</c:v>
                </c:pt>
                <c:pt idx="333">
                  <c:v>1.9516116666666668E-3</c:v>
                </c:pt>
                <c:pt idx="334">
                  <c:v>2.0477076666666669E-3</c:v>
                </c:pt>
                <c:pt idx="335">
                  <c:v>2.0924266666666664E-3</c:v>
                </c:pt>
                <c:pt idx="336">
                  <c:v>2.0510960000000001E-3</c:v>
                </c:pt>
                <c:pt idx="337">
                  <c:v>2.1043696666666668E-3</c:v>
                </c:pt>
                <c:pt idx="338">
                  <c:v>2.1218033333333334E-3</c:v>
                </c:pt>
                <c:pt idx="339">
                  <c:v>2.1963133333333332E-3</c:v>
                </c:pt>
                <c:pt idx="340">
                  <c:v>2.2250166666666665E-3</c:v>
                </c:pt>
                <c:pt idx="341">
                  <c:v>2.0893420000000001E-3</c:v>
                </c:pt>
                <c:pt idx="342">
                  <c:v>2.1966500000000001E-3</c:v>
                </c:pt>
                <c:pt idx="343">
                  <c:v>2.2317000000000001E-3</c:v>
                </c:pt>
                <c:pt idx="344">
                  <c:v>2.212643333333333E-3</c:v>
                </c:pt>
                <c:pt idx="345">
                  <c:v>2.2590933333333334E-3</c:v>
                </c:pt>
                <c:pt idx="346">
                  <c:v>2.1143323333333332E-3</c:v>
                </c:pt>
                <c:pt idx="347">
                  <c:v>2.2779499999999999E-3</c:v>
                </c:pt>
                <c:pt idx="348">
                  <c:v>2.1221453333333334E-3</c:v>
                </c:pt>
                <c:pt idx="349">
                  <c:v>2.1664100000000001E-3</c:v>
                </c:pt>
                <c:pt idx="350">
                  <c:v>2.2025833333333337E-3</c:v>
                </c:pt>
                <c:pt idx="351">
                  <c:v>2.1867266666666667E-3</c:v>
                </c:pt>
                <c:pt idx="352">
                  <c:v>2.17651E-3</c:v>
                </c:pt>
                <c:pt idx="353">
                  <c:v>2.2259566666666666E-3</c:v>
                </c:pt>
                <c:pt idx="354">
                  <c:v>2.2218966666666669E-3</c:v>
                </c:pt>
                <c:pt idx="355">
                  <c:v>2.2523999999999999E-3</c:v>
                </c:pt>
                <c:pt idx="356">
                  <c:v>2.3511666666666663E-3</c:v>
                </c:pt>
                <c:pt idx="357">
                  <c:v>2.2504533333333331E-3</c:v>
                </c:pt>
                <c:pt idx="358">
                  <c:v>2.2351366666666667E-3</c:v>
                </c:pt>
                <c:pt idx="359">
                  <c:v>2.241843333333333E-3</c:v>
                </c:pt>
                <c:pt idx="360">
                  <c:v>2.2629733333333333E-3</c:v>
                </c:pt>
                <c:pt idx="361">
                  <c:v>2.1635276666666665E-3</c:v>
                </c:pt>
                <c:pt idx="362">
                  <c:v>2.3194666666666668E-3</c:v>
                </c:pt>
                <c:pt idx="363">
                  <c:v>2.3481399999999999E-3</c:v>
                </c:pt>
                <c:pt idx="364">
                  <c:v>2.3250466666666666E-3</c:v>
                </c:pt>
                <c:pt idx="365">
                  <c:v>2.3466900000000002E-3</c:v>
                </c:pt>
                <c:pt idx="366">
                  <c:v>2.2808933333333336E-3</c:v>
                </c:pt>
                <c:pt idx="367">
                  <c:v>2.3594333333333333E-3</c:v>
                </c:pt>
                <c:pt idx="368">
                  <c:v>2.3802966666666668E-3</c:v>
                </c:pt>
                <c:pt idx="369">
                  <c:v>2.32942E-3</c:v>
                </c:pt>
                <c:pt idx="370">
                  <c:v>2.3717766666666667E-3</c:v>
                </c:pt>
                <c:pt idx="371">
                  <c:v>2.3647400000000002E-3</c:v>
                </c:pt>
                <c:pt idx="372">
                  <c:v>2.3590799999999999E-3</c:v>
                </c:pt>
                <c:pt idx="373">
                  <c:v>2.4259533333333334E-3</c:v>
                </c:pt>
                <c:pt idx="374">
                  <c:v>2.3683633333333332E-3</c:v>
                </c:pt>
                <c:pt idx="375">
                  <c:v>2.4315533333333331E-3</c:v>
                </c:pt>
                <c:pt idx="376">
                  <c:v>2.3971333333333332E-3</c:v>
                </c:pt>
                <c:pt idx="377">
                  <c:v>2.4235800000000003E-3</c:v>
                </c:pt>
                <c:pt idx="378">
                  <c:v>2.4248266666666665E-3</c:v>
                </c:pt>
                <c:pt idx="379">
                  <c:v>2.4737299999999999E-3</c:v>
                </c:pt>
                <c:pt idx="380">
                  <c:v>2.4901566666666666E-3</c:v>
                </c:pt>
                <c:pt idx="381">
                  <c:v>2.5327866666666667E-3</c:v>
                </c:pt>
                <c:pt idx="382">
                  <c:v>2.4873666666666667E-3</c:v>
                </c:pt>
                <c:pt idx="383">
                  <c:v>2.4123533333333335E-3</c:v>
                </c:pt>
                <c:pt idx="384">
                  <c:v>2.4553166666666667E-3</c:v>
                </c:pt>
                <c:pt idx="385">
                  <c:v>2.5023666666666665E-3</c:v>
                </c:pt>
                <c:pt idx="386">
                  <c:v>2.4865099999999999E-3</c:v>
                </c:pt>
                <c:pt idx="387">
                  <c:v>2.51286E-3</c:v>
                </c:pt>
                <c:pt idx="388">
                  <c:v>2.6007133333333337E-3</c:v>
                </c:pt>
                <c:pt idx="389">
                  <c:v>2.4595866666666665E-3</c:v>
                </c:pt>
                <c:pt idx="390">
                  <c:v>2.5389766666666664E-3</c:v>
                </c:pt>
                <c:pt idx="391">
                  <c:v>2.5835266666666668E-3</c:v>
                </c:pt>
                <c:pt idx="392">
                  <c:v>2.6926766666666665E-3</c:v>
                </c:pt>
                <c:pt idx="393">
                  <c:v>2.6135033333333328E-3</c:v>
                </c:pt>
                <c:pt idx="394">
                  <c:v>2.6388733333333331E-3</c:v>
                </c:pt>
                <c:pt idx="395">
                  <c:v>3.9477536666666669E-4</c:v>
                </c:pt>
                <c:pt idx="396">
                  <c:v>2.1800813333333334E-4</c:v>
                </c:pt>
                <c:pt idx="397">
                  <c:v>1.8527716666666666E-4</c:v>
                </c:pt>
                <c:pt idx="398">
                  <c:v>1.9576853333333333E-4</c:v>
                </c:pt>
                <c:pt idx="399">
                  <c:v>1.8722003333333334E-4</c:v>
                </c:pt>
                <c:pt idx="400">
                  <c:v>2.102948E-4</c:v>
                </c:pt>
                <c:pt idx="401">
                  <c:v>1.9552746666666668E-4</c:v>
                </c:pt>
                <c:pt idx="402">
                  <c:v>1.3272276666666664E-4</c:v>
                </c:pt>
                <c:pt idx="403">
                  <c:v>1.2481833333333333E-4</c:v>
                </c:pt>
                <c:pt idx="404">
                  <c:v>1.7249556666666666E-4</c:v>
                </c:pt>
                <c:pt idx="405">
                  <c:v>1.3155100000000001E-4</c:v>
                </c:pt>
                <c:pt idx="406">
                  <c:v>1.5299339999999998E-4</c:v>
                </c:pt>
                <c:pt idx="407">
                  <c:v>1.250631E-4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C95-4318-AE77-5909D2E290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70498992"/>
        <c:axId val="270499552"/>
      </c:scatterChart>
      <c:valAx>
        <c:axId val="270498992"/>
        <c:scaling>
          <c:orientation val="minMax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400"/>
                </a:pPr>
                <a:r>
                  <a:rPr lang="el-GR" sz="1400" b="0" i="0" u="none" strike="noStrike" baseline="0">
                    <a:effectLst/>
                  </a:rPr>
                  <a:t>ε</a:t>
                </a:r>
                <a:r>
                  <a:rPr lang="en-US" sz="1400" b="0" i="0" u="none" strike="noStrike" baseline="-25000">
                    <a:effectLst/>
                  </a:rPr>
                  <a:t>x</a:t>
                </a:r>
                <a:r>
                  <a:rPr lang="en-US" sz="1400" b="0" i="0" baseline="0"/>
                  <a:t>, %</a:t>
                </a:r>
                <a:endParaRPr lang="ru-RU" sz="1400" b="0" i="0" baseline="0"/>
              </a:p>
            </c:rich>
          </c:tx>
          <c:layout>
            <c:manualLayout>
              <c:xMode val="edge"/>
              <c:yMode val="edge"/>
              <c:x val="0.47652939814814815"/>
              <c:y val="0.89814826388888869"/>
            </c:manualLayout>
          </c:layout>
          <c:overlay val="0"/>
        </c:title>
        <c:numFmt formatCode="0.0%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70499552"/>
        <c:crosses val="autoZero"/>
        <c:crossBetween val="midCat"/>
      </c:valAx>
      <c:valAx>
        <c:axId val="27049955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400"/>
                </a:pPr>
                <a:r>
                  <a:rPr lang="en-US" sz="1400" b="0" i="0" u="none" strike="noStrike" baseline="0">
                    <a:effectLst/>
                  </a:rPr>
                  <a:t>- </a:t>
                </a:r>
                <a:r>
                  <a:rPr lang="el-GR" sz="1400" b="0" i="0" u="none" strike="noStrike" baseline="0">
                    <a:effectLst/>
                  </a:rPr>
                  <a:t>ε</a:t>
                </a:r>
                <a:r>
                  <a:rPr lang="en-US" sz="1400" b="0" i="0" u="none" strike="noStrike" baseline="-25000">
                    <a:effectLst/>
                  </a:rPr>
                  <a:t>y</a:t>
                </a:r>
                <a:r>
                  <a:rPr lang="en-US" sz="1400" b="0" i="0" baseline="0"/>
                  <a:t>, %</a:t>
                </a:r>
                <a:endParaRPr lang="ru-RU" sz="1400" b="0" i="0" baseline="0"/>
              </a:p>
            </c:rich>
          </c:tx>
          <c:layout>
            <c:manualLayout>
              <c:xMode val="edge"/>
              <c:yMode val="edge"/>
              <c:x val="7.837731481481482E-3"/>
              <c:y val="0.39898402777777781"/>
            </c:manualLayout>
          </c:layout>
          <c:overlay val="0"/>
        </c:title>
        <c:numFmt formatCode="0.00%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70498992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18780694444444443"/>
          <c:y val="0.16524062500000003"/>
          <c:w val="0.22845717592592593"/>
          <c:h val="0.28804965277777778"/>
        </c:manualLayout>
      </c:layout>
      <c:overlay val="0"/>
      <c:spPr>
        <a:solidFill>
          <a:schemeClr val="bg1"/>
        </a:solidFill>
      </c:spPr>
    </c:legend>
    <c:plotVisOnly val="1"/>
    <c:dispBlanksAs val="gap"/>
    <c:showDLblsOverMax val="0"/>
  </c:chart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Stress-Strain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4.7797025371828519E-2"/>
                  <c:y val="-0.1905143627879848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</c:trendlineLbl>
          </c:trendline>
          <c:xVal>
            <c:numRef>
              <c:f>'L30CPTX-1'!$B$7:$B$430</c:f>
              <c:numCache>
                <c:formatCode>0.00E+00</c:formatCode>
                <c:ptCount val="424"/>
                <c:pt idx="0" formatCode="General">
                  <c:v>0</c:v>
                </c:pt>
                <c:pt idx="1">
                  <c:v>-9.6237400000000001E-6</c:v>
                </c:pt>
                <c:pt idx="2">
                  <c:v>2.8467400000000001E-5</c:v>
                </c:pt>
                <c:pt idx="3">
                  <c:v>4.85617E-5</c:v>
                </c:pt>
                <c:pt idx="4" formatCode="General">
                  <c:v>1.3281E-4</c:v>
                </c:pt>
                <c:pt idx="5">
                  <c:v>7.2601600000000006E-5</c:v>
                </c:pt>
                <c:pt idx="6">
                  <c:v>8.0993499999999996E-5</c:v>
                </c:pt>
                <c:pt idx="7">
                  <c:v>7.1365799999999994E-5</c:v>
                </c:pt>
                <c:pt idx="8">
                  <c:v>8.8585199999999993E-5</c:v>
                </c:pt>
                <c:pt idx="9" formatCode="General">
                  <c:v>1.07899E-4</c:v>
                </c:pt>
                <c:pt idx="10" formatCode="General">
                  <c:v>1.2531400000000001E-4</c:v>
                </c:pt>
                <c:pt idx="11" formatCode="General">
                  <c:v>1.6745799999999999E-4</c:v>
                </c:pt>
                <c:pt idx="12" formatCode="General">
                  <c:v>1.6999699999999999E-4</c:v>
                </c:pt>
                <c:pt idx="13" formatCode="General">
                  <c:v>2.2569199999999999E-4</c:v>
                </c:pt>
                <c:pt idx="14" formatCode="General">
                  <c:v>2.6232000000000002E-4</c:v>
                </c:pt>
                <c:pt idx="15" formatCode="General">
                  <c:v>2.4120500000000001E-4</c:v>
                </c:pt>
                <c:pt idx="16" formatCode="General">
                  <c:v>2.8669900000000001E-4</c:v>
                </c:pt>
                <c:pt idx="17" formatCode="General">
                  <c:v>3.04037E-4</c:v>
                </c:pt>
                <c:pt idx="18" formatCode="General">
                  <c:v>3.0203700000000001E-4</c:v>
                </c:pt>
                <c:pt idx="19" formatCode="General">
                  <c:v>3.3367599999999998E-4</c:v>
                </c:pt>
                <c:pt idx="20" formatCode="General">
                  <c:v>3.5913299999999998E-4</c:v>
                </c:pt>
                <c:pt idx="21" formatCode="General">
                  <c:v>3.2269999999999998E-4</c:v>
                </c:pt>
                <c:pt idx="22" formatCode="General">
                  <c:v>3.6304600000000001E-4</c:v>
                </c:pt>
                <c:pt idx="23" formatCode="General">
                  <c:v>3.62092E-4</c:v>
                </c:pt>
                <c:pt idx="24" formatCode="General">
                  <c:v>2.9358100000000001E-4</c:v>
                </c:pt>
                <c:pt idx="25" formatCode="General">
                  <c:v>4.7600600000000001E-4</c:v>
                </c:pt>
                <c:pt idx="26" formatCode="General">
                  <c:v>4.8424500000000001E-4</c:v>
                </c:pt>
                <c:pt idx="27" formatCode="General">
                  <c:v>4.9406299999999999E-4</c:v>
                </c:pt>
                <c:pt idx="28" formatCode="General">
                  <c:v>4.6192E-4</c:v>
                </c:pt>
                <c:pt idx="29" formatCode="General">
                  <c:v>4.6202299999999999E-4</c:v>
                </c:pt>
                <c:pt idx="30" formatCode="General">
                  <c:v>4.9509800000000002E-4</c:v>
                </c:pt>
                <c:pt idx="31" formatCode="General">
                  <c:v>4.80302E-4</c:v>
                </c:pt>
                <c:pt idx="32" formatCode="General">
                  <c:v>5.0887600000000001E-4</c:v>
                </c:pt>
                <c:pt idx="33" formatCode="General">
                  <c:v>4.92528E-4</c:v>
                </c:pt>
                <c:pt idx="34" formatCode="General">
                  <c:v>5.0475300000000004E-4</c:v>
                </c:pt>
                <c:pt idx="35" formatCode="General">
                  <c:v>5.57669E-4</c:v>
                </c:pt>
                <c:pt idx="36" formatCode="General">
                  <c:v>5.2065599999999998E-4</c:v>
                </c:pt>
                <c:pt idx="37" formatCode="General">
                  <c:v>5.6266200000000001E-4</c:v>
                </c:pt>
                <c:pt idx="38" formatCode="General">
                  <c:v>6.1326900000000005E-4</c:v>
                </c:pt>
                <c:pt idx="39" formatCode="General">
                  <c:v>5.8314900000000004E-4</c:v>
                </c:pt>
                <c:pt idx="40" formatCode="General">
                  <c:v>6.0293599999999999E-4</c:v>
                </c:pt>
                <c:pt idx="41" formatCode="General">
                  <c:v>5.9453999999999996E-4</c:v>
                </c:pt>
                <c:pt idx="42" formatCode="General">
                  <c:v>6.3854199999999997E-4</c:v>
                </c:pt>
                <c:pt idx="43" formatCode="General">
                  <c:v>7.2149300000000003E-4</c:v>
                </c:pt>
                <c:pt idx="44" formatCode="General">
                  <c:v>7.1943699999999996E-4</c:v>
                </c:pt>
                <c:pt idx="45" formatCode="General">
                  <c:v>6.1595200000000001E-4</c:v>
                </c:pt>
                <c:pt idx="46" formatCode="General">
                  <c:v>6.4712199999999998E-4</c:v>
                </c:pt>
                <c:pt idx="47" formatCode="General">
                  <c:v>7.1452500000000003E-4</c:v>
                </c:pt>
                <c:pt idx="48" formatCode="General">
                  <c:v>7.0247300000000001E-4</c:v>
                </c:pt>
                <c:pt idx="49" formatCode="General">
                  <c:v>7.0178799999999996E-4</c:v>
                </c:pt>
                <c:pt idx="50" formatCode="General">
                  <c:v>7.2503499999999996E-4</c:v>
                </c:pt>
                <c:pt idx="51" formatCode="General">
                  <c:v>7.4122399999999996E-4</c:v>
                </c:pt>
                <c:pt idx="52" formatCode="General">
                  <c:v>7.4732900000000003E-4</c:v>
                </c:pt>
                <c:pt idx="53" formatCode="General">
                  <c:v>8.3342699999999997E-4</c:v>
                </c:pt>
                <c:pt idx="54" formatCode="General">
                  <c:v>7.7998499999999997E-4</c:v>
                </c:pt>
                <c:pt idx="55" formatCode="General">
                  <c:v>7.5309699999999999E-4</c:v>
                </c:pt>
                <c:pt idx="56" formatCode="General">
                  <c:v>7.9553399999999998E-4</c:v>
                </c:pt>
                <c:pt idx="57" formatCode="General">
                  <c:v>8.3064100000000002E-4</c:v>
                </c:pt>
                <c:pt idx="58" formatCode="General">
                  <c:v>7.8165000000000005E-4</c:v>
                </c:pt>
                <c:pt idx="59" formatCode="General">
                  <c:v>8.3753400000000002E-4</c:v>
                </c:pt>
                <c:pt idx="60" formatCode="General">
                  <c:v>9.04863E-4</c:v>
                </c:pt>
                <c:pt idx="61" formatCode="General">
                  <c:v>8.5576100000000002E-4</c:v>
                </c:pt>
                <c:pt idx="62" formatCode="General">
                  <c:v>9.0072399999999999E-4</c:v>
                </c:pt>
                <c:pt idx="63" formatCode="General">
                  <c:v>8.8862999999999995E-4</c:v>
                </c:pt>
                <c:pt idx="64" formatCode="General">
                  <c:v>8.9771999999999996E-4</c:v>
                </c:pt>
                <c:pt idx="65" formatCode="General">
                  <c:v>9.1442699999999999E-4</c:v>
                </c:pt>
                <c:pt idx="66" formatCode="General">
                  <c:v>9.5847499999999997E-4</c:v>
                </c:pt>
                <c:pt idx="67" formatCode="General">
                  <c:v>9.6073399999999998E-4</c:v>
                </c:pt>
                <c:pt idx="68" formatCode="General">
                  <c:v>9.4201400000000002E-4</c:v>
                </c:pt>
                <c:pt idx="69" formatCode="General">
                  <c:v>9.3498799999999999E-4</c:v>
                </c:pt>
                <c:pt idx="70" formatCode="General">
                  <c:v>9.9892699999999993E-4</c:v>
                </c:pt>
                <c:pt idx="71" formatCode="General">
                  <c:v>9.8148599999999995E-4</c:v>
                </c:pt>
                <c:pt idx="72" formatCode="General">
                  <c:v>1.0097999999999999E-3</c:v>
                </c:pt>
                <c:pt idx="73" formatCode="General">
                  <c:v>1.0605300000000001E-3</c:v>
                </c:pt>
                <c:pt idx="74" formatCode="General">
                  <c:v>1.0210200000000001E-3</c:v>
                </c:pt>
                <c:pt idx="75" formatCode="General">
                  <c:v>1.0422599999999999E-3</c:v>
                </c:pt>
                <c:pt idx="76" formatCode="General">
                  <c:v>1.04126E-3</c:v>
                </c:pt>
                <c:pt idx="77" formatCode="General">
                  <c:v>1.09249E-3</c:v>
                </c:pt>
                <c:pt idx="78" formatCode="General">
                  <c:v>1.0475899999999999E-3</c:v>
                </c:pt>
                <c:pt idx="79" formatCode="General">
                  <c:v>1.1021900000000001E-3</c:v>
                </c:pt>
                <c:pt idx="80" formatCode="General">
                  <c:v>1.1206899999999999E-3</c:v>
                </c:pt>
                <c:pt idx="81" formatCode="General">
                  <c:v>1.13805E-3</c:v>
                </c:pt>
                <c:pt idx="82" formatCode="General">
                  <c:v>1.08946E-3</c:v>
                </c:pt>
                <c:pt idx="83" formatCode="General">
                  <c:v>1.1366900000000001E-3</c:v>
                </c:pt>
                <c:pt idx="84" formatCode="General">
                  <c:v>1.16238E-3</c:v>
                </c:pt>
                <c:pt idx="85" formatCode="General">
                  <c:v>1.1405499999999999E-3</c:v>
                </c:pt>
                <c:pt idx="86" formatCode="General">
                  <c:v>1.21363E-3</c:v>
                </c:pt>
                <c:pt idx="87" formatCode="General">
                  <c:v>1.2074E-3</c:v>
                </c:pt>
                <c:pt idx="88" formatCode="General">
                  <c:v>1.20134E-3</c:v>
                </c:pt>
                <c:pt idx="89" formatCode="General">
                  <c:v>1.1898099999999999E-3</c:v>
                </c:pt>
                <c:pt idx="90" formatCode="General">
                  <c:v>1.20988E-3</c:v>
                </c:pt>
                <c:pt idx="91" formatCode="General">
                  <c:v>1.2444000000000001E-3</c:v>
                </c:pt>
                <c:pt idx="92" formatCode="General">
                  <c:v>1.25143E-3</c:v>
                </c:pt>
                <c:pt idx="93" formatCode="General">
                  <c:v>1.23178E-3</c:v>
                </c:pt>
                <c:pt idx="94" formatCode="General">
                  <c:v>1.2555699999999999E-3</c:v>
                </c:pt>
                <c:pt idx="95" formatCode="General">
                  <c:v>1.3069100000000001E-3</c:v>
                </c:pt>
                <c:pt idx="96" formatCode="General">
                  <c:v>1.3119099999999999E-3</c:v>
                </c:pt>
                <c:pt idx="97" formatCode="General">
                  <c:v>1.29298E-3</c:v>
                </c:pt>
                <c:pt idx="98" formatCode="General">
                  <c:v>1.30294E-3</c:v>
                </c:pt>
                <c:pt idx="99" formatCode="General">
                  <c:v>1.33183E-3</c:v>
                </c:pt>
                <c:pt idx="100" formatCode="General">
                  <c:v>1.3300899999999999E-3</c:v>
                </c:pt>
                <c:pt idx="101" formatCode="General">
                  <c:v>1.3077500000000001E-3</c:v>
                </c:pt>
                <c:pt idx="102" formatCode="General">
                  <c:v>1.3924199999999999E-3</c:v>
                </c:pt>
                <c:pt idx="103" formatCode="General">
                  <c:v>1.36725E-3</c:v>
                </c:pt>
                <c:pt idx="104" formatCode="General">
                  <c:v>1.4584999999999999E-3</c:v>
                </c:pt>
                <c:pt idx="105" formatCode="General">
                  <c:v>1.43585E-3</c:v>
                </c:pt>
                <c:pt idx="106" formatCode="General">
                  <c:v>1.40683E-3</c:v>
                </c:pt>
                <c:pt idx="107" formatCode="General">
                  <c:v>1.4278800000000001E-3</c:v>
                </c:pt>
                <c:pt idx="108" formatCode="General">
                  <c:v>1.43794E-3</c:v>
                </c:pt>
                <c:pt idx="109" formatCode="General">
                  <c:v>1.4544600000000001E-3</c:v>
                </c:pt>
                <c:pt idx="110" formatCode="General">
                  <c:v>1.4450699999999999E-3</c:v>
                </c:pt>
                <c:pt idx="111" formatCode="General">
                  <c:v>1.41822E-3</c:v>
                </c:pt>
                <c:pt idx="112" formatCode="General">
                  <c:v>1.53122E-3</c:v>
                </c:pt>
                <c:pt idx="113" formatCode="General">
                  <c:v>1.4820899999999999E-3</c:v>
                </c:pt>
                <c:pt idx="114" formatCode="General">
                  <c:v>1.53651E-3</c:v>
                </c:pt>
                <c:pt idx="115" formatCode="General">
                  <c:v>1.5200700000000001E-3</c:v>
                </c:pt>
                <c:pt idx="116" formatCode="General">
                  <c:v>1.6081100000000001E-3</c:v>
                </c:pt>
                <c:pt idx="117" formatCode="General">
                  <c:v>1.52867E-3</c:v>
                </c:pt>
                <c:pt idx="118" formatCode="General">
                  <c:v>1.52305E-3</c:v>
                </c:pt>
                <c:pt idx="119" formatCode="General">
                  <c:v>1.5728599999999999E-3</c:v>
                </c:pt>
                <c:pt idx="120" formatCode="General">
                  <c:v>1.5520200000000001E-3</c:v>
                </c:pt>
                <c:pt idx="121" formatCode="General">
                  <c:v>1.5620600000000001E-3</c:v>
                </c:pt>
                <c:pt idx="122" formatCode="General">
                  <c:v>1.5784499999999999E-3</c:v>
                </c:pt>
                <c:pt idx="123" formatCode="General">
                  <c:v>1.62174E-3</c:v>
                </c:pt>
                <c:pt idx="124" formatCode="General">
                  <c:v>1.6366200000000001E-3</c:v>
                </c:pt>
                <c:pt idx="125" formatCode="General">
                  <c:v>1.6523E-3</c:v>
                </c:pt>
                <c:pt idx="126" formatCode="General">
                  <c:v>1.6885400000000001E-3</c:v>
                </c:pt>
                <c:pt idx="127" formatCode="General">
                  <c:v>1.72697E-3</c:v>
                </c:pt>
                <c:pt idx="128" formatCode="General">
                  <c:v>1.6619200000000001E-3</c:v>
                </c:pt>
                <c:pt idx="129" formatCode="General">
                  <c:v>1.6691500000000001E-3</c:v>
                </c:pt>
                <c:pt idx="130" formatCode="General">
                  <c:v>1.75414E-3</c:v>
                </c:pt>
                <c:pt idx="131" formatCode="General">
                  <c:v>1.7277099999999999E-3</c:v>
                </c:pt>
                <c:pt idx="132" formatCode="General">
                  <c:v>1.74412E-3</c:v>
                </c:pt>
                <c:pt idx="133" formatCode="General">
                  <c:v>1.7499600000000001E-3</c:v>
                </c:pt>
                <c:pt idx="134" formatCode="General">
                  <c:v>1.74942E-3</c:v>
                </c:pt>
                <c:pt idx="135" formatCode="General">
                  <c:v>1.81968E-3</c:v>
                </c:pt>
                <c:pt idx="136" formatCode="General">
                  <c:v>1.7634199999999999E-3</c:v>
                </c:pt>
                <c:pt idx="137" formatCode="General">
                  <c:v>1.8335000000000001E-3</c:v>
                </c:pt>
                <c:pt idx="138" formatCode="General">
                  <c:v>1.84344E-3</c:v>
                </c:pt>
                <c:pt idx="139" formatCode="General">
                  <c:v>1.8381700000000001E-3</c:v>
                </c:pt>
                <c:pt idx="140" formatCode="General">
                  <c:v>1.8045100000000001E-3</c:v>
                </c:pt>
                <c:pt idx="141" formatCode="General">
                  <c:v>1.8770900000000001E-3</c:v>
                </c:pt>
                <c:pt idx="142" formatCode="General">
                  <c:v>1.89003E-3</c:v>
                </c:pt>
                <c:pt idx="143" formatCode="General">
                  <c:v>1.83073E-3</c:v>
                </c:pt>
                <c:pt idx="144" formatCode="General">
                  <c:v>1.9843199999999999E-3</c:v>
                </c:pt>
                <c:pt idx="145" formatCode="General">
                  <c:v>1.9057900000000001E-3</c:v>
                </c:pt>
                <c:pt idx="146" formatCode="General">
                  <c:v>1.92946E-3</c:v>
                </c:pt>
                <c:pt idx="147" formatCode="General">
                  <c:v>1.95392E-3</c:v>
                </c:pt>
                <c:pt idx="148" formatCode="General">
                  <c:v>2.00285E-3</c:v>
                </c:pt>
                <c:pt idx="149" formatCode="General">
                  <c:v>2.0514800000000001E-3</c:v>
                </c:pt>
                <c:pt idx="150" formatCode="General">
                  <c:v>1.99315E-3</c:v>
                </c:pt>
                <c:pt idx="151" formatCode="General">
                  <c:v>1.9773400000000002E-3</c:v>
                </c:pt>
                <c:pt idx="152" formatCode="General">
                  <c:v>2.0371399999999998E-3</c:v>
                </c:pt>
                <c:pt idx="153" formatCode="General">
                  <c:v>1.99533E-3</c:v>
                </c:pt>
                <c:pt idx="154" formatCode="General">
                  <c:v>2.0384999999999999E-3</c:v>
                </c:pt>
                <c:pt idx="155" formatCode="General">
                  <c:v>2.0640799999999998E-3</c:v>
                </c:pt>
                <c:pt idx="156" formatCode="General">
                  <c:v>2.1091299999999999E-3</c:v>
                </c:pt>
                <c:pt idx="157" formatCode="General">
                  <c:v>2.1093499999999999E-3</c:v>
                </c:pt>
                <c:pt idx="158" formatCode="General">
                  <c:v>2.1334800000000001E-3</c:v>
                </c:pt>
                <c:pt idx="159" formatCode="General">
                  <c:v>2.1292099999999999E-3</c:v>
                </c:pt>
                <c:pt idx="160" formatCode="General">
                  <c:v>2.1557299999999998E-3</c:v>
                </c:pt>
                <c:pt idx="161" formatCode="General">
                  <c:v>2.19688E-3</c:v>
                </c:pt>
                <c:pt idx="162" formatCode="General">
                  <c:v>2.1843499999999998E-3</c:v>
                </c:pt>
                <c:pt idx="163" formatCode="General">
                  <c:v>2.1895E-3</c:v>
                </c:pt>
                <c:pt idx="164" formatCode="General">
                  <c:v>2.1531699999999998E-3</c:v>
                </c:pt>
                <c:pt idx="165" formatCode="General">
                  <c:v>2.1664800000000001E-3</c:v>
                </c:pt>
                <c:pt idx="166" formatCode="General">
                  <c:v>2.19959E-3</c:v>
                </c:pt>
                <c:pt idx="167" formatCode="General">
                  <c:v>2.22134E-3</c:v>
                </c:pt>
                <c:pt idx="168" formatCode="General">
                  <c:v>2.2410899999999998E-3</c:v>
                </c:pt>
                <c:pt idx="169" formatCode="General">
                  <c:v>2.27158E-3</c:v>
                </c:pt>
                <c:pt idx="170" formatCode="General">
                  <c:v>2.2531299999999999E-3</c:v>
                </c:pt>
                <c:pt idx="171" formatCode="General">
                  <c:v>2.3222300000000002E-3</c:v>
                </c:pt>
                <c:pt idx="172" formatCode="General">
                  <c:v>2.3449E-3</c:v>
                </c:pt>
                <c:pt idx="173" formatCode="General">
                  <c:v>2.2830799999999998E-3</c:v>
                </c:pt>
                <c:pt idx="174" formatCode="General">
                  <c:v>2.3414099999999999E-3</c:v>
                </c:pt>
                <c:pt idx="175" formatCode="General">
                  <c:v>2.3640800000000002E-3</c:v>
                </c:pt>
                <c:pt idx="176" formatCode="General">
                  <c:v>2.36841E-3</c:v>
                </c:pt>
                <c:pt idx="177" formatCode="General">
                  <c:v>2.3957200000000001E-3</c:v>
                </c:pt>
                <c:pt idx="178" formatCode="General">
                  <c:v>2.4069199999999999E-3</c:v>
                </c:pt>
                <c:pt idx="179" formatCode="General">
                  <c:v>2.5117999999999998E-3</c:v>
                </c:pt>
                <c:pt idx="180" formatCode="General">
                  <c:v>2.3272100000000001E-3</c:v>
                </c:pt>
                <c:pt idx="181" formatCode="General">
                  <c:v>2.4439900000000001E-3</c:v>
                </c:pt>
                <c:pt idx="182" formatCode="General">
                  <c:v>2.43428E-3</c:v>
                </c:pt>
                <c:pt idx="183" formatCode="General">
                  <c:v>2.4714799999999999E-3</c:v>
                </c:pt>
                <c:pt idx="184" formatCode="General">
                  <c:v>2.48628E-3</c:v>
                </c:pt>
                <c:pt idx="185" formatCode="General">
                  <c:v>2.5304300000000002E-3</c:v>
                </c:pt>
                <c:pt idx="186" formatCode="General">
                  <c:v>2.55091E-3</c:v>
                </c:pt>
                <c:pt idx="187" formatCode="General">
                  <c:v>2.53996E-3</c:v>
                </c:pt>
                <c:pt idx="188" formatCode="General">
                  <c:v>2.56288E-3</c:v>
                </c:pt>
                <c:pt idx="189" formatCode="General">
                  <c:v>2.5533600000000002E-3</c:v>
                </c:pt>
                <c:pt idx="190" formatCode="General">
                  <c:v>2.5601899999999999E-3</c:v>
                </c:pt>
                <c:pt idx="191" formatCode="General">
                  <c:v>2.5394100000000002E-3</c:v>
                </c:pt>
                <c:pt idx="192" formatCode="General">
                  <c:v>2.5865300000000001E-3</c:v>
                </c:pt>
                <c:pt idx="193" formatCode="General">
                  <c:v>2.6028499999999999E-3</c:v>
                </c:pt>
                <c:pt idx="194" formatCode="General">
                  <c:v>2.6136800000000002E-3</c:v>
                </c:pt>
                <c:pt idx="195" formatCode="General">
                  <c:v>2.5925499999999999E-3</c:v>
                </c:pt>
                <c:pt idx="196" formatCode="General">
                  <c:v>2.6552099999999999E-3</c:v>
                </c:pt>
                <c:pt idx="197" formatCode="General">
                  <c:v>2.6301900000000001E-3</c:v>
                </c:pt>
                <c:pt idx="198" formatCode="General">
                  <c:v>2.7014500000000002E-3</c:v>
                </c:pt>
                <c:pt idx="199" formatCode="General">
                  <c:v>2.6400299999999998E-3</c:v>
                </c:pt>
                <c:pt idx="200" formatCode="General">
                  <c:v>2.6669300000000001E-3</c:v>
                </c:pt>
                <c:pt idx="201" formatCode="General">
                  <c:v>2.6755899999999998E-3</c:v>
                </c:pt>
                <c:pt idx="202" formatCode="General">
                  <c:v>2.7177799999999999E-3</c:v>
                </c:pt>
                <c:pt idx="203" formatCode="General">
                  <c:v>2.7246100000000001E-3</c:v>
                </c:pt>
                <c:pt idx="204" formatCode="General">
                  <c:v>2.7347999999999999E-3</c:v>
                </c:pt>
                <c:pt idx="205" formatCode="General">
                  <c:v>2.7812700000000002E-3</c:v>
                </c:pt>
                <c:pt idx="206" formatCode="General">
                  <c:v>2.7709700000000002E-3</c:v>
                </c:pt>
                <c:pt idx="207" formatCode="General">
                  <c:v>2.7992099999999999E-3</c:v>
                </c:pt>
                <c:pt idx="208" formatCode="General">
                  <c:v>2.74566E-3</c:v>
                </c:pt>
                <c:pt idx="209" formatCode="General">
                  <c:v>2.8195500000000001E-3</c:v>
                </c:pt>
                <c:pt idx="210" formatCode="General">
                  <c:v>2.83498E-3</c:v>
                </c:pt>
                <c:pt idx="211" formatCode="General">
                  <c:v>2.8823899999999999E-3</c:v>
                </c:pt>
                <c:pt idx="212" formatCode="General">
                  <c:v>2.8818699999999999E-3</c:v>
                </c:pt>
                <c:pt idx="213" formatCode="General">
                  <c:v>2.9006399999999999E-3</c:v>
                </c:pt>
                <c:pt idx="214" formatCode="General">
                  <c:v>2.8820199999999999E-3</c:v>
                </c:pt>
                <c:pt idx="215" formatCode="General">
                  <c:v>2.9030100000000001E-3</c:v>
                </c:pt>
                <c:pt idx="216" formatCode="General">
                  <c:v>2.9048899999999998E-3</c:v>
                </c:pt>
                <c:pt idx="217" formatCode="General">
                  <c:v>2.8873599999999998E-3</c:v>
                </c:pt>
                <c:pt idx="218" formatCode="General">
                  <c:v>2.9688200000000001E-3</c:v>
                </c:pt>
                <c:pt idx="219" formatCode="General">
                  <c:v>2.94896E-3</c:v>
                </c:pt>
                <c:pt idx="220" formatCode="General">
                  <c:v>3.0084700000000001E-3</c:v>
                </c:pt>
                <c:pt idx="221" formatCode="General">
                  <c:v>2.9885799999999998E-3</c:v>
                </c:pt>
                <c:pt idx="222" formatCode="General">
                  <c:v>2.97109E-3</c:v>
                </c:pt>
                <c:pt idx="223" formatCode="General">
                  <c:v>2.9739900000000001E-3</c:v>
                </c:pt>
                <c:pt idx="224" formatCode="General">
                  <c:v>2.9833300000000002E-3</c:v>
                </c:pt>
                <c:pt idx="225" formatCode="General">
                  <c:v>3.02959E-3</c:v>
                </c:pt>
                <c:pt idx="226" formatCode="General">
                  <c:v>3.0313699999999998E-3</c:v>
                </c:pt>
                <c:pt idx="227" formatCode="General">
                  <c:v>3.0627699999999998E-3</c:v>
                </c:pt>
                <c:pt idx="228" formatCode="General">
                  <c:v>3.1225200000000002E-3</c:v>
                </c:pt>
                <c:pt idx="229" formatCode="General">
                  <c:v>3.0575200000000002E-3</c:v>
                </c:pt>
                <c:pt idx="230" formatCode="General">
                  <c:v>3.0617299999999999E-3</c:v>
                </c:pt>
                <c:pt idx="231" formatCode="General">
                  <c:v>3.0907600000000001E-3</c:v>
                </c:pt>
                <c:pt idx="232" formatCode="General">
                  <c:v>3.13416E-3</c:v>
                </c:pt>
                <c:pt idx="233" formatCode="General">
                  <c:v>3.0949300000000001E-3</c:v>
                </c:pt>
                <c:pt idx="234" formatCode="General">
                  <c:v>3.18607E-3</c:v>
                </c:pt>
                <c:pt idx="235" formatCode="General">
                  <c:v>3.1521800000000001E-3</c:v>
                </c:pt>
                <c:pt idx="236" formatCode="General">
                  <c:v>3.2437500000000001E-3</c:v>
                </c:pt>
                <c:pt idx="237" formatCode="General">
                  <c:v>3.1568899999999999E-3</c:v>
                </c:pt>
                <c:pt idx="238" formatCode="General">
                  <c:v>3.1321700000000001E-3</c:v>
                </c:pt>
                <c:pt idx="239" formatCode="General">
                  <c:v>3.3207599999999999E-3</c:v>
                </c:pt>
                <c:pt idx="240" formatCode="General">
                  <c:v>3.2896399999999999E-3</c:v>
                </c:pt>
                <c:pt idx="241" formatCode="General">
                  <c:v>3.2268700000000002E-3</c:v>
                </c:pt>
                <c:pt idx="242" formatCode="General">
                  <c:v>3.27823E-3</c:v>
                </c:pt>
                <c:pt idx="243" formatCode="General">
                  <c:v>3.2545600000000001E-3</c:v>
                </c:pt>
                <c:pt idx="244" formatCode="General">
                  <c:v>3.2471000000000002E-3</c:v>
                </c:pt>
                <c:pt idx="245" formatCode="General">
                  <c:v>3.3409099999999999E-3</c:v>
                </c:pt>
                <c:pt idx="246" formatCode="General">
                  <c:v>3.3467000000000002E-3</c:v>
                </c:pt>
                <c:pt idx="247" formatCode="General">
                  <c:v>3.3284600000000001E-3</c:v>
                </c:pt>
                <c:pt idx="248" formatCode="General">
                  <c:v>3.34221E-3</c:v>
                </c:pt>
                <c:pt idx="249" formatCode="General">
                  <c:v>3.3172599999999998E-3</c:v>
                </c:pt>
                <c:pt idx="250" formatCode="General">
                  <c:v>3.3352500000000001E-3</c:v>
                </c:pt>
                <c:pt idx="251" formatCode="General">
                  <c:v>3.4100900000000002E-3</c:v>
                </c:pt>
                <c:pt idx="252" formatCode="General">
                  <c:v>3.4442600000000002E-3</c:v>
                </c:pt>
                <c:pt idx="253" formatCode="General">
                  <c:v>3.3835499999999999E-3</c:v>
                </c:pt>
                <c:pt idx="254" formatCode="General">
                  <c:v>3.4268699999999998E-3</c:v>
                </c:pt>
                <c:pt idx="255" formatCode="General">
                  <c:v>3.4375400000000002E-3</c:v>
                </c:pt>
                <c:pt idx="256" formatCode="General">
                  <c:v>3.4807000000000002E-3</c:v>
                </c:pt>
                <c:pt idx="257" formatCode="General">
                  <c:v>3.4302099999999999E-3</c:v>
                </c:pt>
                <c:pt idx="258" formatCode="General">
                  <c:v>3.4537600000000002E-3</c:v>
                </c:pt>
                <c:pt idx="259" formatCode="General">
                  <c:v>3.50615E-3</c:v>
                </c:pt>
                <c:pt idx="260" formatCode="General">
                  <c:v>3.4914199999999999E-3</c:v>
                </c:pt>
                <c:pt idx="261" formatCode="General">
                  <c:v>3.5087400000000002E-3</c:v>
                </c:pt>
                <c:pt idx="262" formatCode="General">
                  <c:v>3.5606000000000001E-3</c:v>
                </c:pt>
                <c:pt idx="263" formatCode="General">
                  <c:v>3.5525299999999999E-3</c:v>
                </c:pt>
                <c:pt idx="264" formatCode="General">
                  <c:v>3.53659E-3</c:v>
                </c:pt>
                <c:pt idx="265" formatCode="General">
                  <c:v>3.5537899999999998E-3</c:v>
                </c:pt>
                <c:pt idx="266" formatCode="General">
                  <c:v>3.6052300000000001E-3</c:v>
                </c:pt>
                <c:pt idx="267" formatCode="General">
                  <c:v>3.5992099999999998E-3</c:v>
                </c:pt>
                <c:pt idx="268" formatCode="General">
                  <c:v>3.61444E-3</c:v>
                </c:pt>
                <c:pt idx="269" formatCode="General">
                  <c:v>3.6465500000000001E-3</c:v>
                </c:pt>
                <c:pt idx="270" formatCode="General">
                  <c:v>3.6487199999999998E-3</c:v>
                </c:pt>
                <c:pt idx="271" formatCode="General">
                  <c:v>3.6407200000000001E-3</c:v>
                </c:pt>
                <c:pt idx="272" formatCode="General">
                  <c:v>3.6826200000000002E-3</c:v>
                </c:pt>
                <c:pt idx="273" formatCode="General">
                  <c:v>3.6846600000000002E-3</c:v>
                </c:pt>
                <c:pt idx="274" formatCode="General">
                  <c:v>3.6934400000000001E-3</c:v>
                </c:pt>
                <c:pt idx="275" formatCode="General">
                  <c:v>3.7267799999999998E-3</c:v>
                </c:pt>
                <c:pt idx="276" formatCode="General">
                  <c:v>3.68893E-3</c:v>
                </c:pt>
                <c:pt idx="277" formatCode="General">
                  <c:v>3.75319E-3</c:v>
                </c:pt>
                <c:pt idx="278" formatCode="General">
                  <c:v>3.7119200000000001E-3</c:v>
                </c:pt>
                <c:pt idx="279" formatCode="General">
                  <c:v>3.8036099999999998E-3</c:v>
                </c:pt>
                <c:pt idx="280" formatCode="General">
                  <c:v>3.7385999999999999E-3</c:v>
                </c:pt>
                <c:pt idx="281" formatCode="General">
                  <c:v>3.7885599999999998E-3</c:v>
                </c:pt>
                <c:pt idx="282" formatCode="General">
                  <c:v>3.7863300000000001E-3</c:v>
                </c:pt>
                <c:pt idx="283" formatCode="General">
                  <c:v>3.8005600000000001E-3</c:v>
                </c:pt>
                <c:pt idx="284" formatCode="General">
                  <c:v>3.8685199999999999E-3</c:v>
                </c:pt>
                <c:pt idx="285" formatCode="General">
                  <c:v>3.82746E-3</c:v>
                </c:pt>
                <c:pt idx="286" formatCode="General">
                  <c:v>3.8463500000000001E-3</c:v>
                </c:pt>
                <c:pt idx="287" formatCode="General">
                  <c:v>3.8622299999999999E-3</c:v>
                </c:pt>
                <c:pt idx="288" formatCode="General">
                  <c:v>3.8535499999999999E-3</c:v>
                </c:pt>
                <c:pt idx="289" formatCode="General">
                  <c:v>3.9025700000000002E-3</c:v>
                </c:pt>
                <c:pt idx="290" formatCode="General">
                  <c:v>3.9437500000000002E-3</c:v>
                </c:pt>
                <c:pt idx="291" formatCode="General">
                  <c:v>3.8466799999999999E-3</c:v>
                </c:pt>
                <c:pt idx="292" formatCode="General">
                  <c:v>3.92071E-3</c:v>
                </c:pt>
                <c:pt idx="293" formatCode="General">
                  <c:v>3.9385599999999998E-3</c:v>
                </c:pt>
                <c:pt idx="294" formatCode="General">
                  <c:v>4.0127299999999999E-3</c:v>
                </c:pt>
                <c:pt idx="295" formatCode="General">
                  <c:v>3.9599500000000003E-3</c:v>
                </c:pt>
                <c:pt idx="296" formatCode="General">
                  <c:v>4.0390799999999996E-3</c:v>
                </c:pt>
                <c:pt idx="297" formatCode="General">
                  <c:v>4.0330899999999996E-3</c:v>
                </c:pt>
                <c:pt idx="298" formatCode="General">
                  <c:v>3.9901499999999996E-3</c:v>
                </c:pt>
                <c:pt idx="299" formatCode="General">
                  <c:v>4.0886999999999998E-3</c:v>
                </c:pt>
                <c:pt idx="300" formatCode="General">
                  <c:v>4.0226200000000002E-3</c:v>
                </c:pt>
                <c:pt idx="301" formatCode="General">
                  <c:v>4.0851500000000001E-3</c:v>
                </c:pt>
                <c:pt idx="302" formatCode="General">
                  <c:v>4.0321300000000001E-3</c:v>
                </c:pt>
                <c:pt idx="303" formatCode="General">
                  <c:v>4.0367199999999997E-3</c:v>
                </c:pt>
                <c:pt idx="304" formatCode="General">
                  <c:v>4.1013899999999999E-3</c:v>
                </c:pt>
                <c:pt idx="305" formatCode="General">
                  <c:v>4.1518299999999996E-3</c:v>
                </c:pt>
                <c:pt idx="306" formatCode="General">
                  <c:v>4.1144399999999996E-3</c:v>
                </c:pt>
                <c:pt idx="307" formatCode="General">
                  <c:v>4.1488000000000002E-3</c:v>
                </c:pt>
                <c:pt idx="308" formatCode="General">
                  <c:v>4.1476100000000004E-3</c:v>
                </c:pt>
                <c:pt idx="309" formatCode="General">
                  <c:v>4.1765099999999996E-3</c:v>
                </c:pt>
                <c:pt idx="310" formatCode="General">
                  <c:v>4.1687900000000003E-3</c:v>
                </c:pt>
                <c:pt idx="311" formatCode="General">
                  <c:v>4.1980000000000003E-3</c:v>
                </c:pt>
                <c:pt idx="312" formatCode="General">
                  <c:v>4.2448199999999998E-3</c:v>
                </c:pt>
                <c:pt idx="313" formatCode="General">
                  <c:v>4.2260900000000001E-3</c:v>
                </c:pt>
                <c:pt idx="314" formatCode="General">
                  <c:v>4.2291400000000002E-3</c:v>
                </c:pt>
                <c:pt idx="315" formatCode="General">
                  <c:v>4.2675999999999999E-3</c:v>
                </c:pt>
                <c:pt idx="316" formatCode="General">
                  <c:v>4.2802400000000003E-3</c:v>
                </c:pt>
                <c:pt idx="317" formatCode="General">
                  <c:v>4.3020000000000003E-3</c:v>
                </c:pt>
                <c:pt idx="318" formatCode="General">
                  <c:v>4.2926600000000002E-3</c:v>
                </c:pt>
                <c:pt idx="319" formatCode="General">
                  <c:v>4.2836799999999998E-3</c:v>
                </c:pt>
                <c:pt idx="320" formatCode="General">
                  <c:v>4.2678899999999999E-3</c:v>
                </c:pt>
                <c:pt idx="321" formatCode="General">
                  <c:v>4.2818600000000002E-3</c:v>
                </c:pt>
                <c:pt idx="322" formatCode="General">
                  <c:v>4.3231700000000003E-3</c:v>
                </c:pt>
                <c:pt idx="323" formatCode="General">
                  <c:v>4.3344999999999998E-3</c:v>
                </c:pt>
                <c:pt idx="324" formatCode="General">
                  <c:v>4.3814600000000002E-3</c:v>
                </c:pt>
                <c:pt idx="325" formatCode="General">
                  <c:v>4.37916E-3</c:v>
                </c:pt>
                <c:pt idx="326" formatCode="General">
                  <c:v>4.4809400000000001E-3</c:v>
                </c:pt>
                <c:pt idx="327" formatCode="General">
                  <c:v>4.4301499999999999E-3</c:v>
                </c:pt>
                <c:pt idx="328" formatCode="General">
                  <c:v>4.4081499999999996E-3</c:v>
                </c:pt>
                <c:pt idx="329" formatCode="General">
                  <c:v>4.4459399999999998E-3</c:v>
                </c:pt>
                <c:pt idx="330" formatCode="General">
                  <c:v>4.4529399999999998E-3</c:v>
                </c:pt>
                <c:pt idx="331" formatCode="General">
                  <c:v>4.45978E-3</c:v>
                </c:pt>
                <c:pt idx="332" formatCode="General">
                  <c:v>4.5069899999999998E-3</c:v>
                </c:pt>
                <c:pt idx="333" formatCode="General">
                  <c:v>4.4684900000000003E-3</c:v>
                </c:pt>
                <c:pt idx="334" formatCode="General">
                  <c:v>4.5616600000000004E-3</c:v>
                </c:pt>
                <c:pt idx="335" formatCode="General">
                  <c:v>4.5773000000000003E-3</c:v>
                </c:pt>
                <c:pt idx="336" formatCode="General">
                  <c:v>4.5551000000000003E-3</c:v>
                </c:pt>
                <c:pt idx="337" formatCode="General">
                  <c:v>4.5884400000000001E-3</c:v>
                </c:pt>
                <c:pt idx="338" formatCode="General">
                  <c:v>4.5797499999999996E-3</c:v>
                </c:pt>
                <c:pt idx="339" formatCode="General">
                  <c:v>4.5745899999999999E-3</c:v>
                </c:pt>
                <c:pt idx="340" formatCode="General">
                  <c:v>4.6470799999999996E-3</c:v>
                </c:pt>
                <c:pt idx="341" formatCode="General">
                  <c:v>4.6283799999999996E-3</c:v>
                </c:pt>
                <c:pt idx="342" formatCode="General">
                  <c:v>4.66951E-3</c:v>
                </c:pt>
                <c:pt idx="343" formatCode="General">
                  <c:v>4.6495E-3</c:v>
                </c:pt>
                <c:pt idx="344" formatCode="General">
                  <c:v>4.64511E-3</c:v>
                </c:pt>
                <c:pt idx="345" formatCode="General">
                  <c:v>4.6938600000000002E-3</c:v>
                </c:pt>
                <c:pt idx="346" formatCode="General">
                  <c:v>4.6669600000000004E-3</c:v>
                </c:pt>
                <c:pt idx="347" formatCode="General">
                  <c:v>4.6598500000000001E-3</c:v>
                </c:pt>
                <c:pt idx="348" formatCode="General">
                  <c:v>4.7081299999999996E-3</c:v>
                </c:pt>
                <c:pt idx="349" formatCode="General">
                  <c:v>4.7287500000000003E-3</c:v>
                </c:pt>
                <c:pt idx="350" formatCode="General">
                  <c:v>4.6553699999999998E-3</c:v>
                </c:pt>
                <c:pt idx="351" formatCode="General">
                  <c:v>4.7838100000000003E-3</c:v>
                </c:pt>
                <c:pt idx="352" formatCode="General">
                  <c:v>4.6632899999999996E-3</c:v>
                </c:pt>
                <c:pt idx="353" formatCode="General">
                  <c:v>4.6983299999999997E-3</c:v>
                </c:pt>
                <c:pt idx="354" formatCode="General">
                  <c:v>4.7272800000000004E-3</c:v>
                </c:pt>
                <c:pt idx="355" formatCode="General">
                  <c:v>4.7264000000000004E-3</c:v>
                </c:pt>
                <c:pt idx="356" formatCode="General">
                  <c:v>4.79E-3</c:v>
                </c:pt>
                <c:pt idx="357" formatCode="General">
                  <c:v>4.7893500000000004E-3</c:v>
                </c:pt>
                <c:pt idx="358" formatCode="General">
                  <c:v>4.77743E-3</c:v>
                </c:pt>
                <c:pt idx="359" formatCode="General">
                  <c:v>4.7646900000000002E-3</c:v>
                </c:pt>
                <c:pt idx="360" formatCode="General">
                  <c:v>4.8353500000000004E-3</c:v>
                </c:pt>
                <c:pt idx="361" formatCode="General">
                  <c:v>4.8319799999999996E-3</c:v>
                </c:pt>
                <c:pt idx="362" formatCode="General">
                  <c:v>4.8387899999999999E-3</c:v>
                </c:pt>
                <c:pt idx="363" formatCode="General">
                  <c:v>4.8640699999999999E-3</c:v>
                </c:pt>
                <c:pt idx="364" formatCode="General">
                  <c:v>4.89633E-3</c:v>
                </c:pt>
                <c:pt idx="365" formatCode="General">
                  <c:v>4.9126400000000002E-3</c:v>
                </c:pt>
                <c:pt idx="366" formatCode="General">
                  <c:v>4.8788299999999998E-3</c:v>
                </c:pt>
                <c:pt idx="367" formatCode="General">
                  <c:v>4.8888899999999999E-3</c:v>
                </c:pt>
                <c:pt idx="368" formatCode="General">
                  <c:v>4.9931799999999998E-3</c:v>
                </c:pt>
                <c:pt idx="369" formatCode="General">
                  <c:v>4.92392E-3</c:v>
                </c:pt>
                <c:pt idx="370" formatCode="General">
                  <c:v>4.9426000000000001E-3</c:v>
                </c:pt>
                <c:pt idx="371" formatCode="General">
                  <c:v>4.9676199999999998E-3</c:v>
                </c:pt>
                <c:pt idx="372" formatCode="General">
                  <c:v>5.0166799999999999E-3</c:v>
                </c:pt>
                <c:pt idx="373" formatCode="General">
                  <c:v>5.0082800000000004E-3</c:v>
                </c:pt>
                <c:pt idx="374" formatCode="General">
                  <c:v>5.0125200000000003E-3</c:v>
                </c:pt>
                <c:pt idx="375" formatCode="General">
                  <c:v>5.0288800000000003E-3</c:v>
                </c:pt>
                <c:pt idx="376" formatCode="General">
                  <c:v>5.06077E-3</c:v>
                </c:pt>
                <c:pt idx="377" formatCode="General">
                  <c:v>5.0884900000000002E-3</c:v>
                </c:pt>
                <c:pt idx="378" formatCode="General">
                  <c:v>5.0912500000000003E-3</c:v>
                </c:pt>
                <c:pt idx="379" formatCode="General">
                  <c:v>5.1544399999999997E-3</c:v>
                </c:pt>
                <c:pt idx="380" formatCode="General">
                  <c:v>5.13905E-3</c:v>
                </c:pt>
                <c:pt idx="381" formatCode="General">
                  <c:v>5.1272599999999998E-3</c:v>
                </c:pt>
                <c:pt idx="382" formatCode="General">
                  <c:v>5.1251400000000003E-3</c:v>
                </c:pt>
                <c:pt idx="383" formatCode="General">
                  <c:v>5.1562500000000002E-3</c:v>
                </c:pt>
                <c:pt idx="384" formatCode="General">
                  <c:v>5.1330200000000003E-3</c:v>
                </c:pt>
                <c:pt idx="385" formatCode="General">
                  <c:v>5.2453500000000002E-3</c:v>
                </c:pt>
                <c:pt idx="386" formatCode="General">
                  <c:v>5.2167300000000002E-3</c:v>
                </c:pt>
                <c:pt idx="387" formatCode="General">
                  <c:v>5.1581999999999999E-3</c:v>
                </c:pt>
                <c:pt idx="388" formatCode="General">
                  <c:v>5.2519200000000002E-3</c:v>
                </c:pt>
                <c:pt idx="389" formatCode="General">
                  <c:v>5.2448E-3</c:v>
                </c:pt>
                <c:pt idx="390" formatCode="General">
                  <c:v>5.2759399999999998E-3</c:v>
                </c:pt>
                <c:pt idx="391" formatCode="General">
                  <c:v>5.2517900000000001E-3</c:v>
                </c:pt>
                <c:pt idx="392" formatCode="General">
                  <c:v>5.2682800000000002E-3</c:v>
                </c:pt>
                <c:pt idx="393" formatCode="General">
                  <c:v>5.3706700000000001E-3</c:v>
                </c:pt>
                <c:pt idx="394" formatCode="General">
                  <c:v>5.3303300000000003E-3</c:v>
                </c:pt>
                <c:pt idx="395" formatCode="General">
                  <c:v>5.3090200000000002E-3</c:v>
                </c:pt>
                <c:pt idx="396" formatCode="General">
                  <c:v>5.3195600000000001E-3</c:v>
                </c:pt>
                <c:pt idx="397" formatCode="General">
                  <c:v>5.3435399999999999E-3</c:v>
                </c:pt>
                <c:pt idx="398" formatCode="General">
                  <c:v>5.3625900000000004E-3</c:v>
                </c:pt>
                <c:pt idx="399" formatCode="General">
                  <c:v>5.3847499999999998E-3</c:v>
                </c:pt>
                <c:pt idx="400" formatCode="General">
                  <c:v>5.3690200000000004E-3</c:v>
                </c:pt>
                <c:pt idx="401" formatCode="General">
                  <c:v>5.4028000000000001E-3</c:v>
                </c:pt>
                <c:pt idx="402" formatCode="General">
                  <c:v>5.44474E-3</c:v>
                </c:pt>
                <c:pt idx="403" formatCode="General">
                  <c:v>5.4191100000000004E-3</c:v>
                </c:pt>
                <c:pt idx="404" formatCode="General">
                  <c:v>5.5034799999999998E-3</c:v>
                </c:pt>
                <c:pt idx="405" formatCode="General">
                  <c:v>5.4247399999999999E-3</c:v>
                </c:pt>
                <c:pt idx="406" formatCode="General">
                  <c:v>5.4698000000000004E-3</c:v>
                </c:pt>
                <c:pt idx="407" formatCode="General">
                  <c:v>5.5348200000000002E-3</c:v>
                </c:pt>
                <c:pt idx="408" formatCode="General">
                  <c:v>5.4924700000000002E-3</c:v>
                </c:pt>
                <c:pt idx="409" formatCode="General">
                  <c:v>5.52433E-3</c:v>
                </c:pt>
                <c:pt idx="410" formatCode="General">
                  <c:v>5.5218899999999998E-3</c:v>
                </c:pt>
                <c:pt idx="411" formatCode="General">
                  <c:v>5.5074E-3</c:v>
                </c:pt>
                <c:pt idx="412" formatCode="General">
                  <c:v>5.48199E-3</c:v>
                </c:pt>
                <c:pt idx="413" formatCode="General">
                  <c:v>5.4198700000000002E-3</c:v>
                </c:pt>
                <c:pt idx="414" formatCode="General">
                  <c:v>5.3404999999999998E-3</c:v>
                </c:pt>
                <c:pt idx="415" formatCode="General">
                  <c:v>5.3291199999999997E-3</c:v>
                </c:pt>
                <c:pt idx="416" formatCode="General">
                  <c:v>4.9975099999999999E-4</c:v>
                </c:pt>
                <c:pt idx="417" formatCode="General">
                  <c:v>3.9185100000000003E-4</c:v>
                </c:pt>
                <c:pt idx="418" formatCode="General">
                  <c:v>3.9697499999999999E-4</c:v>
                </c:pt>
                <c:pt idx="419" formatCode="General">
                  <c:v>3.4741399999999999E-4</c:v>
                </c:pt>
                <c:pt idx="420" formatCode="General">
                  <c:v>2.4405299999999999E-4</c:v>
                </c:pt>
                <c:pt idx="421" formatCode="General">
                  <c:v>3.1202299999999998E-4</c:v>
                </c:pt>
                <c:pt idx="422" formatCode="General">
                  <c:v>2.9140299999999997E-4</c:v>
                </c:pt>
                <c:pt idx="423" formatCode="General">
                  <c:v>1.6830600000000001E-4</c:v>
                </c:pt>
              </c:numCache>
            </c:numRef>
          </c:xVal>
          <c:yVal>
            <c:numRef>
              <c:f>'L30CPTX-1'!$V$7:$V$430</c:f>
              <c:numCache>
                <c:formatCode>General</c:formatCode>
                <c:ptCount val="424"/>
                <c:pt idx="0">
                  <c:v>0.56505434782608699</c:v>
                </c:pt>
                <c:pt idx="1">
                  <c:v>0.66948369565217392</c:v>
                </c:pt>
                <c:pt idx="2">
                  <c:v>1.0380489130434782</c:v>
                </c:pt>
                <c:pt idx="3">
                  <c:v>1.5724619565217393</c:v>
                </c:pt>
                <c:pt idx="4">
                  <c:v>1.7936032608695653</c:v>
                </c:pt>
                <c:pt idx="5">
                  <c:v>2.0393097826086959</c:v>
                </c:pt>
                <c:pt idx="6">
                  <c:v>2.3771576086956521</c:v>
                </c:pt>
                <c:pt idx="7">
                  <c:v>2.9730054347826087</c:v>
                </c:pt>
                <c:pt idx="8">
                  <c:v>3.2002826086956522</c:v>
                </c:pt>
                <c:pt idx="9">
                  <c:v>3.5688478260869565</c:v>
                </c:pt>
                <c:pt idx="10">
                  <c:v>3.8329836956521741</c:v>
                </c:pt>
                <c:pt idx="11">
                  <c:v>4.2261195652173908</c:v>
                </c:pt>
                <c:pt idx="12">
                  <c:v>4.7175380434782612</c:v>
                </c:pt>
                <c:pt idx="13">
                  <c:v>5.1168152173913048</c:v>
                </c:pt>
                <c:pt idx="14">
                  <c:v>5.4055217391304344</c:v>
                </c:pt>
                <c:pt idx="15">
                  <c:v>5.8723913043478264</c:v>
                </c:pt>
                <c:pt idx="16">
                  <c:v>5.6696739130434786</c:v>
                </c:pt>
                <c:pt idx="17">
                  <c:v>6.412934782608696</c:v>
                </c:pt>
                <c:pt idx="18">
                  <c:v>6.5173369565217394</c:v>
                </c:pt>
                <c:pt idx="19">
                  <c:v>6.9473369565217391</c:v>
                </c:pt>
                <c:pt idx="20">
                  <c:v>7.2483152173913048</c:v>
                </c:pt>
                <c:pt idx="21">
                  <c:v>7.3650543478260877</c:v>
                </c:pt>
                <c:pt idx="22">
                  <c:v>7.5677717391304347</c:v>
                </c:pt>
                <c:pt idx="23">
                  <c:v>8.2189130434782616</c:v>
                </c:pt>
                <c:pt idx="24">
                  <c:v>8.4338586956521731</c:v>
                </c:pt>
                <c:pt idx="25">
                  <c:v>8.7778804347826096</c:v>
                </c:pt>
                <c:pt idx="26">
                  <c:v>9.0911413043478255</c:v>
                </c:pt>
                <c:pt idx="27">
                  <c:v>9.3122826086956518</c:v>
                </c:pt>
                <c:pt idx="28">
                  <c:v>9.4351630434782603</c:v>
                </c:pt>
                <c:pt idx="29">
                  <c:v>9.7791304347826085</c:v>
                </c:pt>
                <c:pt idx="30">
                  <c:v>9.9572826086956532</c:v>
                </c:pt>
                <c:pt idx="31">
                  <c:v>10.135434782608696</c:v>
                </c:pt>
                <c:pt idx="32">
                  <c:v>10.40570652173913</c:v>
                </c:pt>
                <c:pt idx="33">
                  <c:v>10.694402173913044</c:v>
                </c:pt>
                <c:pt idx="34">
                  <c:v>11.105978260869565</c:v>
                </c:pt>
                <c:pt idx="35">
                  <c:v>11.302554347826087</c:v>
                </c:pt>
                <c:pt idx="36">
                  <c:v>11.542119565217391</c:v>
                </c:pt>
                <c:pt idx="37">
                  <c:v>11.726358695652175</c:v>
                </c:pt>
                <c:pt idx="38">
                  <c:v>11.873804347826088</c:v>
                </c:pt>
                <c:pt idx="39">
                  <c:v>12.125652173913043</c:v>
                </c:pt>
                <c:pt idx="40">
                  <c:v>12.352934782608695</c:v>
                </c:pt>
                <c:pt idx="41">
                  <c:v>12.623206521739132</c:v>
                </c:pt>
                <c:pt idx="42">
                  <c:v>12.893478260869566</c:v>
                </c:pt>
                <c:pt idx="43">
                  <c:v>12.96108695652174</c:v>
                </c:pt>
                <c:pt idx="44">
                  <c:v>13.397173913043478</c:v>
                </c:pt>
                <c:pt idx="45">
                  <c:v>13.606032608695653</c:v>
                </c:pt>
                <c:pt idx="46">
                  <c:v>13.710489130434782</c:v>
                </c:pt>
                <c:pt idx="47">
                  <c:v>13.827173913043477</c:v>
                </c:pt>
                <c:pt idx="48">
                  <c:v>14.103586956521738</c:v>
                </c:pt>
                <c:pt idx="49">
                  <c:v>14.287880434782608</c:v>
                </c:pt>
                <c:pt idx="50">
                  <c:v>14.625760869565216</c:v>
                </c:pt>
                <c:pt idx="51">
                  <c:v>14.86532608695652</c:v>
                </c:pt>
                <c:pt idx="52">
                  <c:v>15.098750000000001</c:v>
                </c:pt>
                <c:pt idx="53">
                  <c:v>15.282989130434784</c:v>
                </c:pt>
                <c:pt idx="54">
                  <c:v>15.473423913043479</c:v>
                </c:pt>
                <c:pt idx="55">
                  <c:v>15.774456521739131</c:v>
                </c:pt>
                <c:pt idx="56">
                  <c:v>16.007880434782606</c:v>
                </c:pt>
                <c:pt idx="57">
                  <c:v>16.229021739130435</c:v>
                </c:pt>
                <c:pt idx="58">
                  <c:v>16.665108695652176</c:v>
                </c:pt>
                <c:pt idx="59">
                  <c:v>16.689673913043478</c:v>
                </c:pt>
                <c:pt idx="60">
                  <c:v>16.966141304347826</c:v>
                </c:pt>
                <c:pt idx="61">
                  <c:v>17.402228260869567</c:v>
                </c:pt>
                <c:pt idx="62">
                  <c:v>17.555815217391306</c:v>
                </c:pt>
                <c:pt idx="63">
                  <c:v>17.807663043478261</c:v>
                </c:pt>
                <c:pt idx="64">
                  <c:v>17.875217391304346</c:v>
                </c:pt>
                <c:pt idx="65">
                  <c:v>18.249945652173913</c:v>
                </c:pt>
                <c:pt idx="66">
                  <c:v>18.495652173913044</c:v>
                </c:pt>
                <c:pt idx="67">
                  <c:v>18.63695652173913</c:v>
                </c:pt>
                <c:pt idx="68">
                  <c:v>18.901086956521741</c:v>
                </c:pt>
                <c:pt idx="69">
                  <c:v>19.263478260869565</c:v>
                </c:pt>
                <c:pt idx="70">
                  <c:v>19.312663043478263</c:v>
                </c:pt>
                <c:pt idx="71">
                  <c:v>19.693478260869565</c:v>
                </c:pt>
                <c:pt idx="72">
                  <c:v>20.025217391304349</c:v>
                </c:pt>
                <c:pt idx="73">
                  <c:v>20.049782608695651</c:v>
                </c:pt>
                <c:pt idx="74">
                  <c:v>20.479782608695654</c:v>
                </c:pt>
                <c:pt idx="75">
                  <c:v>20.492065217391303</c:v>
                </c:pt>
                <c:pt idx="76">
                  <c:v>21.094021739130437</c:v>
                </c:pt>
                <c:pt idx="77">
                  <c:v>21.149293478260869</c:v>
                </c:pt>
                <c:pt idx="78">
                  <c:v>21.364293478260869</c:v>
                </c:pt>
                <c:pt idx="79">
                  <c:v>21.628423913043481</c:v>
                </c:pt>
                <c:pt idx="80">
                  <c:v>21.861847826086954</c:v>
                </c:pt>
                <c:pt idx="81">
                  <c:v>22.082989130434783</c:v>
                </c:pt>
                <c:pt idx="82">
                  <c:v>22.218152173913044</c:v>
                </c:pt>
                <c:pt idx="83">
                  <c:v>22.500706521739129</c:v>
                </c:pt>
                <c:pt idx="84">
                  <c:v>22.826304347826088</c:v>
                </c:pt>
                <c:pt idx="85">
                  <c:v>23.200978260869562</c:v>
                </c:pt>
                <c:pt idx="86">
                  <c:v>23.520380434782609</c:v>
                </c:pt>
                <c:pt idx="87">
                  <c:v>23.692391304347826</c:v>
                </c:pt>
                <c:pt idx="88">
                  <c:v>23.643260869565214</c:v>
                </c:pt>
                <c:pt idx="89">
                  <c:v>23.692391304347826</c:v>
                </c:pt>
                <c:pt idx="90">
                  <c:v>23.987228260869564</c:v>
                </c:pt>
                <c:pt idx="91">
                  <c:v>24.423369565217389</c:v>
                </c:pt>
                <c:pt idx="92">
                  <c:v>24.644510869565217</c:v>
                </c:pt>
                <c:pt idx="93">
                  <c:v>24.834945652173914</c:v>
                </c:pt>
                <c:pt idx="94">
                  <c:v>24.914782608695649</c:v>
                </c:pt>
                <c:pt idx="95">
                  <c:v>25.234239130434784</c:v>
                </c:pt>
                <c:pt idx="96">
                  <c:v>25.615054347826089</c:v>
                </c:pt>
                <c:pt idx="97">
                  <c:v>25.805489130434783</c:v>
                </c:pt>
                <c:pt idx="98">
                  <c:v>26.057336956521741</c:v>
                </c:pt>
                <c:pt idx="99">
                  <c:v>26.327608695652174</c:v>
                </c:pt>
                <c:pt idx="100">
                  <c:v>26.46891304347826</c:v>
                </c:pt>
                <c:pt idx="101">
                  <c:v>26.806739130434782</c:v>
                </c:pt>
                <c:pt idx="102">
                  <c:v>26.984891304347826</c:v>
                </c:pt>
                <c:pt idx="103">
                  <c:v>27.242880434782606</c:v>
                </c:pt>
                <c:pt idx="104">
                  <c:v>27.47630434782609</c:v>
                </c:pt>
                <c:pt idx="105">
                  <c:v>27.722010869565221</c:v>
                </c:pt>
                <c:pt idx="106">
                  <c:v>27.937010869565217</c:v>
                </c:pt>
                <c:pt idx="107">
                  <c:v>28.299456521739131</c:v>
                </c:pt>
                <c:pt idx="108">
                  <c:v>28.557445652173911</c:v>
                </c:pt>
                <c:pt idx="109">
                  <c:v>28.723315217391306</c:v>
                </c:pt>
                <c:pt idx="110">
                  <c:v>28.932119565217391</c:v>
                </c:pt>
                <c:pt idx="111">
                  <c:v>29.196304347826086</c:v>
                </c:pt>
                <c:pt idx="112">
                  <c:v>29.386684782608693</c:v>
                </c:pt>
                <c:pt idx="113">
                  <c:v>29.589402173913044</c:v>
                </c:pt>
                <c:pt idx="114">
                  <c:v>30.031684782608696</c:v>
                </c:pt>
                <c:pt idx="115">
                  <c:v>30.160706521739129</c:v>
                </c:pt>
                <c:pt idx="116">
                  <c:v>30.473967391304349</c:v>
                </c:pt>
                <c:pt idx="117">
                  <c:v>30.695108695652173</c:v>
                </c:pt>
                <c:pt idx="118">
                  <c:v>30.848695652173912</c:v>
                </c:pt>
                <c:pt idx="119">
                  <c:v>31.014510869565218</c:v>
                </c:pt>
                <c:pt idx="120">
                  <c:v>30.83641304347826</c:v>
                </c:pt>
                <c:pt idx="121">
                  <c:v>31.168097826086957</c:v>
                </c:pt>
                <c:pt idx="122">
                  <c:v>31.376956521739128</c:v>
                </c:pt>
                <c:pt idx="123">
                  <c:v>31.647228260869564</c:v>
                </c:pt>
                <c:pt idx="124">
                  <c:v>31.825380434782609</c:v>
                </c:pt>
                <c:pt idx="125">
                  <c:v>32.243097826086952</c:v>
                </c:pt>
                <c:pt idx="126">
                  <c:v>32.488804347826083</c:v>
                </c:pt>
                <c:pt idx="127">
                  <c:v>32.537934782608694</c:v>
                </c:pt>
                <c:pt idx="128">
                  <c:v>32.906467391304346</c:v>
                </c:pt>
                <c:pt idx="129">
                  <c:v>33.447065217391305</c:v>
                </c:pt>
                <c:pt idx="130">
                  <c:v>33.299619565217391</c:v>
                </c:pt>
                <c:pt idx="131">
                  <c:v>33.62516304347826</c:v>
                </c:pt>
                <c:pt idx="132">
                  <c:v>33.938478260869566</c:v>
                </c:pt>
                <c:pt idx="133">
                  <c:v>34.098152173913043</c:v>
                </c:pt>
                <c:pt idx="134">
                  <c:v>34.442173913043476</c:v>
                </c:pt>
                <c:pt idx="135">
                  <c:v>34.571141304347826</c:v>
                </c:pt>
                <c:pt idx="136">
                  <c:v>34.859891304347826</c:v>
                </c:pt>
                <c:pt idx="137">
                  <c:v>35.087173913043479</c:v>
                </c:pt>
                <c:pt idx="138">
                  <c:v>35.406576086956527</c:v>
                </c:pt>
                <c:pt idx="139">
                  <c:v>35.603152173913038</c:v>
                </c:pt>
                <c:pt idx="140">
                  <c:v>35.775163043478258</c:v>
                </c:pt>
                <c:pt idx="141">
                  <c:v>36.205108695652171</c:v>
                </c:pt>
                <c:pt idx="142">
                  <c:v>36.389402173913041</c:v>
                </c:pt>
                <c:pt idx="143">
                  <c:v>36.598260869565216</c:v>
                </c:pt>
                <c:pt idx="144">
                  <c:v>36.874673913043473</c:v>
                </c:pt>
                <c:pt idx="145">
                  <c:v>37.108097826086961</c:v>
                </c:pt>
                <c:pt idx="146">
                  <c:v>37.237119565217391</c:v>
                </c:pt>
                <c:pt idx="147">
                  <c:v>37.587228260869566</c:v>
                </c:pt>
                <c:pt idx="148">
                  <c:v>37.986521739130438</c:v>
                </c:pt>
                <c:pt idx="149">
                  <c:v>38.029510869565222</c:v>
                </c:pt>
                <c:pt idx="150">
                  <c:v>38.318206521739128</c:v>
                </c:pt>
                <c:pt idx="151">
                  <c:v>38.490217391304348</c:v>
                </c:pt>
                <c:pt idx="152">
                  <c:v>38.662228260869568</c:v>
                </c:pt>
                <c:pt idx="153">
                  <c:v>39.061521739130434</c:v>
                </c:pt>
                <c:pt idx="154">
                  <c:v>39.233478260869568</c:v>
                </c:pt>
                <c:pt idx="155">
                  <c:v>39.528369565217396</c:v>
                </c:pt>
                <c:pt idx="156">
                  <c:v>39.841630434782608</c:v>
                </c:pt>
                <c:pt idx="157">
                  <c:v>39.939891304347825</c:v>
                </c:pt>
                <c:pt idx="158">
                  <c:v>40.216358695652175</c:v>
                </c:pt>
                <c:pt idx="159">
                  <c:v>40.548043478260873</c:v>
                </c:pt>
                <c:pt idx="160">
                  <c:v>40.68320652173913</c:v>
                </c:pt>
                <c:pt idx="161">
                  <c:v>41.088586956521738</c:v>
                </c:pt>
                <c:pt idx="162">
                  <c:v>41.328152173913047</c:v>
                </c:pt>
                <c:pt idx="163">
                  <c:v>41.518586956521737</c:v>
                </c:pt>
                <c:pt idx="164">
                  <c:v>41.831847826086957</c:v>
                </c:pt>
                <c:pt idx="165">
                  <c:v>42.089891304347823</c:v>
                </c:pt>
                <c:pt idx="166">
                  <c:v>42.077554347826087</c:v>
                </c:pt>
                <c:pt idx="167">
                  <c:v>42.630434782608695</c:v>
                </c:pt>
                <c:pt idx="168">
                  <c:v>42.949836956521743</c:v>
                </c:pt>
                <c:pt idx="169">
                  <c:v>43.085000000000001</c:v>
                </c:pt>
                <c:pt idx="170">
                  <c:v>43.515000000000001</c:v>
                </c:pt>
                <c:pt idx="171">
                  <c:v>43.686956521739127</c:v>
                </c:pt>
                <c:pt idx="172">
                  <c:v>44.080108695652171</c:v>
                </c:pt>
                <c:pt idx="173">
                  <c:v>44.129239130434783</c:v>
                </c:pt>
                <c:pt idx="174">
                  <c:v>44.393369565217391</c:v>
                </c:pt>
                <c:pt idx="175">
                  <c:v>44.577663043478267</c:v>
                </c:pt>
                <c:pt idx="176">
                  <c:v>45.026086956521738</c:v>
                </c:pt>
                <c:pt idx="177">
                  <c:v>45.26565217391304</c:v>
                </c:pt>
                <c:pt idx="178">
                  <c:v>45.351684782608693</c:v>
                </c:pt>
                <c:pt idx="179">
                  <c:v>45.486793478260871</c:v>
                </c:pt>
                <c:pt idx="180">
                  <c:v>45.738641304347823</c:v>
                </c:pt>
                <c:pt idx="181">
                  <c:v>46.223913043478262</c:v>
                </c:pt>
                <c:pt idx="182">
                  <c:v>46.346793478260864</c:v>
                </c:pt>
                <c:pt idx="183">
                  <c:v>46.549510869565218</c:v>
                </c:pt>
                <c:pt idx="184">
                  <c:v>46.776793478260871</c:v>
                </c:pt>
                <c:pt idx="185">
                  <c:v>47.225163043478261</c:v>
                </c:pt>
                <c:pt idx="186">
                  <c:v>47.378750000000004</c:v>
                </c:pt>
                <c:pt idx="187">
                  <c:v>47.673586956521739</c:v>
                </c:pt>
                <c:pt idx="188">
                  <c:v>47.857880434782608</c:v>
                </c:pt>
                <c:pt idx="189">
                  <c:v>48.122010869565223</c:v>
                </c:pt>
                <c:pt idx="190">
                  <c:v>48.398423913043473</c:v>
                </c:pt>
                <c:pt idx="191">
                  <c:v>48.638043478260869</c:v>
                </c:pt>
                <c:pt idx="192">
                  <c:v>48.816141304347823</c:v>
                </c:pt>
                <c:pt idx="193">
                  <c:v>49.123315217391308</c:v>
                </c:pt>
                <c:pt idx="194">
                  <c:v>49.307554347826091</c:v>
                </c:pt>
                <c:pt idx="195">
                  <c:v>49.516413043478266</c:v>
                </c:pt>
                <c:pt idx="196">
                  <c:v>49.50413043478261</c:v>
                </c:pt>
                <c:pt idx="197">
                  <c:v>49.842010869565222</c:v>
                </c:pt>
                <c:pt idx="198">
                  <c:v>50.364130434782609</c:v>
                </c:pt>
                <c:pt idx="199">
                  <c:v>50.511521739130437</c:v>
                </c:pt>
                <c:pt idx="200">
                  <c:v>50.671250000000001</c:v>
                </c:pt>
                <c:pt idx="201">
                  <c:v>50.959945652173907</c:v>
                </c:pt>
                <c:pt idx="202">
                  <c:v>51.150380434782612</c:v>
                </c:pt>
                <c:pt idx="203">
                  <c:v>51.463695652173911</c:v>
                </c:pt>
                <c:pt idx="204">
                  <c:v>51.758532608695653</c:v>
                </c:pt>
                <c:pt idx="205">
                  <c:v>51.881358695652175</c:v>
                </c:pt>
                <c:pt idx="206">
                  <c:v>52.182391304347824</c:v>
                </c:pt>
                <c:pt idx="207">
                  <c:v>52.458804347826089</c:v>
                </c:pt>
                <c:pt idx="208">
                  <c:v>52.722934782608696</c:v>
                </c:pt>
                <c:pt idx="209">
                  <c:v>53.060760869565222</c:v>
                </c:pt>
                <c:pt idx="210">
                  <c:v>53.238913043478256</c:v>
                </c:pt>
                <c:pt idx="211">
                  <c:v>53.453913043478266</c:v>
                </c:pt>
                <c:pt idx="212">
                  <c:v>53.638206521739129</c:v>
                </c:pt>
                <c:pt idx="213">
                  <c:v>53.914619565217393</c:v>
                </c:pt>
                <c:pt idx="214">
                  <c:v>54.154184782608702</c:v>
                </c:pt>
                <c:pt idx="215">
                  <c:v>54.418478260869563</c:v>
                </c:pt>
                <c:pt idx="216">
                  <c:v>54.6945652173913</c:v>
                </c:pt>
                <c:pt idx="217">
                  <c:v>54.995652173913051</c:v>
                </c:pt>
                <c:pt idx="218">
                  <c:v>55.241304347826087</c:v>
                </c:pt>
                <c:pt idx="219">
                  <c:v>55.149456521739133</c:v>
                </c:pt>
                <c:pt idx="220">
                  <c:v>55.345652173913045</c:v>
                </c:pt>
                <c:pt idx="221">
                  <c:v>55.419565217391309</c:v>
                </c:pt>
                <c:pt idx="222">
                  <c:v>55.677717391304348</c:v>
                </c:pt>
                <c:pt idx="223">
                  <c:v>55.923369565217392</c:v>
                </c:pt>
                <c:pt idx="224">
                  <c:v>56.163043478260867</c:v>
                </c:pt>
                <c:pt idx="225">
                  <c:v>56.377717391304351</c:v>
                </c:pt>
                <c:pt idx="226">
                  <c:v>56.635869565217391</c:v>
                </c:pt>
                <c:pt idx="227">
                  <c:v>56.912500000000001</c:v>
                </c:pt>
                <c:pt idx="228">
                  <c:v>57.219565217391299</c:v>
                </c:pt>
                <c:pt idx="229">
                  <c:v>57.452717391304347</c:v>
                </c:pt>
                <c:pt idx="230">
                  <c:v>57.366847826086953</c:v>
                </c:pt>
                <c:pt idx="231">
                  <c:v>57.91358695652174</c:v>
                </c:pt>
                <c:pt idx="232">
                  <c:v>57.969021739130433</c:v>
                </c:pt>
                <c:pt idx="233">
                  <c:v>58.337499999999999</c:v>
                </c:pt>
                <c:pt idx="234">
                  <c:v>58.552173913043482</c:v>
                </c:pt>
                <c:pt idx="235">
                  <c:v>58.853260869565219</c:v>
                </c:pt>
                <c:pt idx="236">
                  <c:v>59.105434782608697</c:v>
                </c:pt>
                <c:pt idx="237">
                  <c:v>59.283152173913045</c:v>
                </c:pt>
                <c:pt idx="238">
                  <c:v>59.553804347826087</c:v>
                </c:pt>
                <c:pt idx="239">
                  <c:v>59.762499999999996</c:v>
                </c:pt>
                <c:pt idx="240">
                  <c:v>60.173913043478258</c:v>
                </c:pt>
                <c:pt idx="241">
                  <c:v>60.119021739130432</c:v>
                </c:pt>
                <c:pt idx="242">
                  <c:v>60.603804347826092</c:v>
                </c:pt>
                <c:pt idx="243">
                  <c:v>60.634782608695652</c:v>
                </c:pt>
                <c:pt idx="244">
                  <c:v>61.05869565217391</c:v>
                </c:pt>
                <c:pt idx="245">
                  <c:v>61.353260869565219</c:v>
                </c:pt>
                <c:pt idx="246">
                  <c:v>61.771195652173908</c:v>
                </c:pt>
                <c:pt idx="247">
                  <c:v>61.734239130434787</c:v>
                </c:pt>
                <c:pt idx="248">
                  <c:v>61.967934782608701</c:v>
                </c:pt>
                <c:pt idx="249">
                  <c:v>62.366847826086953</c:v>
                </c:pt>
                <c:pt idx="250">
                  <c:v>62.539130434782614</c:v>
                </c:pt>
                <c:pt idx="251">
                  <c:v>62.692391304347822</c:v>
                </c:pt>
                <c:pt idx="252">
                  <c:v>63.165760869565219</c:v>
                </c:pt>
                <c:pt idx="253">
                  <c:v>63.220652173913045</c:v>
                </c:pt>
                <c:pt idx="254">
                  <c:v>63.528260869565223</c:v>
                </c:pt>
                <c:pt idx="255">
                  <c:v>63.705978260869564</c:v>
                </c:pt>
                <c:pt idx="256">
                  <c:v>63.945652173913047</c:v>
                </c:pt>
                <c:pt idx="257">
                  <c:v>64.148369565217394</c:v>
                </c:pt>
                <c:pt idx="258">
                  <c:v>64.363586956521743</c:v>
                </c:pt>
                <c:pt idx="259">
                  <c:v>64.658152173913052</c:v>
                </c:pt>
                <c:pt idx="260">
                  <c:v>64.959239130434781</c:v>
                </c:pt>
                <c:pt idx="261">
                  <c:v>65.290760869565219</c:v>
                </c:pt>
                <c:pt idx="262">
                  <c:v>65.34021739130435</c:v>
                </c:pt>
                <c:pt idx="263">
                  <c:v>65.634782608695645</c:v>
                </c:pt>
                <c:pt idx="264">
                  <c:v>65.972826086956516</c:v>
                </c:pt>
                <c:pt idx="265">
                  <c:v>66.108152173913041</c:v>
                </c:pt>
                <c:pt idx="266">
                  <c:v>66.206521739130437</c:v>
                </c:pt>
                <c:pt idx="267">
                  <c:v>66.752717391304344</c:v>
                </c:pt>
                <c:pt idx="268">
                  <c:v>66.783695652173918</c:v>
                </c:pt>
                <c:pt idx="269">
                  <c:v>67.115217391304355</c:v>
                </c:pt>
                <c:pt idx="270">
                  <c:v>67.342391304347828</c:v>
                </c:pt>
                <c:pt idx="271">
                  <c:v>67.570108695652166</c:v>
                </c:pt>
                <c:pt idx="272">
                  <c:v>67.987499999999997</c:v>
                </c:pt>
                <c:pt idx="273">
                  <c:v>67.963043478260872</c:v>
                </c:pt>
                <c:pt idx="274">
                  <c:v>68.344021739130426</c:v>
                </c:pt>
                <c:pt idx="275">
                  <c:v>68.632608695652166</c:v>
                </c:pt>
                <c:pt idx="276">
                  <c:v>68.835326086956528</c:v>
                </c:pt>
                <c:pt idx="277">
                  <c:v>69.056521739130432</c:v>
                </c:pt>
                <c:pt idx="278">
                  <c:v>69.302173913043475</c:v>
                </c:pt>
                <c:pt idx="279">
                  <c:v>69.695108695652166</c:v>
                </c:pt>
                <c:pt idx="280">
                  <c:v>69.72608695652174</c:v>
                </c:pt>
                <c:pt idx="281">
                  <c:v>70.168478260869563</c:v>
                </c:pt>
                <c:pt idx="282">
                  <c:v>70.346195652173918</c:v>
                </c:pt>
                <c:pt idx="283">
                  <c:v>70.494021739130432</c:v>
                </c:pt>
                <c:pt idx="284">
                  <c:v>70.795108695652175</c:v>
                </c:pt>
                <c:pt idx="285">
                  <c:v>71.065217391304344</c:v>
                </c:pt>
                <c:pt idx="286">
                  <c:v>71.384782608695645</c:v>
                </c:pt>
                <c:pt idx="287">
                  <c:v>71.64891304347826</c:v>
                </c:pt>
                <c:pt idx="288">
                  <c:v>71.790217391304353</c:v>
                </c:pt>
                <c:pt idx="289">
                  <c:v>71.863586956521743</c:v>
                </c:pt>
                <c:pt idx="290">
                  <c:v>72.287499999999994</c:v>
                </c:pt>
                <c:pt idx="291">
                  <c:v>72.557608695652178</c:v>
                </c:pt>
                <c:pt idx="292">
                  <c:v>72.803804347826087</c:v>
                </c:pt>
                <c:pt idx="293">
                  <c:v>73.15978260869565</c:v>
                </c:pt>
                <c:pt idx="294">
                  <c:v>73.307065217391298</c:v>
                </c:pt>
                <c:pt idx="295">
                  <c:v>73.657608695652172</c:v>
                </c:pt>
                <c:pt idx="296">
                  <c:v>73.823369565217391</c:v>
                </c:pt>
                <c:pt idx="297">
                  <c:v>74.093478260869574</c:v>
                </c:pt>
                <c:pt idx="298">
                  <c:v>74.27771739130435</c:v>
                </c:pt>
                <c:pt idx="299">
                  <c:v>74.480434782608697</c:v>
                </c:pt>
                <c:pt idx="300">
                  <c:v>74.640217391304347</c:v>
                </c:pt>
                <c:pt idx="301">
                  <c:v>75.045652173913041</c:v>
                </c:pt>
                <c:pt idx="302">
                  <c:v>75.229891304347817</c:v>
                </c:pt>
                <c:pt idx="303">
                  <c:v>75.420108695652175</c:v>
                </c:pt>
                <c:pt idx="304">
                  <c:v>75.635326086956525</c:v>
                </c:pt>
                <c:pt idx="305">
                  <c:v>75.850543478260875</c:v>
                </c:pt>
                <c:pt idx="306">
                  <c:v>76.219021739130426</c:v>
                </c:pt>
                <c:pt idx="307">
                  <c:v>76.390760869565213</c:v>
                </c:pt>
                <c:pt idx="308">
                  <c:v>76.489130434782609</c:v>
                </c:pt>
                <c:pt idx="309">
                  <c:v>76.974456521739128</c:v>
                </c:pt>
                <c:pt idx="310">
                  <c:v>77.134239130434793</c:v>
                </c:pt>
                <c:pt idx="311">
                  <c:v>77.435326086956522</c:v>
                </c:pt>
                <c:pt idx="312">
                  <c:v>77.754891304347822</c:v>
                </c:pt>
                <c:pt idx="313">
                  <c:v>77.895652173913035</c:v>
                </c:pt>
                <c:pt idx="314">
                  <c:v>78.301086956521743</c:v>
                </c:pt>
                <c:pt idx="315">
                  <c:v>78.485869565217385</c:v>
                </c:pt>
                <c:pt idx="316">
                  <c:v>78.66358695652174</c:v>
                </c:pt>
                <c:pt idx="317">
                  <c:v>78.706521739130437</c:v>
                </c:pt>
                <c:pt idx="318">
                  <c:v>78.995652173913044</c:v>
                </c:pt>
                <c:pt idx="319">
                  <c:v>79.382608695652166</c:v>
                </c:pt>
                <c:pt idx="320">
                  <c:v>79.511413043478257</c:v>
                </c:pt>
                <c:pt idx="321">
                  <c:v>79.861413043478265</c:v>
                </c:pt>
                <c:pt idx="322">
                  <c:v>80.168478260869563</c:v>
                </c:pt>
                <c:pt idx="323">
                  <c:v>80.402173913043484</c:v>
                </c:pt>
                <c:pt idx="324">
                  <c:v>80.660326086956516</c:v>
                </c:pt>
                <c:pt idx="325">
                  <c:v>80.770652173913035</c:v>
                </c:pt>
                <c:pt idx="326">
                  <c:v>81.145652173913035</c:v>
                </c:pt>
                <c:pt idx="327">
                  <c:v>81.440217391304344</c:v>
                </c:pt>
                <c:pt idx="328">
                  <c:v>81.667391304347817</c:v>
                </c:pt>
                <c:pt idx="329">
                  <c:v>81.655434782608694</c:v>
                </c:pt>
                <c:pt idx="330">
                  <c:v>81.833152173913035</c:v>
                </c:pt>
                <c:pt idx="331">
                  <c:v>82.072826086956525</c:v>
                </c:pt>
                <c:pt idx="332">
                  <c:v>82.404891304347828</c:v>
                </c:pt>
                <c:pt idx="333">
                  <c:v>82.582608695652183</c:v>
                </c:pt>
                <c:pt idx="334">
                  <c:v>82.779347826086948</c:v>
                </c:pt>
                <c:pt idx="335">
                  <c:v>82.97608695652174</c:v>
                </c:pt>
                <c:pt idx="336">
                  <c:v>82.773369565217394</c:v>
                </c:pt>
                <c:pt idx="337">
                  <c:v>82.982065217391309</c:v>
                </c:pt>
                <c:pt idx="338">
                  <c:v>83.338586956521738</c:v>
                </c:pt>
                <c:pt idx="339">
                  <c:v>83.744021739130432</c:v>
                </c:pt>
                <c:pt idx="340">
                  <c:v>83.755978260869568</c:v>
                </c:pt>
                <c:pt idx="341">
                  <c:v>83.940217391304344</c:v>
                </c:pt>
                <c:pt idx="342">
                  <c:v>84.290760869565219</c:v>
                </c:pt>
                <c:pt idx="343">
                  <c:v>84.45</c:v>
                </c:pt>
                <c:pt idx="344">
                  <c:v>84.726630434782606</c:v>
                </c:pt>
                <c:pt idx="345">
                  <c:v>84.89891304347826</c:v>
                </c:pt>
                <c:pt idx="346">
                  <c:v>85.174999999999997</c:v>
                </c:pt>
                <c:pt idx="347">
                  <c:v>85.537499999999994</c:v>
                </c:pt>
                <c:pt idx="348">
                  <c:v>85.942934782608702</c:v>
                </c:pt>
                <c:pt idx="349">
                  <c:v>85.96141304347826</c:v>
                </c:pt>
                <c:pt idx="350">
                  <c:v>86.280978260869574</c:v>
                </c:pt>
                <c:pt idx="351">
                  <c:v>86.6</c:v>
                </c:pt>
                <c:pt idx="352">
                  <c:v>86.729347826086965</c:v>
                </c:pt>
                <c:pt idx="353">
                  <c:v>86.802717391304355</c:v>
                </c:pt>
                <c:pt idx="354">
                  <c:v>86.870652173913044</c:v>
                </c:pt>
                <c:pt idx="355">
                  <c:v>87.128260869565224</c:v>
                </c:pt>
                <c:pt idx="356">
                  <c:v>87.441847826086956</c:v>
                </c:pt>
                <c:pt idx="357">
                  <c:v>87.663043478260875</c:v>
                </c:pt>
                <c:pt idx="358">
                  <c:v>88.0070652173913</c:v>
                </c:pt>
                <c:pt idx="359">
                  <c:v>88.215760869565216</c:v>
                </c:pt>
                <c:pt idx="360">
                  <c:v>88.35108695652174</c:v>
                </c:pt>
                <c:pt idx="361">
                  <c:v>88.596739130434784</c:v>
                </c:pt>
                <c:pt idx="362">
                  <c:v>88.535326086956516</c:v>
                </c:pt>
                <c:pt idx="363">
                  <c:v>88.762500000000003</c:v>
                </c:pt>
                <c:pt idx="364">
                  <c:v>89.125</c:v>
                </c:pt>
                <c:pt idx="365">
                  <c:v>89.370652173913044</c:v>
                </c:pt>
                <c:pt idx="366">
                  <c:v>89.708695652173915</c:v>
                </c:pt>
                <c:pt idx="367">
                  <c:v>89.770108695652183</c:v>
                </c:pt>
                <c:pt idx="368">
                  <c:v>90.322826086956525</c:v>
                </c:pt>
                <c:pt idx="369">
                  <c:v>90.390217391304347</c:v>
                </c:pt>
                <c:pt idx="370">
                  <c:v>90.765217391304347</c:v>
                </c:pt>
                <c:pt idx="371">
                  <c:v>90.789673913043472</c:v>
                </c:pt>
                <c:pt idx="372">
                  <c:v>91.238043478260863</c:v>
                </c:pt>
                <c:pt idx="373">
                  <c:v>91.416304347826085</c:v>
                </c:pt>
                <c:pt idx="374">
                  <c:v>91.459239130434781</c:v>
                </c:pt>
                <c:pt idx="375">
                  <c:v>91.796739130434773</c:v>
                </c:pt>
                <c:pt idx="376">
                  <c:v>92.159239130434784</c:v>
                </c:pt>
                <c:pt idx="377">
                  <c:v>92.196195652173898</c:v>
                </c:pt>
                <c:pt idx="378">
                  <c:v>92.694021739130434</c:v>
                </c:pt>
                <c:pt idx="379">
                  <c:v>92.785869565217382</c:v>
                </c:pt>
                <c:pt idx="380">
                  <c:v>92.859782608695653</c:v>
                </c:pt>
                <c:pt idx="381">
                  <c:v>93.394021739130437</c:v>
                </c:pt>
                <c:pt idx="382">
                  <c:v>93.547826086956519</c:v>
                </c:pt>
                <c:pt idx="383">
                  <c:v>93.891847826086945</c:v>
                </c:pt>
                <c:pt idx="384">
                  <c:v>94.014673913043481</c:v>
                </c:pt>
                <c:pt idx="385">
                  <c:v>94.321739130434793</c:v>
                </c:pt>
                <c:pt idx="386">
                  <c:v>94.426086956521743</c:v>
                </c:pt>
                <c:pt idx="387">
                  <c:v>94.597826086956516</c:v>
                </c:pt>
                <c:pt idx="388">
                  <c:v>95.120108695652164</c:v>
                </c:pt>
                <c:pt idx="389">
                  <c:v>95.212499999999991</c:v>
                </c:pt>
                <c:pt idx="390">
                  <c:v>95.55</c:v>
                </c:pt>
                <c:pt idx="391">
                  <c:v>95.796195652173907</c:v>
                </c:pt>
                <c:pt idx="392">
                  <c:v>96.072282608695645</c:v>
                </c:pt>
                <c:pt idx="393">
                  <c:v>96.226086956521726</c:v>
                </c:pt>
                <c:pt idx="394">
                  <c:v>96.397826086956528</c:v>
                </c:pt>
                <c:pt idx="395">
                  <c:v>96.649999999999991</c:v>
                </c:pt>
                <c:pt idx="396">
                  <c:v>96.975543478260875</c:v>
                </c:pt>
                <c:pt idx="397">
                  <c:v>97.294565217391309</c:v>
                </c:pt>
                <c:pt idx="398">
                  <c:v>97.344021739130426</c:v>
                </c:pt>
                <c:pt idx="399">
                  <c:v>97.725000000000009</c:v>
                </c:pt>
                <c:pt idx="400">
                  <c:v>98.001086956521746</c:v>
                </c:pt>
                <c:pt idx="401">
                  <c:v>98.130434782608702</c:v>
                </c:pt>
                <c:pt idx="402">
                  <c:v>98.424999999999997</c:v>
                </c:pt>
                <c:pt idx="403">
                  <c:v>98.707608695652183</c:v>
                </c:pt>
                <c:pt idx="404">
                  <c:v>99.064130434782598</c:v>
                </c:pt>
                <c:pt idx="405">
                  <c:v>99.100543478260875</c:v>
                </c:pt>
                <c:pt idx="406">
                  <c:v>99.469565217391306</c:v>
                </c:pt>
                <c:pt idx="407">
                  <c:v>99.721195652173918</c:v>
                </c:pt>
                <c:pt idx="408">
                  <c:v>100.04673913043477</c:v>
                </c:pt>
                <c:pt idx="409">
                  <c:v>100.2983695652174</c:v>
                </c:pt>
                <c:pt idx="410">
                  <c:v>100.40326086956522</c:v>
                </c:pt>
                <c:pt idx="411">
                  <c:v>100.74076086956521</c:v>
                </c:pt>
                <c:pt idx="412">
                  <c:v>100.82065217391305</c:v>
                </c:pt>
                <c:pt idx="413">
                  <c:v>100.2983695652174</c:v>
                </c:pt>
                <c:pt idx="414">
                  <c:v>100.00978260869564</c:v>
                </c:pt>
                <c:pt idx="415">
                  <c:v>99.850000000000009</c:v>
                </c:pt>
                <c:pt idx="416">
                  <c:v>53.195923913043472</c:v>
                </c:pt>
                <c:pt idx="417">
                  <c:v>24.656793478260873</c:v>
                </c:pt>
                <c:pt idx="418">
                  <c:v>11.198097826086956</c:v>
                </c:pt>
                <c:pt idx="419">
                  <c:v>5.0860978260869567</c:v>
                </c:pt>
                <c:pt idx="420">
                  <c:v>2.4815869565217392</c:v>
                </c:pt>
                <c:pt idx="421">
                  <c:v>1.0011902173913043</c:v>
                </c:pt>
                <c:pt idx="422">
                  <c:v>0.57734239130434784</c:v>
                </c:pt>
                <c:pt idx="423">
                  <c:v>0.15963750000000002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E39-4CB4-B7F8-7C299C4F3F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70498992"/>
        <c:axId val="270499552"/>
      </c:scatterChart>
      <c:valAx>
        <c:axId val="2704989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70499552"/>
        <c:crosses val="autoZero"/>
        <c:crossBetween val="midCat"/>
      </c:valAx>
      <c:valAx>
        <c:axId val="270499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704989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poison</a:t>
            </a:r>
            <a:r>
              <a:rPr lang="en-US" baseline="0"/>
              <a:t> ratio 3</a:t>
            </a:r>
            <a:endParaRPr lang="en-US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1"/>
          <c:order val="0"/>
          <c:spPr>
            <a:ln>
              <a:noFill/>
            </a:ln>
          </c:spPr>
          <c:xVal>
            <c:numRef>
              <c:f>'L30CPTX-1'!$B$80:$B$400</c:f>
              <c:numCache>
                <c:formatCode>General</c:formatCode>
                <c:ptCount val="321"/>
                <c:pt idx="0">
                  <c:v>1.0605300000000001E-3</c:v>
                </c:pt>
                <c:pt idx="1">
                  <c:v>1.0210200000000001E-3</c:v>
                </c:pt>
                <c:pt idx="2">
                  <c:v>1.0422599999999999E-3</c:v>
                </c:pt>
                <c:pt idx="3">
                  <c:v>1.04126E-3</c:v>
                </c:pt>
                <c:pt idx="4">
                  <c:v>1.09249E-3</c:v>
                </c:pt>
                <c:pt idx="5">
                  <c:v>1.0475899999999999E-3</c:v>
                </c:pt>
                <c:pt idx="6">
                  <c:v>1.1021900000000001E-3</c:v>
                </c:pt>
                <c:pt idx="7">
                  <c:v>1.1206899999999999E-3</c:v>
                </c:pt>
                <c:pt idx="8">
                  <c:v>1.13805E-3</c:v>
                </c:pt>
                <c:pt idx="9">
                  <c:v>1.08946E-3</c:v>
                </c:pt>
                <c:pt idx="10">
                  <c:v>1.1366900000000001E-3</c:v>
                </c:pt>
                <c:pt idx="11">
                  <c:v>1.16238E-3</c:v>
                </c:pt>
                <c:pt idx="12">
                  <c:v>1.1405499999999999E-3</c:v>
                </c:pt>
                <c:pt idx="13">
                  <c:v>1.21363E-3</c:v>
                </c:pt>
                <c:pt idx="14">
                  <c:v>1.2074E-3</c:v>
                </c:pt>
                <c:pt idx="15">
                  <c:v>1.20134E-3</c:v>
                </c:pt>
                <c:pt idx="16">
                  <c:v>1.1898099999999999E-3</c:v>
                </c:pt>
                <c:pt idx="17">
                  <c:v>1.20988E-3</c:v>
                </c:pt>
                <c:pt idx="18">
                  <c:v>1.2444000000000001E-3</c:v>
                </c:pt>
                <c:pt idx="19">
                  <c:v>1.25143E-3</c:v>
                </c:pt>
                <c:pt idx="20">
                  <c:v>1.23178E-3</c:v>
                </c:pt>
                <c:pt idx="21">
                  <c:v>1.2555699999999999E-3</c:v>
                </c:pt>
                <c:pt idx="22">
                  <c:v>1.3069100000000001E-3</c:v>
                </c:pt>
                <c:pt idx="23">
                  <c:v>1.3119099999999999E-3</c:v>
                </c:pt>
                <c:pt idx="24">
                  <c:v>1.29298E-3</c:v>
                </c:pt>
                <c:pt idx="25">
                  <c:v>1.30294E-3</c:v>
                </c:pt>
                <c:pt idx="26">
                  <c:v>1.33183E-3</c:v>
                </c:pt>
                <c:pt idx="27">
                  <c:v>1.3300899999999999E-3</c:v>
                </c:pt>
                <c:pt idx="28">
                  <c:v>1.3077500000000001E-3</c:v>
                </c:pt>
                <c:pt idx="29">
                  <c:v>1.3924199999999999E-3</c:v>
                </c:pt>
                <c:pt idx="30">
                  <c:v>1.36725E-3</c:v>
                </c:pt>
                <c:pt idx="31">
                  <c:v>1.4584999999999999E-3</c:v>
                </c:pt>
                <c:pt idx="32">
                  <c:v>1.43585E-3</c:v>
                </c:pt>
                <c:pt idx="33">
                  <c:v>1.40683E-3</c:v>
                </c:pt>
                <c:pt idx="34">
                  <c:v>1.4278800000000001E-3</c:v>
                </c:pt>
                <c:pt idx="35">
                  <c:v>1.43794E-3</c:v>
                </c:pt>
                <c:pt idx="36">
                  <c:v>1.4544600000000001E-3</c:v>
                </c:pt>
                <c:pt idx="37">
                  <c:v>1.4450699999999999E-3</c:v>
                </c:pt>
                <c:pt idx="38">
                  <c:v>1.41822E-3</c:v>
                </c:pt>
                <c:pt idx="39">
                  <c:v>1.53122E-3</c:v>
                </c:pt>
                <c:pt idx="40">
                  <c:v>1.4820899999999999E-3</c:v>
                </c:pt>
                <c:pt idx="41">
                  <c:v>1.53651E-3</c:v>
                </c:pt>
                <c:pt idx="42">
                  <c:v>1.5200700000000001E-3</c:v>
                </c:pt>
                <c:pt idx="43">
                  <c:v>1.6081100000000001E-3</c:v>
                </c:pt>
                <c:pt idx="44">
                  <c:v>1.52867E-3</c:v>
                </c:pt>
                <c:pt idx="45">
                  <c:v>1.52305E-3</c:v>
                </c:pt>
                <c:pt idx="46">
                  <c:v>1.5728599999999999E-3</c:v>
                </c:pt>
                <c:pt idx="47">
                  <c:v>1.5520200000000001E-3</c:v>
                </c:pt>
                <c:pt idx="48">
                  <c:v>1.5620600000000001E-3</c:v>
                </c:pt>
                <c:pt idx="49">
                  <c:v>1.5784499999999999E-3</c:v>
                </c:pt>
                <c:pt idx="50">
                  <c:v>1.62174E-3</c:v>
                </c:pt>
                <c:pt idx="51">
                  <c:v>1.6366200000000001E-3</c:v>
                </c:pt>
                <c:pt idx="52">
                  <c:v>1.6523E-3</c:v>
                </c:pt>
                <c:pt idx="53">
                  <c:v>1.6885400000000001E-3</c:v>
                </c:pt>
                <c:pt idx="54">
                  <c:v>1.72697E-3</c:v>
                </c:pt>
                <c:pt idx="55">
                  <c:v>1.6619200000000001E-3</c:v>
                </c:pt>
                <c:pt idx="56">
                  <c:v>1.6691500000000001E-3</c:v>
                </c:pt>
                <c:pt idx="57">
                  <c:v>1.75414E-3</c:v>
                </c:pt>
                <c:pt idx="58">
                  <c:v>1.7277099999999999E-3</c:v>
                </c:pt>
                <c:pt idx="59">
                  <c:v>1.74412E-3</c:v>
                </c:pt>
                <c:pt idx="60">
                  <c:v>1.7499600000000001E-3</c:v>
                </c:pt>
                <c:pt idx="61">
                  <c:v>1.74942E-3</c:v>
                </c:pt>
                <c:pt idx="62">
                  <c:v>1.81968E-3</c:v>
                </c:pt>
                <c:pt idx="63">
                  <c:v>1.7634199999999999E-3</c:v>
                </c:pt>
                <c:pt idx="64">
                  <c:v>1.8335000000000001E-3</c:v>
                </c:pt>
                <c:pt idx="65">
                  <c:v>1.84344E-3</c:v>
                </c:pt>
                <c:pt idx="66">
                  <c:v>1.8381700000000001E-3</c:v>
                </c:pt>
                <c:pt idx="67">
                  <c:v>1.8045100000000001E-3</c:v>
                </c:pt>
                <c:pt idx="68">
                  <c:v>1.8770900000000001E-3</c:v>
                </c:pt>
                <c:pt idx="69">
                  <c:v>1.89003E-3</c:v>
                </c:pt>
                <c:pt idx="70">
                  <c:v>1.83073E-3</c:v>
                </c:pt>
                <c:pt idx="71">
                  <c:v>1.9843199999999999E-3</c:v>
                </c:pt>
                <c:pt idx="72">
                  <c:v>1.9057900000000001E-3</c:v>
                </c:pt>
                <c:pt idx="73">
                  <c:v>1.92946E-3</c:v>
                </c:pt>
                <c:pt idx="74">
                  <c:v>1.95392E-3</c:v>
                </c:pt>
                <c:pt idx="75">
                  <c:v>2.00285E-3</c:v>
                </c:pt>
                <c:pt idx="76">
                  <c:v>2.0514800000000001E-3</c:v>
                </c:pt>
                <c:pt idx="77">
                  <c:v>1.99315E-3</c:v>
                </c:pt>
                <c:pt idx="78">
                  <c:v>1.9773400000000002E-3</c:v>
                </c:pt>
                <c:pt idx="79">
                  <c:v>2.0371399999999998E-3</c:v>
                </c:pt>
                <c:pt idx="80">
                  <c:v>1.99533E-3</c:v>
                </c:pt>
                <c:pt idx="81">
                  <c:v>2.0384999999999999E-3</c:v>
                </c:pt>
                <c:pt idx="82">
                  <c:v>2.0640799999999998E-3</c:v>
                </c:pt>
                <c:pt idx="83">
                  <c:v>2.1091299999999999E-3</c:v>
                </c:pt>
                <c:pt idx="84">
                  <c:v>2.1093499999999999E-3</c:v>
                </c:pt>
                <c:pt idx="85">
                  <c:v>2.1334800000000001E-3</c:v>
                </c:pt>
                <c:pt idx="86">
                  <c:v>2.1292099999999999E-3</c:v>
                </c:pt>
                <c:pt idx="87">
                  <c:v>2.1557299999999998E-3</c:v>
                </c:pt>
                <c:pt idx="88">
                  <c:v>2.19688E-3</c:v>
                </c:pt>
                <c:pt idx="89">
                  <c:v>2.1843499999999998E-3</c:v>
                </c:pt>
                <c:pt idx="90">
                  <c:v>2.1895E-3</c:v>
                </c:pt>
                <c:pt idx="91">
                  <c:v>2.1531699999999998E-3</c:v>
                </c:pt>
                <c:pt idx="92">
                  <c:v>2.1664800000000001E-3</c:v>
                </c:pt>
                <c:pt idx="93">
                  <c:v>2.19959E-3</c:v>
                </c:pt>
                <c:pt idx="94">
                  <c:v>2.22134E-3</c:v>
                </c:pt>
                <c:pt idx="95">
                  <c:v>2.2410899999999998E-3</c:v>
                </c:pt>
                <c:pt idx="96">
                  <c:v>2.27158E-3</c:v>
                </c:pt>
                <c:pt idx="97">
                  <c:v>2.2531299999999999E-3</c:v>
                </c:pt>
                <c:pt idx="98">
                  <c:v>2.3222300000000002E-3</c:v>
                </c:pt>
                <c:pt idx="99">
                  <c:v>2.3449E-3</c:v>
                </c:pt>
                <c:pt idx="100">
                  <c:v>2.2830799999999998E-3</c:v>
                </c:pt>
                <c:pt idx="101">
                  <c:v>2.3414099999999999E-3</c:v>
                </c:pt>
                <c:pt idx="102">
                  <c:v>2.3640800000000002E-3</c:v>
                </c:pt>
                <c:pt idx="103">
                  <c:v>2.36841E-3</c:v>
                </c:pt>
                <c:pt idx="104">
                  <c:v>2.3957200000000001E-3</c:v>
                </c:pt>
                <c:pt idx="105">
                  <c:v>2.4069199999999999E-3</c:v>
                </c:pt>
                <c:pt idx="106">
                  <c:v>2.5117999999999998E-3</c:v>
                </c:pt>
                <c:pt idx="107">
                  <c:v>2.3272100000000001E-3</c:v>
                </c:pt>
                <c:pt idx="108">
                  <c:v>2.4439900000000001E-3</c:v>
                </c:pt>
                <c:pt idx="109">
                  <c:v>2.43428E-3</c:v>
                </c:pt>
                <c:pt idx="110">
                  <c:v>2.4714799999999999E-3</c:v>
                </c:pt>
                <c:pt idx="111">
                  <c:v>2.48628E-3</c:v>
                </c:pt>
                <c:pt idx="112">
                  <c:v>2.5304300000000002E-3</c:v>
                </c:pt>
                <c:pt idx="113">
                  <c:v>2.55091E-3</c:v>
                </c:pt>
                <c:pt idx="114">
                  <c:v>2.53996E-3</c:v>
                </c:pt>
                <c:pt idx="115">
                  <c:v>2.56288E-3</c:v>
                </c:pt>
                <c:pt idx="116">
                  <c:v>2.5533600000000002E-3</c:v>
                </c:pt>
                <c:pt idx="117">
                  <c:v>2.5601899999999999E-3</c:v>
                </c:pt>
                <c:pt idx="118">
                  <c:v>2.5394100000000002E-3</c:v>
                </c:pt>
                <c:pt idx="119">
                  <c:v>2.5865300000000001E-3</c:v>
                </c:pt>
                <c:pt idx="120">
                  <c:v>2.6028499999999999E-3</c:v>
                </c:pt>
                <c:pt idx="121">
                  <c:v>2.6136800000000002E-3</c:v>
                </c:pt>
                <c:pt idx="122">
                  <c:v>2.5925499999999999E-3</c:v>
                </c:pt>
                <c:pt idx="123">
                  <c:v>2.6552099999999999E-3</c:v>
                </c:pt>
                <c:pt idx="124">
                  <c:v>2.6301900000000001E-3</c:v>
                </c:pt>
                <c:pt idx="125">
                  <c:v>2.7014500000000002E-3</c:v>
                </c:pt>
                <c:pt idx="126">
                  <c:v>2.6400299999999998E-3</c:v>
                </c:pt>
                <c:pt idx="127">
                  <c:v>2.6669300000000001E-3</c:v>
                </c:pt>
                <c:pt idx="128">
                  <c:v>2.6755899999999998E-3</c:v>
                </c:pt>
                <c:pt idx="129">
                  <c:v>2.7177799999999999E-3</c:v>
                </c:pt>
                <c:pt idx="130">
                  <c:v>2.7246100000000001E-3</c:v>
                </c:pt>
                <c:pt idx="131">
                  <c:v>2.7347999999999999E-3</c:v>
                </c:pt>
                <c:pt idx="132">
                  <c:v>2.7812700000000002E-3</c:v>
                </c:pt>
                <c:pt idx="133">
                  <c:v>2.7709700000000002E-3</c:v>
                </c:pt>
                <c:pt idx="134">
                  <c:v>2.7992099999999999E-3</c:v>
                </c:pt>
                <c:pt idx="135">
                  <c:v>2.74566E-3</c:v>
                </c:pt>
                <c:pt idx="136">
                  <c:v>2.8195500000000001E-3</c:v>
                </c:pt>
                <c:pt idx="137">
                  <c:v>2.83498E-3</c:v>
                </c:pt>
                <c:pt idx="138">
                  <c:v>2.8823899999999999E-3</c:v>
                </c:pt>
                <c:pt idx="139">
                  <c:v>2.8818699999999999E-3</c:v>
                </c:pt>
                <c:pt idx="140">
                  <c:v>2.9006399999999999E-3</c:v>
                </c:pt>
                <c:pt idx="141">
                  <c:v>2.8820199999999999E-3</c:v>
                </c:pt>
                <c:pt idx="142">
                  <c:v>2.9030100000000001E-3</c:v>
                </c:pt>
                <c:pt idx="143">
                  <c:v>2.9048899999999998E-3</c:v>
                </c:pt>
                <c:pt idx="144">
                  <c:v>2.8873599999999998E-3</c:v>
                </c:pt>
                <c:pt idx="145">
                  <c:v>2.9688200000000001E-3</c:v>
                </c:pt>
                <c:pt idx="146">
                  <c:v>2.94896E-3</c:v>
                </c:pt>
                <c:pt idx="147">
                  <c:v>3.0084700000000001E-3</c:v>
                </c:pt>
                <c:pt idx="148">
                  <c:v>2.9885799999999998E-3</c:v>
                </c:pt>
                <c:pt idx="149">
                  <c:v>2.97109E-3</c:v>
                </c:pt>
                <c:pt idx="150">
                  <c:v>2.9739900000000001E-3</c:v>
                </c:pt>
                <c:pt idx="151">
                  <c:v>2.9833300000000002E-3</c:v>
                </c:pt>
                <c:pt idx="152">
                  <c:v>3.02959E-3</c:v>
                </c:pt>
                <c:pt idx="153">
                  <c:v>3.0313699999999998E-3</c:v>
                </c:pt>
                <c:pt idx="154">
                  <c:v>3.0627699999999998E-3</c:v>
                </c:pt>
                <c:pt idx="155">
                  <c:v>3.1225200000000002E-3</c:v>
                </c:pt>
                <c:pt idx="156">
                  <c:v>3.0575200000000002E-3</c:v>
                </c:pt>
                <c:pt idx="157">
                  <c:v>3.0617299999999999E-3</c:v>
                </c:pt>
                <c:pt idx="158">
                  <c:v>3.0907600000000001E-3</c:v>
                </c:pt>
                <c:pt idx="159">
                  <c:v>3.13416E-3</c:v>
                </c:pt>
                <c:pt idx="160">
                  <c:v>3.0949300000000001E-3</c:v>
                </c:pt>
                <c:pt idx="161">
                  <c:v>3.18607E-3</c:v>
                </c:pt>
                <c:pt idx="162">
                  <c:v>3.1521800000000001E-3</c:v>
                </c:pt>
                <c:pt idx="163">
                  <c:v>3.2437500000000001E-3</c:v>
                </c:pt>
                <c:pt idx="164">
                  <c:v>3.1568899999999999E-3</c:v>
                </c:pt>
                <c:pt idx="165">
                  <c:v>3.1321700000000001E-3</c:v>
                </c:pt>
                <c:pt idx="166">
                  <c:v>3.3207599999999999E-3</c:v>
                </c:pt>
                <c:pt idx="167">
                  <c:v>3.2896399999999999E-3</c:v>
                </c:pt>
                <c:pt idx="168">
                  <c:v>3.2268700000000002E-3</c:v>
                </c:pt>
                <c:pt idx="169">
                  <c:v>3.27823E-3</c:v>
                </c:pt>
                <c:pt idx="170">
                  <c:v>3.2545600000000001E-3</c:v>
                </c:pt>
                <c:pt idx="171">
                  <c:v>3.2471000000000002E-3</c:v>
                </c:pt>
                <c:pt idx="172">
                  <c:v>3.3409099999999999E-3</c:v>
                </c:pt>
                <c:pt idx="173">
                  <c:v>3.3467000000000002E-3</c:v>
                </c:pt>
                <c:pt idx="174">
                  <c:v>3.3284600000000001E-3</c:v>
                </c:pt>
                <c:pt idx="175">
                  <c:v>3.34221E-3</c:v>
                </c:pt>
                <c:pt idx="176">
                  <c:v>3.3172599999999998E-3</c:v>
                </c:pt>
                <c:pt idx="177">
                  <c:v>3.3352500000000001E-3</c:v>
                </c:pt>
                <c:pt idx="178">
                  <c:v>3.4100900000000002E-3</c:v>
                </c:pt>
                <c:pt idx="179">
                  <c:v>3.4442600000000002E-3</c:v>
                </c:pt>
                <c:pt idx="180">
                  <c:v>3.3835499999999999E-3</c:v>
                </c:pt>
                <c:pt idx="181">
                  <c:v>3.4268699999999998E-3</c:v>
                </c:pt>
                <c:pt idx="182">
                  <c:v>3.4375400000000002E-3</c:v>
                </c:pt>
                <c:pt idx="183">
                  <c:v>3.4807000000000002E-3</c:v>
                </c:pt>
                <c:pt idx="184">
                  <c:v>3.4302099999999999E-3</c:v>
                </c:pt>
                <c:pt idx="185">
                  <c:v>3.4537600000000002E-3</c:v>
                </c:pt>
                <c:pt idx="186">
                  <c:v>3.50615E-3</c:v>
                </c:pt>
                <c:pt idx="187">
                  <c:v>3.4914199999999999E-3</c:v>
                </c:pt>
                <c:pt idx="188">
                  <c:v>3.5087400000000002E-3</c:v>
                </c:pt>
                <c:pt idx="189">
                  <c:v>3.5606000000000001E-3</c:v>
                </c:pt>
                <c:pt idx="190">
                  <c:v>3.5525299999999999E-3</c:v>
                </c:pt>
                <c:pt idx="191">
                  <c:v>3.53659E-3</c:v>
                </c:pt>
                <c:pt idx="192">
                  <c:v>3.5537899999999998E-3</c:v>
                </c:pt>
                <c:pt idx="193">
                  <c:v>3.6052300000000001E-3</c:v>
                </c:pt>
                <c:pt idx="194">
                  <c:v>3.5992099999999998E-3</c:v>
                </c:pt>
                <c:pt idx="195">
                  <c:v>3.61444E-3</c:v>
                </c:pt>
                <c:pt idx="196">
                  <c:v>3.6465500000000001E-3</c:v>
                </c:pt>
                <c:pt idx="197">
                  <c:v>3.6487199999999998E-3</c:v>
                </c:pt>
                <c:pt idx="198">
                  <c:v>3.6407200000000001E-3</c:v>
                </c:pt>
                <c:pt idx="199">
                  <c:v>3.6826200000000002E-3</c:v>
                </c:pt>
                <c:pt idx="200">
                  <c:v>3.6846600000000002E-3</c:v>
                </c:pt>
                <c:pt idx="201">
                  <c:v>3.6934400000000001E-3</c:v>
                </c:pt>
                <c:pt idx="202">
                  <c:v>3.7267799999999998E-3</c:v>
                </c:pt>
                <c:pt idx="203">
                  <c:v>3.68893E-3</c:v>
                </c:pt>
                <c:pt idx="204">
                  <c:v>3.75319E-3</c:v>
                </c:pt>
                <c:pt idx="205">
                  <c:v>3.7119200000000001E-3</c:v>
                </c:pt>
                <c:pt idx="206">
                  <c:v>3.8036099999999998E-3</c:v>
                </c:pt>
                <c:pt idx="207">
                  <c:v>3.7385999999999999E-3</c:v>
                </c:pt>
                <c:pt idx="208">
                  <c:v>3.7885599999999998E-3</c:v>
                </c:pt>
                <c:pt idx="209">
                  <c:v>3.7863300000000001E-3</c:v>
                </c:pt>
                <c:pt idx="210">
                  <c:v>3.8005600000000001E-3</c:v>
                </c:pt>
                <c:pt idx="211">
                  <c:v>3.8685199999999999E-3</c:v>
                </c:pt>
                <c:pt idx="212">
                  <c:v>3.82746E-3</c:v>
                </c:pt>
                <c:pt idx="213">
                  <c:v>3.8463500000000001E-3</c:v>
                </c:pt>
                <c:pt idx="214">
                  <c:v>3.8622299999999999E-3</c:v>
                </c:pt>
                <c:pt idx="215">
                  <c:v>3.8535499999999999E-3</c:v>
                </c:pt>
                <c:pt idx="216">
                  <c:v>3.9025700000000002E-3</c:v>
                </c:pt>
                <c:pt idx="217">
                  <c:v>3.9437500000000002E-3</c:v>
                </c:pt>
                <c:pt idx="218">
                  <c:v>3.8466799999999999E-3</c:v>
                </c:pt>
                <c:pt idx="219">
                  <c:v>3.92071E-3</c:v>
                </c:pt>
                <c:pt idx="220">
                  <c:v>3.9385599999999998E-3</c:v>
                </c:pt>
                <c:pt idx="221">
                  <c:v>4.0127299999999999E-3</c:v>
                </c:pt>
                <c:pt idx="222">
                  <c:v>3.9599500000000003E-3</c:v>
                </c:pt>
                <c:pt idx="223">
                  <c:v>4.0390799999999996E-3</c:v>
                </c:pt>
                <c:pt idx="224">
                  <c:v>4.0330899999999996E-3</c:v>
                </c:pt>
                <c:pt idx="225">
                  <c:v>3.9901499999999996E-3</c:v>
                </c:pt>
                <c:pt idx="226">
                  <c:v>4.0886999999999998E-3</c:v>
                </c:pt>
                <c:pt idx="227">
                  <c:v>4.0226200000000002E-3</c:v>
                </c:pt>
                <c:pt idx="228">
                  <c:v>4.0851500000000001E-3</c:v>
                </c:pt>
                <c:pt idx="229">
                  <c:v>4.0321300000000001E-3</c:v>
                </c:pt>
                <c:pt idx="230">
                  <c:v>4.0367199999999997E-3</c:v>
                </c:pt>
                <c:pt idx="231">
                  <c:v>4.1013899999999999E-3</c:v>
                </c:pt>
                <c:pt idx="232">
                  <c:v>4.1518299999999996E-3</c:v>
                </c:pt>
                <c:pt idx="233">
                  <c:v>4.1144399999999996E-3</c:v>
                </c:pt>
                <c:pt idx="234">
                  <c:v>4.1488000000000002E-3</c:v>
                </c:pt>
                <c:pt idx="235">
                  <c:v>4.1476100000000004E-3</c:v>
                </c:pt>
                <c:pt idx="236">
                  <c:v>4.1765099999999996E-3</c:v>
                </c:pt>
                <c:pt idx="237">
                  <c:v>4.1687900000000003E-3</c:v>
                </c:pt>
                <c:pt idx="238">
                  <c:v>4.1980000000000003E-3</c:v>
                </c:pt>
                <c:pt idx="239">
                  <c:v>4.2448199999999998E-3</c:v>
                </c:pt>
                <c:pt idx="240">
                  <c:v>4.2260900000000001E-3</c:v>
                </c:pt>
                <c:pt idx="241">
                  <c:v>4.2291400000000002E-3</c:v>
                </c:pt>
                <c:pt idx="242">
                  <c:v>4.2675999999999999E-3</c:v>
                </c:pt>
                <c:pt idx="243">
                  <c:v>4.2802400000000003E-3</c:v>
                </c:pt>
                <c:pt idx="244">
                  <c:v>4.3020000000000003E-3</c:v>
                </c:pt>
                <c:pt idx="245">
                  <c:v>4.2926600000000002E-3</c:v>
                </c:pt>
                <c:pt idx="246">
                  <c:v>4.2836799999999998E-3</c:v>
                </c:pt>
                <c:pt idx="247">
                  <c:v>4.2678899999999999E-3</c:v>
                </c:pt>
                <c:pt idx="248">
                  <c:v>4.2818600000000002E-3</c:v>
                </c:pt>
                <c:pt idx="249">
                  <c:v>4.3231700000000003E-3</c:v>
                </c:pt>
                <c:pt idx="250">
                  <c:v>4.3344999999999998E-3</c:v>
                </c:pt>
                <c:pt idx="251">
                  <c:v>4.3814600000000002E-3</c:v>
                </c:pt>
                <c:pt idx="252">
                  <c:v>4.37916E-3</c:v>
                </c:pt>
                <c:pt idx="253">
                  <c:v>4.4809400000000001E-3</c:v>
                </c:pt>
                <c:pt idx="254">
                  <c:v>4.4301499999999999E-3</c:v>
                </c:pt>
                <c:pt idx="255">
                  <c:v>4.4081499999999996E-3</c:v>
                </c:pt>
                <c:pt idx="256">
                  <c:v>4.4459399999999998E-3</c:v>
                </c:pt>
                <c:pt idx="257">
                  <c:v>4.4529399999999998E-3</c:v>
                </c:pt>
                <c:pt idx="258">
                  <c:v>4.45978E-3</c:v>
                </c:pt>
                <c:pt idx="259">
                  <c:v>4.5069899999999998E-3</c:v>
                </c:pt>
                <c:pt idx="260">
                  <c:v>4.4684900000000003E-3</c:v>
                </c:pt>
                <c:pt idx="261">
                  <c:v>4.5616600000000004E-3</c:v>
                </c:pt>
                <c:pt idx="262">
                  <c:v>4.5773000000000003E-3</c:v>
                </c:pt>
                <c:pt idx="263">
                  <c:v>4.5551000000000003E-3</c:v>
                </c:pt>
                <c:pt idx="264">
                  <c:v>4.5884400000000001E-3</c:v>
                </c:pt>
                <c:pt idx="265">
                  <c:v>4.5797499999999996E-3</c:v>
                </c:pt>
                <c:pt idx="266">
                  <c:v>4.5745899999999999E-3</c:v>
                </c:pt>
                <c:pt idx="267">
                  <c:v>4.6470799999999996E-3</c:v>
                </c:pt>
                <c:pt idx="268">
                  <c:v>4.6283799999999996E-3</c:v>
                </c:pt>
                <c:pt idx="269">
                  <c:v>4.66951E-3</c:v>
                </c:pt>
                <c:pt idx="270">
                  <c:v>4.6495E-3</c:v>
                </c:pt>
                <c:pt idx="271">
                  <c:v>4.64511E-3</c:v>
                </c:pt>
                <c:pt idx="272">
                  <c:v>4.6938600000000002E-3</c:v>
                </c:pt>
                <c:pt idx="273">
                  <c:v>4.6669600000000004E-3</c:v>
                </c:pt>
                <c:pt idx="274">
                  <c:v>4.6598500000000001E-3</c:v>
                </c:pt>
                <c:pt idx="275">
                  <c:v>4.7081299999999996E-3</c:v>
                </c:pt>
                <c:pt idx="276">
                  <c:v>4.7287500000000003E-3</c:v>
                </c:pt>
                <c:pt idx="277">
                  <c:v>4.6553699999999998E-3</c:v>
                </c:pt>
                <c:pt idx="278">
                  <c:v>4.7838100000000003E-3</c:v>
                </c:pt>
                <c:pt idx="279">
                  <c:v>4.6632899999999996E-3</c:v>
                </c:pt>
                <c:pt idx="280">
                  <c:v>4.6983299999999997E-3</c:v>
                </c:pt>
                <c:pt idx="281">
                  <c:v>4.7272800000000004E-3</c:v>
                </c:pt>
                <c:pt idx="282">
                  <c:v>4.7264000000000004E-3</c:v>
                </c:pt>
                <c:pt idx="283">
                  <c:v>4.79E-3</c:v>
                </c:pt>
                <c:pt idx="284">
                  <c:v>4.7893500000000004E-3</c:v>
                </c:pt>
                <c:pt idx="285">
                  <c:v>4.77743E-3</c:v>
                </c:pt>
                <c:pt idx="286">
                  <c:v>4.7646900000000002E-3</c:v>
                </c:pt>
                <c:pt idx="287">
                  <c:v>4.8353500000000004E-3</c:v>
                </c:pt>
                <c:pt idx="288">
                  <c:v>4.8319799999999996E-3</c:v>
                </c:pt>
                <c:pt idx="289">
                  <c:v>4.8387899999999999E-3</c:v>
                </c:pt>
                <c:pt idx="290">
                  <c:v>4.8640699999999999E-3</c:v>
                </c:pt>
                <c:pt idx="291">
                  <c:v>4.89633E-3</c:v>
                </c:pt>
                <c:pt idx="292">
                  <c:v>4.9126400000000002E-3</c:v>
                </c:pt>
                <c:pt idx="293">
                  <c:v>4.8788299999999998E-3</c:v>
                </c:pt>
                <c:pt idx="294">
                  <c:v>4.8888899999999999E-3</c:v>
                </c:pt>
                <c:pt idx="295">
                  <c:v>4.9931799999999998E-3</c:v>
                </c:pt>
                <c:pt idx="296">
                  <c:v>4.92392E-3</c:v>
                </c:pt>
                <c:pt idx="297">
                  <c:v>4.9426000000000001E-3</c:v>
                </c:pt>
                <c:pt idx="298">
                  <c:v>4.9676199999999998E-3</c:v>
                </c:pt>
                <c:pt idx="299">
                  <c:v>5.0166799999999999E-3</c:v>
                </c:pt>
                <c:pt idx="300">
                  <c:v>5.0082800000000004E-3</c:v>
                </c:pt>
                <c:pt idx="301">
                  <c:v>5.0125200000000003E-3</c:v>
                </c:pt>
                <c:pt idx="302">
                  <c:v>5.0288800000000003E-3</c:v>
                </c:pt>
                <c:pt idx="303">
                  <c:v>5.06077E-3</c:v>
                </c:pt>
                <c:pt idx="304">
                  <c:v>5.0884900000000002E-3</c:v>
                </c:pt>
                <c:pt idx="305">
                  <c:v>5.0912500000000003E-3</c:v>
                </c:pt>
                <c:pt idx="306">
                  <c:v>5.1544399999999997E-3</c:v>
                </c:pt>
                <c:pt idx="307">
                  <c:v>5.13905E-3</c:v>
                </c:pt>
                <c:pt idx="308">
                  <c:v>5.1272599999999998E-3</c:v>
                </c:pt>
                <c:pt idx="309">
                  <c:v>5.1251400000000003E-3</c:v>
                </c:pt>
                <c:pt idx="310">
                  <c:v>5.1562500000000002E-3</c:v>
                </c:pt>
                <c:pt idx="311">
                  <c:v>5.1330200000000003E-3</c:v>
                </c:pt>
                <c:pt idx="312">
                  <c:v>5.2453500000000002E-3</c:v>
                </c:pt>
                <c:pt idx="313">
                  <c:v>5.2167300000000002E-3</c:v>
                </c:pt>
                <c:pt idx="314">
                  <c:v>5.1581999999999999E-3</c:v>
                </c:pt>
                <c:pt idx="315">
                  <c:v>5.2519200000000002E-3</c:v>
                </c:pt>
                <c:pt idx="316">
                  <c:v>5.2448E-3</c:v>
                </c:pt>
                <c:pt idx="317">
                  <c:v>5.2759399999999998E-3</c:v>
                </c:pt>
                <c:pt idx="318">
                  <c:v>5.2517900000000001E-3</c:v>
                </c:pt>
                <c:pt idx="319">
                  <c:v>5.2682800000000002E-3</c:v>
                </c:pt>
                <c:pt idx="320">
                  <c:v>5.3706700000000001E-3</c:v>
                </c:pt>
              </c:numCache>
            </c:numRef>
          </c:xVal>
          <c:yVal>
            <c:numRef>
              <c:f>'L30CPTX-1'!$F$80:$F$400</c:f>
              <c:numCache>
                <c:formatCode>General</c:formatCode>
                <c:ptCount val="321"/>
                <c:pt idx="0">
                  <c:v>-1.54294E-4</c:v>
                </c:pt>
                <c:pt idx="1">
                  <c:v>-1.19141E-4</c:v>
                </c:pt>
                <c:pt idx="2">
                  <c:v>-2.1719E-4</c:v>
                </c:pt>
                <c:pt idx="3">
                  <c:v>-2.24682E-4</c:v>
                </c:pt>
                <c:pt idx="4">
                  <c:v>-2.13916E-4</c:v>
                </c:pt>
                <c:pt idx="5">
                  <c:v>-1.6256899999999999E-4</c:v>
                </c:pt>
                <c:pt idx="6">
                  <c:v>-1.2633800000000001E-4</c:v>
                </c:pt>
                <c:pt idx="7">
                  <c:v>-1.82356E-4</c:v>
                </c:pt>
                <c:pt idx="8">
                  <c:v>-1.4203999999999999E-4</c:v>
                </c:pt>
                <c:pt idx="9">
                  <c:v>-1.52492E-4</c:v>
                </c:pt>
                <c:pt idx="10">
                  <c:v>-1.8628699999999999E-4</c:v>
                </c:pt>
                <c:pt idx="11">
                  <c:v>-1.7197999999999999E-4</c:v>
                </c:pt>
                <c:pt idx="12">
                  <c:v>-2.7062100000000002E-4</c:v>
                </c:pt>
                <c:pt idx="13">
                  <c:v>-2.4496499999999998E-4</c:v>
                </c:pt>
                <c:pt idx="14">
                  <c:v>-1.83876E-4</c:v>
                </c:pt>
                <c:pt idx="15">
                  <c:v>-1.4903799999999999E-4</c:v>
                </c:pt>
                <c:pt idx="16">
                  <c:v>-2.2662800000000001E-4</c:v>
                </c:pt>
                <c:pt idx="17">
                  <c:v>-2.1648199999999999E-4</c:v>
                </c:pt>
                <c:pt idx="18">
                  <c:v>-1.8593200000000001E-4</c:v>
                </c:pt>
                <c:pt idx="19">
                  <c:v>-2.3088000000000001E-4</c:v>
                </c:pt>
                <c:pt idx="20">
                  <c:v>-2.01213E-4</c:v>
                </c:pt>
                <c:pt idx="21">
                  <c:v>-3.3374000000000001E-4</c:v>
                </c:pt>
                <c:pt idx="22">
                  <c:v>-1.8529000000000001E-4</c:v>
                </c:pt>
                <c:pt idx="23">
                  <c:v>-1.8747800000000001E-4</c:v>
                </c:pt>
                <c:pt idx="24">
                  <c:v>-3.1114700000000001E-4</c:v>
                </c:pt>
                <c:pt idx="25">
                  <c:v>-1.56269E-4</c:v>
                </c:pt>
                <c:pt idx="26">
                  <c:v>-3.53722E-4</c:v>
                </c:pt>
                <c:pt idx="27">
                  <c:v>-2.7200199999999998E-4</c:v>
                </c:pt>
                <c:pt idx="28">
                  <c:v>-2.47493E-4</c:v>
                </c:pt>
                <c:pt idx="29">
                  <c:v>-1.7592500000000001E-4</c:v>
                </c:pt>
                <c:pt idx="30">
                  <c:v>-2.5024599999999998E-4</c:v>
                </c:pt>
                <c:pt idx="31">
                  <c:v>-3.0892499999999999E-4</c:v>
                </c:pt>
                <c:pt idx="32">
                  <c:v>-1.21427E-4</c:v>
                </c:pt>
                <c:pt idx="33">
                  <c:v>-2.3739200000000001E-4</c:v>
                </c:pt>
                <c:pt idx="34">
                  <c:v>-1.9230000000000001E-4</c:v>
                </c:pt>
                <c:pt idx="35">
                  <c:v>-2.2346000000000001E-4</c:v>
                </c:pt>
                <c:pt idx="36">
                  <c:v>-1.5698E-4</c:v>
                </c:pt>
                <c:pt idx="37">
                  <c:v>-1.3777799999999999E-4</c:v>
                </c:pt>
                <c:pt idx="38">
                  <c:v>-1.9110199999999999E-4</c:v>
                </c:pt>
                <c:pt idx="39">
                  <c:v>-2.01576E-4</c:v>
                </c:pt>
                <c:pt idx="40">
                  <c:v>-1.8377199999999999E-4</c:v>
                </c:pt>
                <c:pt idx="41">
                  <c:v>-2.4168599999999999E-4</c:v>
                </c:pt>
                <c:pt idx="42">
                  <c:v>-2.6628600000000002E-4</c:v>
                </c:pt>
                <c:pt idx="43">
                  <c:v>-2.6886999999999999E-4</c:v>
                </c:pt>
                <c:pt idx="44">
                  <c:v>-2.6290100000000001E-4</c:v>
                </c:pt>
                <c:pt idx="45">
                  <c:v>-2.5749900000000001E-4</c:v>
                </c:pt>
                <c:pt idx="46">
                  <c:v>-3.63562E-4</c:v>
                </c:pt>
                <c:pt idx="47">
                  <c:v>-3.2478999999999999E-4</c:v>
                </c:pt>
                <c:pt idx="48">
                  <c:v>-2.6203799999999997E-4</c:v>
                </c:pt>
                <c:pt idx="49">
                  <c:v>-1.1576E-4</c:v>
                </c:pt>
                <c:pt idx="50">
                  <c:v>-2.9325800000000002E-4</c:v>
                </c:pt>
                <c:pt idx="51">
                  <c:v>-3.2107300000000001E-4</c:v>
                </c:pt>
                <c:pt idx="52">
                  <c:v>-1.4808099999999999E-4</c:v>
                </c:pt>
                <c:pt idx="53">
                  <c:v>-2.3665200000000001E-4</c:v>
                </c:pt>
                <c:pt idx="54">
                  <c:v>-2.2406999999999999E-4</c:v>
                </c:pt>
                <c:pt idx="55">
                  <c:v>-3.7206799999999998E-4</c:v>
                </c:pt>
                <c:pt idx="56">
                  <c:v>-3.3478000000000002E-4</c:v>
                </c:pt>
                <c:pt idx="57">
                  <c:v>-3.1304400000000001E-4</c:v>
                </c:pt>
                <c:pt idx="58">
                  <c:v>-2.4448599999999998E-4</c:v>
                </c:pt>
                <c:pt idx="59">
                  <c:v>-2.52038E-4</c:v>
                </c:pt>
                <c:pt idx="60">
                  <c:v>-3.2770999999999999E-4</c:v>
                </c:pt>
                <c:pt idx="61">
                  <c:v>-4.16525E-4</c:v>
                </c:pt>
                <c:pt idx="62">
                  <c:v>-2.5327100000000001E-4</c:v>
                </c:pt>
                <c:pt idx="63">
                  <c:v>-3.1683200000000002E-4</c:v>
                </c:pt>
                <c:pt idx="64">
                  <c:v>-3.4054199999999999E-4</c:v>
                </c:pt>
                <c:pt idx="65">
                  <c:v>-3.3385000000000001E-4</c:v>
                </c:pt>
                <c:pt idx="66">
                  <c:v>-3.08943E-4</c:v>
                </c:pt>
                <c:pt idx="67">
                  <c:v>-3.5792499999999999E-4</c:v>
                </c:pt>
                <c:pt idx="68">
                  <c:v>-3.5411299999999998E-4</c:v>
                </c:pt>
                <c:pt idx="69">
                  <c:v>-3.0651400000000003E-4</c:v>
                </c:pt>
                <c:pt idx="70">
                  <c:v>-3.2826300000000002E-4</c:v>
                </c:pt>
                <c:pt idx="71">
                  <c:v>-3.10558E-4</c:v>
                </c:pt>
                <c:pt idx="72">
                  <c:v>-3.7956300000000002E-4</c:v>
                </c:pt>
                <c:pt idx="73">
                  <c:v>-3.4738299999999999E-4</c:v>
                </c:pt>
                <c:pt idx="74">
                  <c:v>-3.2924099999999997E-4</c:v>
                </c:pt>
                <c:pt idx="75">
                  <c:v>-4.6253599999999999E-4</c:v>
                </c:pt>
                <c:pt idx="76">
                  <c:v>-3.61307E-4</c:v>
                </c:pt>
                <c:pt idx="77">
                  <c:v>-3.1059399999999997E-4</c:v>
                </c:pt>
                <c:pt idx="78">
                  <c:v>-4.0204800000000001E-4</c:v>
                </c:pt>
                <c:pt idx="79">
                  <c:v>-4.0612500000000002E-4</c:v>
                </c:pt>
                <c:pt idx="80">
                  <c:v>-3.28506E-4</c:v>
                </c:pt>
                <c:pt idx="81">
                  <c:v>-3.8538500000000002E-4</c:v>
                </c:pt>
                <c:pt idx="82">
                  <c:v>-3.89498E-4</c:v>
                </c:pt>
                <c:pt idx="83">
                  <c:v>-4.2631400000000001E-4</c:v>
                </c:pt>
                <c:pt idx="84">
                  <c:v>-4.17489E-4</c:v>
                </c:pt>
                <c:pt idx="85">
                  <c:v>-4.0430799999999998E-4</c:v>
                </c:pt>
                <c:pt idx="86">
                  <c:v>-4.2629499999999998E-4</c:v>
                </c:pt>
                <c:pt idx="87">
                  <c:v>-3.90713E-4</c:v>
                </c:pt>
                <c:pt idx="88">
                  <c:v>-4.33736E-4</c:v>
                </c:pt>
                <c:pt idx="89">
                  <c:v>-4.6836399999999998E-4</c:v>
                </c:pt>
                <c:pt idx="90">
                  <c:v>-4.1232200000000001E-4</c:v>
                </c:pt>
                <c:pt idx="91">
                  <c:v>-3.8911700000000002E-4</c:v>
                </c:pt>
                <c:pt idx="92">
                  <c:v>-4.4681400000000002E-4</c:v>
                </c:pt>
                <c:pt idx="93">
                  <c:v>-4.01665E-4</c:v>
                </c:pt>
                <c:pt idx="94">
                  <c:v>-3.8354600000000002E-4</c:v>
                </c:pt>
                <c:pt idx="95">
                  <c:v>-3.9935300000000002E-4</c:v>
                </c:pt>
                <c:pt idx="96">
                  <c:v>-4.0182899999999998E-4</c:v>
                </c:pt>
                <c:pt idx="97">
                  <c:v>-4.9584E-4</c:v>
                </c:pt>
                <c:pt idx="98">
                  <c:v>-3.7605499999999998E-4</c:v>
                </c:pt>
                <c:pt idx="99">
                  <c:v>-4.5267000000000001E-4</c:v>
                </c:pt>
                <c:pt idx="100">
                  <c:v>-4.6467699999999998E-4</c:v>
                </c:pt>
                <c:pt idx="101">
                  <c:v>-2.3954299999999999E-4</c:v>
                </c:pt>
                <c:pt idx="102">
                  <c:v>-4.4325300000000001E-4</c:v>
                </c:pt>
                <c:pt idx="103">
                  <c:v>-4.2489300000000003E-4</c:v>
                </c:pt>
                <c:pt idx="104">
                  <c:v>-6.2019600000000005E-4</c:v>
                </c:pt>
                <c:pt idx="105">
                  <c:v>-4.8354300000000002E-4</c:v>
                </c:pt>
                <c:pt idx="106">
                  <c:v>-4.1184300000000001E-4</c:v>
                </c:pt>
                <c:pt idx="107">
                  <c:v>-5.3567999999999997E-4</c:v>
                </c:pt>
                <c:pt idx="108">
                  <c:v>-4.4619700000000001E-4</c:v>
                </c:pt>
                <c:pt idx="109">
                  <c:v>-4.9781800000000002E-4</c:v>
                </c:pt>
                <c:pt idx="110">
                  <c:v>-4.6014500000000002E-4</c:v>
                </c:pt>
                <c:pt idx="111">
                  <c:v>-5.1695699999999996E-4</c:v>
                </c:pt>
                <c:pt idx="112">
                  <c:v>-4.1904699999999997E-4</c:v>
                </c:pt>
                <c:pt idx="113">
                  <c:v>-4.3850300000000003E-4</c:v>
                </c:pt>
                <c:pt idx="114">
                  <c:v>-4.3251100000000001E-4</c:v>
                </c:pt>
                <c:pt idx="115">
                  <c:v>-4.1784400000000001E-4</c:v>
                </c:pt>
                <c:pt idx="116">
                  <c:v>-4.7537300000000002E-4</c:v>
                </c:pt>
                <c:pt idx="117">
                  <c:v>-4.9072500000000002E-4</c:v>
                </c:pt>
                <c:pt idx="118">
                  <c:v>-5.5628100000000005E-4</c:v>
                </c:pt>
                <c:pt idx="119">
                  <c:v>-4.8490499999999999E-4</c:v>
                </c:pt>
                <c:pt idx="120">
                  <c:v>-4.9757700000000002E-4</c:v>
                </c:pt>
                <c:pt idx="121">
                  <c:v>-5.3855999999999999E-4</c:v>
                </c:pt>
                <c:pt idx="122">
                  <c:v>-5.2709399999999998E-4</c:v>
                </c:pt>
                <c:pt idx="123">
                  <c:v>-4.7853099999999998E-4</c:v>
                </c:pt>
                <c:pt idx="124">
                  <c:v>-5.27192E-4</c:v>
                </c:pt>
                <c:pt idx="125">
                  <c:v>-4.7459500000000002E-4</c:v>
                </c:pt>
                <c:pt idx="126">
                  <c:v>-5.1760300000000005E-4</c:v>
                </c:pt>
                <c:pt idx="127">
                  <c:v>-5.7203600000000005E-4</c:v>
                </c:pt>
                <c:pt idx="128">
                  <c:v>-5.2784100000000003E-4</c:v>
                </c:pt>
                <c:pt idx="129">
                  <c:v>-4.7647299999999999E-4</c:v>
                </c:pt>
                <c:pt idx="130">
                  <c:v>-5.5577899999999995E-4</c:v>
                </c:pt>
                <c:pt idx="131">
                  <c:v>-5.5334000000000004E-4</c:v>
                </c:pt>
                <c:pt idx="132">
                  <c:v>-4.8277299999999998E-4</c:v>
                </c:pt>
                <c:pt idx="133">
                  <c:v>-5.2422700000000005E-4</c:v>
                </c:pt>
                <c:pt idx="134">
                  <c:v>-5.2768499999999996E-4</c:v>
                </c:pt>
                <c:pt idx="135">
                  <c:v>-5.8031599999999999E-4</c:v>
                </c:pt>
                <c:pt idx="136">
                  <c:v>-5.8931100000000002E-4</c:v>
                </c:pt>
                <c:pt idx="137">
                  <c:v>-6.1864199999999998E-4</c:v>
                </c:pt>
                <c:pt idx="138">
                  <c:v>-5.6266599999999997E-4</c:v>
                </c:pt>
                <c:pt idx="139">
                  <c:v>-6.15166E-4</c:v>
                </c:pt>
                <c:pt idx="140">
                  <c:v>-5.4424699999999998E-4</c:v>
                </c:pt>
                <c:pt idx="141">
                  <c:v>-5.7890700000000003E-4</c:v>
                </c:pt>
                <c:pt idx="142">
                  <c:v>-5.6130899999999996E-4</c:v>
                </c:pt>
                <c:pt idx="143">
                  <c:v>-5.58268E-4</c:v>
                </c:pt>
                <c:pt idx="144">
                  <c:v>-5.8117499999999996E-4</c:v>
                </c:pt>
                <c:pt idx="145">
                  <c:v>-5.8845999999999996E-4</c:v>
                </c:pt>
                <c:pt idx="146">
                  <c:v>-5.9447899999999997E-4</c:v>
                </c:pt>
                <c:pt idx="147">
                  <c:v>-5.7339499999999998E-4</c:v>
                </c:pt>
                <c:pt idx="148">
                  <c:v>-4.6531099999999999E-4</c:v>
                </c:pt>
                <c:pt idx="149">
                  <c:v>-5.9948200000000003E-4</c:v>
                </c:pt>
                <c:pt idx="150">
                  <c:v>-5.7145199999999996E-4</c:v>
                </c:pt>
                <c:pt idx="151">
                  <c:v>-4.3869299999999998E-4</c:v>
                </c:pt>
                <c:pt idx="152">
                  <c:v>-5.4149099999999996E-4</c:v>
                </c:pt>
                <c:pt idx="153">
                  <c:v>-5.4457699999999997E-4</c:v>
                </c:pt>
                <c:pt idx="154">
                  <c:v>-5.1733400000000004E-4</c:v>
                </c:pt>
                <c:pt idx="155">
                  <c:v>-6.31334E-4</c:v>
                </c:pt>
                <c:pt idx="156">
                  <c:v>-5.2302399999999997E-4</c:v>
                </c:pt>
                <c:pt idx="157">
                  <c:v>-5.2920599999999995E-4</c:v>
                </c:pt>
                <c:pt idx="158">
                  <c:v>-5.3098200000000005E-4</c:v>
                </c:pt>
                <c:pt idx="159">
                  <c:v>-5.9657500000000001E-4</c:v>
                </c:pt>
                <c:pt idx="160">
                  <c:v>-7.2187599999999998E-4</c:v>
                </c:pt>
                <c:pt idx="161">
                  <c:v>-5.9849899999999995E-4</c:v>
                </c:pt>
                <c:pt idx="162">
                  <c:v>-6.5196500000000001E-4</c:v>
                </c:pt>
                <c:pt idx="163">
                  <c:v>-6.3982100000000005E-4</c:v>
                </c:pt>
                <c:pt idx="164">
                  <c:v>-6.2501400000000002E-4</c:v>
                </c:pt>
                <c:pt idx="165">
                  <c:v>-6.5103600000000002E-4</c:v>
                </c:pt>
                <c:pt idx="166">
                  <c:v>-6.1346700000000003E-4</c:v>
                </c:pt>
                <c:pt idx="167">
                  <c:v>-6.84535E-4</c:v>
                </c:pt>
                <c:pt idx="168">
                  <c:v>-5.9536400000000003E-4</c:v>
                </c:pt>
                <c:pt idx="169">
                  <c:v>-6.6419099999999996E-4</c:v>
                </c:pt>
                <c:pt idx="170">
                  <c:v>-6.9107700000000001E-4</c:v>
                </c:pt>
                <c:pt idx="171">
                  <c:v>-6.3717699999999995E-4</c:v>
                </c:pt>
                <c:pt idx="172">
                  <c:v>-6.1835999999999998E-4</c:v>
                </c:pt>
                <c:pt idx="173">
                  <c:v>-6.3797599999999995E-4</c:v>
                </c:pt>
                <c:pt idx="174">
                  <c:v>-6.5612400000000001E-4</c:v>
                </c:pt>
                <c:pt idx="175">
                  <c:v>-6.3845700000000004E-4</c:v>
                </c:pt>
                <c:pt idx="176">
                  <c:v>-5.7453400000000003E-4</c:v>
                </c:pt>
                <c:pt idx="177">
                  <c:v>-6.5342600000000003E-4</c:v>
                </c:pt>
                <c:pt idx="178">
                  <c:v>-7.2191099999999999E-4</c:v>
                </c:pt>
                <c:pt idx="179">
                  <c:v>-6.7596900000000001E-4</c:v>
                </c:pt>
                <c:pt idx="180">
                  <c:v>-7.1244199999999998E-4</c:v>
                </c:pt>
                <c:pt idx="181">
                  <c:v>-6.6404500000000004E-4</c:v>
                </c:pt>
                <c:pt idx="182">
                  <c:v>-7.0975900000000002E-4</c:v>
                </c:pt>
                <c:pt idx="183">
                  <c:v>-6.4247999999999996E-4</c:v>
                </c:pt>
                <c:pt idx="184">
                  <c:v>-6.9945700000000001E-4</c:v>
                </c:pt>
                <c:pt idx="185">
                  <c:v>-7.2890499999999996E-4</c:v>
                </c:pt>
                <c:pt idx="186">
                  <c:v>-7.05323E-4</c:v>
                </c:pt>
                <c:pt idx="187">
                  <c:v>-6.8130700000000003E-4</c:v>
                </c:pt>
                <c:pt idx="188">
                  <c:v>-7.6222300000000002E-4</c:v>
                </c:pt>
                <c:pt idx="189">
                  <c:v>-7.6265999999999997E-4</c:v>
                </c:pt>
                <c:pt idx="190">
                  <c:v>-7.7610099999999996E-4</c:v>
                </c:pt>
                <c:pt idx="191">
                  <c:v>-6.9631900000000004E-4</c:v>
                </c:pt>
                <c:pt idx="192">
                  <c:v>-6.7093999999999997E-4</c:v>
                </c:pt>
                <c:pt idx="193">
                  <c:v>-7.35146E-4</c:v>
                </c:pt>
                <c:pt idx="194">
                  <c:v>-7.9553899999999995E-4</c:v>
                </c:pt>
                <c:pt idx="195">
                  <c:v>-8.1825099999999998E-4</c:v>
                </c:pt>
                <c:pt idx="196">
                  <c:v>-6.7783399999999999E-4</c:v>
                </c:pt>
                <c:pt idx="197">
                  <c:v>-7.8878499999999996E-4</c:v>
                </c:pt>
                <c:pt idx="198">
                  <c:v>-7.5088399999999995E-4</c:v>
                </c:pt>
                <c:pt idx="199">
                  <c:v>-7.4041899999999997E-4</c:v>
                </c:pt>
                <c:pt idx="200">
                  <c:v>-8.0124000000000005E-4</c:v>
                </c:pt>
                <c:pt idx="201">
                  <c:v>-7.2589400000000004E-4</c:v>
                </c:pt>
                <c:pt idx="202">
                  <c:v>-7.9739000000000003E-4</c:v>
                </c:pt>
                <c:pt idx="203">
                  <c:v>-7.5793799999999999E-4</c:v>
                </c:pt>
                <c:pt idx="204">
                  <c:v>-8.0201199999999995E-4</c:v>
                </c:pt>
                <c:pt idx="205">
                  <c:v>-7.3927200000000002E-4</c:v>
                </c:pt>
                <c:pt idx="206">
                  <c:v>-8.3474500000000002E-4</c:v>
                </c:pt>
                <c:pt idx="207">
                  <c:v>-8.3864300000000003E-4</c:v>
                </c:pt>
                <c:pt idx="208">
                  <c:v>-7.9008400000000003E-4</c:v>
                </c:pt>
                <c:pt idx="209">
                  <c:v>-7.69658E-4</c:v>
                </c:pt>
                <c:pt idx="210">
                  <c:v>-8.5550000000000003E-4</c:v>
                </c:pt>
                <c:pt idx="211">
                  <c:v>-7.7508600000000003E-4</c:v>
                </c:pt>
                <c:pt idx="212">
                  <c:v>-8.41974E-4</c:v>
                </c:pt>
                <c:pt idx="213">
                  <c:v>-8.1527499999999996E-4</c:v>
                </c:pt>
                <c:pt idx="214">
                  <c:v>-8.1766900000000003E-4</c:v>
                </c:pt>
                <c:pt idx="215">
                  <c:v>-8.5202400000000005E-4</c:v>
                </c:pt>
                <c:pt idx="216">
                  <c:v>-8.0172299999999995E-4</c:v>
                </c:pt>
                <c:pt idx="217">
                  <c:v>-9.0273100000000004E-4</c:v>
                </c:pt>
                <c:pt idx="218">
                  <c:v>-8.1777200000000003E-4</c:v>
                </c:pt>
                <c:pt idx="219">
                  <c:v>-8.0126899999999996E-4</c:v>
                </c:pt>
                <c:pt idx="220">
                  <c:v>-8.3921899999999999E-4</c:v>
                </c:pt>
                <c:pt idx="221">
                  <c:v>-8.2613599999999999E-4</c:v>
                </c:pt>
                <c:pt idx="222">
                  <c:v>-8.1943200000000004E-4</c:v>
                </c:pt>
                <c:pt idx="223">
                  <c:v>-8.2001700000000003E-4</c:v>
                </c:pt>
                <c:pt idx="224">
                  <c:v>-8.1383200000000001E-4</c:v>
                </c:pt>
                <c:pt idx="225">
                  <c:v>-7.5708100000000005E-4</c:v>
                </c:pt>
                <c:pt idx="226">
                  <c:v>-8.1507400000000005E-4</c:v>
                </c:pt>
                <c:pt idx="227">
                  <c:v>-8.36775E-4</c:v>
                </c:pt>
                <c:pt idx="228">
                  <c:v>-8.6687500000000002E-4</c:v>
                </c:pt>
                <c:pt idx="229">
                  <c:v>-7.9397699999999996E-4</c:v>
                </c:pt>
                <c:pt idx="230">
                  <c:v>-8.3776900000000004E-4</c:v>
                </c:pt>
                <c:pt idx="231">
                  <c:v>-8.3459699999999996E-4</c:v>
                </c:pt>
                <c:pt idx="232">
                  <c:v>-7.6601299999999996E-4</c:v>
                </c:pt>
                <c:pt idx="233">
                  <c:v>-8.1568600000000004E-4</c:v>
                </c:pt>
                <c:pt idx="234">
                  <c:v>-7.7384299999999997E-4</c:v>
                </c:pt>
                <c:pt idx="235">
                  <c:v>-9.0075099999999998E-4</c:v>
                </c:pt>
                <c:pt idx="236">
                  <c:v>-8.1448399999999998E-4</c:v>
                </c:pt>
                <c:pt idx="237">
                  <c:v>-8.3828699999999995E-4</c:v>
                </c:pt>
                <c:pt idx="238">
                  <c:v>-9.15474E-4</c:v>
                </c:pt>
                <c:pt idx="239">
                  <c:v>-8.8255699999999996E-4</c:v>
                </c:pt>
                <c:pt idx="240">
                  <c:v>-9.3271100000000002E-4</c:v>
                </c:pt>
                <c:pt idx="241">
                  <c:v>-8.3215999999999997E-4</c:v>
                </c:pt>
                <c:pt idx="242">
                  <c:v>-8.5219400000000002E-4</c:v>
                </c:pt>
                <c:pt idx="243">
                  <c:v>-8.3554799999999998E-4</c:v>
                </c:pt>
                <c:pt idx="244">
                  <c:v>-8.4079399999999996E-4</c:v>
                </c:pt>
                <c:pt idx="245">
                  <c:v>-9.0225099999999996E-4</c:v>
                </c:pt>
                <c:pt idx="246">
                  <c:v>-9.2565200000000001E-4</c:v>
                </c:pt>
                <c:pt idx="247">
                  <c:v>-8.33146E-4</c:v>
                </c:pt>
                <c:pt idx="248">
                  <c:v>-8.6057099999999997E-4</c:v>
                </c:pt>
                <c:pt idx="249">
                  <c:v>-9.46936E-4</c:v>
                </c:pt>
                <c:pt idx="250">
                  <c:v>-9.6284199999999999E-4</c:v>
                </c:pt>
                <c:pt idx="251">
                  <c:v>-9.3474300000000003E-4</c:v>
                </c:pt>
                <c:pt idx="252">
                  <c:v>-1.01216E-3</c:v>
                </c:pt>
                <c:pt idx="253">
                  <c:v>-8.7078700000000004E-4</c:v>
                </c:pt>
                <c:pt idx="254">
                  <c:v>-9.8658499999999989E-4</c:v>
                </c:pt>
                <c:pt idx="255">
                  <c:v>-9.4641500000000004E-4</c:v>
                </c:pt>
                <c:pt idx="256">
                  <c:v>-8.7582000000000003E-4</c:v>
                </c:pt>
                <c:pt idx="257">
                  <c:v>-9.5073E-4</c:v>
                </c:pt>
                <c:pt idx="258">
                  <c:v>-9.7344200000000004E-4</c:v>
                </c:pt>
                <c:pt idx="259">
                  <c:v>-9.3946999999999998E-4</c:v>
                </c:pt>
                <c:pt idx="260">
                  <c:v>-9.7264900000000002E-4</c:v>
                </c:pt>
                <c:pt idx="261">
                  <c:v>-8.7441699999999995E-4</c:v>
                </c:pt>
                <c:pt idx="262">
                  <c:v>-9.5082999999999995E-4</c:v>
                </c:pt>
                <c:pt idx="263">
                  <c:v>-9.5474799999999995E-4</c:v>
                </c:pt>
                <c:pt idx="264">
                  <c:v>-9.2571299999999999E-4</c:v>
                </c:pt>
                <c:pt idx="265">
                  <c:v>-9.4580499999999997E-4</c:v>
                </c:pt>
                <c:pt idx="266">
                  <c:v>-9.5105600000000004E-4</c:v>
                </c:pt>
                <c:pt idx="267">
                  <c:v>-9.9236799999999998E-4</c:v>
                </c:pt>
                <c:pt idx="268">
                  <c:v>-9.4753700000000003E-4</c:v>
                </c:pt>
                <c:pt idx="269">
                  <c:v>-9.3312799999999997E-4</c:v>
                </c:pt>
                <c:pt idx="270">
                  <c:v>-9.32145E-4</c:v>
                </c:pt>
                <c:pt idx="271">
                  <c:v>-9.4383599999999998E-4</c:v>
                </c:pt>
                <c:pt idx="272">
                  <c:v>-9.7716600000000002E-4</c:v>
                </c:pt>
                <c:pt idx="273">
                  <c:v>-9.8030199999999995E-4</c:v>
                </c:pt>
                <c:pt idx="274">
                  <c:v>-1.1007E-3</c:v>
                </c:pt>
                <c:pt idx="275">
                  <c:v>-8.9327000000000004E-4</c:v>
                </c:pt>
                <c:pt idx="276">
                  <c:v>-1.05335E-3</c:v>
                </c:pt>
                <c:pt idx="277">
                  <c:v>-1.04765E-3</c:v>
                </c:pt>
                <c:pt idx="278">
                  <c:v>-9.6434099999999996E-4</c:v>
                </c:pt>
                <c:pt idx="279">
                  <c:v>-1.17676E-3</c:v>
                </c:pt>
                <c:pt idx="280">
                  <c:v>-1.0914399999999999E-3</c:v>
                </c:pt>
                <c:pt idx="281">
                  <c:v>-9.3508199999999995E-4</c:v>
                </c:pt>
                <c:pt idx="282">
                  <c:v>-1.21287E-3</c:v>
                </c:pt>
                <c:pt idx="283">
                  <c:v>-9.9541100000000008E-4</c:v>
                </c:pt>
                <c:pt idx="284">
                  <c:v>-9.17705E-4</c:v>
                </c:pt>
                <c:pt idx="285">
                  <c:v>-1.0448600000000001E-3</c:v>
                </c:pt>
                <c:pt idx="286">
                  <c:v>-9.7338899999999996E-4</c:v>
                </c:pt>
                <c:pt idx="287">
                  <c:v>-1.23456E-3</c:v>
                </c:pt>
                <c:pt idx="288">
                  <c:v>-1.2014E-3</c:v>
                </c:pt>
                <c:pt idx="289">
                  <c:v>-1.04963E-3</c:v>
                </c:pt>
                <c:pt idx="290">
                  <c:v>-1.1442799999999999E-3</c:v>
                </c:pt>
                <c:pt idx="291">
                  <c:v>-9.8742899999999995E-4</c:v>
                </c:pt>
                <c:pt idx="292">
                  <c:v>-1.21923E-3</c:v>
                </c:pt>
                <c:pt idx="293">
                  <c:v>-1.0902100000000001E-3</c:v>
                </c:pt>
                <c:pt idx="294">
                  <c:v>-1.1140200000000001E-3</c:v>
                </c:pt>
                <c:pt idx="295">
                  <c:v>-1.1522399999999999E-3</c:v>
                </c:pt>
                <c:pt idx="296">
                  <c:v>-1.0671700000000001E-3</c:v>
                </c:pt>
                <c:pt idx="297">
                  <c:v>-1.0660000000000001E-3</c:v>
                </c:pt>
                <c:pt idx="298">
                  <c:v>-1.13474E-3</c:v>
                </c:pt>
                <c:pt idx="299">
                  <c:v>-1.0877199999999999E-3</c:v>
                </c:pt>
                <c:pt idx="300">
                  <c:v>-1.1018899999999999E-3</c:v>
                </c:pt>
                <c:pt idx="301">
                  <c:v>-1.1220500000000001E-3</c:v>
                </c:pt>
                <c:pt idx="302">
                  <c:v>-1.02968E-3</c:v>
                </c:pt>
                <c:pt idx="303">
                  <c:v>-1.15594E-3</c:v>
                </c:pt>
                <c:pt idx="304">
                  <c:v>-1.13254E-3</c:v>
                </c:pt>
                <c:pt idx="305">
                  <c:v>-1.15251E-3</c:v>
                </c:pt>
                <c:pt idx="306">
                  <c:v>-1.13481E-3</c:v>
                </c:pt>
                <c:pt idx="307">
                  <c:v>-1.1288800000000001E-3</c:v>
                </c:pt>
                <c:pt idx="308">
                  <c:v>-1.1201500000000001E-3</c:v>
                </c:pt>
                <c:pt idx="309">
                  <c:v>-1.1609400000000001E-3</c:v>
                </c:pt>
                <c:pt idx="310">
                  <c:v>-1.14522E-3</c:v>
                </c:pt>
                <c:pt idx="311">
                  <c:v>-1.2001E-3</c:v>
                </c:pt>
                <c:pt idx="312">
                  <c:v>-1.19392E-3</c:v>
                </c:pt>
                <c:pt idx="313">
                  <c:v>-1.1081699999999999E-3</c:v>
                </c:pt>
                <c:pt idx="314">
                  <c:v>-1.15015E-3</c:v>
                </c:pt>
                <c:pt idx="315">
                  <c:v>-1.15369E-3</c:v>
                </c:pt>
                <c:pt idx="316">
                  <c:v>-1.1860600000000001E-3</c:v>
                </c:pt>
                <c:pt idx="317">
                  <c:v>-1.1853E-3</c:v>
                </c:pt>
                <c:pt idx="318">
                  <c:v>-1.2333000000000001E-3</c:v>
                </c:pt>
                <c:pt idx="319">
                  <c:v>-1.22065E-3</c:v>
                </c:pt>
                <c:pt idx="320">
                  <c:v>-1.2112399999999999E-3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8EE3-42BE-8B9C-CB0223D724FC}"/>
            </c:ext>
          </c:extLst>
        </c:ser>
        <c:ser>
          <c:idx val="2"/>
          <c:order val="1"/>
          <c:spPr>
            <a:ln w="19050" cap="rnd">
              <a:noFill/>
              <a:round/>
            </a:ln>
            <a:effectLst/>
          </c:spPr>
          <c:xVal>
            <c:numRef>
              <c:f>'L30CPTX-1'!$B$80:$B$400</c:f>
              <c:numCache>
                <c:formatCode>General</c:formatCode>
                <c:ptCount val="321"/>
                <c:pt idx="0">
                  <c:v>1.0605300000000001E-3</c:v>
                </c:pt>
                <c:pt idx="1">
                  <c:v>1.0210200000000001E-3</c:v>
                </c:pt>
                <c:pt idx="2">
                  <c:v>1.0422599999999999E-3</c:v>
                </c:pt>
                <c:pt idx="3">
                  <c:v>1.04126E-3</c:v>
                </c:pt>
                <c:pt idx="4">
                  <c:v>1.09249E-3</c:v>
                </c:pt>
                <c:pt idx="5">
                  <c:v>1.0475899999999999E-3</c:v>
                </c:pt>
                <c:pt idx="6">
                  <c:v>1.1021900000000001E-3</c:v>
                </c:pt>
                <c:pt idx="7">
                  <c:v>1.1206899999999999E-3</c:v>
                </c:pt>
                <c:pt idx="8">
                  <c:v>1.13805E-3</c:v>
                </c:pt>
                <c:pt idx="9">
                  <c:v>1.08946E-3</c:v>
                </c:pt>
                <c:pt idx="10">
                  <c:v>1.1366900000000001E-3</c:v>
                </c:pt>
                <c:pt idx="11">
                  <c:v>1.16238E-3</c:v>
                </c:pt>
                <c:pt idx="12">
                  <c:v>1.1405499999999999E-3</c:v>
                </c:pt>
                <c:pt idx="13">
                  <c:v>1.21363E-3</c:v>
                </c:pt>
                <c:pt idx="14">
                  <c:v>1.2074E-3</c:v>
                </c:pt>
                <c:pt idx="15">
                  <c:v>1.20134E-3</c:v>
                </c:pt>
                <c:pt idx="16">
                  <c:v>1.1898099999999999E-3</c:v>
                </c:pt>
                <c:pt idx="17">
                  <c:v>1.20988E-3</c:v>
                </c:pt>
                <c:pt idx="18">
                  <c:v>1.2444000000000001E-3</c:v>
                </c:pt>
                <c:pt idx="19">
                  <c:v>1.25143E-3</c:v>
                </c:pt>
                <c:pt idx="20">
                  <c:v>1.23178E-3</c:v>
                </c:pt>
                <c:pt idx="21">
                  <c:v>1.2555699999999999E-3</c:v>
                </c:pt>
                <c:pt idx="22">
                  <c:v>1.3069100000000001E-3</c:v>
                </c:pt>
                <c:pt idx="23">
                  <c:v>1.3119099999999999E-3</c:v>
                </c:pt>
                <c:pt idx="24">
                  <c:v>1.29298E-3</c:v>
                </c:pt>
                <c:pt idx="25">
                  <c:v>1.30294E-3</c:v>
                </c:pt>
                <c:pt idx="26">
                  <c:v>1.33183E-3</c:v>
                </c:pt>
                <c:pt idx="27">
                  <c:v>1.3300899999999999E-3</c:v>
                </c:pt>
                <c:pt idx="28">
                  <c:v>1.3077500000000001E-3</c:v>
                </c:pt>
                <c:pt idx="29">
                  <c:v>1.3924199999999999E-3</c:v>
                </c:pt>
                <c:pt idx="30">
                  <c:v>1.36725E-3</c:v>
                </c:pt>
                <c:pt idx="31">
                  <c:v>1.4584999999999999E-3</c:v>
                </c:pt>
                <c:pt idx="32">
                  <c:v>1.43585E-3</c:v>
                </c:pt>
                <c:pt idx="33">
                  <c:v>1.40683E-3</c:v>
                </c:pt>
                <c:pt idx="34">
                  <c:v>1.4278800000000001E-3</c:v>
                </c:pt>
                <c:pt idx="35">
                  <c:v>1.43794E-3</c:v>
                </c:pt>
                <c:pt idx="36">
                  <c:v>1.4544600000000001E-3</c:v>
                </c:pt>
                <c:pt idx="37">
                  <c:v>1.4450699999999999E-3</c:v>
                </c:pt>
                <c:pt idx="38">
                  <c:v>1.41822E-3</c:v>
                </c:pt>
                <c:pt idx="39">
                  <c:v>1.53122E-3</c:v>
                </c:pt>
                <c:pt idx="40">
                  <c:v>1.4820899999999999E-3</c:v>
                </c:pt>
                <c:pt idx="41">
                  <c:v>1.53651E-3</c:v>
                </c:pt>
                <c:pt idx="42">
                  <c:v>1.5200700000000001E-3</c:v>
                </c:pt>
                <c:pt idx="43">
                  <c:v>1.6081100000000001E-3</c:v>
                </c:pt>
                <c:pt idx="44">
                  <c:v>1.52867E-3</c:v>
                </c:pt>
                <c:pt idx="45">
                  <c:v>1.52305E-3</c:v>
                </c:pt>
                <c:pt idx="46">
                  <c:v>1.5728599999999999E-3</c:v>
                </c:pt>
                <c:pt idx="47">
                  <c:v>1.5520200000000001E-3</c:v>
                </c:pt>
                <c:pt idx="48">
                  <c:v>1.5620600000000001E-3</c:v>
                </c:pt>
                <c:pt idx="49">
                  <c:v>1.5784499999999999E-3</c:v>
                </c:pt>
                <c:pt idx="50">
                  <c:v>1.62174E-3</c:v>
                </c:pt>
                <c:pt idx="51">
                  <c:v>1.6366200000000001E-3</c:v>
                </c:pt>
                <c:pt idx="52">
                  <c:v>1.6523E-3</c:v>
                </c:pt>
                <c:pt idx="53">
                  <c:v>1.6885400000000001E-3</c:v>
                </c:pt>
                <c:pt idx="54">
                  <c:v>1.72697E-3</c:v>
                </c:pt>
                <c:pt idx="55">
                  <c:v>1.6619200000000001E-3</c:v>
                </c:pt>
                <c:pt idx="56">
                  <c:v>1.6691500000000001E-3</c:v>
                </c:pt>
                <c:pt idx="57">
                  <c:v>1.75414E-3</c:v>
                </c:pt>
                <c:pt idx="58">
                  <c:v>1.7277099999999999E-3</c:v>
                </c:pt>
                <c:pt idx="59">
                  <c:v>1.74412E-3</c:v>
                </c:pt>
                <c:pt idx="60">
                  <c:v>1.7499600000000001E-3</c:v>
                </c:pt>
                <c:pt idx="61">
                  <c:v>1.74942E-3</c:v>
                </c:pt>
                <c:pt idx="62">
                  <c:v>1.81968E-3</c:v>
                </c:pt>
                <c:pt idx="63">
                  <c:v>1.7634199999999999E-3</c:v>
                </c:pt>
                <c:pt idx="64">
                  <c:v>1.8335000000000001E-3</c:v>
                </c:pt>
                <c:pt idx="65">
                  <c:v>1.84344E-3</c:v>
                </c:pt>
                <c:pt idx="66">
                  <c:v>1.8381700000000001E-3</c:v>
                </c:pt>
                <c:pt idx="67">
                  <c:v>1.8045100000000001E-3</c:v>
                </c:pt>
                <c:pt idx="68">
                  <c:v>1.8770900000000001E-3</c:v>
                </c:pt>
                <c:pt idx="69">
                  <c:v>1.89003E-3</c:v>
                </c:pt>
                <c:pt idx="70">
                  <c:v>1.83073E-3</c:v>
                </c:pt>
                <c:pt idx="71">
                  <c:v>1.9843199999999999E-3</c:v>
                </c:pt>
                <c:pt idx="72">
                  <c:v>1.9057900000000001E-3</c:v>
                </c:pt>
                <c:pt idx="73">
                  <c:v>1.92946E-3</c:v>
                </c:pt>
                <c:pt idx="74">
                  <c:v>1.95392E-3</c:v>
                </c:pt>
                <c:pt idx="75">
                  <c:v>2.00285E-3</c:v>
                </c:pt>
                <c:pt idx="76">
                  <c:v>2.0514800000000001E-3</c:v>
                </c:pt>
                <c:pt idx="77">
                  <c:v>1.99315E-3</c:v>
                </c:pt>
                <c:pt idx="78">
                  <c:v>1.9773400000000002E-3</c:v>
                </c:pt>
                <c:pt idx="79">
                  <c:v>2.0371399999999998E-3</c:v>
                </c:pt>
                <c:pt idx="80">
                  <c:v>1.99533E-3</c:v>
                </c:pt>
                <c:pt idx="81">
                  <c:v>2.0384999999999999E-3</c:v>
                </c:pt>
                <c:pt idx="82">
                  <c:v>2.0640799999999998E-3</c:v>
                </c:pt>
                <c:pt idx="83">
                  <c:v>2.1091299999999999E-3</c:v>
                </c:pt>
                <c:pt idx="84">
                  <c:v>2.1093499999999999E-3</c:v>
                </c:pt>
                <c:pt idx="85">
                  <c:v>2.1334800000000001E-3</c:v>
                </c:pt>
                <c:pt idx="86">
                  <c:v>2.1292099999999999E-3</c:v>
                </c:pt>
                <c:pt idx="87">
                  <c:v>2.1557299999999998E-3</c:v>
                </c:pt>
                <c:pt idx="88">
                  <c:v>2.19688E-3</c:v>
                </c:pt>
                <c:pt idx="89">
                  <c:v>2.1843499999999998E-3</c:v>
                </c:pt>
                <c:pt idx="90">
                  <c:v>2.1895E-3</c:v>
                </c:pt>
                <c:pt idx="91">
                  <c:v>2.1531699999999998E-3</c:v>
                </c:pt>
                <c:pt idx="92">
                  <c:v>2.1664800000000001E-3</c:v>
                </c:pt>
                <c:pt idx="93">
                  <c:v>2.19959E-3</c:v>
                </c:pt>
                <c:pt idx="94">
                  <c:v>2.22134E-3</c:v>
                </c:pt>
                <c:pt idx="95">
                  <c:v>2.2410899999999998E-3</c:v>
                </c:pt>
                <c:pt idx="96">
                  <c:v>2.27158E-3</c:v>
                </c:pt>
                <c:pt idx="97">
                  <c:v>2.2531299999999999E-3</c:v>
                </c:pt>
                <c:pt idx="98">
                  <c:v>2.3222300000000002E-3</c:v>
                </c:pt>
                <c:pt idx="99">
                  <c:v>2.3449E-3</c:v>
                </c:pt>
                <c:pt idx="100">
                  <c:v>2.2830799999999998E-3</c:v>
                </c:pt>
                <c:pt idx="101">
                  <c:v>2.3414099999999999E-3</c:v>
                </c:pt>
                <c:pt idx="102">
                  <c:v>2.3640800000000002E-3</c:v>
                </c:pt>
                <c:pt idx="103">
                  <c:v>2.36841E-3</c:v>
                </c:pt>
                <c:pt idx="104">
                  <c:v>2.3957200000000001E-3</c:v>
                </c:pt>
                <c:pt idx="105">
                  <c:v>2.4069199999999999E-3</c:v>
                </c:pt>
                <c:pt idx="106">
                  <c:v>2.5117999999999998E-3</c:v>
                </c:pt>
                <c:pt idx="107">
                  <c:v>2.3272100000000001E-3</c:v>
                </c:pt>
                <c:pt idx="108">
                  <c:v>2.4439900000000001E-3</c:v>
                </c:pt>
                <c:pt idx="109">
                  <c:v>2.43428E-3</c:v>
                </c:pt>
                <c:pt idx="110">
                  <c:v>2.4714799999999999E-3</c:v>
                </c:pt>
                <c:pt idx="111">
                  <c:v>2.48628E-3</c:v>
                </c:pt>
                <c:pt idx="112">
                  <c:v>2.5304300000000002E-3</c:v>
                </c:pt>
                <c:pt idx="113">
                  <c:v>2.55091E-3</c:v>
                </c:pt>
                <c:pt idx="114">
                  <c:v>2.53996E-3</c:v>
                </c:pt>
                <c:pt idx="115">
                  <c:v>2.56288E-3</c:v>
                </c:pt>
                <c:pt idx="116">
                  <c:v>2.5533600000000002E-3</c:v>
                </c:pt>
                <c:pt idx="117">
                  <c:v>2.5601899999999999E-3</c:v>
                </c:pt>
                <c:pt idx="118">
                  <c:v>2.5394100000000002E-3</c:v>
                </c:pt>
                <c:pt idx="119">
                  <c:v>2.5865300000000001E-3</c:v>
                </c:pt>
                <c:pt idx="120">
                  <c:v>2.6028499999999999E-3</c:v>
                </c:pt>
                <c:pt idx="121">
                  <c:v>2.6136800000000002E-3</c:v>
                </c:pt>
                <c:pt idx="122">
                  <c:v>2.5925499999999999E-3</c:v>
                </c:pt>
                <c:pt idx="123">
                  <c:v>2.6552099999999999E-3</c:v>
                </c:pt>
                <c:pt idx="124">
                  <c:v>2.6301900000000001E-3</c:v>
                </c:pt>
                <c:pt idx="125">
                  <c:v>2.7014500000000002E-3</c:v>
                </c:pt>
                <c:pt idx="126">
                  <c:v>2.6400299999999998E-3</c:v>
                </c:pt>
                <c:pt idx="127">
                  <c:v>2.6669300000000001E-3</c:v>
                </c:pt>
                <c:pt idx="128">
                  <c:v>2.6755899999999998E-3</c:v>
                </c:pt>
                <c:pt idx="129">
                  <c:v>2.7177799999999999E-3</c:v>
                </c:pt>
                <c:pt idx="130">
                  <c:v>2.7246100000000001E-3</c:v>
                </c:pt>
                <c:pt idx="131">
                  <c:v>2.7347999999999999E-3</c:v>
                </c:pt>
                <c:pt idx="132">
                  <c:v>2.7812700000000002E-3</c:v>
                </c:pt>
                <c:pt idx="133">
                  <c:v>2.7709700000000002E-3</c:v>
                </c:pt>
                <c:pt idx="134">
                  <c:v>2.7992099999999999E-3</c:v>
                </c:pt>
                <c:pt idx="135">
                  <c:v>2.74566E-3</c:v>
                </c:pt>
                <c:pt idx="136">
                  <c:v>2.8195500000000001E-3</c:v>
                </c:pt>
                <c:pt idx="137">
                  <c:v>2.83498E-3</c:v>
                </c:pt>
                <c:pt idx="138">
                  <c:v>2.8823899999999999E-3</c:v>
                </c:pt>
                <c:pt idx="139">
                  <c:v>2.8818699999999999E-3</c:v>
                </c:pt>
                <c:pt idx="140">
                  <c:v>2.9006399999999999E-3</c:v>
                </c:pt>
                <c:pt idx="141">
                  <c:v>2.8820199999999999E-3</c:v>
                </c:pt>
                <c:pt idx="142">
                  <c:v>2.9030100000000001E-3</c:v>
                </c:pt>
                <c:pt idx="143">
                  <c:v>2.9048899999999998E-3</c:v>
                </c:pt>
                <c:pt idx="144">
                  <c:v>2.8873599999999998E-3</c:v>
                </c:pt>
                <c:pt idx="145">
                  <c:v>2.9688200000000001E-3</c:v>
                </c:pt>
                <c:pt idx="146">
                  <c:v>2.94896E-3</c:v>
                </c:pt>
                <c:pt idx="147">
                  <c:v>3.0084700000000001E-3</c:v>
                </c:pt>
                <c:pt idx="148">
                  <c:v>2.9885799999999998E-3</c:v>
                </c:pt>
                <c:pt idx="149">
                  <c:v>2.97109E-3</c:v>
                </c:pt>
                <c:pt idx="150">
                  <c:v>2.9739900000000001E-3</c:v>
                </c:pt>
                <c:pt idx="151">
                  <c:v>2.9833300000000002E-3</c:v>
                </c:pt>
                <c:pt idx="152">
                  <c:v>3.02959E-3</c:v>
                </c:pt>
                <c:pt idx="153">
                  <c:v>3.0313699999999998E-3</c:v>
                </c:pt>
                <c:pt idx="154">
                  <c:v>3.0627699999999998E-3</c:v>
                </c:pt>
                <c:pt idx="155">
                  <c:v>3.1225200000000002E-3</c:v>
                </c:pt>
                <c:pt idx="156">
                  <c:v>3.0575200000000002E-3</c:v>
                </c:pt>
                <c:pt idx="157">
                  <c:v>3.0617299999999999E-3</c:v>
                </c:pt>
                <c:pt idx="158">
                  <c:v>3.0907600000000001E-3</c:v>
                </c:pt>
                <c:pt idx="159">
                  <c:v>3.13416E-3</c:v>
                </c:pt>
                <c:pt idx="160">
                  <c:v>3.0949300000000001E-3</c:v>
                </c:pt>
                <c:pt idx="161">
                  <c:v>3.18607E-3</c:v>
                </c:pt>
                <c:pt idx="162">
                  <c:v>3.1521800000000001E-3</c:v>
                </c:pt>
                <c:pt idx="163">
                  <c:v>3.2437500000000001E-3</c:v>
                </c:pt>
                <c:pt idx="164">
                  <c:v>3.1568899999999999E-3</c:v>
                </c:pt>
                <c:pt idx="165">
                  <c:v>3.1321700000000001E-3</c:v>
                </c:pt>
                <c:pt idx="166">
                  <c:v>3.3207599999999999E-3</c:v>
                </c:pt>
                <c:pt idx="167">
                  <c:v>3.2896399999999999E-3</c:v>
                </c:pt>
                <c:pt idx="168">
                  <c:v>3.2268700000000002E-3</c:v>
                </c:pt>
                <c:pt idx="169">
                  <c:v>3.27823E-3</c:v>
                </c:pt>
                <c:pt idx="170">
                  <c:v>3.2545600000000001E-3</c:v>
                </c:pt>
                <c:pt idx="171">
                  <c:v>3.2471000000000002E-3</c:v>
                </c:pt>
                <c:pt idx="172">
                  <c:v>3.3409099999999999E-3</c:v>
                </c:pt>
                <c:pt idx="173">
                  <c:v>3.3467000000000002E-3</c:v>
                </c:pt>
                <c:pt idx="174">
                  <c:v>3.3284600000000001E-3</c:v>
                </c:pt>
                <c:pt idx="175">
                  <c:v>3.34221E-3</c:v>
                </c:pt>
                <c:pt idx="176">
                  <c:v>3.3172599999999998E-3</c:v>
                </c:pt>
                <c:pt idx="177">
                  <c:v>3.3352500000000001E-3</c:v>
                </c:pt>
                <c:pt idx="178">
                  <c:v>3.4100900000000002E-3</c:v>
                </c:pt>
                <c:pt idx="179">
                  <c:v>3.4442600000000002E-3</c:v>
                </c:pt>
                <c:pt idx="180">
                  <c:v>3.3835499999999999E-3</c:v>
                </c:pt>
                <c:pt idx="181">
                  <c:v>3.4268699999999998E-3</c:v>
                </c:pt>
                <c:pt idx="182">
                  <c:v>3.4375400000000002E-3</c:v>
                </c:pt>
                <c:pt idx="183">
                  <c:v>3.4807000000000002E-3</c:v>
                </c:pt>
                <c:pt idx="184">
                  <c:v>3.4302099999999999E-3</c:v>
                </c:pt>
                <c:pt idx="185">
                  <c:v>3.4537600000000002E-3</c:v>
                </c:pt>
                <c:pt idx="186">
                  <c:v>3.50615E-3</c:v>
                </c:pt>
                <c:pt idx="187">
                  <c:v>3.4914199999999999E-3</c:v>
                </c:pt>
                <c:pt idx="188">
                  <c:v>3.5087400000000002E-3</c:v>
                </c:pt>
                <c:pt idx="189">
                  <c:v>3.5606000000000001E-3</c:v>
                </c:pt>
                <c:pt idx="190">
                  <c:v>3.5525299999999999E-3</c:v>
                </c:pt>
                <c:pt idx="191">
                  <c:v>3.53659E-3</c:v>
                </c:pt>
                <c:pt idx="192">
                  <c:v>3.5537899999999998E-3</c:v>
                </c:pt>
                <c:pt idx="193">
                  <c:v>3.6052300000000001E-3</c:v>
                </c:pt>
                <c:pt idx="194">
                  <c:v>3.5992099999999998E-3</c:v>
                </c:pt>
                <c:pt idx="195">
                  <c:v>3.61444E-3</c:v>
                </c:pt>
                <c:pt idx="196">
                  <c:v>3.6465500000000001E-3</c:v>
                </c:pt>
                <c:pt idx="197">
                  <c:v>3.6487199999999998E-3</c:v>
                </c:pt>
                <c:pt idx="198">
                  <c:v>3.6407200000000001E-3</c:v>
                </c:pt>
                <c:pt idx="199">
                  <c:v>3.6826200000000002E-3</c:v>
                </c:pt>
                <c:pt idx="200">
                  <c:v>3.6846600000000002E-3</c:v>
                </c:pt>
                <c:pt idx="201">
                  <c:v>3.6934400000000001E-3</c:v>
                </c:pt>
                <c:pt idx="202">
                  <c:v>3.7267799999999998E-3</c:v>
                </c:pt>
                <c:pt idx="203">
                  <c:v>3.68893E-3</c:v>
                </c:pt>
                <c:pt idx="204">
                  <c:v>3.75319E-3</c:v>
                </c:pt>
                <c:pt idx="205">
                  <c:v>3.7119200000000001E-3</c:v>
                </c:pt>
                <c:pt idx="206">
                  <c:v>3.8036099999999998E-3</c:v>
                </c:pt>
                <c:pt idx="207">
                  <c:v>3.7385999999999999E-3</c:v>
                </c:pt>
                <c:pt idx="208">
                  <c:v>3.7885599999999998E-3</c:v>
                </c:pt>
                <c:pt idx="209">
                  <c:v>3.7863300000000001E-3</c:v>
                </c:pt>
                <c:pt idx="210">
                  <c:v>3.8005600000000001E-3</c:v>
                </c:pt>
                <c:pt idx="211">
                  <c:v>3.8685199999999999E-3</c:v>
                </c:pt>
                <c:pt idx="212">
                  <c:v>3.82746E-3</c:v>
                </c:pt>
                <c:pt idx="213">
                  <c:v>3.8463500000000001E-3</c:v>
                </c:pt>
                <c:pt idx="214">
                  <c:v>3.8622299999999999E-3</c:v>
                </c:pt>
                <c:pt idx="215">
                  <c:v>3.8535499999999999E-3</c:v>
                </c:pt>
                <c:pt idx="216">
                  <c:v>3.9025700000000002E-3</c:v>
                </c:pt>
                <c:pt idx="217">
                  <c:v>3.9437500000000002E-3</c:v>
                </c:pt>
                <c:pt idx="218">
                  <c:v>3.8466799999999999E-3</c:v>
                </c:pt>
                <c:pt idx="219">
                  <c:v>3.92071E-3</c:v>
                </c:pt>
                <c:pt idx="220">
                  <c:v>3.9385599999999998E-3</c:v>
                </c:pt>
                <c:pt idx="221">
                  <c:v>4.0127299999999999E-3</c:v>
                </c:pt>
                <c:pt idx="222">
                  <c:v>3.9599500000000003E-3</c:v>
                </c:pt>
                <c:pt idx="223">
                  <c:v>4.0390799999999996E-3</c:v>
                </c:pt>
                <c:pt idx="224">
                  <c:v>4.0330899999999996E-3</c:v>
                </c:pt>
                <c:pt idx="225">
                  <c:v>3.9901499999999996E-3</c:v>
                </c:pt>
                <c:pt idx="226">
                  <c:v>4.0886999999999998E-3</c:v>
                </c:pt>
                <c:pt idx="227">
                  <c:v>4.0226200000000002E-3</c:v>
                </c:pt>
                <c:pt idx="228">
                  <c:v>4.0851500000000001E-3</c:v>
                </c:pt>
                <c:pt idx="229">
                  <c:v>4.0321300000000001E-3</c:v>
                </c:pt>
                <c:pt idx="230">
                  <c:v>4.0367199999999997E-3</c:v>
                </c:pt>
                <c:pt idx="231">
                  <c:v>4.1013899999999999E-3</c:v>
                </c:pt>
                <c:pt idx="232">
                  <c:v>4.1518299999999996E-3</c:v>
                </c:pt>
                <c:pt idx="233">
                  <c:v>4.1144399999999996E-3</c:v>
                </c:pt>
                <c:pt idx="234">
                  <c:v>4.1488000000000002E-3</c:v>
                </c:pt>
                <c:pt idx="235">
                  <c:v>4.1476100000000004E-3</c:v>
                </c:pt>
                <c:pt idx="236">
                  <c:v>4.1765099999999996E-3</c:v>
                </c:pt>
                <c:pt idx="237">
                  <c:v>4.1687900000000003E-3</c:v>
                </c:pt>
                <c:pt idx="238">
                  <c:v>4.1980000000000003E-3</c:v>
                </c:pt>
                <c:pt idx="239">
                  <c:v>4.2448199999999998E-3</c:v>
                </c:pt>
                <c:pt idx="240">
                  <c:v>4.2260900000000001E-3</c:v>
                </c:pt>
                <c:pt idx="241">
                  <c:v>4.2291400000000002E-3</c:v>
                </c:pt>
                <c:pt idx="242">
                  <c:v>4.2675999999999999E-3</c:v>
                </c:pt>
                <c:pt idx="243">
                  <c:v>4.2802400000000003E-3</c:v>
                </c:pt>
                <c:pt idx="244">
                  <c:v>4.3020000000000003E-3</c:v>
                </c:pt>
                <c:pt idx="245">
                  <c:v>4.2926600000000002E-3</c:v>
                </c:pt>
                <c:pt idx="246">
                  <c:v>4.2836799999999998E-3</c:v>
                </c:pt>
                <c:pt idx="247">
                  <c:v>4.2678899999999999E-3</c:v>
                </c:pt>
                <c:pt idx="248">
                  <c:v>4.2818600000000002E-3</c:v>
                </c:pt>
                <c:pt idx="249">
                  <c:v>4.3231700000000003E-3</c:v>
                </c:pt>
                <c:pt idx="250">
                  <c:v>4.3344999999999998E-3</c:v>
                </c:pt>
                <c:pt idx="251">
                  <c:v>4.3814600000000002E-3</c:v>
                </c:pt>
                <c:pt idx="252">
                  <c:v>4.37916E-3</c:v>
                </c:pt>
                <c:pt idx="253">
                  <c:v>4.4809400000000001E-3</c:v>
                </c:pt>
                <c:pt idx="254">
                  <c:v>4.4301499999999999E-3</c:v>
                </c:pt>
                <c:pt idx="255">
                  <c:v>4.4081499999999996E-3</c:v>
                </c:pt>
                <c:pt idx="256">
                  <c:v>4.4459399999999998E-3</c:v>
                </c:pt>
                <c:pt idx="257">
                  <c:v>4.4529399999999998E-3</c:v>
                </c:pt>
                <c:pt idx="258">
                  <c:v>4.45978E-3</c:v>
                </c:pt>
                <c:pt idx="259">
                  <c:v>4.5069899999999998E-3</c:v>
                </c:pt>
                <c:pt idx="260">
                  <c:v>4.4684900000000003E-3</c:v>
                </c:pt>
                <c:pt idx="261">
                  <c:v>4.5616600000000004E-3</c:v>
                </c:pt>
                <c:pt idx="262">
                  <c:v>4.5773000000000003E-3</c:v>
                </c:pt>
                <c:pt idx="263">
                  <c:v>4.5551000000000003E-3</c:v>
                </c:pt>
                <c:pt idx="264">
                  <c:v>4.5884400000000001E-3</c:v>
                </c:pt>
                <c:pt idx="265">
                  <c:v>4.5797499999999996E-3</c:v>
                </c:pt>
                <c:pt idx="266">
                  <c:v>4.5745899999999999E-3</c:v>
                </c:pt>
                <c:pt idx="267">
                  <c:v>4.6470799999999996E-3</c:v>
                </c:pt>
                <c:pt idx="268">
                  <c:v>4.6283799999999996E-3</c:v>
                </c:pt>
                <c:pt idx="269">
                  <c:v>4.66951E-3</c:v>
                </c:pt>
                <c:pt idx="270">
                  <c:v>4.6495E-3</c:v>
                </c:pt>
                <c:pt idx="271">
                  <c:v>4.64511E-3</c:v>
                </c:pt>
                <c:pt idx="272">
                  <c:v>4.6938600000000002E-3</c:v>
                </c:pt>
                <c:pt idx="273">
                  <c:v>4.6669600000000004E-3</c:v>
                </c:pt>
                <c:pt idx="274">
                  <c:v>4.6598500000000001E-3</c:v>
                </c:pt>
                <c:pt idx="275">
                  <c:v>4.7081299999999996E-3</c:v>
                </c:pt>
                <c:pt idx="276">
                  <c:v>4.7287500000000003E-3</c:v>
                </c:pt>
                <c:pt idx="277">
                  <c:v>4.6553699999999998E-3</c:v>
                </c:pt>
                <c:pt idx="278">
                  <c:v>4.7838100000000003E-3</c:v>
                </c:pt>
                <c:pt idx="279">
                  <c:v>4.6632899999999996E-3</c:v>
                </c:pt>
                <c:pt idx="280">
                  <c:v>4.6983299999999997E-3</c:v>
                </c:pt>
                <c:pt idx="281">
                  <c:v>4.7272800000000004E-3</c:v>
                </c:pt>
                <c:pt idx="282">
                  <c:v>4.7264000000000004E-3</c:v>
                </c:pt>
                <c:pt idx="283">
                  <c:v>4.79E-3</c:v>
                </c:pt>
                <c:pt idx="284">
                  <c:v>4.7893500000000004E-3</c:v>
                </c:pt>
                <c:pt idx="285">
                  <c:v>4.77743E-3</c:v>
                </c:pt>
                <c:pt idx="286">
                  <c:v>4.7646900000000002E-3</c:v>
                </c:pt>
                <c:pt idx="287">
                  <c:v>4.8353500000000004E-3</c:v>
                </c:pt>
                <c:pt idx="288">
                  <c:v>4.8319799999999996E-3</c:v>
                </c:pt>
                <c:pt idx="289">
                  <c:v>4.8387899999999999E-3</c:v>
                </c:pt>
                <c:pt idx="290">
                  <c:v>4.8640699999999999E-3</c:v>
                </c:pt>
                <c:pt idx="291">
                  <c:v>4.89633E-3</c:v>
                </c:pt>
                <c:pt idx="292">
                  <c:v>4.9126400000000002E-3</c:v>
                </c:pt>
                <c:pt idx="293">
                  <c:v>4.8788299999999998E-3</c:v>
                </c:pt>
                <c:pt idx="294">
                  <c:v>4.8888899999999999E-3</c:v>
                </c:pt>
                <c:pt idx="295">
                  <c:v>4.9931799999999998E-3</c:v>
                </c:pt>
                <c:pt idx="296">
                  <c:v>4.92392E-3</c:v>
                </c:pt>
                <c:pt idx="297">
                  <c:v>4.9426000000000001E-3</c:v>
                </c:pt>
                <c:pt idx="298">
                  <c:v>4.9676199999999998E-3</c:v>
                </c:pt>
                <c:pt idx="299">
                  <c:v>5.0166799999999999E-3</c:v>
                </c:pt>
                <c:pt idx="300">
                  <c:v>5.0082800000000004E-3</c:v>
                </c:pt>
                <c:pt idx="301">
                  <c:v>5.0125200000000003E-3</c:v>
                </c:pt>
                <c:pt idx="302">
                  <c:v>5.0288800000000003E-3</c:v>
                </c:pt>
                <c:pt idx="303">
                  <c:v>5.06077E-3</c:v>
                </c:pt>
                <c:pt idx="304">
                  <c:v>5.0884900000000002E-3</c:v>
                </c:pt>
                <c:pt idx="305">
                  <c:v>5.0912500000000003E-3</c:v>
                </c:pt>
                <c:pt idx="306">
                  <c:v>5.1544399999999997E-3</c:v>
                </c:pt>
                <c:pt idx="307">
                  <c:v>5.13905E-3</c:v>
                </c:pt>
                <c:pt idx="308">
                  <c:v>5.1272599999999998E-3</c:v>
                </c:pt>
                <c:pt idx="309">
                  <c:v>5.1251400000000003E-3</c:v>
                </c:pt>
                <c:pt idx="310">
                  <c:v>5.1562500000000002E-3</c:v>
                </c:pt>
                <c:pt idx="311">
                  <c:v>5.1330200000000003E-3</c:v>
                </c:pt>
                <c:pt idx="312">
                  <c:v>5.2453500000000002E-3</c:v>
                </c:pt>
                <c:pt idx="313">
                  <c:v>5.2167300000000002E-3</c:v>
                </c:pt>
                <c:pt idx="314">
                  <c:v>5.1581999999999999E-3</c:v>
                </c:pt>
                <c:pt idx="315">
                  <c:v>5.2519200000000002E-3</c:v>
                </c:pt>
                <c:pt idx="316">
                  <c:v>5.2448E-3</c:v>
                </c:pt>
                <c:pt idx="317">
                  <c:v>5.2759399999999998E-3</c:v>
                </c:pt>
                <c:pt idx="318">
                  <c:v>5.2517900000000001E-3</c:v>
                </c:pt>
                <c:pt idx="319">
                  <c:v>5.2682800000000002E-3</c:v>
                </c:pt>
                <c:pt idx="320">
                  <c:v>5.3706700000000001E-3</c:v>
                </c:pt>
              </c:numCache>
            </c:numRef>
          </c:xVal>
          <c:yVal>
            <c:numRef>
              <c:f>'L30CPTX-1'!$J$80:$J$400</c:f>
              <c:numCache>
                <c:formatCode>General</c:formatCode>
                <c:ptCount val="321"/>
                <c:pt idx="0">
                  <c:v>-4.7842199999999999E-4</c:v>
                </c:pt>
                <c:pt idx="1">
                  <c:v>-4.4583600000000002E-4</c:v>
                </c:pt>
                <c:pt idx="2">
                  <c:v>-5.0893599999999998E-4</c:v>
                </c:pt>
                <c:pt idx="3">
                  <c:v>-4.8525800000000002E-4</c:v>
                </c:pt>
                <c:pt idx="4">
                  <c:v>-5.1063400000000004E-4</c:v>
                </c:pt>
                <c:pt idx="5">
                  <c:v>-4.8852300000000004E-4</c:v>
                </c:pt>
                <c:pt idx="6">
                  <c:v>-4.0377499999999999E-4</c:v>
                </c:pt>
                <c:pt idx="7">
                  <c:v>-4.7702699999999998E-4</c:v>
                </c:pt>
                <c:pt idx="8">
                  <c:v>-4.5629600000000002E-4</c:v>
                </c:pt>
                <c:pt idx="9">
                  <c:v>-4.7474700000000003E-4</c:v>
                </c:pt>
                <c:pt idx="10">
                  <c:v>-5.01211E-4</c:v>
                </c:pt>
                <c:pt idx="11">
                  <c:v>-4.8388899999999999E-4</c:v>
                </c:pt>
                <c:pt idx="12">
                  <c:v>-5.9278E-4</c:v>
                </c:pt>
                <c:pt idx="13">
                  <c:v>-6.0487900000000001E-4</c:v>
                </c:pt>
                <c:pt idx="14">
                  <c:v>-5.3506699999999996E-4</c:v>
                </c:pt>
                <c:pt idx="15">
                  <c:v>-4.8807499999999998E-4</c:v>
                </c:pt>
                <c:pt idx="16">
                  <c:v>-5.7670799999999999E-4</c:v>
                </c:pt>
                <c:pt idx="17">
                  <c:v>-5.63143E-4</c:v>
                </c:pt>
                <c:pt idx="18">
                  <c:v>-5.8062000000000001E-4</c:v>
                </c:pt>
                <c:pt idx="19">
                  <c:v>-5.4537699999999999E-4</c:v>
                </c:pt>
                <c:pt idx="20">
                  <c:v>-6.4782499999999999E-4</c:v>
                </c:pt>
                <c:pt idx="21">
                  <c:v>-6.6470600000000004E-4</c:v>
                </c:pt>
                <c:pt idx="22">
                  <c:v>-5.3848000000000004E-4</c:v>
                </c:pt>
                <c:pt idx="23">
                  <c:v>-4.8120599999999997E-4</c:v>
                </c:pt>
                <c:pt idx="24">
                  <c:v>-6.1251999999999997E-4</c:v>
                </c:pt>
                <c:pt idx="25">
                  <c:v>-4.78388E-4</c:v>
                </c:pt>
                <c:pt idx="26">
                  <c:v>-6.5448199999999996E-4</c:v>
                </c:pt>
                <c:pt idx="27">
                  <c:v>-6.3700400000000004E-4</c:v>
                </c:pt>
                <c:pt idx="28">
                  <c:v>-6.0678200000000005E-4</c:v>
                </c:pt>
                <c:pt idx="29">
                  <c:v>-5.7801800000000002E-4</c:v>
                </c:pt>
                <c:pt idx="30">
                  <c:v>-6.4438500000000003E-4</c:v>
                </c:pt>
                <c:pt idx="31">
                  <c:v>-6.3693899999999999E-4</c:v>
                </c:pt>
                <c:pt idx="32">
                  <c:v>-5.39683E-4</c:v>
                </c:pt>
                <c:pt idx="33">
                  <c:v>-6.9124900000000001E-4</c:v>
                </c:pt>
                <c:pt idx="34">
                  <c:v>-6.5503899999999995E-4</c:v>
                </c:pt>
                <c:pt idx="35">
                  <c:v>-7.0416399999999996E-4</c:v>
                </c:pt>
                <c:pt idx="36">
                  <c:v>-6.1674500000000003E-4</c:v>
                </c:pt>
                <c:pt idx="37">
                  <c:v>-5.6617899999999999E-4</c:v>
                </c:pt>
                <c:pt idx="38">
                  <c:v>-6.06738E-4</c:v>
                </c:pt>
                <c:pt idx="39">
                  <c:v>-6.67058E-4</c:v>
                </c:pt>
                <c:pt idx="40">
                  <c:v>-6.7010400000000003E-4</c:v>
                </c:pt>
                <c:pt idx="41">
                  <c:v>-6.8084999999999999E-4</c:v>
                </c:pt>
                <c:pt idx="42">
                  <c:v>-7.0195299999999995E-4</c:v>
                </c:pt>
                <c:pt idx="43">
                  <c:v>-6.6450600000000004E-4</c:v>
                </c:pt>
                <c:pt idx="44">
                  <c:v>-7.4266299999999996E-4</c:v>
                </c:pt>
                <c:pt idx="45">
                  <c:v>-6.65082E-4</c:v>
                </c:pt>
                <c:pt idx="46">
                  <c:v>-7.8292599999999998E-4</c:v>
                </c:pt>
                <c:pt idx="47">
                  <c:v>-6.4376400000000001E-4</c:v>
                </c:pt>
                <c:pt idx="48">
                  <c:v>-6.2009100000000002E-4</c:v>
                </c:pt>
                <c:pt idx="49">
                  <c:v>-6.9130299999999999E-4</c:v>
                </c:pt>
                <c:pt idx="50">
                  <c:v>-7.1594900000000001E-4</c:v>
                </c:pt>
                <c:pt idx="51">
                  <c:v>-7.9480499999999999E-4</c:v>
                </c:pt>
                <c:pt idx="52">
                  <c:v>-6.6625199999999999E-4</c:v>
                </c:pt>
                <c:pt idx="53">
                  <c:v>-7.0687300000000001E-4</c:v>
                </c:pt>
                <c:pt idx="54">
                  <c:v>-6.5442799999999998E-4</c:v>
                </c:pt>
                <c:pt idx="55">
                  <c:v>-8.4114400000000005E-4</c:v>
                </c:pt>
                <c:pt idx="56">
                  <c:v>-7.9577399999999996E-4</c:v>
                </c:pt>
                <c:pt idx="57">
                  <c:v>-7.6123399999999996E-4</c:v>
                </c:pt>
                <c:pt idx="58">
                  <c:v>-7.4740099999999997E-4</c:v>
                </c:pt>
                <c:pt idx="59">
                  <c:v>-7.6678E-4</c:v>
                </c:pt>
                <c:pt idx="60">
                  <c:v>-7.9093999999999996E-4</c:v>
                </c:pt>
                <c:pt idx="61">
                  <c:v>-9.3890499999999997E-4</c:v>
                </c:pt>
                <c:pt idx="62">
                  <c:v>-7.7346100000000003E-4</c:v>
                </c:pt>
                <c:pt idx="63">
                  <c:v>-8.0108399999999998E-4</c:v>
                </c:pt>
                <c:pt idx="64">
                  <c:v>-7.9981599999999996E-4</c:v>
                </c:pt>
                <c:pt idx="65">
                  <c:v>-7.8965800000000005E-4</c:v>
                </c:pt>
                <c:pt idx="66">
                  <c:v>-8.1551099999999999E-4</c:v>
                </c:pt>
                <c:pt idx="67">
                  <c:v>-8.6942200000000001E-4</c:v>
                </c:pt>
                <c:pt idx="68">
                  <c:v>-9.0854599999999998E-4</c:v>
                </c:pt>
                <c:pt idx="69">
                  <c:v>-8.3832700000000004E-4</c:v>
                </c:pt>
                <c:pt idx="70">
                  <c:v>-9.4243400000000002E-4</c:v>
                </c:pt>
                <c:pt idx="71">
                  <c:v>-8.3685900000000002E-4</c:v>
                </c:pt>
                <c:pt idx="72">
                  <c:v>-8.8066299999999995E-4</c:v>
                </c:pt>
                <c:pt idx="73">
                  <c:v>-8.3987799999999996E-4</c:v>
                </c:pt>
                <c:pt idx="74">
                  <c:v>-8.7519400000000004E-4</c:v>
                </c:pt>
                <c:pt idx="75">
                  <c:v>-9.5526900000000002E-4</c:v>
                </c:pt>
                <c:pt idx="76">
                  <c:v>-8.2781399999999996E-4</c:v>
                </c:pt>
                <c:pt idx="77">
                  <c:v>-8.6527399999999997E-4</c:v>
                </c:pt>
                <c:pt idx="78">
                  <c:v>-8.9102300000000001E-4</c:v>
                </c:pt>
                <c:pt idx="79">
                  <c:v>-9.3445400000000004E-4</c:v>
                </c:pt>
                <c:pt idx="80">
                  <c:v>-9.4510199999999996E-4</c:v>
                </c:pt>
                <c:pt idx="81">
                  <c:v>-9.7637699999999995E-4</c:v>
                </c:pt>
                <c:pt idx="82">
                  <c:v>-9.7457200000000005E-4</c:v>
                </c:pt>
                <c:pt idx="83">
                  <c:v>-1.0173300000000001E-3</c:v>
                </c:pt>
                <c:pt idx="84">
                  <c:v>-9.5492299999999999E-4</c:v>
                </c:pt>
                <c:pt idx="85">
                  <c:v>-9.5771099999999998E-4</c:v>
                </c:pt>
                <c:pt idx="86">
                  <c:v>-9.8906300000000009E-4</c:v>
                </c:pt>
                <c:pt idx="87">
                  <c:v>-9.1603099999999999E-4</c:v>
                </c:pt>
                <c:pt idx="88">
                  <c:v>-9.6832199999999998E-4</c:v>
                </c:pt>
                <c:pt idx="89">
                  <c:v>-1.00059E-3</c:v>
                </c:pt>
                <c:pt idx="90">
                  <c:v>-9.823919999999999E-4</c:v>
                </c:pt>
                <c:pt idx="91">
                  <c:v>-9.8108500000000003E-4</c:v>
                </c:pt>
                <c:pt idx="92">
                  <c:v>-1.0575999999999999E-3</c:v>
                </c:pt>
                <c:pt idx="93">
                  <c:v>-9.8187300000000008E-4</c:v>
                </c:pt>
                <c:pt idx="94">
                  <c:v>-1.0174400000000001E-3</c:v>
                </c:pt>
                <c:pt idx="95">
                  <c:v>-1.05356E-3</c:v>
                </c:pt>
                <c:pt idx="96">
                  <c:v>-1.0032800000000001E-3</c:v>
                </c:pt>
                <c:pt idx="97">
                  <c:v>-1.1424E-3</c:v>
                </c:pt>
                <c:pt idx="98">
                  <c:v>-1.00512E-3</c:v>
                </c:pt>
                <c:pt idx="99">
                  <c:v>-1.0342000000000001E-3</c:v>
                </c:pt>
                <c:pt idx="100">
                  <c:v>-1.0694700000000001E-3</c:v>
                </c:pt>
                <c:pt idx="101">
                  <c:v>-8.8953399999999998E-4</c:v>
                </c:pt>
                <c:pt idx="102">
                  <c:v>-1.0470399999999999E-3</c:v>
                </c:pt>
                <c:pt idx="103">
                  <c:v>-1.08091E-3</c:v>
                </c:pt>
                <c:pt idx="104">
                  <c:v>-1.1218700000000001E-3</c:v>
                </c:pt>
                <c:pt idx="105">
                  <c:v>-1.1206199999999999E-3</c:v>
                </c:pt>
                <c:pt idx="106">
                  <c:v>-9.6934400000000002E-4</c:v>
                </c:pt>
                <c:pt idx="107">
                  <c:v>-1.1742E-3</c:v>
                </c:pt>
                <c:pt idx="108">
                  <c:v>-1.07357E-3</c:v>
                </c:pt>
                <c:pt idx="109">
                  <c:v>-1.1467700000000001E-3</c:v>
                </c:pt>
                <c:pt idx="110">
                  <c:v>-1.1404799999999999E-3</c:v>
                </c:pt>
                <c:pt idx="111">
                  <c:v>-1.1280400000000001E-3</c:v>
                </c:pt>
                <c:pt idx="112">
                  <c:v>-1.11071E-3</c:v>
                </c:pt>
                <c:pt idx="113">
                  <c:v>-1.15047E-3</c:v>
                </c:pt>
                <c:pt idx="114">
                  <c:v>-1.09829E-3</c:v>
                </c:pt>
                <c:pt idx="115">
                  <c:v>-1.05715E-3</c:v>
                </c:pt>
                <c:pt idx="116">
                  <c:v>-1.14693E-3</c:v>
                </c:pt>
                <c:pt idx="117">
                  <c:v>-1.14036E-3</c:v>
                </c:pt>
                <c:pt idx="118">
                  <c:v>-1.24198E-3</c:v>
                </c:pt>
                <c:pt idx="119">
                  <c:v>-1.16826E-3</c:v>
                </c:pt>
                <c:pt idx="120">
                  <c:v>-1.16562E-3</c:v>
                </c:pt>
                <c:pt idx="121">
                  <c:v>-1.23065E-3</c:v>
                </c:pt>
                <c:pt idx="122">
                  <c:v>-1.21693E-3</c:v>
                </c:pt>
                <c:pt idx="123">
                  <c:v>-1.1726900000000001E-3</c:v>
                </c:pt>
                <c:pt idx="124">
                  <c:v>-1.20082E-3</c:v>
                </c:pt>
                <c:pt idx="125">
                  <c:v>-1.17457E-3</c:v>
                </c:pt>
                <c:pt idx="126">
                  <c:v>-1.2075199999999999E-3</c:v>
                </c:pt>
                <c:pt idx="127">
                  <c:v>-1.26833E-3</c:v>
                </c:pt>
                <c:pt idx="128">
                  <c:v>-1.2505999999999999E-3</c:v>
                </c:pt>
                <c:pt idx="129">
                  <c:v>-1.19169E-3</c:v>
                </c:pt>
                <c:pt idx="130">
                  <c:v>-1.2599200000000001E-3</c:v>
                </c:pt>
                <c:pt idx="131">
                  <c:v>-1.2574699999999999E-3</c:v>
                </c:pt>
                <c:pt idx="132">
                  <c:v>-1.1855500000000001E-3</c:v>
                </c:pt>
                <c:pt idx="133">
                  <c:v>-1.2380900000000001E-3</c:v>
                </c:pt>
                <c:pt idx="134">
                  <c:v>-1.24216E-3</c:v>
                </c:pt>
                <c:pt idx="135">
                  <c:v>-1.3346199999999999E-3</c:v>
                </c:pt>
                <c:pt idx="136">
                  <c:v>-1.3766200000000001E-3</c:v>
                </c:pt>
                <c:pt idx="137">
                  <c:v>-1.30372E-3</c:v>
                </c:pt>
                <c:pt idx="138">
                  <c:v>-1.2504E-3</c:v>
                </c:pt>
                <c:pt idx="139">
                  <c:v>-1.33413E-3</c:v>
                </c:pt>
                <c:pt idx="140">
                  <c:v>-1.2924099999999999E-3</c:v>
                </c:pt>
                <c:pt idx="141">
                  <c:v>-1.3141400000000001E-3</c:v>
                </c:pt>
                <c:pt idx="142">
                  <c:v>-1.28224E-3</c:v>
                </c:pt>
                <c:pt idx="143">
                  <c:v>-1.3157900000000001E-3</c:v>
                </c:pt>
                <c:pt idx="144">
                  <c:v>-1.34235E-3</c:v>
                </c:pt>
                <c:pt idx="145">
                  <c:v>-1.33986E-3</c:v>
                </c:pt>
                <c:pt idx="146">
                  <c:v>-1.35848E-3</c:v>
                </c:pt>
                <c:pt idx="147">
                  <c:v>-1.32822E-3</c:v>
                </c:pt>
                <c:pt idx="148">
                  <c:v>-1.3099299999999999E-3</c:v>
                </c:pt>
                <c:pt idx="149">
                  <c:v>-1.4117999999999999E-3</c:v>
                </c:pt>
                <c:pt idx="150">
                  <c:v>-1.3906299999999999E-3</c:v>
                </c:pt>
                <c:pt idx="151">
                  <c:v>-1.2699899999999999E-3</c:v>
                </c:pt>
                <c:pt idx="152">
                  <c:v>-1.3273499999999999E-3</c:v>
                </c:pt>
                <c:pt idx="153">
                  <c:v>-1.29503E-3</c:v>
                </c:pt>
                <c:pt idx="154">
                  <c:v>-1.3098700000000001E-3</c:v>
                </c:pt>
                <c:pt idx="155">
                  <c:v>-1.3694499999999999E-3</c:v>
                </c:pt>
                <c:pt idx="156">
                  <c:v>-1.34107E-3</c:v>
                </c:pt>
                <c:pt idx="157">
                  <c:v>-1.4242599999999999E-3</c:v>
                </c:pt>
                <c:pt idx="158">
                  <c:v>-1.34191E-3</c:v>
                </c:pt>
                <c:pt idx="159">
                  <c:v>-1.3455800000000001E-3</c:v>
                </c:pt>
                <c:pt idx="160">
                  <c:v>-1.51285E-3</c:v>
                </c:pt>
                <c:pt idx="161">
                  <c:v>-1.3883599999999999E-3</c:v>
                </c:pt>
                <c:pt idx="162">
                  <c:v>-1.4585900000000001E-3</c:v>
                </c:pt>
                <c:pt idx="163">
                  <c:v>-1.3390699999999999E-3</c:v>
                </c:pt>
                <c:pt idx="164">
                  <c:v>-1.36539E-3</c:v>
                </c:pt>
                <c:pt idx="165">
                  <c:v>-1.44333E-3</c:v>
                </c:pt>
                <c:pt idx="166">
                  <c:v>-1.36995E-3</c:v>
                </c:pt>
                <c:pt idx="167">
                  <c:v>-1.4920300000000001E-3</c:v>
                </c:pt>
                <c:pt idx="168">
                  <c:v>-1.45148E-3</c:v>
                </c:pt>
                <c:pt idx="169">
                  <c:v>-1.4881899999999999E-3</c:v>
                </c:pt>
                <c:pt idx="170">
                  <c:v>-1.5256899999999999E-3</c:v>
                </c:pt>
                <c:pt idx="171">
                  <c:v>-1.4400400000000001E-3</c:v>
                </c:pt>
                <c:pt idx="172">
                  <c:v>-1.44881E-3</c:v>
                </c:pt>
                <c:pt idx="173">
                  <c:v>-1.4611699999999999E-3</c:v>
                </c:pt>
                <c:pt idx="174">
                  <c:v>-1.46228E-3</c:v>
                </c:pt>
                <c:pt idx="175">
                  <c:v>-1.45134E-3</c:v>
                </c:pt>
                <c:pt idx="176">
                  <c:v>-1.4926799999999999E-3</c:v>
                </c:pt>
                <c:pt idx="177">
                  <c:v>-1.55324E-3</c:v>
                </c:pt>
                <c:pt idx="178">
                  <c:v>-1.53527E-3</c:v>
                </c:pt>
                <c:pt idx="179">
                  <c:v>-1.49449E-3</c:v>
                </c:pt>
                <c:pt idx="180">
                  <c:v>-1.5970699999999999E-3</c:v>
                </c:pt>
                <c:pt idx="181">
                  <c:v>-1.5038E-3</c:v>
                </c:pt>
                <c:pt idx="182">
                  <c:v>-1.57339E-3</c:v>
                </c:pt>
                <c:pt idx="183">
                  <c:v>-1.47171E-3</c:v>
                </c:pt>
                <c:pt idx="184">
                  <c:v>-1.57321E-3</c:v>
                </c:pt>
                <c:pt idx="185">
                  <c:v>-1.58158E-3</c:v>
                </c:pt>
                <c:pt idx="186">
                  <c:v>-1.5335699999999999E-3</c:v>
                </c:pt>
                <c:pt idx="187">
                  <c:v>-1.56292E-3</c:v>
                </c:pt>
                <c:pt idx="188">
                  <c:v>-1.6477E-3</c:v>
                </c:pt>
                <c:pt idx="189">
                  <c:v>-1.5822E-3</c:v>
                </c:pt>
                <c:pt idx="190">
                  <c:v>-1.63345E-3</c:v>
                </c:pt>
                <c:pt idx="191">
                  <c:v>-1.5705999999999999E-3</c:v>
                </c:pt>
                <c:pt idx="192">
                  <c:v>-1.5489099999999999E-3</c:v>
                </c:pt>
                <c:pt idx="193">
                  <c:v>-1.5863699999999999E-3</c:v>
                </c:pt>
                <c:pt idx="194">
                  <c:v>-1.6329000000000001E-3</c:v>
                </c:pt>
                <c:pt idx="195">
                  <c:v>-1.67005E-3</c:v>
                </c:pt>
                <c:pt idx="196">
                  <c:v>-1.56737E-3</c:v>
                </c:pt>
                <c:pt idx="197">
                  <c:v>-1.6149000000000001E-3</c:v>
                </c:pt>
                <c:pt idx="198">
                  <c:v>-1.6287599999999999E-3</c:v>
                </c:pt>
                <c:pt idx="199">
                  <c:v>-1.61809E-3</c:v>
                </c:pt>
                <c:pt idx="200">
                  <c:v>-1.65489E-3</c:v>
                </c:pt>
                <c:pt idx="201">
                  <c:v>-1.62357E-3</c:v>
                </c:pt>
                <c:pt idx="202">
                  <c:v>-1.64112E-3</c:v>
                </c:pt>
                <c:pt idx="203">
                  <c:v>-1.6864499999999999E-3</c:v>
                </c:pt>
                <c:pt idx="204">
                  <c:v>-1.6834899999999999E-3</c:v>
                </c:pt>
                <c:pt idx="205">
                  <c:v>-1.6116699999999999E-3</c:v>
                </c:pt>
                <c:pt idx="206">
                  <c:v>-1.7254E-3</c:v>
                </c:pt>
                <c:pt idx="207">
                  <c:v>-1.76805E-3</c:v>
                </c:pt>
                <c:pt idx="208">
                  <c:v>-1.69852E-3</c:v>
                </c:pt>
                <c:pt idx="209">
                  <c:v>-1.6769700000000001E-3</c:v>
                </c:pt>
                <c:pt idx="210">
                  <c:v>-1.75362E-3</c:v>
                </c:pt>
                <c:pt idx="211">
                  <c:v>-1.6875099999999999E-3</c:v>
                </c:pt>
                <c:pt idx="212">
                  <c:v>-1.7909099999999999E-3</c:v>
                </c:pt>
                <c:pt idx="213">
                  <c:v>-1.73993E-3</c:v>
                </c:pt>
                <c:pt idx="214">
                  <c:v>-1.71507E-3</c:v>
                </c:pt>
                <c:pt idx="215">
                  <c:v>-1.7621399999999999E-3</c:v>
                </c:pt>
                <c:pt idx="216">
                  <c:v>-1.73989E-3</c:v>
                </c:pt>
                <c:pt idx="217">
                  <c:v>-1.81686E-3</c:v>
                </c:pt>
                <c:pt idx="218">
                  <c:v>-1.75545E-3</c:v>
                </c:pt>
                <c:pt idx="219">
                  <c:v>-1.74763E-3</c:v>
                </c:pt>
                <c:pt idx="220">
                  <c:v>-1.7832799999999999E-3</c:v>
                </c:pt>
                <c:pt idx="221">
                  <c:v>-1.7383800000000001E-3</c:v>
                </c:pt>
                <c:pt idx="222">
                  <c:v>-1.7454199999999999E-3</c:v>
                </c:pt>
                <c:pt idx="223">
                  <c:v>-1.76077E-3</c:v>
                </c:pt>
                <c:pt idx="224">
                  <c:v>-1.8150499999999999E-3</c:v>
                </c:pt>
                <c:pt idx="225">
                  <c:v>-1.73274E-3</c:v>
                </c:pt>
                <c:pt idx="226">
                  <c:v>-1.7680199999999999E-3</c:v>
                </c:pt>
                <c:pt idx="227">
                  <c:v>-1.82745E-3</c:v>
                </c:pt>
                <c:pt idx="228">
                  <c:v>-1.85575E-3</c:v>
                </c:pt>
                <c:pt idx="229">
                  <c:v>-1.80236E-3</c:v>
                </c:pt>
                <c:pt idx="230">
                  <c:v>-1.76724E-3</c:v>
                </c:pt>
                <c:pt idx="231">
                  <c:v>-1.8129400000000001E-3</c:v>
                </c:pt>
                <c:pt idx="232">
                  <c:v>-1.7528299999999999E-3</c:v>
                </c:pt>
                <c:pt idx="233">
                  <c:v>-1.7691E-3</c:v>
                </c:pt>
                <c:pt idx="234">
                  <c:v>-1.72325E-3</c:v>
                </c:pt>
                <c:pt idx="235">
                  <c:v>-1.84333E-3</c:v>
                </c:pt>
                <c:pt idx="236">
                  <c:v>-1.7937999999999999E-3</c:v>
                </c:pt>
                <c:pt idx="237">
                  <c:v>-1.8559900000000001E-3</c:v>
                </c:pt>
                <c:pt idx="238">
                  <c:v>-1.87144E-3</c:v>
                </c:pt>
                <c:pt idx="239">
                  <c:v>-1.81825E-3</c:v>
                </c:pt>
                <c:pt idx="240">
                  <c:v>-1.88368E-3</c:v>
                </c:pt>
                <c:pt idx="241">
                  <c:v>-1.86272E-3</c:v>
                </c:pt>
                <c:pt idx="242">
                  <c:v>-1.88159E-3</c:v>
                </c:pt>
                <c:pt idx="243">
                  <c:v>-1.87412E-3</c:v>
                </c:pt>
                <c:pt idx="244">
                  <c:v>-1.8675899999999999E-3</c:v>
                </c:pt>
                <c:pt idx="245">
                  <c:v>-1.92662E-3</c:v>
                </c:pt>
                <c:pt idx="246">
                  <c:v>-1.93227E-3</c:v>
                </c:pt>
                <c:pt idx="247">
                  <c:v>-1.8824600000000001E-3</c:v>
                </c:pt>
                <c:pt idx="248">
                  <c:v>-1.87879E-3</c:v>
                </c:pt>
                <c:pt idx="249">
                  <c:v>-2.0198600000000001E-3</c:v>
                </c:pt>
                <c:pt idx="250">
                  <c:v>-1.9462800000000001E-3</c:v>
                </c:pt>
                <c:pt idx="251">
                  <c:v>-1.9772000000000001E-3</c:v>
                </c:pt>
                <c:pt idx="252">
                  <c:v>-2.04535E-3</c:v>
                </c:pt>
                <c:pt idx="253">
                  <c:v>-1.86141E-3</c:v>
                </c:pt>
                <c:pt idx="254">
                  <c:v>-2.0161799999999998E-3</c:v>
                </c:pt>
                <c:pt idx="255">
                  <c:v>-1.954E-3</c:v>
                </c:pt>
                <c:pt idx="256">
                  <c:v>-1.9258599999999999E-3</c:v>
                </c:pt>
                <c:pt idx="257">
                  <c:v>-2.0109899999999998E-3</c:v>
                </c:pt>
                <c:pt idx="258">
                  <c:v>-1.99314E-3</c:v>
                </c:pt>
                <c:pt idx="259">
                  <c:v>-2.06375E-3</c:v>
                </c:pt>
                <c:pt idx="260">
                  <c:v>-2.03045E-3</c:v>
                </c:pt>
                <c:pt idx="261">
                  <c:v>-1.8807299999999999E-3</c:v>
                </c:pt>
                <c:pt idx="262">
                  <c:v>-1.9633400000000001E-3</c:v>
                </c:pt>
                <c:pt idx="263">
                  <c:v>-1.9354699999999999E-3</c:v>
                </c:pt>
                <c:pt idx="264">
                  <c:v>-1.9800299999999998E-3</c:v>
                </c:pt>
                <c:pt idx="265">
                  <c:v>-1.9976299999999998E-3</c:v>
                </c:pt>
                <c:pt idx="266">
                  <c:v>-2.01877E-3</c:v>
                </c:pt>
                <c:pt idx="267">
                  <c:v>-2.00111E-3</c:v>
                </c:pt>
                <c:pt idx="268">
                  <c:v>-2.00753E-3</c:v>
                </c:pt>
                <c:pt idx="269">
                  <c:v>-1.9033699999999999E-3</c:v>
                </c:pt>
                <c:pt idx="270">
                  <c:v>-1.9470100000000001E-3</c:v>
                </c:pt>
                <c:pt idx="271">
                  <c:v>-2.0808200000000002E-3</c:v>
                </c:pt>
                <c:pt idx="272">
                  <c:v>-2.0356300000000001E-3</c:v>
                </c:pt>
                <c:pt idx="273">
                  <c:v>-2.0691799999999999E-3</c:v>
                </c:pt>
                <c:pt idx="274">
                  <c:v>-2.1484999999999998E-3</c:v>
                </c:pt>
                <c:pt idx="275">
                  <c:v>-1.95032E-3</c:v>
                </c:pt>
                <c:pt idx="276">
                  <c:v>-2.1014699999999998E-3</c:v>
                </c:pt>
                <c:pt idx="277">
                  <c:v>-2.0894099999999999E-3</c:v>
                </c:pt>
                <c:pt idx="278">
                  <c:v>-1.92363E-3</c:v>
                </c:pt>
                <c:pt idx="279">
                  <c:v>-2.1624600000000002E-3</c:v>
                </c:pt>
                <c:pt idx="280">
                  <c:v>-2.2751899999999999E-3</c:v>
                </c:pt>
                <c:pt idx="281">
                  <c:v>-2.0333299999999999E-3</c:v>
                </c:pt>
                <c:pt idx="282">
                  <c:v>-2.2719699999999999E-3</c:v>
                </c:pt>
                <c:pt idx="283">
                  <c:v>-2.1234299999999999E-3</c:v>
                </c:pt>
                <c:pt idx="284">
                  <c:v>-2.0034499999999999E-3</c:v>
                </c:pt>
                <c:pt idx="285">
                  <c:v>-2.22836E-3</c:v>
                </c:pt>
                <c:pt idx="286">
                  <c:v>-2.12875E-3</c:v>
                </c:pt>
                <c:pt idx="287">
                  <c:v>-2.2093999999999998E-3</c:v>
                </c:pt>
                <c:pt idx="288">
                  <c:v>-2.2891500000000002E-3</c:v>
                </c:pt>
                <c:pt idx="289">
                  <c:v>-2.1922399999999998E-3</c:v>
                </c:pt>
                <c:pt idx="290">
                  <c:v>-2.24954E-3</c:v>
                </c:pt>
                <c:pt idx="291">
                  <c:v>-2.0443900000000001E-3</c:v>
                </c:pt>
                <c:pt idx="292">
                  <c:v>-2.2678500000000001E-3</c:v>
                </c:pt>
                <c:pt idx="293">
                  <c:v>-2.2122399999999999E-3</c:v>
                </c:pt>
                <c:pt idx="294">
                  <c:v>-2.1783800000000002E-3</c:v>
                </c:pt>
                <c:pt idx="295">
                  <c:v>-2.2681400000000001E-3</c:v>
                </c:pt>
                <c:pt idx="296">
                  <c:v>-2.2340200000000002E-3</c:v>
                </c:pt>
                <c:pt idx="297">
                  <c:v>-2.21623E-3</c:v>
                </c:pt>
                <c:pt idx="298">
                  <c:v>-2.2598900000000001E-3</c:v>
                </c:pt>
                <c:pt idx="299">
                  <c:v>-2.2300900000000001E-3</c:v>
                </c:pt>
                <c:pt idx="300">
                  <c:v>-2.2047899999999999E-3</c:v>
                </c:pt>
                <c:pt idx="301">
                  <c:v>-2.2345500000000001E-3</c:v>
                </c:pt>
                <c:pt idx="302">
                  <c:v>-2.1602399999999999E-3</c:v>
                </c:pt>
                <c:pt idx="303">
                  <c:v>-2.26771E-3</c:v>
                </c:pt>
                <c:pt idx="304">
                  <c:v>-2.2302699999999999E-3</c:v>
                </c:pt>
                <c:pt idx="305">
                  <c:v>-2.3104699999999998E-3</c:v>
                </c:pt>
                <c:pt idx="306">
                  <c:v>-2.2703799999999998E-3</c:v>
                </c:pt>
                <c:pt idx="307">
                  <c:v>-2.24091E-3</c:v>
                </c:pt>
                <c:pt idx="308">
                  <c:v>-2.2684099999999998E-3</c:v>
                </c:pt>
                <c:pt idx="309">
                  <c:v>-2.29802E-3</c:v>
                </c:pt>
                <c:pt idx="310">
                  <c:v>-2.32431E-3</c:v>
                </c:pt>
                <c:pt idx="311">
                  <c:v>-2.4024099999999998E-3</c:v>
                </c:pt>
                <c:pt idx="312">
                  <c:v>-2.3062E-3</c:v>
                </c:pt>
                <c:pt idx="313">
                  <c:v>-2.2739399999999999E-3</c:v>
                </c:pt>
                <c:pt idx="314">
                  <c:v>-2.3376600000000001E-3</c:v>
                </c:pt>
                <c:pt idx="315">
                  <c:v>-2.2932500000000001E-3</c:v>
                </c:pt>
                <c:pt idx="316">
                  <c:v>-2.3391499999999999E-3</c:v>
                </c:pt>
                <c:pt idx="317">
                  <c:v>-2.3267100000000001E-3</c:v>
                </c:pt>
                <c:pt idx="318">
                  <c:v>-2.3906299999999999E-3</c:v>
                </c:pt>
                <c:pt idx="319">
                  <c:v>-2.4178300000000002E-3</c:v>
                </c:pt>
                <c:pt idx="320">
                  <c:v>-2.4207500000000002E-3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8EE3-42BE-8B9C-CB0223D724FC}"/>
            </c:ext>
          </c:extLst>
        </c:ser>
        <c:ser>
          <c:idx val="0"/>
          <c:order val="2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2.2309711286089238E-5"/>
                  <c:y val="-0.7690277777777777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</c:trendlineLbl>
          </c:trendline>
          <c:xVal>
            <c:numRef>
              <c:f>'L30CPTX-1'!$B$80:$B$400</c:f>
              <c:numCache>
                <c:formatCode>General</c:formatCode>
                <c:ptCount val="321"/>
                <c:pt idx="0">
                  <c:v>1.0605300000000001E-3</c:v>
                </c:pt>
                <c:pt idx="1">
                  <c:v>1.0210200000000001E-3</c:v>
                </c:pt>
                <c:pt idx="2">
                  <c:v>1.0422599999999999E-3</c:v>
                </c:pt>
                <c:pt idx="3">
                  <c:v>1.04126E-3</c:v>
                </c:pt>
                <c:pt idx="4">
                  <c:v>1.09249E-3</c:v>
                </c:pt>
                <c:pt idx="5">
                  <c:v>1.0475899999999999E-3</c:v>
                </c:pt>
                <c:pt idx="6">
                  <c:v>1.1021900000000001E-3</c:v>
                </c:pt>
                <c:pt idx="7">
                  <c:v>1.1206899999999999E-3</c:v>
                </c:pt>
                <c:pt idx="8">
                  <c:v>1.13805E-3</c:v>
                </c:pt>
                <c:pt idx="9">
                  <c:v>1.08946E-3</c:v>
                </c:pt>
                <c:pt idx="10">
                  <c:v>1.1366900000000001E-3</c:v>
                </c:pt>
                <c:pt idx="11">
                  <c:v>1.16238E-3</c:v>
                </c:pt>
                <c:pt idx="12">
                  <c:v>1.1405499999999999E-3</c:v>
                </c:pt>
                <c:pt idx="13">
                  <c:v>1.21363E-3</c:v>
                </c:pt>
                <c:pt idx="14">
                  <c:v>1.2074E-3</c:v>
                </c:pt>
                <c:pt idx="15">
                  <c:v>1.20134E-3</c:v>
                </c:pt>
                <c:pt idx="16">
                  <c:v>1.1898099999999999E-3</c:v>
                </c:pt>
                <c:pt idx="17">
                  <c:v>1.20988E-3</c:v>
                </c:pt>
                <c:pt idx="18">
                  <c:v>1.2444000000000001E-3</c:v>
                </c:pt>
                <c:pt idx="19">
                  <c:v>1.25143E-3</c:v>
                </c:pt>
                <c:pt idx="20">
                  <c:v>1.23178E-3</c:v>
                </c:pt>
                <c:pt idx="21">
                  <c:v>1.2555699999999999E-3</c:v>
                </c:pt>
                <c:pt idx="22">
                  <c:v>1.3069100000000001E-3</c:v>
                </c:pt>
                <c:pt idx="23">
                  <c:v>1.3119099999999999E-3</c:v>
                </c:pt>
                <c:pt idx="24">
                  <c:v>1.29298E-3</c:v>
                </c:pt>
                <c:pt idx="25">
                  <c:v>1.30294E-3</c:v>
                </c:pt>
                <c:pt idx="26">
                  <c:v>1.33183E-3</c:v>
                </c:pt>
                <c:pt idx="27">
                  <c:v>1.3300899999999999E-3</c:v>
                </c:pt>
                <c:pt idx="28">
                  <c:v>1.3077500000000001E-3</c:v>
                </c:pt>
                <c:pt idx="29">
                  <c:v>1.3924199999999999E-3</c:v>
                </c:pt>
                <c:pt idx="30">
                  <c:v>1.36725E-3</c:v>
                </c:pt>
                <c:pt idx="31">
                  <c:v>1.4584999999999999E-3</c:v>
                </c:pt>
                <c:pt idx="32">
                  <c:v>1.43585E-3</c:v>
                </c:pt>
                <c:pt idx="33">
                  <c:v>1.40683E-3</c:v>
                </c:pt>
                <c:pt idx="34">
                  <c:v>1.4278800000000001E-3</c:v>
                </c:pt>
                <c:pt idx="35">
                  <c:v>1.43794E-3</c:v>
                </c:pt>
                <c:pt idx="36">
                  <c:v>1.4544600000000001E-3</c:v>
                </c:pt>
                <c:pt idx="37">
                  <c:v>1.4450699999999999E-3</c:v>
                </c:pt>
                <c:pt idx="38">
                  <c:v>1.41822E-3</c:v>
                </c:pt>
                <c:pt idx="39">
                  <c:v>1.53122E-3</c:v>
                </c:pt>
                <c:pt idx="40">
                  <c:v>1.4820899999999999E-3</c:v>
                </c:pt>
                <c:pt idx="41">
                  <c:v>1.53651E-3</c:v>
                </c:pt>
                <c:pt idx="42">
                  <c:v>1.5200700000000001E-3</c:v>
                </c:pt>
                <c:pt idx="43">
                  <c:v>1.6081100000000001E-3</c:v>
                </c:pt>
                <c:pt idx="44">
                  <c:v>1.52867E-3</c:v>
                </c:pt>
                <c:pt idx="45">
                  <c:v>1.52305E-3</c:v>
                </c:pt>
                <c:pt idx="46">
                  <c:v>1.5728599999999999E-3</c:v>
                </c:pt>
                <c:pt idx="47">
                  <c:v>1.5520200000000001E-3</c:v>
                </c:pt>
                <c:pt idx="48">
                  <c:v>1.5620600000000001E-3</c:v>
                </c:pt>
                <c:pt idx="49">
                  <c:v>1.5784499999999999E-3</c:v>
                </c:pt>
                <c:pt idx="50">
                  <c:v>1.62174E-3</c:v>
                </c:pt>
                <c:pt idx="51">
                  <c:v>1.6366200000000001E-3</c:v>
                </c:pt>
                <c:pt idx="52">
                  <c:v>1.6523E-3</c:v>
                </c:pt>
                <c:pt idx="53">
                  <c:v>1.6885400000000001E-3</c:v>
                </c:pt>
                <c:pt idx="54">
                  <c:v>1.72697E-3</c:v>
                </c:pt>
                <c:pt idx="55">
                  <c:v>1.6619200000000001E-3</c:v>
                </c:pt>
                <c:pt idx="56">
                  <c:v>1.6691500000000001E-3</c:v>
                </c:pt>
                <c:pt idx="57">
                  <c:v>1.75414E-3</c:v>
                </c:pt>
                <c:pt idx="58">
                  <c:v>1.7277099999999999E-3</c:v>
                </c:pt>
                <c:pt idx="59">
                  <c:v>1.74412E-3</c:v>
                </c:pt>
                <c:pt idx="60">
                  <c:v>1.7499600000000001E-3</c:v>
                </c:pt>
                <c:pt idx="61">
                  <c:v>1.74942E-3</c:v>
                </c:pt>
                <c:pt idx="62">
                  <c:v>1.81968E-3</c:v>
                </c:pt>
                <c:pt idx="63">
                  <c:v>1.7634199999999999E-3</c:v>
                </c:pt>
                <c:pt idx="64">
                  <c:v>1.8335000000000001E-3</c:v>
                </c:pt>
                <c:pt idx="65">
                  <c:v>1.84344E-3</c:v>
                </c:pt>
                <c:pt idx="66">
                  <c:v>1.8381700000000001E-3</c:v>
                </c:pt>
                <c:pt idx="67">
                  <c:v>1.8045100000000001E-3</c:v>
                </c:pt>
                <c:pt idx="68">
                  <c:v>1.8770900000000001E-3</c:v>
                </c:pt>
                <c:pt idx="69">
                  <c:v>1.89003E-3</c:v>
                </c:pt>
                <c:pt idx="70">
                  <c:v>1.83073E-3</c:v>
                </c:pt>
                <c:pt idx="71">
                  <c:v>1.9843199999999999E-3</c:v>
                </c:pt>
                <c:pt idx="72">
                  <c:v>1.9057900000000001E-3</c:v>
                </c:pt>
                <c:pt idx="73">
                  <c:v>1.92946E-3</c:v>
                </c:pt>
                <c:pt idx="74">
                  <c:v>1.95392E-3</c:v>
                </c:pt>
                <c:pt idx="75">
                  <c:v>2.00285E-3</c:v>
                </c:pt>
                <c:pt idx="76">
                  <c:v>2.0514800000000001E-3</c:v>
                </c:pt>
                <c:pt idx="77">
                  <c:v>1.99315E-3</c:v>
                </c:pt>
                <c:pt idx="78">
                  <c:v>1.9773400000000002E-3</c:v>
                </c:pt>
                <c:pt idx="79">
                  <c:v>2.0371399999999998E-3</c:v>
                </c:pt>
                <c:pt idx="80">
                  <c:v>1.99533E-3</c:v>
                </c:pt>
                <c:pt idx="81">
                  <c:v>2.0384999999999999E-3</c:v>
                </c:pt>
                <c:pt idx="82">
                  <c:v>2.0640799999999998E-3</c:v>
                </c:pt>
                <c:pt idx="83">
                  <c:v>2.1091299999999999E-3</c:v>
                </c:pt>
                <c:pt idx="84">
                  <c:v>2.1093499999999999E-3</c:v>
                </c:pt>
                <c:pt idx="85">
                  <c:v>2.1334800000000001E-3</c:v>
                </c:pt>
                <c:pt idx="86">
                  <c:v>2.1292099999999999E-3</c:v>
                </c:pt>
                <c:pt idx="87">
                  <c:v>2.1557299999999998E-3</c:v>
                </c:pt>
                <c:pt idx="88">
                  <c:v>2.19688E-3</c:v>
                </c:pt>
                <c:pt idx="89">
                  <c:v>2.1843499999999998E-3</c:v>
                </c:pt>
                <c:pt idx="90">
                  <c:v>2.1895E-3</c:v>
                </c:pt>
                <c:pt idx="91">
                  <c:v>2.1531699999999998E-3</c:v>
                </c:pt>
                <c:pt idx="92">
                  <c:v>2.1664800000000001E-3</c:v>
                </c:pt>
                <c:pt idx="93">
                  <c:v>2.19959E-3</c:v>
                </c:pt>
                <c:pt idx="94">
                  <c:v>2.22134E-3</c:v>
                </c:pt>
                <c:pt idx="95">
                  <c:v>2.2410899999999998E-3</c:v>
                </c:pt>
                <c:pt idx="96">
                  <c:v>2.27158E-3</c:v>
                </c:pt>
                <c:pt idx="97">
                  <c:v>2.2531299999999999E-3</c:v>
                </c:pt>
                <c:pt idx="98">
                  <c:v>2.3222300000000002E-3</c:v>
                </c:pt>
                <c:pt idx="99">
                  <c:v>2.3449E-3</c:v>
                </c:pt>
                <c:pt idx="100">
                  <c:v>2.2830799999999998E-3</c:v>
                </c:pt>
                <c:pt idx="101">
                  <c:v>2.3414099999999999E-3</c:v>
                </c:pt>
                <c:pt idx="102">
                  <c:v>2.3640800000000002E-3</c:v>
                </c:pt>
                <c:pt idx="103">
                  <c:v>2.36841E-3</c:v>
                </c:pt>
                <c:pt idx="104">
                  <c:v>2.3957200000000001E-3</c:v>
                </c:pt>
                <c:pt idx="105">
                  <c:v>2.4069199999999999E-3</c:v>
                </c:pt>
                <c:pt idx="106">
                  <c:v>2.5117999999999998E-3</c:v>
                </c:pt>
                <c:pt idx="107">
                  <c:v>2.3272100000000001E-3</c:v>
                </c:pt>
                <c:pt idx="108">
                  <c:v>2.4439900000000001E-3</c:v>
                </c:pt>
                <c:pt idx="109">
                  <c:v>2.43428E-3</c:v>
                </c:pt>
                <c:pt idx="110">
                  <c:v>2.4714799999999999E-3</c:v>
                </c:pt>
                <c:pt idx="111">
                  <c:v>2.48628E-3</c:v>
                </c:pt>
                <c:pt idx="112">
                  <c:v>2.5304300000000002E-3</c:v>
                </c:pt>
                <c:pt idx="113">
                  <c:v>2.55091E-3</c:v>
                </c:pt>
                <c:pt idx="114">
                  <c:v>2.53996E-3</c:v>
                </c:pt>
                <c:pt idx="115">
                  <c:v>2.56288E-3</c:v>
                </c:pt>
                <c:pt idx="116">
                  <c:v>2.5533600000000002E-3</c:v>
                </c:pt>
                <c:pt idx="117">
                  <c:v>2.5601899999999999E-3</c:v>
                </c:pt>
                <c:pt idx="118">
                  <c:v>2.5394100000000002E-3</c:v>
                </c:pt>
                <c:pt idx="119">
                  <c:v>2.5865300000000001E-3</c:v>
                </c:pt>
                <c:pt idx="120">
                  <c:v>2.6028499999999999E-3</c:v>
                </c:pt>
                <c:pt idx="121">
                  <c:v>2.6136800000000002E-3</c:v>
                </c:pt>
                <c:pt idx="122">
                  <c:v>2.5925499999999999E-3</c:v>
                </c:pt>
                <c:pt idx="123">
                  <c:v>2.6552099999999999E-3</c:v>
                </c:pt>
                <c:pt idx="124">
                  <c:v>2.6301900000000001E-3</c:v>
                </c:pt>
                <c:pt idx="125">
                  <c:v>2.7014500000000002E-3</c:v>
                </c:pt>
                <c:pt idx="126">
                  <c:v>2.6400299999999998E-3</c:v>
                </c:pt>
                <c:pt idx="127">
                  <c:v>2.6669300000000001E-3</c:v>
                </c:pt>
                <c:pt idx="128">
                  <c:v>2.6755899999999998E-3</c:v>
                </c:pt>
                <c:pt idx="129">
                  <c:v>2.7177799999999999E-3</c:v>
                </c:pt>
                <c:pt idx="130">
                  <c:v>2.7246100000000001E-3</c:v>
                </c:pt>
                <c:pt idx="131">
                  <c:v>2.7347999999999999E-3</c:v>
                </c:pt>
                <c:pt idx="132">
                  <c:v>2.7812700000000002E-3</c:v>
                </c:pt>
                <c:pt idx="133">
                  <c:v>2.7709700000000002E-3</c:v>
                </c:pt>
                <c:pt idx="134">
                  <c:v>2.7992099999999999E-3</c:v>
                </c:pt>
                <c:pt idx="135">
                  <c:v>2.74566E-3</c:v>
                </c:pt>
                <c:pt idx="136">
                  <c:v>2.8195500000000001E-3</c:v>
                </c:pt>
                <c:pt idx="137">
                  <c:v>2.83498E-3</c:v>
                </c:pt>
                <c:pt idx="138">
                  <c:v>2.8823899999999999E-3</c:v>
                </c:pt>
                <c:pt idx="139">
                  <c:v>2.8818699999999999E-3</c:v>
                </c:pt>
                <c:pt idx="140">
                  <c:v>2.9006399999999999E-3</c:v>
                </c:pt>
                <c:pt idx="141">
                  <c:v>2.8820199999999999E-3</c:v>
                </c:pt>
                <c:pt idx="142">
                  <c:v>2.9030100000000001E-3</c:v>
                </c:pt>
                <c:pt idx="143">
                  <c:v>2.9048899999999998E-3</c:v>
                </c:pt>
                <c:pt idx="144">
                  <c:v>2.8873599999999998E-3</c:v>
                </c:pt>
                <c:pt idx="145">
                  <c:v>2.9688200000000001E-3</c:v>
                </c:pt>
                <c:pt idx="146">
                  <c:v>2.94896E-3</c:v>
                </c:pt>
                <c:pt idx="147">
                  <c:v>3.0084700000000001E-3</c:v>
                </c:pt>
                <c:pt idx="148">
                  <c:v>2.9885799999999998E-3</c:v>
                </c:pt>
                <c:pt idx="149">
                  <c:v>2.97109E-3</c:v>
                </c:pt>
                <c:pt idx="150">
                  <c:v>2.9739900000000001E-3</c:v>
                </c:pt>
                <c:pt idx="151">
                  <c:v>2.9833300000000002E-3</c:v>
                </c:pt>
                <c:pt idx="152">
                  <c:v>3.02959E-3</c:v>
                </c:pt>
                <c:pt idx="153">
                  <c:v>3.0313699999999998E-3</c:v>
                </c:pt>
                <c:pt idx="154">
                  <c:v>3.0627699999999998E-3</c:v>
                </c:pt>
                <c:pt idx="155">
                  <c:v>3.1225200000000002E-3</c:v>
                </c:pt>
                <c:pt idx="156">
                  <c:v>3.0575200000000002E-3</c:v>
                </c:pt>
                <c:pt idx="157">
                  <c:v>3.0617299999999999E-3</c:v>
                </c:pt>
                <c:pt idx="158">
                  <c:v>3.0907600000000001E-3</c:v>
                </c:pt>
                <c:pt idx="159">
                  <c:v>3.13416E-3</c:v>
                </c:pt>
                <c:pt idx="160">
                  <c:v>3.0949300000000001E-3</c:v>
                </c:pt>
                <c:pt idx="161">
                  <c:v>3.18607E-3</c:v>
                </c:pt>
                <c:pt idx="162">
                  <c:v>3.1521800000000001E-3</c:v>
                </c:pt>
                <c:pt idx="163">
                  <c:v>3.2437500000000001E-3</c:v>
                </c:pt>
                <c:pt idx="164">
                  <c:v>3.1568899999999999E-3</c:v>
                </c:pt>
                <c:pt idx="165">
                  <c:v>3.1321700000000001E-3</c:v>
                </c:pt>
                <c:pt idx="166">
                  <c:v>3.3207599999999999E-3</c:v>
                </c:pt>
                <c:pt idx="167">
                  <c:v>3.2896399999999999E-3</c:v>
                </c:pt>
                <c:pt idx="168">
                  <c:v>3.2268700000000002E-3</c:v>
                </c:pt>
                <c:pt idx="169">
                  <c:v>3.27823E-3</c:v>
                </c:pt>
                <c:pt idx="170">
                  <c:v>3.2545600000000001E-3</c:v>
                </c:pt>
                <c:pt idx="171">
                  <c:v>3.2471000000000002E-3</c:v>
                </c:pt>
                <c:pt idx="172">
                  <c:v>3.3409099999999999E-3</c:v>
                </c:pt>
                <c:pt idx="173">
                  <c:v>3.3467000000000002E-3</c:v>
                </c:pt>
                <c:pt idx="174">
                  <c:v>3.3284600000000001E-3</c:v>
                </c:pt>
                <c:pt idx="175">
                  <c:v>3.34221E-3</c:v>
                </c:pt>
                <c:pt idx="176">
                  <c:v>3.3172599999999998E-3</c:v>
                </c:pt>
                <c:pt idx="177">
                  <c:v>3.3352500000000001E-3</c:v>
                </c:pt>
                <c:pt idx="178">
                  <c:v>3.4100900000000002E-3</c:v>
                </c:pt>
                <c:pt idx="179">
                  <c:v>3.4442600000000002E-3</c:v>
                </c:pt>
                <c:pt idx="180">
                  <c:v>3.3835499999999999E-3</c:v>
                </c:pt>
                <c:pt idx="181">
                  <c:v>3.4268699999999998E-3</c:v>
                </c:pt>
                <c:pt idx="182">
                  <c:v>3.4375400000000002E-3</c:v>
                </c:pt>
                <c:pt idx="183">
                  <c:v>3.4807000000000002E-3</c:v>
                </c:pt>
                <c:pt idx="184">
                  <c:v>3.4302099999999999E-3</c:v>
                </c:pt>
                <c:pt idx="185">
                  <c:v>3.4537600000000002E-3</c:v>
                </c:pt>
                <c:pt idx="186">
                  <c:v>3.50615E-3</c:v>
                </c:pt>
                <c:pt idx="187">
                  <c:v>3.4914199999999999E-3</c:v>
                </c:pt>
                <c:pt idx="188">
                  <c:v>3.5087400000000002E-3</c:v>
                </c:pt>
                <c:pt idx="189">
                  <c:v>3.5606000000000001E-3</c:v>
                </c:pt>
                <c:pt idx="190">
                  <c:v>3.5525299999999999E-3</c:v>
                </c:pt>
                <c:pt idx="191">
                  <c:v>3.53659E-3</c:v>
                </c:pt>
                <c:pt idx="192">
                  <c:v>3.5537899999999998E-3</c:v>
                </c:pt>
                <c:pt idx="193">
                  <c:v>3.6052300000000001E-3</c:v>
                </c:pt>
                <c:pt idx="194">
                  <c:v>3.5992099999999998E-3</c:v>
                </c:pt>
                <c:pt idx="195">
                  <c:v>3.61444E-3</c:v>
                </c:pt>
                <c:pt idx="196">
                  <c:v>3.6465500000000001E-3</c:v>
                </c:pt>
                <c:pt idx="197">
                  <c:v>3.6487199999999998E-3</c:v>
                </c:pt>
                <c:pt idx="198">
                  <c:v>3.6407200000000001E-3</c:v>
                </c:pt>
                <c:pt idx="199">
                  <c:v>3.6826200000000002E-3</c:v>
                </c:pt>
                <c:pt idx="200">
                  <c:v>3.6846600000000002E-3</c:v>
                </c:pt>
                <c:pt idx="201">
                  <c:v>3.6934400000000001E-3</c:v>
                </c:pt>
                <c:pt idx="202">
                  <c:v>3.7267799999999998E-3</c:v>
                </c:pt>
                <c:pt idx="203">
                  <c:v>3.68893E-3</c:v>
                </c:pt>
                <c:pt idx="204">
                  <c:v>3.75319E-3</c:v>
                </c:pt>
                <c:pt idx="205">
                  <c:v>3.7119200000000001E-3</c:v>
                </c:pt>
                <c:pt idx="206">
                  <c:v>3.8036099999999998E-3</c:v>
                </c:pt>
                <c:pt idx="207">
                  <c:v>3.7385999999999999E-3</c:v>
                </c:pt>
                <c:pt idx="208">
                  <c:v>3.7885599999999998E-3</c:v>
                </c:pt>
                <c:pt idx="209">
                  <c:v>3.7863300000000001E-3</c:v>
                </c:pt>
                <c:pt idx="210">
                  <c:v>3.8005600000000001E-3</c:v>
                </c:pt>
                <c:pt idx="211">
                  <c:v>3.8685199999999999E-3</c:v>
                </c:pt>
                <c:pt idx="212">
                  <c:v>3.82746E-3</c:v>
                </c:pt>
                <c:pt idx="213">
                  <c:v>3.8463500000000001E-3</c:v>
                </c:pt>
                <c:pt idx="214">
                  <c:v>3.8622299999999999E-3</c:v>
                </c:pt>
                <c:pt idx="215">
                  <c:v>3.8535499999999999E-3</c:v>
                </c:pt>
                <c:pt idx="216">
                  <c:v>3.9025700000000002E-3</c:v>
                </c:pt>
                <c:pt idx="217">
                  <c:v>3.9437500000000002E-3</c:v>
                </c:pt>
                <c:pt idx="218">
                  <c:v>3.8466799999999999E-3</c:v>
                </c:pt>
                <c:pt idx="219">
                  <c:v>3.92071E-3</c:v>
                </c:pt>
                <c:pt idx="220">
                  <c:v>3.9385599999999998E-3</c:v>
                </c:pt>
                <c:pt idx="221">
                  <c:v>4.0127299999999999E-3</c:v>
                </c:pt>
                <c:pt idx="222">
                  <c:v>3.9599500000000003E-3</c:v>
                </c:pt>
                <c:pt idx="223">
                  <c:v>4.0390799999999996E-3</c:v>
                </c:pt>
                <c:pt idx="224">
                  <c:v>4.0330899999999996E-3</c:v>
                </c:pt>
                <c:pt idx="225">
                  <c:v>3.9901499999999996E-3</c:v>
                </c:pt>
                <c:pt idx="226">
                  <c:v>4.0886999999999998E-3</c:v>
                </c:pt>
                <c:pt idx="227">
                  <c:v>4.0226200000000002E-3</c:v>
                </c:pt>
                <c:pt idx="228">
                  <c:v>4.0851500000000001E-3</c:v>
                </c:pt>
                <c:pt idx="229">
                  <c:v>4.0321300000000001E-3</c:v>
                </c:pt>
                <c:pt idx="230">
                  <c:v>4.0367199999999997E-3</c:v>
                </c:pt>
                <c:pt idx="231">
                  <c:v>4.1013899999999999E-3</c:v>
                </c:pt>
                <c:pt idx="232">
                  <c:v>4.1518299999999996E-3</c:v>
                </c:pt>
                <c:pt idx="233">
                  <c:v>4.1144399999999996E-3</c:v>
                </c:pt>
                <c:pt idx="234">
                  <c:v>4.1488000000000002E-3</c:v>
                </c:pt>
                <c:pt idx="235">
                  <c:v>4.1476100000000004E-3</c:v>
                </c:pt>
                <c:pt idx="236">
                  <c:v>4.1765099999999996E-3</c:v>
                </c:pt>
                <c:pt idx="237">
                  <c:v>4.1687900000000003E-3</c:v>
                </c:pt>
                <c:pt idx="238">
                  <c:v>4.1980000000000003E-3</c:v>
                </c:pt>
                <c:pt idx="239">
                  <c:v>4.2448199999999998E-3</c:v>
                </c:pt>
                <c:pt idx="240">
                  <c:v>4.2260900000000001E-3</c:v>
                </c:pt>
                <c:pt idx="241">
                  <c:v>4.2291400000000002E-3</c:v>
                </c:pt>
                <c:pt idx="242">
                  <c:v>4.2675999999999999E-3</c:v>
                </c:pt>
                <c:pt idx="243">
                  <c:v>4.2802400000000003E-3</c:v>
                </c:pt>
                <c:pt idx="244">
                  <c:v>4.3020000000000003E-3</c:v>
                </c:pt>
                <c:pt idx="245">
                  <c:v>4.2926600000000002E-3</c:v>
                </c:pt>
                <c:pt idx="246">
                  <c:v>4.2836799999999998E-3</c:v>
                </c:pt>
                <c:pt idx="247">
                  <c:v>4.2678899999999999E-3</c:v>
                </c:pt>
                <c:pt idx="248">
                  <c:v>4.2818600000000002E-3</c:v>
                </c:pt>
                <c:pt idx="249">
                  <c:v>4.3231700000000003E-3</c:v>
                </c:pt>
                <c:pt idx="250">
                  <c:v>4.3344999999999998E-3</c:v>
                </c:pt>
                <c:pt idx="251">
                  <c:v>4.3814600000000002E-3</c:v>
                </c:pt>
                <c:pt idx="252">
                  <c:v>4.37916E-3</c:v>
                </c:pt>
                <c:pt idx="253">
                  <c:v>4.4809400000000001E-3</c:v>
                </c:pt>
                <c:pt idx="254">
                  <c:v>4.4301499999999999E-3</c:v>
                </c:pt>
                <c:pt idx="255">
                  <c:v>4.4081499999999996E-3</c:v>
                </c:pt>
                <c:pt idx="256">
                  <c:v>4.4459399999999998E-3</c:v>
                </c:pt>
                <c:pt idx="257">
                  <c:v>4.4529399999999998E-3</c:v>
                </c:pt>
                <c:pt idx="258">
                  <c:v>4.45978E-3</c:v>
                </c:pt>
                <c:pt idx="259">
                  <c:v>4.5069899999999998E-3</c:v>
                </c:pt>
                <c:pt idx="260">
                  <c:v>4.4684900000000003E-3</c:v>
                </c:pt>
                <c:pt idx="261">
                  <c:v>4.5616600000000004E-3</c:v>
                </c:pt>
                <c:pt idx="262">
                  <c:v>4.5773000000000003E-3</c:v>
                </c:pt>
                <c:pt idx="263">
                  <c:v>4.5551000000000003E-3</c:v>
                </c:pt>
                <c:pt idx="264">
                  <c:v>4.5884400000000001E-3</c:v>
                </c:pt>
                <c:pt idx="265">
                  <c:v>4.5797499999999996E-3</c:v>
                </c:pt>
                <c:pt idx="266">
                  <c:v>4.5745899999999999E-3</c:v>
                </c:pt>
                <c:pt idx="267">
                  <c:v>4.6470799999999996E-3</c:v>
                </c:pt>
                <c:pt idx="268">
                  <c:v>4.6283799999999996E-3</c:v>
                </c:pt>
                <c:pt idx="269">
                  <c:v>4.66951E-3</c:v>
                </c:pt>
                <c:pt idx="270">
                  <c:v>4.6495E-3</c:v>
                </c:pt>
                <c:pt idx="271">
                  <c:v>4.64511E-3</c:v>
                </c:pt>
                <c:pt idx="272">
                  <c:v>4.6938600000000002E-3</c:v>
                </c:pt>
                <c:pt idx="273">
                  <c:v>4.6669600000000004E-3</c:v>
                </c:pt>
                <c:pt idx="274">
                  <c:v>4.6598500000000001E-3</c:v>
                </c:pt>
                <c:pt idx="275">
                  <c:v>4.7081299999999996E-3</c:v>
                </c:pt>
                <c:pt idx="276">
                  <c:v>4.7287500000000003E-3</c:v>
                </c:pt>
                <c:pt idx="277">
                  <c:v>4.6553699999999998E-3</c:v>
                </c:pt>
                <c:pt idx="278">
                  <c:v>4.7838100000000003E-3</c:v>
                </c:pt>
                <c:pt idx="279">
                  <c:v>4.6632899999999996E-3</c:v>
                </c:pt>
                <c:pt idx="280">
                  <c:v>4.6983299999999997E-3</c:v>
                </c:pt>
                <c:pt idx="281">
                  <c:v>4.7272800000000004E-3</c:v>
                </c:pt>
                <c:pt idx="282">
                  <c:v>4.7264000000000004E-3</c:v>
                </c:pt>
                <c:pt idx="283">
                  <c:v>4.79E-3</c:v>
                </c:pt>
                <c:pt idx="284">
                  <c:v>4.7893500000000004E-3</c:v>
                </c:pt>
                <c:pt idx="285">
                  <c:v>4.77743E-3</c:v>
                </c:pt>
                <c:pt idx="286">
                  <c:v>4.7646900000000002E-3</c:v>
                </c:pt>
                <c:pt idx="287">
                  <c:v>4.8353500000000004E-3</c:v>
                </c:pt>
                <c:pt idx="288">
                  <c:v>4.8319799999999996E-3</c:v>
                </c:pt>
                <c:pt idx="289">
                  <c:v>4.8387899999999999E-3</c:v>
                </c:pt>
                <c:pt idx="290">
                  <c:v>4.8640699999999999E-3</c:v>
                </c:pt>
                <c:pt idx="291">
                  <c:v>4.89633E-3</c:v>
                </c:pt>
                <c:pt idx="292">
                  <c:v>4.9126400000000002E-3</c:v>
                </c:pt>
                <c:pt idx="293">
                  <c:v>4.8788299999999998E-3</c:v>
                </c:pt>
                <c:pt idx="294">
                  <c:v>4.8888899999999999E-3</c:v>
                </c:pt>
                <c:pt idx="295">
                  <c:v>4.9931799999999998E-3</c:v>
                </c:pt>
                <c:pt idx="296">
                  <c:v>4.92392E-3</c:v>
                </c:pt>
                <c:pt idx="297">
                  <c:v>4.9426000000000001E-3</c:v>
                </c:pt>
                <c:pt idx="298">
                  <c:v>4.9676199999999998E-3</c:v>
                </c:pt>
                <c:pt idx="299">
                  <c:v>5.0166799999999999E-3</c:v>
                </c:pt>
                <c:pt idx="300">
                  <c:v>5.0082800000000004E-3</c:v>
                </c:pt>
                <c:pt idx="301">
                  <c:v>5.0125200000000003E-3</c:v>
                </c:pt>
                <c:pt idx="302">
                  <c:v>5.0288800000000003E-3</c:v>
                </c:pt>
                <c:pt idx="303">
                  <c:v>5.06077E-3</c:v>
                </c:pt>
                <c:pt idx="304">
                  <c:v>5.0884900000000002E-3</c:v>
                </c:pt>
                <c:pt idx="305">
                  <c:v>5.0912500000000003E-3</c:v>
                </c:pt>
                <c:pt idx="306">
                  <c:v>5.1544399999999997E-3</c:v>
                </c:pt>
                <c:pt idx="307">
                  <c:v>5.13905E-3</c:v>
                </c:pt>
                <c:pt idx="308">
                  <c:v>5.1272599999999998E-3</c:v>
                </c:pt>
                <c:pt idx="309">
                  <c:v>5.1251400000000003E-3</c:v>
                </c:pt>
                <c:pt idx="310">
                  <c:v>5.1562500000000002E-3</c:v>
                </c:pt>
                <c:pt idx="311">
                  <c:v>5.1330200000000003E-3</c:v>
                </c:pt>
                <c:pt idx="312">
                  <c:v>5.2453500000000002E-3</c:v>
                </c:pt>
                <c:pt idx="313">
                  <c:v>5.2167300000000002E-3</c:v>
                </c:pt>
                <c:pt idx="314">
                  <c:v>5.1581999999999999E-3</c:v>
                </c:pt>
                <c:pt idx="315">
                  <c:v>5.2519200000000002E-3</c:v>
                </c:pt>
                <c:pt idx="316">
                  <c:v>5.2448E-3</c:v>
                </c:pt>
                <c:pt idx="317">
                  <c:v>5.2759399999999998E-3</c:v>
                </c:pt>
                <c:pt idx="318">
                  <c:v>5.2517900000000001E-3</c:v>
                </c:pt>
                <c:pt idx="319">
                  <c:v>5.2682800000000002E-3</c:v>
                </c:pt>
                <c:pt idx="320">
                  <c:v>5.3706700000000001E-3</c:v>
                </c:pt>
              </c:numCache>
            </c:numRef>
          </c:xVal>
          <c:yVal>
            <c:numRef>
              <c:f>'L30CPTX-1'!$N$80:$N$400</c:f>
              <c:numCache>
                <c:formatCode>General</c:formatCode>
                <c:ptCount val="321"/>
                <c:pt idx="0">
                  <c:v>-5.4759700000000004E-4</c:v>
                </c:pt>
                <c:pt idx="1">
                  <c:v>-4.7274799999999999E-4</c:v>
                </c:pt>
                <c:pt idx="2">
                  <c:v>-6.3918600000000003E-4</c:v>
                </c:pt>
                <c:pt idx="3">
                  <c:v>-5.7435299999999999E-4</c:v>
                </c:pt>
                <c:pt idx="4">
                  <c:v>-5.2769799999999995E-4</c:v>
                </c:pt>
                <c:pt idx="5">
                  <c:v>-5.8258699999999997E-4</c:v>
                </c:pt>
                <c:pt idx="6">
                  <c:v>-5.3411500000000005E-4</c:v>
                </c:pt>
                <c:pt idx="7">
                  <c:v>-5.97566E-4</c:v>
                </c:pt>
                <c:pt idx="8">
                  <c:v>-6.0847799999999997E-4</c:v>
                </c:pt>
                <c:pt idx="9">
                  <c:v>-5.8105899999999998E-4</c:v>
                </c:pt>
                <c:pt idx="10">
                  <c:v>-4.9926599999999995E-4</c:v>
                </c:pt>
                <c:pt idx="11">
                  <c:v>-5.7058399999999996E-4</c:v>
                </c:pt>
                <c:pt idx="12">
                  <c:v>-6.1214699999999995E-4</c:v>
                </c:pt>
                <c:pt idx="13">
                  <c:v>-6.4997000000000004E-4</c:v>
                </c:pt>
                <c:pt idx="14">
                  <c:v>-6.2929700000000002E-4</c:v>
                </c:pt>
                <c:pt idx="15">
                  <c:v>-5.9641100000000003E-4</c:v>
                </c:pt>
                <c:pt idx="16">
                  <c:v>-5.9369299999999996E-4</c:v>
                </c:pt>
                <c:pt idx="17">
                  <c:v>-6.2372199999999995E-4</c:v>
                </c:pt>
                <c:pt idx="18">
                  <c:v>-6.9292400000000004E-4</c:v>
                </c:pt>
                <c:pt idx="19">
                  <c:v>-6.1943199999999995E-4</c:v>
                </c:pt>
                <c:pt idx="20">
                  <c:v>-7.3850999999999995E-4</c:v>
                </c:pt>
                <c:pt idx="21">
                  <c:v>-6.5056599999999999E-4</c:v>
                </c:pt>
                <c:pt idx="22">
                  <c:v>-6.3728500000000002E-4</c:v>
                </c:pt>
                <c:pt idx="23">
                  <c:v>-5.0008300000000002E-4</c:v>
                </c:pt>
                <c:pt idx="24">
                  <c:v>-6.7009100000000005E-4</c:v>
                </c:pt>
                <c:pt idx="25">
                  <c:v>-6.5809799999999997E-4</c:v>
                </c:pt>
                <c:pt idx="26">
                  <c:v>-7.2264900000000001E-4</c:v>
                </c:pt>
                <c:pt idx="27">
                  <c:v>-6.4296899999999996E-4</c:v>
                </c:pt>
                <c:pt idx="28">
                  <c:v>-6.7945099999999997E-4</c:v>
                </c:pt>
                <c:pt idx="29">
                  <c:v>-6.6372899999999995E-4</c:v>
                </c:pt>
                <c:pt idx="30">
                  <c:v>-7.6112499999999997E-4</c:v>
                </c:pt>
                <c:pt idx="31">
                  <c:v>-7.2905699999999997E-4</c:v>
                </c:pt>
                <c:pt idx="32">
                  <c:v>-7.1428099999999999E-4</c:v>
                </c:pt>
                <c:pt idx="33">
                  <c:v>-7.5148299999999995E-4</c:v>
                </c:pt>
                <c:pt idx="34">
                  <c:v>-7.8705300000000001E-4</c:v>
                </c:pt>
                <c:pt idx="35">
                  <c:v>-8.6216999999999999E-4</c:v>
                </c:pt>
                <c:pt idx="36">
                  <c:v>-6.8609499999999996E-4</c:v>
                </c:pt>
                <c:pt idx="37">
                  <c:v>-6.8924899999999996E-4</c:v>
                </c:pt>
                <c:pt idx="38">
                  <c:v>-7.8176899999999998E-4</c:v>
                </c:pt>
                <c:pt idx="39">
                  <c:v>-7.8832999999999996E-4</c:v>
                </c:pt>
                <c:pt idx="40">
                  <c:v>-8.5449899999999999E-4</c:v>
                </c:pt>
                <c:pt idx="41">
                  <c:v>-8.2745599999999996E-4</c:v>
                </c:pt>
                <c:pt idx="42">
                  <c:v>-7.7212799999999996E-4</c:v>
                </c:pt>
                <c:pt idx="43">
                  <c:v>-7.73494E-4</c:v>
                </c:pt>
                <c:pt idx="44">
                  <c:v>-8.0734100000000005E-4</c:v>
                </c:pt>
                <c:pt idx="45">
                  <c:v>-7.5078000000000005E-4</c:v>
                </c:pt>
                <c:pt idx="46">
                  <c:v>-8.6189000000000003E-4</c:v>
                </c:pt>
                <c:pt idx="47">
                  <c:v>-7.9560299999999998E-4</c:v>
                </c:pt>
                <c:pt idx="48">
                  <c:v>-7.0525700000000004E-4</c:v>
                </c:pt>
                <c:pt idx="49">
                  <c:v>-9.3055799999999995E-4</c:v>
                </c:pt>
                <c:pt idx="50">
                  <c:v>-8.2702800000000005E-4</c:v>
                </c:pt>
                <c:pt idx="51">
                  <c:v>-9.1535399999999995E-4</c:v>
                </c:pt>
                <c:pt idx="52">
                  <c:v>-7.7296400000000001E-4</c:v>
                </c:pt>
                <c:pt idx="53">
                  <c:v>-8.94176E-4</c:v>
                </c:pt>
                <c:pt idx="54">
                  <c:v>-7.6131899999999999E-4</c:v>
                </c:pt>
                <c:pt idx="55">
                  <c:v>-9.64626E-4</c:v>
                </c:pt>
                <c:pt idx="56">
                  <c:v>-9.4322500000000001E-4</c:v>
                </c:pt>
                <c:pt idx="57">
                  <c:v>-9.4177799999999999E-4</c:v>
                </c:pt>
                <c:pt idx="58">
                  <c:v>-9.2769200000000003E-4</c:v>
                </c:pt>
                <c:pt idx="59">
                  <c:v>-9.7786500000000007E-4</c:v>
                </c:pt>
                <c:pt idx="60">
                  <c:v>-9.14524E-4</c:v>
                </c:pt>
                <c:pt idx="61">
                  <c:v>-1.1261999999999999E-3</c:v>
                </c:pt>
                <c:pt idx="62">
                  <c:v>-1.01921E-3</c:v>
                </c:pt>
                <c:pt idx="63">
                  <c:v>-9.0347799999999999E-4</c:v>
                </c:pt>
                <c:pt idx="64">
                  <c:v>-1.00383E-3</c:v>
                </c:pt>
                <c:pt idx="65">
                  <c:v>-9.17237E-4</c:v>
                </c:pt>
                <c:pt idx="66">
                  <c:v>-9.6313200000000001E-4</c:v>
                </c:pt>
                <c:pt idx="67">
                  <c:v>-9.6573500000000001E-4</c:v>
                </c:pt>
                <c:pt idx="68">
                  <c:v>-9.9247799999999998E-4</c:v>
                </c:pt>
                <c:pt idx="69">
                  <c:v>-1.0082100000000001E-3</c:v>
                </c:pt>
                <c:pt idx="70">
                  <c:v>-1.19578E-3</c:v>
                </c:pt>
                <c:pt idx="71">
                  <c:v>-9.67435E-4</c:v>
                </c:pt>
                <c:pt idx="72">
                  <c:v>-1.0022E-3</c:v>
                </c:pt>
                <c:pt idx="73">
                  <c:v>-9.8060700000000009E-4</c:v>
                </c:pt>
                <c:pt idx="74">
                  <c:v>-1.02388E-3</c:v>
                </c:pt>
                <c:pt idx="75">
                  <c:v>-1.0882800000000001E-3</c:v>
                </c:pt>
                <c:pt idx="76">
                  <c:v>-1.0233E-3</c:v>
                </c:pt>
                <c:pt idx="77">
                  <c:v>-1.0179200000000001E-3</c:v>
                </c:pt>
                <c:pt idx="78">
                  <c:v>-1.0675599999999999E-3</c:v>
                </c:pt>
                <c:pt idx="79">
                  <c:v>-1.0426999999999999E-3</c:v>
                </c:pt>
                <c:pt idx="80">
                  <c:v>-1.10692E-3</c:v>
                </c:pt>
                <c:pt idx="81">
                  <c:v>-1.13988E-3</c:v>
                </c:pt>
                <c:pt idx="82">
                  <c:v>-1.1121499999999999E-3</c:v>
                </c:pt>
                <c:pt idx="83">
                  <c:v>-1.17022E-3</c:v>
                </c:pt>
                <c:pt idx="84">
                  <c:v>-1.0994399999999999E-3</c:v>
                </c:pt>
                <c:pt idx="85">
                  <c:v>-1.11805E-3</c:v>
                </c:pt>
                <c:pt idx="86">
                  <c:v>-1.15727E-3</c:v>
                </c:pt>
                <c:pt idx="87">
                  <c:v>-1.08445E-3</c:v>
                </c:pt>
                <c:pt idx="88">
                  <c:v>-1.0843700000000001E-3</c:v>
                </c:pt>
                <c:pt idx="89">
                  <c:v>-1.10293E-3</c:v>
                </c:pt>
                <c:pt idx="90">
                  <c:v>-1.13141E-3</c:v>
                </c:pt>
                <c:pt idx="91">
                  <c:v>-1.1636999999999999E-3</c:v>
                </c:pt>
                <c:pt idx="92">
                  <c:v>-1.25493E-3</c:v>
                </c:pt>
                <c:pt idx="93">
                  <c:v>-1.13177E-3</c:v>
                </c:pt>
                <c:pt idx="94">
                  <c:v>-1.20582E-3</c:v>
                </c:pt>
                <c:pt idx="95">
                  <c:v>-1.23802E-3</c:v>
                </c:pt>
                <c:pt idx="96">
                  <c:v>-1.2505800000000001E-3</c:v>
                </c:pt>
                <c:pt idx="97">
                  <c:v>-1.34431E-3</c:v>
                </c:pt>
                <c:pt idx="98">
                  <c:v>-1.21517E-3</c:v>
                </c:pt>
                <c:pt idx="99">
                  <c:v>-1.20842E-3</c:v>
                </c:pt>
                <c:pt idx="100">
                  <c:v>-1.2684E-3</c:v>
                </c:pt>
                <c:pt idx="101">
                  <c:v>-1.2093200000000001E-3</c:v>
                </c:pt>
                <c:pt idx="102">
                  <c:v>-1.3104799999999999E-3</c:v>
                </c:pt>
                <c:pt idx="103">
                  <c:v>-1.3579099999999999E-3</c:v>
                </c:pt>
                <c:pt idx="104">
                  <c:v>-1.35359E-3</c:v>
                </c:pt>
                <c:pt idx="105">
                  <c:v>-1.26717E-3</c:v>
                </c:pt>
                <c:pt idx="106">
                  <c:v>-1.1407500000000001E-3</c:v>
                </c:pt>
                <c:pt idx="107">
                  <c:v>-1.4255800000000001E-3</c:v>
                </c:pt>
                <c:pt idx="108">
                  <c:v>-1.24924E-3</c:v>
                </c:pt>
                <c:pt idx="109">
                  <c:v>-1.33687E-3</c:v>
                </c:pt>
                <c:pt idx="110">
                  <c:v>-1.3238099999999999E-3</c:v>
                </c:pt>
                <c:pt idx="111">
                  <c:v>-1.3726599999999999E-3</c:v>
                </c:pt>
                <c:pt idx="112">
                  <c:v>-1.3529499999999999E-3</c:v>
                </c:pt>
                <c:pt idx="113">
                  <c:v>-1.3617099999999999E-3</c:v>
                </c:pt>
                <c:pt idx="114">
                  <c:v>-1.3597399999999999E-3</c:v>
                </c:pt>
                <c:pt idx="115">
                  <c:v>-1.33169E-3</c:v>
                </c:pt>
                <c:pt idx="116">
                  <c:v>-1.40912E-3</c:v>
                </c:pt>
                <c:pt idx="117">
                  <c:v>-1.3996799999999999E-3</c:v>
                </c:pt>
                <c:pt idx="118">
                  <c:v>-1.47668E-3</c:v>
                </c:pt>
                <c:pt idx="119">
                  <c:v>-1.39459E-3</c:v>
                </c:pt>
                <c:pt idx="120">
                  <c:v>-1.4184099999999999E-3</c:v>
                </c:pt>
                <c:pt idx="121">
                  <c:v>-1.51323E-3</c:v>
                </c:pt>
                <c:pt idx="122">
                  <c:v>-1.4750500000000001E-3</c:v>
                </c:pt>
                <c:pt idx="123">
                  <c:v>-1.42739E-3</c:v>
                </c:pt>
                <c:pt idx="124">
                  <c:v>-1.41362E-3</c:v>
                </c:pt>
                <c:pt idx="125">
                  <c:v>-1.44915E-3</c:v>
                </c:pt>
                <c:pt idx="126">
                  <c:v>-1.4812200000000001E-3</c:v>
                </c:pt>
                <c:pt idx="127">
                  <c:v>-1.49777E-3</c:v>
                </c:pt>
                <c:pt idx="128">
                  <c:v>-1.5051699999999999E-3</c:v>
                </c:pt>
                <c:pt idx="129">
                  <c:v>-1.4601200000000001E-3</c:v>
                </c:pt>
                <c:pt idx="130">
                  <c:v>-1.49781E-3</c:v>
                </c:pt>
                <c:pt idx="131">
                  <c:v>-1.55208E-3</c:v>
                </c:pt>
                <c:pt idx="132">
                  <c:v>-1.4343299999999999E-3</c:v>
                </c:pt>
                <c:pt idx="133">
                  <c:v>-1.50107E-3</c:v>
                </c:pt>
                <c:pt idx="134">
                  <c:v>-1.5226700000000001E-3</c:v>
                </c:pt>
                <c:pt idx="135">
                  <c:v>-1.5752800000000001E-3</c:v>
                </c:pt>
                <c:pt idx="136">
                  <c:v>-1.6385799999999999E-3</c:v>
                </c:pt>
                <c:pt idx="137">
                  <c:v>-1.5946700000000001E-3</c:v>
                </c:pt>
                <c:pt idx="138">
                  <c:v>-1.54469E-3</c:v>
                </c:pt>
                <c:pt idx="139">
                  <c:v>-1.61684E-3</c:v>
                </c:pt>
                <c:pt idx="140">
                  <c:v>-1.56101E-3</c:v>
                </c:pt>
                <c:pt idx="141">
                  <c:v>-1.62116E-3</c:v>
                </c:pt>
                <c:pt idx="142">
                  <c:v>-1.5990900000000001E-3</c:v>
                </c:pt>
                <c:pt idx="143">
                  <c:v>-1.6188000000000001E-3</c:v>
                </c:pt>
                <c:pt idx="144">
                  <c:v>-1.6621400000000001E-3</c:v>
                </c:pt>
                <c:pt idx="145">
                  <c:v>-1.60261E-3</c:v>
                </c:pt>
                <c:pt idx="146">
                  <c:v>-1.6239500000000001E-3</c:v>
                </c:pt>
                <c:pt idx="147">
                  <c:v>-1.5891499999999999E-3</c:v>
                </c:pt>
                <c:pt idx="148">
                  <c:v>-1.6087499999999999E-3</c:v>
                </c:pt>
                <c:pt idx="149">
                  <c:v>-1.637E-3</c:v>
                </c:pt>
                <c:pt idx="150">
                  <c:v>-1.68173E-3</c:v>
                </c:pt>
                <c:pt idx="151">
                  <c:v>-1.56909E-3</c:v>
                </c:pt>
                <c:pt idx="152">
                  <c:v>-1.5854899999999999E-3</c:v>
                </c:pt>
                <c:pt idx="153">
                  <c:v>-1.65468E-3</c:v>
                </c:pt>
                <c:pt idx="154">
                  <c:v>-1.6651299999999999E-3</c:v>
                </c:pt>
                <c:pt idx="155">
                  <c:v>-1.6925600000000001E-3</c:v>
                </c:pt>
                <c:pt idx="156">
                  <c:v>-1.6173299999999999E-3</c:v>
                </c:pt>
                <c:pt idx="157">
                  <c:v>-1.7600999999999999E-3</c:v>
                </c:pt>
                <c:pt idx="158">
                  <c:v>-1.70576E-3</c:v>
                </c:pt>
                <c:pt idx="159">
                  <c:v>-1.6453699999999999E-3</c:v>
                </c:pt>
                <c:pt idx="160">
                  <c:v>-1.75286E-3</c:v>
                </c:pt>
                <c:pt idx="161">
                  <c:v>-1.7199699999999999E-3</c:v>
                </c:pt>
                <c:pt idx="162">
                  <c:v>-1.7401700000000001E-3</c:v>
                </c:pt>
                <c:pt idx="163">
                  <c:v>-1.61304E-3</c:v>
                </c:pt>
                <c:pt idx="164">
                  <c:v>-1.6369399999999999E-3</c:v>
                </c:pt>
                <c:pt idx="165">
                  <c:v>-1.81072E-3</c:v>
                </c:pt>
                <c:pt idx="166">
                  <c:v>-1.7613100000000001E-3</c:v>
                </c:pt>
                <c:pt idx="167">
                  <c:v>-1.8078199999999999E-3</c:v>
                </c:pt>
                <c:pt idx="168">
                  <c:v>-1.7695600000000001E-3</c:v>
                </c:pt>
                <c:pt idx="169">
                  <c:v>-1.84158E-3</c:v>
                </c:pt>
                <c:pt idx="170">
                  <c:v>-1.86936E-3</c:v>
                </c:pt>
                <c:pt idx="171">
                  <c:v>-1.8121299999999999E-3</c:v>
                </c:pt>
                <c:pt idx="172">
                  <c:v>-1.7745899999999999E-3</c:v>
                </c:pt>
                <c:pt idx="173">
                  <c:v>-1.78561E-3</c:v>
                </c:pt>
                <c:pt idx="174">
                  <c:v>-1.77472E-3</c:v>
                </c:pt>
                <c:pt idx="175">
                  <c:v>-1.8179699999999999E-3</c:v>
                </c:pt>
                <c:pt idx="176">
                  <c:v>-1.8808799999999999E-3</c:v>
                </c:pt>
                <c:pt idx="177">
                  <c:v>-1.92421E-3</c:v>
                </c:pt>
                <c:pt idx="178">
                  <c:v>-1.8844300000000001E-3</c:v>
                </c:pt>
                <c:pt idx="179">
                  <c:v>-1.78571E-3</c:v>
                </c:pt>
                <c:pt idx="180">
                  <c:v>-1.9652300000000001E-3</c:v>
                </c:pt>
                <c:pt idx="181">
                  <c:v>-1.90701E-3</c:v>
                </c:pt>
                <c:pt idx="182">
                  <c:v>-1.92469E-3</c:v>
                </c:pt>
                <c:pt idx="183">
                  <c:v>-1.8872299999999999E-3</c:v>
                </c:pt>
                <c:pt idx="184">
                  <c:v>-1.91186E-3</c:v>
                </c:pt>
                <c:pt idx="185">
                  <c:v>-1.9612900000000001E-3</c:v>
                </c:pt>
                <c:pt idx="186">
                  <c:v>-1.93808E-3</c:v>
                </c:pt>
                <c:pt idx="187">
                  <c:v>-1.9033699999999999E-3</c:v>
                </c:pt>
                <c:pt idx="188">
                  <c:v>-2.0220899999999998E-3</c:v>
                </c:pt>
                <c:pt idx="189">
                  <c:v>-1.9907599999999998E-3</c:v>
                </c:pt>
                <c:pt idx="190">
                  <c:v>-1.9916700000000001E-3</c:v>
                </c:pt>
                <c:pt idx="191">
                  <c:v>-1.9849799999999999E-3</c:v>
                </c:pt>
                <c:pt idx="192">
                  <c:v>-1.9695699999999999E-3</c:v>
                </c:pt>
                <c:pt idx="193">
                  <c:v>-1.9692400000000001E-3</c:v>
                </c:pt>
                <c:pt idx="194">
                  <c:v>-1.9910499999999999E-3</c:v>
                </c:pt>
                <c:pt idx="195">
                  <c:v>-2.0665000000000002E-3</c:v>
                </c:pt>
                <c:pt idx="196">
                  <c:v>-2.05938E-3</c:v>
                </c:pt>
                <c:pt idx="197">
                  <c:v>-1.95751E-3</c:v>
                </c:pt>
                <c:pt idx="198">
                  <c:v>-2.0311999999999999E-3</c:v>
                </c:pt>
                <c:pt idx="199">
                  <c:v>-2.0395999999999999E-3</c:v>
                </c:pt>
                <c:pt idx="200">
                  <c:v>-2.0551699999999998E-3</c:v>
                </c:pt>
                <c:pt idx="201">
                  <c:v>-2.0775300000000002E-3</c:v>
                </c:pt>
                <c:pt idx="202">
                  <c:v>-2.0993700000000001E-3</c:v>
                </c:pt>
                <c:pt idx="203">
                  <c:v>-2.0487600000000002E-3</c:v>
                </c:pt>
                <c:pt idx="204">
                  <c:v>-2.11122E-3</c:v>
                </c:pt>
                <c:pt idx="205">
                  <c:v>-2.0579600000000002E-3</c:v>
                </c:pt>
                <c:pt idx="206">
                  <c:v>-2.0848400000000001E-3</c:v>
                </c:pt>
                <c:pt idx="207">
                  <c:v>-2.17403E-3</c:v>
                </c:pt>
                <c:pt idx="208">
                  <c:v>-2.0934700000000001E-3</c:v>
                </c:pt>
                <c:pt idx="209">
                  <c:v>-2.12042E-3</c:v>
                </c:pt>
                <c:pt idx="210">
                  <c:v>-2.1246400000000001E-3</c:v>
                </c:pt>
                <c:pt idx="211">
                  <c:v>-2.09392E-3</c:v>
                </c:pt>
                <c:pt idx="212">
                  <c:v>-2.2052999999999999E-3</c:v>
                </c:pt>
                <c:pt idx="213">
                  <c:v>-2.1777900000000002E-3</c:v>
                </c:pt>
                <c:pt idx="214">
                  <c:v>-2.14408E-3</c:v>
                </c:pt>
                <c:pt idx="215">
                  <c:v>-2.1863299999999998E-3</c:v>
                </c:pt>
                <c:pt idx="216">
                  <c:v>-2.1799800000000002E-3</c:v>
                </c:pt>
                <c:pt idx="217">
                  <c:v>-2.1812400000000001E-3</c:v>
                </c:pt>
                <c:pt idx="218">
                  <c:v>-2.2112299999999998E-3</c:v>
                </c:pt>
                <c:pt idx="219">
                  <c:v>-2.2631399999999999E-3</c:v>
                </c:pt>
                <c:pt idx="220">
                  <c:v>-2.2187299999999999E-3</c:v>
                </c:pt>
                <c:pt idx="221">
                  <c:v>-2.17578E-3</c:v>
                </c:pt>
                <c:pt idx="222">
                  <c:v>-2.1878700000000002E-3</c:v>
                </c:pt>
                <c:pt idx="223">
                  <c:v>-2.19637E-3</c:v>
                </c:pt>
                <c:pt idx="224">
                  <c:v>-2.2959299999999998E-3</c:v>
                </c:pt>
                <c:pt idx="225">
                  <c:v>-2.2155999999999999E-3</c:v>
                </c:pt>
                <c:pt idx="226">
                  <c:v>-2.2938899999999998E-3</c:v>
                </c:pt>
                <c:pt idx="227">
                  <c:v>-2.3325899999999998E-3</c:v>
                </c:pt>
                <c:pt idx="228">
                  <c:v>-2.29736E-3</c:v>
                </c:pt>
                <c:pt idx="229">
                  <c:v>-2.3038199999999998E-3</c:v>
                </c:pt>
                <c:pt idx="230">
                  <c:v>-2.2635300000000001E-3</c:v>
                </c:pt>
                <c:pt idx="231">
                  <c:v>-2.2269500000000001E-3</c:v>
                </c:pt>
                <c:pt idx="232">
                  <c:v>-2.2755800000000001E-3</c:v>
                </c:pt>
                <c:pt idx="233">
                  <c:v>-2.3312200000000002E-3</c:v>
                </c:pt>
                <c:pt idx="234">
                  <c:v>-2.29948E-3</c:v>
                </c:pt>
                <c:pt idx="235">
                  <c:v>-2.2710400000000002E-3</c:v>
                </c:pt>
                <c:pt idx="236">
                  <c:v>-2.2692599999999999E-3</c:v>
                </c:pt>
                <c:pt idx="237">
                  <c:v>-2.3609799999999999E-3</c:v>
                </c:pt>
                <c:pt idx="238">
                  <c:v>-2.3599099999999998E-3</c:v>
                </c:pt>
                <c:pt idx="239">
                  <c:v>-2.3319999999999999E-3</c:v>
                </c:pt>
                <c:pt idx="240">
                  <c:v>-2.3590299999999998E-3</c:v>
                </c:pt>
                <c:pt idx="241">
                  <c:v>-2.40209E-3</c:v>
                </c:pt>
                <c:pt idx="242">
                  <c:v>-2.4362400000000001E-3</c:v>
                </c:pt>
                <c:pt idx="243">
                  <c:v>-2.4191500000000001E-3</c:v>
                </c:pt>
                <c:pt idx="244">
                  <c:v>-2.3648699999999998E-3</c:v>
                </c:pt>
                <c:pt idx="245">
                  <c:v>-2.4873500000000002E-3</c:v>
                </c:pt>
                <c:pt idx="246">
                  <c:v>-2.3989100000000002E-3</c:v>
                </c:pt>
                <c:pt idx="247">
                  <c:v>-2.4134E-3</c:v>
                </c:pt>
                <c:pt idx="248">
                  <c:v>-2.4342600000000002E-3</c:v>
                </c:pt>
                <c:pt idx="249">
                  <c:v>-2.5382999999999998E-3</c:v>
                </c:pt>
                <c:pt idx="250">
                  <c:v>-2.4337600000000001E-3</c:v>
                </c:pt>
                <c:pt idx="251">
                  <c:v>-2.4833699999999999E-3</c:v>
                </c:pt>
                <c:pt idx="252">
                  <c:v>-2.6202700000000001E-3</c:v>
                </c:pt>
                <c:pt idx="253">
                  <c:v>-2.4935600000000001E-3</c:v>
                </c:pt>
                <c:pt idx="254">
                  <c:v>-2.5510099999999998E-3</c:v>
                </c:pt>
                <c:pt idx="255">
                  <c:v>-2.4942499999999999E-3</c:v>
                </c:pt>
                <c:pt idx="256">
                  <c:v>-2.4640199999999999E-3</c:v>
                </c:pt>
                <c:pt idx="257">
                  <c:v>-2.5061599999999999E-3</c:v>
                </c:pt>
                <c:pt idx="258">
                  <c:v>-2.5385799999999999E-3</c:v>
                </c:pt>
                <c:pt idx="259">
                  <c:v>-2.5809800000000001E-3</c:v>
                </c:pt>
                <c:pt idx="260">
                  <c:v>-2.57887E-3</c:v>
                </c:pt>
                <c:pt idx="261">
                  <c:v>-2.49322E-3</c:v>
                </c:pt>
                <c:pt idx="262">
                  <c:v>-2.4549900000000002E-3</c:v>
                </c:pt>
                <c:pt idx="263">
                  <c:v>-2.45144E-3</c:v>
                </c:pt>
                <c:pt idx="264">
                  <c:v>-2.4901300000000001E-3</c:v>
                </c:pt>
                <c:pt idx="265">
                  <c:v>-2.5163E-3</c:v>
                </c:pt>
                <c:pt idx="266">
                  <c:v>-2.5689100000000002E-3</c:v>
                </c:pt>
                <c:pt idx="267">
                  <c:v>-2.55324E-3</c:v>
                </c:pt>
                <c:pt idx="268">
                  <c:v>-2.5756899999999998E-3</c:v>
                </c:pt>
                <c:pt idx="269">
                  <c:v>-2.4791000000000001E-3</c:v>
                </c:pt>
                <c:pt idx="270">
                  <c:v>-2.5258899999999998E-3</c:v>
                </c:pt>
                <c:pt idx="271">
                  <c:v>-2.6641299999999998E-3</c:v>
                </c:pt>
                <c:pt idx="272">
                  <c:v>-2.6448399999999999E-3</c:v>
                </c:pt>
                <c:pt idx="273">
                  <c:v>-2.6889000000000001E-3</c:v>
                </c:pt>
                <c:pt idx="274">
                  <c:v>-2.6083999999999999E-3</c:v>
                </c:pt>
                <c:pt idx="275">
                  <c:v>-2.5527499999999999E-3</c:v>
                </c:pt>
                <c:pt idx="276">
                  <c:v>-2.6999599999999999E-3</c:v>
                </c:pt>
                <c:pt idx="277">
                  <c:v>-2.6407800000000001E-3</c:v>
                </c:pt>
                <c:pt idx="278">
                  <c:v>-2.46394E-3</c:v>
                </c:pt>
                <c:pt idx="279">
                  <c:v>-2.73968E-3</c:v>
                </c:pt>
                <c:pt idx="280">
                  <c:v>-2.87171E-3</c:v>
                </c:pt>
                <c:pt idx="281">
                  <c:v>-2.6755300000000002E-3</c:v>
                </c:pt>
                <c:pt idx="282">
                  <c:v>-2.8299100000000002E-3</c:v>
                </c:pt>
                <c:pt idx="283">
                  <c:v>-2.7238000000000002E-3</c:v>
                </c:pt>
                <c:pt idx="284">
                  <c:v>-2.5787100000000001E-3</c:v>
                </c:pt>
                <c:pt idx="285">
                  <c:v>-2.7778899999999999E-3</c:v>
                </c:pt>
                <c:pt idx="286">
                  <c:v>-2.7514100000000001E-3</c:v>
                </c:pt>
                <c:pt idx="287">
                  <c:v>-2.7384800000000002E-3</c:v>
                </c:pt>
                <c:pt idx="288">
                  <c:v>-2.8080800000000001E-3</c:v>
                </c:pt>
                <c:pt idx="289">
                  <c:v>-2.8460899999999999E-3</c:v>
                </c:pt>
                <c:pt idx="290">
                  <c:v>-2.8095799999999999E-3</c:v>
                </c:pt>
                <c:pt idx="291">
                  <c:v>-2.7265900000000001E-3</c:v>
                </c:pt>
                <c:pt idx="292">
                  <c:v>-2.86316E-3</c:v>
                </c:pt>
                <c:pt idx="293">
                  <c:v>-2.8483499999999999E-3</c:v>
                </c:pt>
                <c:pt idx="294">
                  <c:v>-2.7920000000000002E-3</c:v>
                </c:pt>
                <c:pt idx="295">
                  <c:v>-2.8907899999999999E-3</c:v>
                </c:pt>
                <c:pt idx="296">
                  <c:v>-2.8405000000000001E-3</c:v>
                </c:pt>
                <c:pt idx="297">
                  <c:v>-2.8284199999999999E-3</c:v>
                </c:pt>
                <c:pt idx="298">
                  <c:v>-2.8768399999999999E-3</c:v>
                </c:pt>
                <c:pt idx="299">
                  <c:v>-2.8746700000000002E-3</c:v>
                </c:pt>
                <c:pt idx="300">
                  <c:v>-2.87872E-3</c:v>
                </c:pt>
                <c:pt idx="301">
                  <c:v>-2.8969099999999999E-3</c:v>
                </c:pt>
                <c:pt idx="302">
                  <c:v>-2.88281E-3</c:v>
                </c:pt>
                <c:pt idx="303">
                  <c:v>-2.89522E-3</c:v>
                </c:pt>
                <c:pt idx="304">
                  <c:v>-2.84906E-3</c:v>
                </c:pt>
                <c:pt idx="305">
                  <c:v>-2.96591E-3</c:v>
                </c:pt>
                <c:pt idx="306">
                  <c:v>-2.9036999999999999E-3</c:v>
                </c:pt>
                <c:pt idx="307">
                  <c:v>-2.8775300000000001E-3</c:v>
                </c:pt>
                <c:pt idx="308">
                  <c:v>-2.9604000000000002E-3</c:v>
                </c:pt>
                <c:pt idx="309">
                  <c:v>-2.9539499999999999E-3</c:v>
                </c:pt>
                <c:pt idx="310">
                  <c:v>-2.98964E-3</c:v>
                </c:pt>
                <c:pt idx="311">
                  <c:v>-3.0702400000000001E-3</c:v>
                </c:pt>
                <c:pt idx="312">
                  <c:v>-2.9610600000000002E-3</c:v>
                </c:pt>
                <c:pt idx="313">
                  <c:v>-2.95517E-3</c:v>
                </c:pt>
                <c:pt idx="314">
                  <c:v>-3.04544E-3</c:v>
                </c:pt>
                <c:pt idx="315">
                  <c:v>-2.9522400000000001E-3</c:v>
                </c:pt>
                <c:pt idx="316">
                  <c:v>-3.03871E-3</c:v>
                </c:pt>
                <c:pt idx="317">
                  <c:v>-3.01249E-3</c:v>
                </c:pt>
                <c:pt idx="318">
                  <c:v>-3.0869600000000001E-3</c:v>
                </c:pt>
                <c:pt idx="319">
                  <c:v>-3.0565499999999999E-3</c:v>
                </c:pt>
                <c:pt idx="320">
                  <c:v>-3.10692E-3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8EE3-42BE-8B9C-CB0223D724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0716704"/>
        <c:axId val="370718944"/>
      </c:scatterChart>
      <c:valAx>
        <c:axId val="3707167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70718944"/>
        <c:crosses val="autoZero"/>
        <c:crossBetween val="midCat"/>
      </c:valAx>
      <c:valAx>
        <c:axId val="370718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70716704"/>
        <c:crosses val="autoZero"/>
        <c:crossBetween val="midCat"/>
      </c:valAx>
    </c:plotArea>
    <c:plotVisOnly val="1"/>
    <c:dispBlanksAs val="gap"/>
    <c:showDLblsOverMax val="0"/>
  </c:chart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poison</a:t>
            </a:r>
            <a:r>
              <a:rPr lang="en-US" baseline="0"/>
              <a:t> ratio 2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2.2309711286089238E-5"/>
                  <c:y val="-0.7690277777777777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</c:trendlineLbl>
          </c:trendline>
          <c:xVal>
            <c:numRef>
              <c:f>'L30CPTX-1'!$B$80:$B$400</c:f>
              <c:numCache>
                <c:formatCode>General</c:formatCode>
                <c:ptCount val="321"/>
                <c:pt idx="0">
                  <c:v>1.0605300000000001E-3</c:v>
                </c:pt>
                <c:pt idx="1">
                  <c:v>1.0210200000000001E-3</c:v>
                </c:pt>
                <c:pt idx="2">
                  <c:v>1.0422599999999999E-3</c:v>
                </c:pt>
                <c:pt idx="3">
                  <c:v>1.04126E-3</c:v>
                </c:pt>
                <c:pt idx="4">
                  <c:v>1.09249E-3</c:v>
                </c:pt>
                <c:pt idx="5">
                  <c:v>1.0475899999999999E-3</c:v>
                </c:pt>
                <c:pt idx="6">
                  <c:v>1.1021900000000001E-3</c:v>
                </c:pt>
                <c:pt idx="7">
                  <c:v>1.1206899999999999E-3</c:v>
                </c:pt>
                <c:pt idx="8">
                  <c:v>1.13805E-3</c:v>
                </c:pt>
                <c:pt idx="9">
                  <c:v>1.08946E-3</c:v>
                </c:pt>
                <c:pt idx="10">
                  <c:v>1.1366900000000001E-3</c:v>
                </c:pt>
                <c:pt idx="11">
                  <c:v>1.16238E-3</c:v>
                </c:pt>
                <c:pt idx="12">
                  <c:v>1.1405499999999999E-3</c:v>
                </c:pt>
                <c:pt idx="13">
                  <c:v>1.21363E-3</c:v>
                </c:pt>
                <c:pt idx="14">
                  <c:v>1.2074E-3</c:v>
                </c:pt>
                <c:pt idx="15">
                  <c:v>1.20134E-3</c:v>
                </c:pt>
                <c:pt idx="16">
                  <c:v>1.1898099999999999E-3</c:v>
                </c:pt>
                <c:pt idx="17">
                  <c:v>1.20988E-3</c:v>
                </c:pt>
                <c:pt idx="18">
                  <c:v>1.2444000000000001E-3</c:v>
                </c:pt>
                <c:pt idx="19">
                  <c:v>1.25143E-3</c:v>
                </c:pt>
                <c:pt idx="20">
                  <c:v>1.23178E-3</c:v>
                </c:pt>
                <c:pt idx="21">
                  <c:v>1.2555699999999999E-3</c:v>
                </c:pt>
                <c:pt idx="22">
                  <c:v>1.3069100000000001E-3</c:v>
                </c:pt>
                <c:pt idx="23">
                  <c:v>1.3119099999999999E-3</c:v>
                </c:pt>
                <c:pt idx="24">
                  <c:v>1.29298E-3</c:v>
                </c:pt>
                <c:pt idx="25">
                  <c:v>1.30294E-3</c:v>
                </c:pt>
                <c:pt idx="26">
                  <c:v>1.33183E-3</c:v>
                </c:pt>
                <c:pt idx="27">
                  <c:v>1.3300899999999999E-3</c:v>
                </c:pt>
                <c:pt idx="28">
                  <c:v>1.3077500000000001E-3</c:v>
                </c:pt>
                <c:pt idx="29">
                  <c:v>1.3924199999999999E-3</c:v>
                </c:pt>
                <c:pt idx="30">
                  <c:v>1.36725E-3</c:v>
                </c:pt>
                <c:pt idx="31">
                  <c:v>1.4584999999999999E-3</c:v>
                </c:pt>
                <c:pt idx="32">
                  <c:v>1.43585E-3</c:v>
                </c:pt>
                <c:pt idx="33">
                  <c:v>1.40683E-3</c:v>
                </c:pt>
                <c:pt idx="34">
                  <c:v>1.4278800000000001E-3</c:v>
                </c:pt>
                <c:pt idx="35">
                  <c:v>1.43794E-3</c:v>
                </c:pt>
                <c:pt idx="36">
                  <c:v>1.4544600000000001E-3</c:v>
                </c:pt>
                <c:pt idx="37">
                  <c:v>1.4450699999999999E-3</c:v>
                </c:pt>
                <c:pt idx="38">
                  <c:v>1.41822E-3</c:v>
                </c:pt>
                <c:pt idx="39">
                  <c:v>1.53122E-3</c:v>
                </c:pt>
                <c:pt idx="40">
                  <c:v>1.4820899999999999E-3</c:v>
                </c:pt>
                <c:pt idx="41">
                  <c:v>1.53651E-3</c:v>
                </c:pt>
                <c:pt idx="42">
                  <c:v>1.5200700000000001E-3</c:v>
                </c:pt>
                <c:pt idx="43">
                  <c:v>1.6081100000000001E-3</c:v>
                </c:pt>
                <c:pt idx="44">
                  <c:v>1.52867E-3</c:v>
                </c:pt>
                <c:pt idx="45">
                  <c:v>1.52305E-3</c:v>
                </c:pt>
                <c:pt idx="46">
                  <c:v>1.5728599999999999E-3</c:v>
                </c:pt>
                <c:pt idx="47">
                  <c:v>1.5520200000000001E-3</c:v>
                </c:pt>
                <c:pt idx="48">
                  <c:v>1.5620600000000001E-3</c:v>
                </c:pt>
                <c:pt idx="49">
                  <c:v>1.5784499999999999E-3</c:v>
                </c:pt>
                <c:pt idx="50">
                  <c:v>1.62174E-3</c:v>
                </c:pt>
                <c:pt idx="51">
                  <c:v>1.6366200000000001E-3</c:v>
                </c:pt>
                <c:pt idx="52">
                  <c:v>1.6523E-3</c:v>
                </c:pt>
                <c:pt idx="53">
                  <c:v>1.6885400000000001E-3</c:v>
                </c:pt>
                <c:pt idx="54">
                  <c:v>1.72697E-3</c:v>
                </c:pt>
                <c:pt idx="55">
                  <c:v>1.6619200000000001E-3</c:v>
                </c:pt>
                <c:pt idx="56">
                  <c:v>1.6691500000000001E-3</c:v>
                </c:pt>
                <c:pt idx="57">
                  <c:v>1.75414E-3</c:v>
                </c:pt>
                <c:pt idx="58">
                  <c:v>1.7277099999999999E-3</c:v>
                </c:pt>
                <c:pt idx="59">
                  <c:v>1.74412E-3</c:v>
                </c:pt>
                <c:pt idx="60">
                  <c:v>1.7499600000000001E-3</c:v>
                </c:pt>
                <c:pt idx="61">
                  <c:v>1.74942E-3</c:v>
                </c:pt>
                <c:pt idx="62">
                  <c:v>1.81968E-3</c:v>
                </c:pt>
                <c:pt idx="63">
                  <c:v>1.7634199999999999E-3</c:v>
                </c:pt>
                <c:pt idx="64">
                  <c:v>1.8335000000000001E-3</c:v>
                </c:pt>
                <c:pt idx="65">
                  <c:v>1.84344E-3</c:v>
                </c:pt>
                <c:pt idx="66">
                  <c:v>1.8381700000000001E-3</c:v>
                </c:pt>
                <c:pt idx="67">
                  <c:v>1.8045100000000001E-3</c:v>
                </c:pt>
                <c:pt idx="68">
                  <c:v>1.8770900000000001E-3</c:v>
                </c:pt>
                <c:pt idx="69">
                  <c:v>1.89003E-3</c:v>
                </c:pt>
                <c:pt idx="70">
                  <c:v>1.83073E-3</c:v>
                </c:pt>
                <c:pt idx="71">
                  <c:v>1.9843199999999999E-3</c:v>
                </c:pt>
                <c:pt idx="72">
                  <c:v>1.9057900000000001E-3</c:v>
                </c:pt>
                <c:pt idx="73">
                  <c:v>1.92946E-3</c:v>
                </c:pt>
                <c:pt idx="74">
                  <c:v>1.95392E-3</c:v>
                </c:pt>
                <c:pt idx="75">
                  <c:v>2.00285E-3</c:v>
                </c:pt>
                <c:pt idx="76">
                  <c:v>2.0514800000000001E-3</c:v>
                </c:pt>
                <c:pt idx="77">
                  <c:v>1.99315E-3</c:v>
                </c:pt>
                <c:pt idx="78">
                  <c:v>1.9773400000000002E-3</c:v>
                </c:pt>
                <c:pt idx="79">
                  <c:v>2.0371399999999998E-3</c:v>
                </c:pt>
                <c:pt idx="80">
                  <c:v>1.99533E-3</c:v>
                </c:pt>
                <c:pt idx="81">
                  <c:v>2.0384999999999999E-3</c:v>
                </c:pt>
                <c:pt idx="82">
                  <c:v>2.0640799999999998E-3</c:v>
                </c:pt>
                <c:pt idx="83">
                  <c:v>2.1091299999999999E-3</c:v>
                </c:pt>
                <c:pt idx="84">
                  <c:v>2.1093499999999999E-3</c:v>
                </c:pt>
                <c:pt idx="85">
                  <c:v>2.1334800000000001E-3</c:v>
                </c:pt>
                <c:pt idx="86">
                  <c:v>2.1292099999999999E-3</c:v>
                </c:pt>
                <c:pt idx="87">
                  <c:v>2.1557299999999998E-3</c:v>
                </c:pt>
                <c:pt idx="88">
                  <c:v>2.19688E-3</c:v>
                </c:pt>
                <c:pt idx="89">
                  <c:v>2.1843499999999998E-3</c:v>
                </c:pt>
                <c:pt idx="90">
                  <c:v>2.1895E-3</c:v>
                </c:pt>
                <c:pt idx="91">
                  <c:v>2.1531699999999998E-3</c:v>
                </c:pt>
                <c:pt idx="92">
                  <c:v>2.1664800000000001E-3</c:v>
                </c:pt>
                <c:pt idx="93">
                  <c:v>2.19959E-3</c:v>
                </c:pt>
                <c:pt idx="94">
                  <c:v>2.22134E-3</c:v>
                </c:pt>
                <c:pt idx="95">
                  <c:v>2.2410899999999998E-3</c:v>
                </c:pt>
                <c:pt idx="96">
                  <c:v>2.27158E-3</c:v>
                </c:pt>
                <c:pt idx="97">
                  <c:v>2.2531299999999999E-3</c:v>
                </c:pt>
                <c:pt idx="98">
                  <c:v>2.3222300000000002E-3</c:v>
                </c:pt>
                <c:pt idx="99">
                  <c:v>2.3449E-3</c:v>
                </c:pt>
                <c:pt idx="100">
                  <c:v>2.2830799999999998E-3</c:v>
                </c:pt>
                <c:pt idx="101">
                  <c:v>2.3414099999999999E-3</c:v>
                </c:pt>
                <c:pt idx="102">
                  <c:v>2.3640800000000002E-3</c:v>
                </c:pt>
                <c:pt idx="103">
                  <c:v>2.36841E-3</c:v>
                </c:pt>
                <c:pt idx="104">
                  <c:v>2.3957200000000001E-3</c:v>
                </c:pt>
                <c:pt idx="105">
                  <c:v>2.4069199999999999E-3</c:v>
                </c:pt>
                <c:pt idx="106">
                  <c:v>2.5117999999999998E-3</c:v>
                </c:pt>
                <c:pt idx="107">
                  <c:v>2.3272100000000001E-3</c:v>
                </c:pt>
                <c:pt idx="108">
                  <c:v>2.4439900000000001E-3</c:v>
                </c:pt>
                <c:pt idx="109">
                  <c:v>2.43428E-3</c:v>
                </c:pt>
                <c:pt idx="110">
                  <c:v>2.4714799999999999E-3</c:v>
                </c:pt>
                <c:pt idx="111">
                  <c:v>2.48628E-3</c:v>
                </c:pt>
                <c:pt idx="112">
                  <c:v>2.5304300000000002E-3</c:v>
                </c:pt>
                <c:pt idx="113">
                  <c:v>2.55091E-3</c:v>
                </c:pt>
                <c:pt idx="114">
                  <c:v>2.53996E-3</c:v>
                </c:pt>
                <c:pt idx="115">
                  <c:v>2.56288E-3</c:v>
                </c:pt>
                <c:pt idx="116">
                  <c:v>2.5533600000000002E-3</c:v>
                </c:pt>
                <c:pt idx="117">
                  <c:v>2.5601899999999999E-3</c:v>
                </c:pt>
                <c:pt idx="118">
                  <c:v>2.5394100000000002E-3</c:v>
                </c:pt>
                <c:pt idx="119">
                  <c:v>2.5865300000000001E-3</c:v>
                </c:pt>
                <c:pt idx="120">
                  <c:v>2.6028499999999999E-3</c:v>
                </c:pt>
                <c:pt idx="121">
                  <c:v>2.6136800000000002E-3</c:v>
                </c:pt>
                <c:pt idx="122">
                  <c:v>2.5925499999999999E-3</c:v>
                </c:pt>
                <c:pt idx="123">
                  <c:v>2.6552099999999999E-3</c:v>
                </c:pt>
                <c:pt idx="124">
                  <c:v>2.6301900000000001E-3</c:v>
                </c:pt>
                <c:pt idx="125">
                  <c:v>2.7014500000000002E-3</c:v>
                </c:pt>
                <c:pt idx="126">
                  <c:v>2.6400299999999998E-3</c:v>
                </c:pt>
                <c:pt idx="127">
                  <c:v>2.6669300000000001E-3</c:v>
                </c:pt>
                <c:pt idx="128">
                  <c:v>2.6755899999999998E-3</c:v>
                </c:pt>
                <c:pt idx="129">
                  <c:v>2.7177799999999999E-3</c:v>
                </c:pt>
                <c:pt idx="130">
                  <c:v>2.7246100000000001E-3</c:v>
                </c:pt>
                <c:pt idx="131">
                  <c:v>2.7347999999999999E-3</c:v>
                </c:pt>
                <c:pt idx="132">
                  <c:v>2.7812700000000002E-3</c:v>
                </c:pt>
                <c:pt idx="133">
                  <c:v>2.7709700000000002E-3</c:v>
                </c:pt>
                <c:pt idx="134">
                  <c:v>2.7992099999999999E-3</c:v>
                </c:pt>
                <c:pt idx="135">
                  <c:v>2.74566E-3</c:v>
                </c:pt>
                <c:pt idx="136">
                  <c:v>2.8195500000000001E-3</c:v>
                </c:pt>
                <c:pt idx="137">
                  <c:v>2.83498E-3</c:v>
                </c:pt>
                <c:pt idx="138">
                  <c:v>2.8823899999999999E-3</c:v>
                </c:pt>
                <c:pt idx="139">
                  <c:v>2.8818699999999999E-3</c:v>
                </c:pt>
                <c:pt idx="140">
                  <c:v>2.9006399999999999E-3</c:v>
                </c:pt>
                <c:pt idx="141">
                  <c:v>2.8820199999999999E-3</c:v>
                </c:pt>
                <c:pt idx="142">
                  <c:v>2.9030100000000001E-3</c:v>
                </c:pt>
                <c:pt idx="143">
                  <c:v>2.9048899999999998E-3</c:v>
                </c:pt>
                <c:pt idx="144">
                  <c:v>2.8873599999999998E-3</c:v>
                </c:pt>
                <c:pt idx="145">
                  <c:v>2.9688200000000001E-3</c:v>
                </c:pt>
                <c:pt idx="146">
                  <c:v>2.94896E-3</c:v>
                </c:pt>
                <c:pt idx="147">
                  <c:v>3.0084700000000001E-3</c:v>
                </c:pt>
                <c:pt idx="148">
                  <c:v>2.9885799999999998E-3</c:v>
                </c:pt>
                <c:pt idx="149">
                  <c:v>2.97109E-3</c:v>
                </c:pt>
                <c:pt idx="150">
                  <c:v>2.9739900000000001E-3</c:v>
                </c:pt>
                <c:pt idx="151">
                  <c:v>2.9833300000000002E-3</c:v>
                </c:pt>
                <c:pt idx="152">
                  <c:v>3.02959E-3</c:v>
                </c:pt>
                <c:pt idx="153">
                  <c:v>3.0313699999999998E-3</c:v>
                </c:pt>
                <c:pt idx="154">
                  <c:v>3.0627699999999998E-3</c:v>
                </c:pt>
                <c:pt idx="155">
                  <c:v>3.1225200000000002E-3</c:v>
                </c:pt>
                <c:pt idx="156">
                  <c:v>3.0575200000000002E-3</c:v>
                </c:pt>
                <c:pt idx="157">
                  <c:v>3.0617299999999999E-3</c:v>
                </c:pt>
                <c:pt idx="158">
                  <c:v>3.0907600000000001E-3</c:v>
                </c:pt>
                <c:pt idx="159">
                  <c:v>3.13416E-3</c:v>
                </c:pt>
                <c:pt idx="160">
                  <c:v>3.0949300000000001E-3</c:v>
                </c:pt>
                <c:pt idx="161">
                  <c:v>3.18607E-3</c:v>
                </c:pt>
                <c:pt idx="162">
                  <c:v>3.1521800000000001E-3</c:v>
                </c:pt>
                <c:pt idx="163">
                  <c:v>3.2437500000000001E-3</c:v>
                </c:pt>
                <c:pt idx="164">
                  <c:v>3.1568899999999999E-3</c:v>
                </c:pt>
                <c:pt idx="165">
                  <c:v>3.1321700000000001E-3</c:v>
                </c:pt>
                <c:pt idx="166">
                  <c:v>3.3207599999999999E-3</c:v>
                </c:pt>
                <c:pt idx="167">
                  <c:v>3.2896399999999999E-3</c:v>
                </c:pt>
                <c:pt idx="168">
                  <c:v>3.2268700000000002E-3</c:v>
                </c:pt>
                <c:pt idx="169">
                  <c:v>3.27823E-3</c:v>
                </c:pt>
                <c:pt idx="170">
                  <c:v>3.2545600000000001E-3</c:v>
                </c:pt>
                <c:pt idx="171">
                  <c:v>3.2471000000000002E-3</c:v>
                </c:pt>
                <c:pt idx="172">
                  <c:v>3.3409099999999999E-3</c:v>
                </c:pt>
                <c:pt idx="173">
                  <c:v>3.3467000000000002E-3</c:v>
                </c:pt>
                <c:pt idx="174">
                  <c:v>3.3284600000000001E-3</c:v>
                </c:pt>
                <c:pt idx="175">
                  <c:v>3.34221E-3</c:v>
                </c:pt>
                <c:pt idx="176">
                  <c:v>3.3172599999999998E-3</c:v>
                </c:pt>
                <c:pt idx="177">
                  <c:v>3.3352500000000001E-3</c:v>
                </c:pt>
                <c:pt idx="178">
                  <c:v>3.4100900000000002E-3</c:v>
                </c:pt>
                <c:pt idx="179">
                  <c:v>3.4442600000000002E-3</c:v>
                </c:pt>
                <c:pt idx="180">
                  <c:v>3.3835499999999999E-3</c:v>
                </c:pt>
                <c:pt idx="181">
                  <c:v>3.4268699999999998E-3</c:v>
                </c:pt>
                <c:pt idx="182">
                  <c:v>3.4375400000000002E-3</c:v>
                </c:pt>
                <c:pt idx="183">
                  <c:v>3.4807000000000002E-3</c:v>
                </c:pt>
                <c:pt idx="184">
                  <c:v>3.4302099999999999E-3</c:v>
                </c:pt>
                <c:pt idx="185">
                  <c:v>3.4537600000000002E-3</c:v>
                </c:pt>
                <c:pt idx="186">
                  <c:v>3.50615E-3</c:v>
                </c:pt>
                <c:pt idx="187">
                  <c:v>3.4914199999999999E-3</c:v>
                </c:pt>
                <c:pt idx="188">
                  <c:v>3.5087400000000002E-3</c:v>
                </c:pt>
                <c:pt idx="189">
                  <c:v>3.5606000000000001E-3</c:v>
                </c:pt>
                <c:pt idx="190">
                  <c:v>3.5525299999999999E-3</c:v>
                </c:pt>
                <c:pt idx="191">
                  <c:v>3.53659E-3</c:v>
                </c:pt>
                <c:pt idx="192">
                  <c:v>3.5537899999999998E-3</c:v>
                </c:pt>
                <c:pt idx="193">
                  <c:v>3.6052300000000001E-3</c:v>
                </c:pt>
                <c:pt idx="194">
                  <c:v>3.5992099999999998E-3</c:v>
                </c:pt>
                <c:pt idx="195">
                  <c:v>3.61444E-3</c:v>
                </c:pt>
                <c:pt idx="196">
                  <c:v>3.6465500000000001E-3</c:v>
                </c:pt>
                <c:pt idx="197">
                  <c:v>3.6487199999999998E-3</c:v>
                </c:pt>
                <c:pt idx="198">
                  <c:v>3.6407200000000001E-3</c:v>
                </c:pt>
                <c:pt idx="199">
                  <c:v>3.6826200000000002E-3</c:v>
                </c:pt>
                <c:pt idx="200">
                  <c:v>3.6846600000000002E-3</c:v>
                </c:pt>
                <c:pt idx="201">
                  <c:v>3.6934400000000001E-3</c:v>
                </c:pt>
                <c:pt idx="202">
                  <c:v>3.7267799999999998E-3</c:v>
                </c:pt>
                <c:pt idx="203">
                  <c:v>3.68893E-3</c:v>
                </c:pt>
                <c:pt idx="204">
                  <c:v>3.75319E-3</c:v>
                </c:pt>
                <c:pt idx="205">
                  <c:v>3.7119200000000001E-3</c:v>
                </c:pt>
                <c:pt idx="206">
                  <c:v>3.8036099999999998E-3</c:v>
                </c:pt>
                <c:pt idx="207">
                  <c:v>3.7385999999999999E-3</c:v>
                </c:pt>
                <c:pt idx="208">
                  <c:v>3.7885599999999998E-3</c:v>
                </c:pt>
                <c:pt idx="209">
                  <c:v>3.7863300000000001E-3</c:v>
                </c:pt>
                <c:pt idx="210">
                  <c:v>3.8005600000000001E-3</c:v>
                </c:pt>
                <c:pt idx="211">
                  <c:v>3.8685199999999999E-3</c:v>
                </c:pt>
                <c:pt idx="212">
                  <c:v>3.82746E-3</c:v>
                </c:pt>
                <c:pt idx="213">
                  <c:v>3.8463500000000001E-3</c:v>
                </c:pt>
                <c:pt idx="214">
                  <c:v>3.8622299999999999E-3</c:v>
                </c:pt>
                <c:pt idx="215">
                  <c:v>3.8535499999999999E-3</c:v>
                </c:pt>
                <c:pt idx="216">
                  <c:v>3.9025700000000002E-3</c:v>
                </c:pt>
                <c:pt idx="217">
                  <c:v>3.9437500000000002E-3</c:v>
                </c:pt>
                <c:pt idx="218">
                  <c:v>3.8466799999999999E-3</c:v>
                </c:pt>
                <c:pt idx="219">
                  <c:v>3.92071E-3</c:v>
                </c:pt>
                <c:pt idx="220">
                  <c:v>3.9385599999999998E-3</c:v>
                </c:pt>
                <c:pt idx="221">
                  <c:v>4.0127299999999999E-3</c:v>
                </c:pt>
                <c:pt idx="222">
                  <c:v>3.9599500000000003E-3</c:v>
                </c:pt>
                <c:pt idx="223">
                  <c:v>4.0390799999999996E-3</c:v>
                </c:pt>
                <c:pt idx="224">
                  <c:v>4.0330899999999996E-3</c:v>
                </c:pt>
                <c:pt idx="225">
                  <c:v>3.9901499999999996E-3</c:v>
                </c:pt>
                <c:pt idx="226">
                  <c:v>4.0886999999999998E-3</c:v>
                </c:pt>
                <c:pt idx="227">
                  <c:v>4.0226200000000002E-3</c:v>
                </c:pt>
                <c:pt idx="228">
                  <c:v>4.0851500000000001E-3</c:v>
                </c:pt>
                <c:pt idx="229">
                  <c:v>4.0321300000000001E-3</c:v>
                </c:pt>
                <c:pt idx="230">
                  <c:v>4.0367199999999997E-3</c:v>
                </c:pt>
                <c:pt idx="231">
                  <c:v>4.1013899999999999E-3</c:v>
                </c:pt>
                <c:pt idx="232">
                  <c:v>4.1518299999999996E-3</c:v>
                </c:pt>
                <c:pt idx="233">
                  <c:v>4.1144399999999996E-3</c:v>
                </c:pt>
                <c:pt idx="234">
                  <c:v>4.1488000000000002E-3</c:v>
                </c:pt>
                <c:pt idx="235">
                  <c:v>4.1476100000000004E-3</c:v>
                </c:pt>
                <c:pt idx="236">
                  <c:v>4.1765099999999996E-3</c:v>
                </c:pt>
                <c:pt idx="237">
                  <c:v>4.1687900000000003E-3</c:v>
                </c:pt>
                <c:pt idx="238">
                  <c:v>4.1980000000000003E-3</c:v>
                </c:pt>
                <c:pt idx="239">
                  <c:v>4.2448199999999998E-3</c:v>
                </c:pt>
                <c:pt idx="240">
                  <c:v>4.2260900000000001E-3</c:v>
                </c:pt>
                <c:pt idx="241">
                  <c:v>4.2291400000000002E-3</c:v>
                </c:pt>
                <c:pt idx="242">
                  <c:v>4.2675999999999999E-3</c:v>
                </c:pt>
                <c:pt idx="243">
                  <c:v>4.2802400000000003E-3</c:v>
                </c:pt>
                <c:pt idx="244">
                  <c:v>4.3020000000000003E-3</c:v>
                </c:pt>
                <c:pt idx="245">
                  <c:v>4.2926600000000002E-3</c:v>
                </c:pt>
                <c:pt idx="246">
                  <c:v>4.2836799999999998E-3</c:v>
                </c:pt>
                <c:pt idx="247">
                  <c:v>4.2678899999999999E-3</c:v>
                </c:pt>
                <c:pt idx="248">
                  <c:v>4.2818600000000002E-3</c:v>
                </c:pt>
                <c:pt idx="249">
                  <c:v>4.3231700000000003E-3</c:v>
                </c:pt>
                <c:pt idx="250">
                  <c:v>4.3344999999999998E-3</c:v>
                </c:pt>
                <c:pt idx="251">
                  <c:v>4.3814600000000002E-3</c:v>
                </c:pt>
                <c:pt idx="252">
                  <c:v>4.37916E-3</c:v>
                </c:pt>
                <c:pt idx="253">
                  <c:v>4.4809400000000001E-3</c:v>
                </c:pt>
                <c:pt idx="254">
                  <c:v>4.4301499999999999E-3</c:v>
                </c:pt>
                <c:pt idx="255">
                  <c:v>4.4081499999999996E-3</c:v>
                </c:pt>
                <c:pt idx="256">
                  <c:v>4.4459399999999998E-3</c:v>
                </c:pt>
                <c:pt idx="257">
                  <c:v>4.4529399999999998E-3</c:v>
                </c:pt>
                <c:pt idx="258">
                  <c:v>4.45978E-3</c:v>
                </c:pt>
                <c:pt idx="259">
                  <c:v>4.5069899999999998E-3</c:v>
                </c:pt>
                <c:pt idx="260">
                  <c:v>4.4684900000000003E-3</c:v>
                </c:pt>
                <c:pt idx="261">
                  <c:v>4.5616600000000004E-3</c:v>
                </c:pt>
                <c:pt idx="262">
                  <c:v>4.5773000000000003E-3</c:v>
                </c:pt>
                <c:pt idx="263">
                  <c:v>4.5551000000000003E-3</c:v>
                </c:pt>
                <c:pt idx="264">
                  <c:v>4.5884400000000001E-3</c:v>
                </c:pt>
                <c:pt idx="265">
                  <c:v>4.5797499999999996E-3</c:v>
                </c:pt>
                <c:pt idx="266">
                  <c:v>4.5745899999999999E-3</c:v>
                </c:pt>
                <c:pt idx="267">
                  <c:v>4.6470799999999996E-3</c:v>
                </c:pt>
                <c:pt idx="268">
                  <c:v>4.6283799999999996E-3</c:v>
                </c:pt>
                <c:pt idx="269">
                  <c:v>4.66951E-3</c:v>
                </c:pt>
                <c:pt idx="270">
                  <c:v>4.6495E-3</c:v>
                </c:pt>
                <c:pt idx="271">
                  <c:v>4.64511E-3</c:v>
                </c:pt>
                <c:pt idx="272">
                  <c:v>4.6938600000000002E-3</c:v>
                </c:pt>
                <c:pt idx="273">
                  <c:v>4.6669600000000004E-3</c:v>
                </c:pt>
                <c:pt idx="274">
                  <c:v>4.6598500000000001E-3</c:v>
                </c:pt>
                <c:pt idx="275">
                  <c:v>4.7081299999999996E-3</c:v>
                </c:pt>
                <c:pt idx="276">
                  <c:v>4.7287500000000003E-3</c:v>
                </c:pt>
                <c:pt idx="277">
                  <c:v>4.6553699999999998E-3</c:v>
                </c:pt>
                <c:pt idx="278">
                  <c:v>4.7838100000000003E-3</c:v>
                </c:pt>
                <c:pt idx="279">
                  <c:v>4.6632899999999996E-3</c:v>
                </c:pt>
                <c:pt idx="280">
                  <c:v>4.6983299999999997E-3</c:v>
                </c:pt>
                <c:pt idx="281">
                  <c:v>4.7272800000000004E-3</c:v>
                </c:pt>
                <c:pt idx="282">
                  <c:v>4.7264000000000004E-3</c:v>
                </c:pt>
                <c:pt idx="283">
                  <c:v>4.79E-3</c:v>
                </c:pt>
                <c:pt idx="284">
                  <c:v>4.7893500000000004E-3</c:v>
                </c:pt>
                <c:pt idx="285">
                  <c:v>4.77743E-3</c:v>
                </c:pt>
                <c:pt idx="286">
                  <c:v>4.7646900000000002E-3</c:v>
                </c:pt>
                <c:pt idx="287">
                  <c:v>4.8353500000000004E-3</c:v>
                </c:pt>
                <c:pt idx="288">
                  <c:v>4.8319799999999996E-3</c:v>
                </c:pt>
                <c:pt idx="289">
                  <c:v>4.8387899999999999E-3</c:v>
                </c:pt>
                <c:pt idx="290">
                  <c:v>4.8640699999999999E-3</c:v>
                </c:pt>
                <c:pt idx="291">
                  <c:v>4.89633E-3</c:v>
                </c:pt>
                <c:pt idx="292">
                  <c:v>4.9126400000000002E-3</c:v>
                </c:pt>
                <c:pt idx="293">
                  <c:v>4.8788299999999998E-3</c:v>
                </c:pt>
                <c:pt idx="294">
                  <c:v>4.8888899999999999E-3</c:v>
                </c:pt>
                <c:pt idx="295">
                  <c:v>4.9931799999999998E-3</c:v>
                </c:pt>
                <c:pt idx="296">
                  <c:v>4.92392E-3</c:v>
                </c:pt>
                <c:pt idx="297">
                  <c:v>4.9426000000000001E-3</c:v>
                </c:pt>
                <c:pt idx="298">
                  <c:v>4.9676199999999998E-3</c:v>
                </c:pt>
                <c:pt idx="299">
                  <c:v>5.0166799999999999E-3</c:v>
                </c:pt>
                <c:pt idx="300">
                  <c:v>5.0082800000000004E-3</c:v>
                </c:pt>
                <c:pt idx="301">
                  <c:v>5.0125200000000003E-3</c:v>
                </c:pt>
                <c:pt idx="302">
                  <c:v>5.0288800000000003E-3</c:v>
                </c:pt>
                <c:pt idx="303">
                  <c:v>5.06077E-3</c:v>
                </c:pt>
                <c:pt idx="304">
                  <c:v>5.0884900000000002E-3</c:v>
                </c:pt>
                <c:pt idx="305">
                  <c:v>5.0912500000000003E-3</c:v>
                </c:pt>
                <c:pt idx="306">
                  <c:v>5.1544399999999997E-3</c:v>
                </c:pt>
                <c:pt idx="307">
                  <c:v>5.13905E-3</c:v>
                </c:pt>
                <c:pt idx="308">
                  <c:v>5.1272599999999998E-3</c:v>
                </c:pt>
                <c:pt idx="309">
                  <c:v>5.1251400000000003E-3</c:v>
                </c:pt>
                <c:pt idx="310">
                  <c:v>5.1562500000000002E-3</c:v>
                </c:pt>
                <c:pt idx="311">
                  <c:v>5.1330200000000003E-3</c:v>
                </c:pt>
                <c:pt idx="312">
                  <c:v>5.2453500000000002E-3</c:v>
                </c:pt>
                <c:pt idx="313">
                  <c:v>5.2167300000000002E-3</c:v>
                </c:pt>
                <c:pt idx="314">
                  <c:v>5.1581999999999999E-3</c:v>
                </c:pt>
                <c:pt idx="315">
                  <c:v>5.2519200000000002E-3</c:v>
                </c:pt>
                <c:pt idx="316">
                  <c:v>5.2448E-3</c:v>
                </c:pt>
                <c:pt idx="317">
                  <c:v>5.2759399999999998E-3</c:v>
                </c:pt>
                <c:pt idx="318">
                  <c:v>5.2517900000000001E-3</c:v>
                </c:pt>
                <c:pt idx="319">
                  <c:v>5.2682800000000002E-3</c:v>
                </c:pt>
                <c:pt idx="320">
                  <c:v>5.3706700000000001E-3</c:v>
                </c:pt>
              </c:numCache>
            </c:numRef>
          </c:xVal>
          <c:yVal>
            <c:numRef>
              <c:f>'L30CPTX-1'!$J$80:$J$400</c:f>
              <c:numCache>
                <c:formatCode>General</c:formatCode>
                <c:ptCount val="321"/>
                <c:pt idx="0">
                  <c:v>-4.7842199999999999E-4</c:v>
                </c:pt>
                <c:pt idx="1">
                  <c:v>-4.4583600000000002E-4</c:v>
                </c:pt>
                <c:pt idx="2">
                  <c:v>-5.0893599999999998E-4</c:v>
                </c:pt>
                <c:pt idx="3">
                  <c:v>-4.8525800000000002E-4</c:v>
                </c:pt>
                <c:pt idx="4">
                  <c:v>-5.1063400000000004E-4</c:v>
                </c:pt>
                <c:pt idx="5">
                  <c:v>-4.8852300000000004E-4</c:v>
                </c:pt>
                <c:pt idx="6">
                  <c:v>-4.0377499999999999E-4</c:v>
                </c:pt>
                <c:pt idx="7">
                  <c:v>-4.7702699999999998E-4</c:v>
                </c:pt>
                <c:pt idx="8">
                  <c:v>-4.5629600000000002E-4</c:v>
                </c:pt>
                <c:pt idx="9">
                  <c:v>-4.7474700000000003E-4</c:v>
                </c:pt>
                <c:pt idx="10">
                  <c:v>-5.01211E-4</c:v>
                </c:pt>
                <c:pt idx="11">
                  <c:v>-4.8388899999999999E-4</c:v>
                </c:pt>
                <c:pt idx="12">
                  <c:v>-5.9278E-4</c:v>
                </c:pt>
                <c:pt idx="13">
                  <c:v>-6.0487900000000001E-4</c:v>
                </c:pt>
                <c:pt idx="14">
                  <c:v>-5.3506699999999996E-4</c:v>
                </c:pt>
                <c:pt idx="15">
                  <c:v>-4.8807499999999998E-4</c:v>
                </c:pt>
                <c:pt idx="16">
                  <c:v>-5.7670799999999999E-4</c:v>
                </c:pt>
                <c:pt idx="17">
                  <c:v>-5.63143E-4</c:v>
                </c:pt>
                <c:pt idx="18">
                  <c:v>-5.8062000000000001E-4</c:v>
                </c:pt>
                <c:pt idx="19">
                  <c:v>-5.4537699999999999E-4</c:v>
                </c:pt>
                <c:pt idx="20">
                  <c:v>-6.4782499999999999E-4</c:v>
                </c:pt>
                <c:pt idx="21">
                  <c:v>-6.6470600000000004E-4</c:v>
                </c:pt>
                <c:pt idx="22">
                  <c:v>-5.3848000000000004E-4</c:v>
                </c:pt>
                <c:pt idx="23">
                  <c:v>-4.8120599999999997E-4</c:v>
                </c:pt>
                <c:pt idx="24">
                  <c:v>-6.1251999999999997E-4</c:v>
                </c:pt>
                <c:pt idx="25">
                  <c:v>-4.78388E-4</c:v>
                </c:pt>
                <c:pt idx="26">
                  <c:v>-6.5448199999999996E-4</c:v>
                </c:pt>
                <c:pt idx="27">
                  <c:v>-6.3700400000000004E-4</c:v>
                </c:pt>
                <c:pt idx="28">
                  <c:v>-6.0678200000000005E-4</c:v>
                </c:pt>
                <c:pt idx="29">
                  <c:v>-5.7801800000000002E-4</c:v>
                </c:pt>
                <c:pt idx="30">
                  <c:v>-6.4438500000000003E-4</c:v>
                </c:pt>
                <c:pt idx="31">
                  <c:v>-6.3693899999999999E-4</c:v>
                </c:pt>
                <c:pt idx="32">
                  <c:v>-5.39683E-4</c:v>
                </c:pt>
                <c:pt idx="33">
                  <c:v>-6.9124900000000001E-4</c:v>
                </c:pt>
                <c:pt idx="34">
                  <c:v>-6.5503899999999995E-4</c:v>
                </c:pt>
                <c:pt idx="35">
                  <c:v>-7.0416399999999996E-4</c:v>
                </c:pt>
                <c:pt idx="36">
                  <c:v>-6.1674500000000003E-4</c:v>
                </c:pt>
                <c:pt idx="37">
                  <c:v>-5.6617899999999999E-4</c:v>
                </c:pt>
                <c:pt idx="38">
                  <c:v>-6.06738E-4</c:v>
                </c:pt>
                <c:pt idx="39">
                  <c:v>-6.67058E-4</c:v>
                </c:pt>
                <c:pt idx="40">
                  <c:v>-6.7010400000000003E-4</c:v>
                </c:pt>
                <c:pt idx="41">
                  <c:v>-6.8084999999999999E-4</c:v>
                </c:pt>
                <c:pt idx="42">
                  <c:v>-7.0195299999999995E-4</c:v>
                </c:pt>
                <c:pt idx="43">
                  <c:v>-6.6450600000000004E-4</c:v>
                </c:pt>
                <c:pt idx="44">
                  <c:v>-7.4266299999999996E-4</c:v>
                </c:pt>
                <c:pt idx="45">
                  <c:v>-6.65082E-4</c:v>
                </c:pt>
                <c:pt idx="46">
                  <c:v>-7.8292599999999998E-4</c:v>
                </c:pt>
                <c:pt idx="47">
                  <c:v>-6.4376400000000001E-4</c:v>
                </c:pt>
                <c:pt idx="48">
                  <c:v>-6.2009100000000002E-4</c:v>
                </c:pt>
                <c:pt idx="49">
                  <c:v>-6.9130299999999999E-4</c:v>
                </c:pt>
                <c:pt idx="50">
                  <c:v>-7.1594900000000001E-4</c:v>
                </c:pt>
                <c:pt idx="51">
                  <c:v>-7.9480499999999999E-4</c:v>
                </c:pt>
                <c:pt idx="52">
                  <c:v>-6.6625199999999999E-4</c:v>
                </c:pt>
                <c:pt idx="53">
                  <c:v>-7.0687300000000001E-4</c:v>
                </c:pt>
                <c:pt idx="54">
                  <c:v>-6.5442799999999998E-4</c:v>
                </c:pt>
                <c:pt idx="55">
                  <c:v>-8.4114400000000005E-4</c:v>
                </c:pt>
                <c:pt idx="56">
                  <c:v>-7.9577399999999996E-4</c:v>
                </c:pt>
                <c:pt idx="57">
                  <c:v>-7.6123399999999996E-4</c:v>
                </c:pt>
                <c:pt idx="58">
                  <c:v>-7.4740099999999997E-4</c:v>
                </c:pt>
                <c:pt idx="59">
                  <c:v>-7.6678E-4</c:v>
                </c:pt>
                <c:pt idx="60">
                  <c:v>-7.9093999999999996E-4</c:v>
                </c:pt>
                <c:pt idx="61">
                  <c:v>-9.3890499999999997E-4</c:v>
                </c:pt>
                <c:pt idx="62">
                  <c:v>-7.7346100000000003E-4</c:v>
                </c:pt>
                <c:pt idx="63">
                  <c:v>-8.0108399999999998E-4</c:v>
                </c:pt>
                <c:pt idx="64">
                  <c:v>-7.9981599999999996E-4</c:v>
                </c:pt>
                <c:pt idx="65">
                  <c:v>-7.8965800000000005E-4</c:v>
                </c:pt>
                <c:pt idx="66">
                  <c:v>-8.1551099999999999E-4</c:v>
                </c:pt>
                <c:pt idx="67">
                  <c:v>-8.6942200000000001E-4</c:v>
                </c:pt>
                <c:pt idx="68">
                  <c:v>-9.0854599999999998E-4</c:v>
                </c:pt>
                <c:pt idx="69">
                  <c:v>-8.3832700000000004E-4</c:v>
                </c:pt>
                <c:pt idx="70">
                  <c:v>-9.4243400000000002E-4</c:v>
                </c:pt>
                <c:pt idx="71">
                  <c:v>-8.3685900000000002E-4</c:v>
                </c:pt>
                <c:pt idx="72">
                  <c:v>-8.8066299999999995E-4</c:v>
                </c:pt>
                <c:pt idx="73">
                  <c:v>-8.3987799999999996E-4</c:v>
                </c:pt>
                <c:pt idx="74">
                  <c:v>-8.7519400000000004E-4</c:v>
                </c:pt>
                <c:pt idx="75">
                  <c:v>-9.5526900000000002E-4</c:v>
                </c:pt>
                <c:pt idx="76">
                  <c:v>-8.2781399999999996E-4</c:v>
                </c:pt>
                <c:pt idx="77">
                  <c:v>-8.6527399999999997E-4</c:v>
                </c:pt>
                <c:pt idx="78">
                  <c:v>-8.9102300000000001E-4</c:v>
                </c:pt>
                <c:pt idx="79">
                  <c:v>-9.3445400000000004E-4</c:v>
                </c:pt>
                <c:pt idx="80">
                  <c:v>-9.4510199999999996E-4</c:v>
                </c:pt>
                <c:pt idx="81">
                  <c:v>-9.7637699999999995E-4</c:v>
                </c:pt>
                <c:pt idx="82">
                  <c:v>-9.7457200000000005E-4</c:v>
                </c:pt>
                <c:pt idx="83">
                  <c:v>-1.0173300000000001E-3</c:v>
                </c:pt>
                <c:pt idx="84">
                  <c:v>-9.5492299999999999E-4</c:v>
                </c:pt>
                <c:pt idx="85">
                  <c:v>-9.5771099999999998E-4</c:v>
                </c:pt>
                <c:pt idx="86">
                  <c:v>-9.8906300000000009E-4</c:v>
                </c:pt>
                <c:pt idx="87">
                  <c:v>-9.1603099999999999E-4</c:v>
                </c:pt>
                <c:pt idx="88">
                  <c:v>-9.6832199999999998E-4</c:v>
                </c:pt>
                <c:pt idx="89">
                  <c:v>-1.00059E-3</c:v>
                </c:pt>
                <c:pt idx="90">
                  <c:v>-9.823919999999999E-4</c:v>
                </c:pt>
                <c:pt idx="91">
                  <c:v>-9.8108500000000003E-4</c:v>
                </c:pt>
                <c:pt idx="92">
                  <c:v>-1.0575999999999999E-3</c:v>
                </c:pt>
                <c:pt idx="93">
                  <c:v>-9.8187300000000008E-4</c:v>
                </c:pt>
                <c:pt idx="94">
                  <c:v>-1.0174400000000001E-3</c:v>
                </c:pt>
                <c:pt idx="95">
                  <c:v>-1.05356E-3</c:v>
                </c:pt>
                <c:pt idx="96">
                  <c:v>-1.0032800000000001E-3</c:v>
                </c:pt>
                <c:pt idx="97">
                  <c:v>-1.1424E-3</c:v>
                </c:pt>
                <c:pt idx="98">
                  <c:v>-1.00512E-3</c:v>
                </c:pt>
                <c:pt idx="99">
                  <c:v>-1.0342000000000001E-3</c:v>
                </c:pt>
                <c:pt idx="100">
                  <c:v>-1.0694700000000001E-3</c:v>
                </c:pt>
                <c:pt idx="101">
                  <c:v>-8.8953399999999998E-4</c:v>
                </c:pt>
                <c:pt idx="102">
                  <c:v>-1.0470399999999999E-3</c:v>
                </c:pt>
                <c:pt idx="103">
                  <c:v>-1.08091E-3</c:v>
                </c:pt>
                <c:pt idx="104">
                  <c:v>-1.1218700000000001E-3</c:v>
                </c:pt>
                <c:pt idx="105">
                  <c:v>-1.1206199999999999E-3</c:v>
                </c:pt>
                <c:pt idx="106">
                  <c:v>-9.6934400000000002E-4</c:v>
                </c:pt>
                <c:pt idx="107">
                  <c:v>-1.1742E-3</c:v>
                </c:pt>
                <c:pt idx="108">
                  <c:v>-1.07357E-3</c:v>
                </c:pt>
                <c:pt idx="109">
                  <c:v>-1.1467700000000001E-3</c:v>
                </c:pt>
                <c:pt idx="110">
                  <c:v>-1.1404799999999999E-3</c:v>
                </c:pt>
                <c:pt idx="111">
                  <c:v>-1.1280400000000001E-3</c:v>
                </c:pt>
                <c:pt idx="112">
                  <c:v>-1.11071E-3</c:v>
                </c:pt>
                <c:pt idx="113">
                  <c:v>-1.15047E-3</c:v>
                </c:pt>
                <c:pt idx="114">
                  <c:v>-1.09829E-3</c:v>
                </c:pt>
                <c:pt idx="115">
                  <c:v>-1.05715E-3</c:v>
                </c:pt>
                <c:pt idx="116">
                  <c:v>-1.14693E-3</c:v>
                </c:pt>
                <c:pt idx="117">
                  <c:v>-1.14036E-3</c:v>
                </c:pt>
                <c:pt idx="118">
                  <c:v>-1.24198E-3</c:v>
                </c:pt>
                <c:pt idx="119">
                  <c:v>-1.16826E-3</c:v>
                </c:pt>
                <c:pt idx="120">
                  <c:v>-1.16562E-3</c:v>
                </c:pt>
                <c:pt idx="121">
                  <c:v>-1.23065E-3</c:v>
                </c:pt>
                <c:pt idx="122">
                  <c:v>-1.21693E-3</c:v>
                </c:pt>
                <c:pt idx="123">
                  <c:v>-1.1726900000000001E-3</c:v>
                </c:pt>
                <c:pt idx="124">
                  <c:v>-1.20082E-3</c:v>
                </c:pt>
                <c:pt idx="125">
                  <c:v>-1.17457E-3</c:v>
                </c:pt>
                <c:pt idx="126">
                  <c:v>-1.2075199999999999E-3</c:v>
                </c:pt>
                <c:pt idx="127">
                  <c:v>-1.26833E-3</c:v>
                </c:pt>
                <c:pt idx="128">
                  <c:v>-1.2505999999999999E-3</c:v>
                </c:pt>
                <c:pt idx="129">
                  <c:v>-1.19169E-3</c:v>
                </c:pt>
                <c:pt idx="130">
                  <c:v>-1.2599200000000001E-3</c:v>
                </c:pt>
                <c:pt idx="131">
                  <c:v>-1.2574699999999999E-3</c:v>
                </c:pt>
                <c:pt idx="132">
                  <c:v>-1.1855500000000001E-3</c:v>
                </c:pt>
                <c:pt idx="133">
                  <c:v>-1.2380900000000001E-3</c:v>
                </c:pt>
                <c:pt idx="134">
                  <c:v>-1.24216E-3</c:v>
                </c:pt>
                <c:pt idx="135">
                  <c:v>-1.3346199999999999E-3</c:v>
                </c:pt>
                <c:pt idx="136">
                  <c:v>-1.3766200000000001E-3</c:v>
                </c:pt>
                <c:pt idx="137">
                  <c:v>-1.30372E-3</c:v>
                </c:pt>
                <c:pt idx="138">
                  <c:v>-1.2504E-3</c:v>
                </c:pt>
                <c:pt idx="139">
                  <c:v>-1.33413E-3</c:v>
                </c:pt>
                <c:pt idx="140">
                  <c:v>-1.2924099999999999E-3</c:v>
                </c:pt>
                <c:pt idx="141">
                  <c:v>-1.3141400000000001E-3</c:v>
                </c:pt>
                <c:pt idx="142">
                  <c:v>-1.28224E-3</c:v>
                </c:pt>
                <c:pt idx="143">
                  <c:v>-1.3157900000000001E-3</c:v>
                </c:pt>
                <c:pt idx="144">
                  <c:v>-1.34235E-3</c:v>
                </c:pt>
                <c:pt idx="145">
                  <c:v>-1.33986E-3</c:v>
                </c:pt>
                <c:pt idx="146">
                  <c:v>-1.35848E-3</c:v>
                </c:pt>
                <c:pt idx="147">
                  <c:v>-1.32822E-3</c:v>
                </c:pt>
                <c:pt idx="148">
                  <c:v>-1.3099299999999999E-3</c:v>
                </c:pt>
                <c:pt idx="149">
                  <c:v>-1.4117999999999999E-3</c:v>
                </c:pt>
                <c:pt idx="150">
                  <c:v>-1.3906299999999999E-3</c:v>
                </c:pt>
                <c:pt idx="151">
                  <c:v>-1.2699899999999999E-3</c:v>
                </c:pt>
                <c:pt idx="152">
                  <c:v>-1.3273499999999999E-3</c:v>
                </c:pt>
                <c:pt idx="153">
                  <c:v>-1.29503E-3</c:v>
                </c:pt>
                <c:pt idx="154">
                  <c:v>-1.3098700000000001E-3</c:v>
                </c:pt>
                <c:pt idx="155">
                  <c:v>-1.3694499999999999E-3</c:v>
                </c:pt>
                <c:pt idx="156">
                  <c:v>-1.34107E-3</c:v>
                </c:pt>
                <c:pt idx="157">
                  <c:v>-1.4242599999999999E-3</c:v>
                </c:pt>
                <c:pt idx="158">
                  <c:v>-1.34191E-3</c:v>
                </c:pt>
                <c:pt idx="159">
                  <c:v>-1.3455800000000001E-3</c:v>
                </c:pt>
                <c:pt idx="160">
                  <c:v>-1.51285E-3</c:v>
                </c:pt>
                <c:pt idx="161">
                  <c:v>-1.3883599999999999E-3</c:v>
                </c:pt>
                <c:pt idx="162">
                  <c:v>-1.4585900000000001E-3</c:v>
                </c:pt>
                <c:pt idx="163">
                  <c:v>-1.3390699999999999E-3</c:v>
                </c:pt>
                <c:pt idx="164">
                  <c:v>-1.36539E-3</c:v>
                </c:pt>
                <c:pt idx="165">
                  <c:v>-1.44333E-3</c:v>
                </c:pt>
                <c:pt idx="166">
                  <c:v>-1.36995E-3</c:v>
                </c:pt>
                <c:pt idx="167">
                  <c:v>-1.4920300000000001E-3</c:v>
                </c:pt>
                <c:pt idx="168">
                  <c:v>-1.45148E-3</c:v>
                </c:pt>
                <c:pt idx="169">
                  <c:v>-1.4881899999999999E-3</c:v>
                </c:pt>
                <c:pt idx="170">
                  <c:v>-1.5256899999999999E-3</c:v>
                </c:pt>
                <c:pt idx="171">
                  <c:v>-1.4400400000000001E-3</c:v>
                </c:pt>
                <c:pt idx="172">
                  <c:v>-1.44881E-3</c:v>
                </c:pt>
                <c:pt idx="173">
                  <c:v>-1.4611699999999999E-3</c:v>
                </c:pt>
                <c:pt idx="174">
                  <c:v>-1.46228E-3</c:v>
                </c:pt>
                <c:pt idx="175">
                  <c:v>-1.45134E-3</c:v>
                </c:pt>
                <c:pt idx="176">
                  <c:v>-1.4926799999999999E-3</c:v>
                </c:pt>
                <c:pt idx="177">
                  <c:v>-1.55324E-3</c:v>
                </c:pt>
                <c:pt idx="178">
                  <c:v>-1.53527E-3</c:v>
                </c:pt>
                <c:pt idx="179">
                  <c:v>-1.49449E-3</c:v>
                </c:pt>
                <c:pt idx="180">
                  <c:v>-1.5970699999999999E-3</c:v>
                </c:pt>
                <c:pt idx="181">
                  <c:v>-1.5038E-3</c:v>
                </c:pt>
                <c:pt idx="182">
                  <c:v>-1.57339E-3</c:v>
                </c:pt>
                <c:pt idx="183">
                  <c:v>-1.47171E-3</c:v>
                </c:pt>
                <c:pt idx="184">
                  <c:v>-1.57321E-3</c:v>
                </c:pt>
                <c:pt idx="185">
                  <c:v>-1.58158E-3</c:v>
                </c:pt>
                <c:pt idx="186">
                  <c:v>-1.5335699999999999E-3</c:v>
                </c:pt>
                <c:pt idx="187">
                  <c:v>-1.56292E-3</c:v>
                </c:pt>
                <c:pt idx="188">
                  <c:v>-1.6477E-3</c:v>
                </c:pt>
                <c:pt idx="189">
                  <c:v>-1.5822E-3</c:v>
                </c:pt>
                <c:pt idx="190">
                  <c:v>-1.63345E-3</c:v>
                </c:pt>
                <c:pt idx="191">
                  <c:v>-1.5705999999999999E-3</c:v>
                </c:pt>
                <c:pt idx="192">
                  <c:v>-1.5489099999999999E-3</c:v>
                </c:pt>
                <c:pt idx="193">
                  <c:v>-1.5863699999999999E-3</c:v>
                </c:pt>
                <c:pt idx="194">
                  <c:v>-1.6329000000000001E-3</c:v>
                </c:pt>
                <c:pt idx="195">
                  <c:v>-1.67005E-3</c:v>
                </c:pt>
                <c:pt idx="196">
                  <c:v>-1.56737E-3</c:v>
                </c:pt>
                <c:pt idx="197">
                  <c:v>-1.6149000000000001E-3</c:v>
                </c:pt>
                <c:pt idx="198">
                  <c:v>-1.6287599999999999E-3</c:v>
                </c:pt>
                <c:pt idx="199">
                  <c:v>-1.61809E-3</c:v>
                </c:pt>
                <c:pt idx="200">
                  <c:v>-1.65489E-3</c:v>
                </c:pt>
                <c:pt idx="201">
                  <c:v>-1.62357E-3</c:v>
                </c:pt>
                <c:pt idx="202">
                  <c:v>-1.64112E-3</c:v>
                </c:pt>
                <c:pt idx="203">
                  <c:v>-1.6864499999999999E-3</c:v>
                </c:pt>
                <c:pt idx="204">
                  <c:v>-1.6834899999999999E-3</c:v>
                </c:pt>
                <c:pt idx="205">
                  <c:v>-1.6116699999999999E-3</c:v>
                </c:pt>
                <c:pt idx="206">
                  <c:v>-1.7254E-3</c:v>
                </c:pt>
                <c:pt idx="207">
                  <c:v>-1.76805E-3</c:v>
                </c:pt>
                <c:pt idx="208">
                  <c:v>-1.69852E-3</c:v>
                </c:pt>
                <c:pt idx="209">
                  <c:v>-1.6769700000000001E-3</c:v>
                </c:pt>
                <c:pt idx="210">
                  <c:v>-1.75362E-3</c:v>
                </c:pt>
                <c:pt idx="211">
                  <c:v>-1.6875099999999999E-3</c:v>
                </c:pt>
                <c:pt idx="212">
                  <c:v>-1.7909099999999999E-3</c:v>
                </c:pt>
                <c:pt idx="213">
                  <c:v>-1.73993E-3</c:v>
                </c:pt>
                <c:pt idx="214">
                  <c:v>-1.71507E-3</c:v>
                </c:pt>
                <c:pt idx="215">
                  <c:v>-1.7621399999999999E-3</c:v>
                </c:pt>
                <c:pt idx="216">
                  <c:v>-1.73989E-3</c:v>
                </c:pt>
                <c:pt idx="217">
                  <c:v>-1.81686E-3</c:v>
                </c:pt>
                <c:pt idx="218">
                  <c:v>-1.75545E-3</c:v>
                </c:pt>
                <c:pt idx="219">
                  <c:v>-1.74763E-3</c:v>
                </c:pt>
                <c:pt idx="220">
                  <c:v>-1.7832799999999999E-3</c:v>
                </c:pt>
                <c:pt idx="221">
                  <c:v>-1.7383800000000001E-3</c:v>
                </c:pt>
                <c:pt idx="222">
                  <c:v>-1.7454199999999999E-3</c:v>
                </c:pt>
                <c:pt idx="223">
                  <c:v>-1.76077E-3</c:v>
                </c:pt>
                <c:pt idx="224">
                  <c:v>-1.8150499999999999E-3</c:v>
                </c:pt>
                <c:pt idx="225">
                  <c:v>-1.73274E-3</c:v>
                </c:pt>
                <c:pt idx="226">
                  <c:v>-1.7680199999999999E-3</c:v>
                </c:pt>
                <c:pt idx="227">
                  <c:v>-1.82745E-3</c:v>
                </c:pt>
                <c:pt idx="228">
                  <c:v>-1.85575E-3</c:v>
                </c:pt>
                <c:pt idx="229">
                  <c:v>-1.80236E-3</c:v>
                </c:pt>
                <c:pt idx="230">
                  <c:v>-1.76724E-3</c:v>
                </c:pt>
                <c:pt idx="231">
                  <c:v>-1.8129400000000001E-3</c:v>
                </c:pt>
                <c:pt idx="232">
                  <c:v>-1.7528299999999999E-3</c:v>
                </c:pt>
                <c:pt idx="233">
                  <c:v>-1.7691E-3</c:v>
                </c:pt>
                <c:pt idx="234">
                  <c:v>-1.72325E-3</c:v>
                </c:pt>
                <c:pt idx="235">
                  <c:v>-1.84333E-3</c:v>
                </c:pt>
                <c:pt idx="236">
                  <c:v>-1.7937999999999999E-3</c:v>
                </c:pt>
                <c:pt idx="237">
                  <c:v>-1.8559900000000001E-3</c:v>
                </c:pt>
                <c:pt idx="238">
                  <c:v>-1.87144E-3</c:v>
                </c:pt>
                <c:pt idx="239">
                  <c:v>-1.81825E-3</c:v>
                </c:pt>
                <c:pt idx="240">
                  <c:v>-1.88368E-3</c:v>
                </c:pt>
                <c:pt idx="241">
                  <c:v>-1.86272E-3</c:v>
                </c:pt>
                <c:pt idx="242">
                  <c:v>-1.88159E-3</c:v>
                </c:pt>
                <c:pt idx="243">
                  <c:v>-1.87412E-3</c:v>
                </c:pt>
                <c:pt idx="244">
                  <c:v>-1.8675899999999999E-3</c:v>
                </c:pt>
                <c:pt idx="245">
                  <c:v>-1.92662E-3</c:v>
                </c:pt>
                <c:pt idx="246">
                  <c:v>-1.93227E-3</c:v>
                </c:pt>
                <c:pt idx="247">
                  <c:v>-1.8824600000000001E-3</c:v>
                </c:pt>
                <c:pt idx="248">
                  <c:v>-1.87879E-3</c:v>
                </c:pt>
                <c:pt idx="249">
                  <c:v>-2.0198600000000001E-3</c:v>
                </c:pt>
                <c:pt idx="250">
                  <c:v>-1.9462800000000001E-3</c:v>
                </c:pt>
                <c:pt idx="251">
                  <c:v>-1.9772000000000001E-3</c:v>
                </c:pt>
                <c:pt idx="252">
                  <c:v>-2.04535E-3</c:v>
                </c:pt>
                <c:pt idx="253">
                  <c:v>-1.86141E-3</c:v>
                </c:pt>
                <c:pt idx="254">
                  <c:v>-2.0161799999999998E-3</c:v>
                </c:pt>
                <c:pt idx="255">
                  <c:v>-1.954E-3</c:v>
                </c:pt>
                <c:pt idx="256">
                  <c:v>-1.9258599999999999E-3</c:v>
                </c:pt>
                <c:pt idx="257">
                  <c:v>-2.0109899999999998E-3</c:v>
                </c:pt>
                <c:pt idx="258">
                  <c:v>-1.99314E-3</c:v>
                </c:pt>
                <c:pt idx="259">
                  <c:v>-2.06375E-3</c:v>
                </c:pt>
                <c:pt idx="260">
                  <c:v>-2.03045E-3</c:v>
                </c:pt>
                <c:pt idx="261">
                  <c:v>-1.8807299999999999E-3</c:v>
                </c:pt>
                <c:pt idx="262">
                  <c:v>-1.9633400000000001E-3</c:v>
                </c:pt>
                <c:pt idx="263">
                  <c:v>-1.9354699999999999E-3</c:v>
                </c:pt>
                <c:pt idx="264">
                  <c:v>-1.9800299999999998E-3</c:v>
                </c:pt>
                <c:pt idx="265">
                  <c:v>-1.9976299999999998E-3</c:v>
                </c:pt>
                <c:pt idx="266">
                  <c:v>-2.01877E-3</c:v>
                </c:pt>
                <c:pt idx="267">
                  <c:v>-2.00111E-3</c:v>
                </c:pt>
                <c:pt idx="268">
                  <c:v>-2.00753E-3</c:v>
                </c:pt>
                <c:pt idx="269">
                  <c:v>-1.9033699999999999E-3</c:v>
                </c:pt>
                <c:pt idx="270">
                  <c:v>-1.9470100000000001E-3</c:v>
                </c:pt>
                <c:pt idx="271">
                  <c:v>-2.0808200000000002E-3</c:v>
                </c:pt>
                <c:pt idx="272">
                  <c:v>-2.0356300000000001E-3</c:v>
                </c:pt>
                <c:pt idx="273">
                  <c:v>-2.0691799999999999E-3</c:v>
                </c:pt>
                <c:pt idx="274">
                  <c:v>-2.1484999999999998E-3</c:v>
                </c:pt>
                <c:pt idx="275">
                  <c:v>-1.95032E-3</c:v>
                </c:pt>
                <c:pt idx="276">
                  <c:v>-2.1014699999999998E-3</c:v>
                </c:pt>
                <c:pt idx="277">
                  <c:v>-2.0894099999999999E-3</c:v>
                </c:pt>
                <c:pt idx="278">
                  <c:v>-1.92363E-3</c:v>
                </c:pt>
                <c:pt idx="279">
                  <c:v>-2.1624600000000002E-3</c:v>
                </c:pt>
                <c:pt idx="280">
                  <c:v>-2.2751899999999999E-3</c:v>
                </c:pt>
                <c:pt idx="281">
                  <c:v>-2.0333299999999999E-3</c:v>
                </c:pt>
                <c:pt idx="282">
                  <c:v>-2.2719699999999999E-3</c:v>
                </c:pt>
                <c:pt idx="283">
                  <c:v>-2.1234299999999999E-3</c:v>
                </c:pt>
                <c:pt idx="284">
                  <c:v>-2.0034499999999999E-3</c:v>
                </c:pt>
                <c:pt idx="285">
                  <c:v>-2.22836E-3</c:v>
                </c:pt>
                <c:pt idx="286">
                  <c:v>-2.12875E-3</c:v>
                </c:pt>
                <c:pt idx="287">
                  <c:v>-2.2093999999999998E-3</c:v>
                </c:pt>
                <c:pt idx="288">
                  <c:v>-2.2891500000000002E-3</c:v>
                </c:pt>
                <c:pt idx="289">
                  <c:v>-2.1922399999999998E-3</c:v>
                </c:pt>
                <c:pt idx="290">
                  <c:v>-2.24954E-3</c:v>
                </c:pt>
                <c:pt idx="291">
                  <c:v>-2.0443900000000001E-3</c:v>
                </c:pt>
                <c:pt idx="292">
                  <c:v>-2.2678500000000001E-3</c:v>
                </c:pt>
                <c:pt idx="293">
                  <c:v>-2.2122399999999999E-3</c:v>
                </c:pt>
                <c:pt idx="294">
                  <c:v>-2.1783800000000002E-3</c:v>
                </c:pt>
                <c:pt idx="295">
                  <c:v>-2.2681400000000001E-3</c:v>
                </c:pt>
                <c:pt idx="296">
                  <c:v>-2.2340200000000002E-3</c:v>
                </c:pt>
                <c:pt idx="297">
                  <c:v>-2.21623E-3</c:v>
                </c:pt>
                <c:pt idx="298">
                  <c:v>-2.2598900000000001E-3</c:v>
                </c:pt>
                <c:pt idx="299">
                  <c:v>-2.2300900000000001E-3</c:v>
                </c:pt>
                <c:pt idx="300">
                  <c:v>-2.2047899999999999E-3</c:v>
                </c:pt>
                <c:pt idx="301">
                  <c:v>-2.2345500000000001E-3</c:v>
                </c:pt>
                <c:pt idx="302">
                  <c:v>-2.1602399999999999E-3</c:v>
                </c:pt>
                <c:pt idx="303">
                  <c:v>-2.26771E-3</c:v>
                </c:pt>
                <c:pt idx="304">
                  <c:v>-2.2302699999999999E-3</c:v>
                </c:pt>
                <c:pt idx="305">
                  <c:v>-2.3104699999999998E-3</c:v>
                </c:pt>
                <c:pt idx="306">
                  <c:v>-2.2703799999999998E-3</c:v>
                </c:pt>
                <c:pt idx="307">
                  <c:v>-2.24091E-3</c:v>
                </c:pt>
                <c:pt idx="308">
                  <c:v>-2.2684099999999998E-3</c:v>
                </c:pt>
                <c:pt idx="309">
                  <c:v>-2.29802E-3</c:v>
                </c:pt>
                <c:pt idx="310">
                  <c:v>-2.32431E-3</c:v>
                </c:pt>
                <c:pt idx="311">
                  <c:v>-2.4024099999999998E-3</c:v>
                </c:pt>
                <c:pt idx="312">
                  <c:v>-2.3062E-3</c:v>
                </c:pt>
                <c:pt idx="313">
                  <c:v>-2.2739399999999999E-3</c:v>
                </c:pt>
                <c:pt idx="314">
                  <c:v>-2.3376600000000001E-3</c:v>
                </c:pt>
                <c:pt idx="315">
                  <c:v>-2.2932500000000001E-3</c:v>
                </c:pt>
                <c:pt idx="316">
                  <c:v>-2.3391499999999999E-3</c:v>
                </c:pt>
                <c:pt idx="317">
                  <c:v>-2.3267100000000001E-3</c:v>
                </c:pt>
                <c:pt idx="318">
                  <c:v>-2.3906299999999999E-3</c:v>
                </c:pt>
                <c:pt idx="319">
                  <c:v>-2.4178300000000002E-3</c:v>
                </c:pt>
                <c:pt idx="320">
                  <c:v>-2.4207500000000002E-3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DB3-493E-B148-D3D20A7A5E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70497312"/>
        <c:axId val="443756176"/>
      </c:scatterChart>
      <c:valAx>
        <c:axId val="2704973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43756176"/>
        <c:crosses val="autoZero"/>
        <c:crossBetween val="midCat"/>
      </c:valAx>
      <c:valAx>
        <c:axId val="443756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704973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poison</a:t>
            </a:r>
            <a:r>
              <a:rPr lang="en-US" baseline="0"/>
              <a:t> ratio 3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2.2309711286089238E-5"/>
                  <c:y val="-0.7690277777777777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</c:trendlineLbl>
          </c:trendline>
          <c:xVal>
            <c:numRef>
              <c:f>'L30CPTX-1'!$B$80:$B$400</c:f>
              <c:numCache>
                <c:formatCode>General</c:formatCode>
                <c:ptCount val="321"/>
                <c:pt idx="0">
                  <c:v>1.0605300000000001E-3</c:v>
                </c:pt>
                <c:pt idx="1">
                  <c:v>1.0210200000000001E-3</c:v>
                </c:pt>
                <c:pt idx="2">
                  <c:v>1.0422599999999999E-3</c:v>
                </c:pt>
                <c:pt idx="3">
                  <c:v>1.04126E-3</c:v>
                </c:pt>
                <c:pt idx="4">
                  <c:v>1.09249E-3</c:v>
                </c:pt>
                <c:pt idx="5">
                  <c:v>1.0475899999999999E-3</c:v>
                </c:pt>
                <c:pt idx="6">
                  <c:v>1.1021900000000001E-3</c:v>
                </c:pt>
                <c:pt idx="7">
                  <c:v>1.1206899999999999E-3</c:v>
                </c:pt>
                <c:pt idx="8">
                  <c:v>1.13805E-3</c:v>
                </c:pt>
                <c:pt idx="9">
                  <c:v>1.08946E-3</c:v>
                </c:pt>
                <c:pt idx="10">
                  <c:v>1.1366900000000001E-3</c:v>
                </c:pt>
                <c:pt idx="11">
                  <c:v>1.16238E-3</c:v>
                </c:pt>
                <c:pt idx="12">
                  <c:v>1.1405499999999999E-3</c:v>
                </c:pt>
                <c:pt idx="13">
                  <c:v>1.21363E-3</c:v>
                </c:pt>
                <c:pt idx="14">
                  <c:v>1.2074E-3</c:v>
                </c:pt>
                <c:pt idx="15">
                  <c:v>1.20134E-3</c:v>
                </c:pt>
                <c:pt idx="16">
                  <c:v>1.1898099999999999E-3</c:v>
                </c:pt>
                <c:pt idx="17">
                  <c:v>1.20988E-3</c:v>
                </c:pt>
                <c:pt idx="18">
                  <c:v>1.2444000000000001E-3</c:v>
                </c:pt>
                <c:pt idx="19">
                  <c:v>1.25143E-3</c:v>
                </c:pt>
                <c:pt idx="20">
                  <c:v>1.23178E-3</c:v>
                </c:pt>
                <c:pt idx="21">
                  <c:v>1.2555699999999999E-3</c:v>
                </c:pt>
                <c:pt idx="22">
                  <c:v>1.3069100000000001E-3</c:v>
                </c:pt>
                <c:pt idx="23">
                  <c:v>1.3119099999999999E-3</c:v>
                </c:pt>
                <c:pt idx="24">
                  <c:v>1.29298E-3</c:v>
                </c:pt>
                <c:pt idx="25">
                  <c:v>1.30294E-3</c:v>
                </c:pt>
                <c:pt idx="26">
                  <c:v>1.33183E-3</c:v>
                </c:pt>
                <c:pt idx="27">
                  <c:v>1.3300899999999999E-3</c:v>
                </c:pt>
                <c:pt idx="28">
                  <c:v>1.3077500000000001E-3</c:v>
                </c:pt>
                <c:pt idx="29">
                  <c:v>1.3924199999999999E-3</c:v>
                </c:pt>
                <c:pt idx="30">
                  <c:v>1.36725E-3</c:v>
                </c:pt>
                <c:pt idx="31">
                  <c:v>1.4584999999999999E-3</c:v>
                </c:pt>
                <c:pt idx="32">
                  <c:v>1.43585E-3</c:v>
                </c:pt>
                <c:pt idx="33">
                  <c:v>1.40683E-3</c:v>
                </c:pt>
                <c:pt idx="34">
                  <c:v>1.4278800000000001E-3</c:v>
                </c:pt>
                <c:pt idx="35">
                  <c:v>1.43794E-3</c:v>
                </c:pt>
                <c:pt idx="36">
                  <c:v>1.4544600000000001E-3</c:v>
                </c:pt>
                <c:pt idx="37">
                  <c:v>1.4450699999999999E-3</c:v>
                </c:pt>
                <c:pt idx="38">
                  <c:v>1.41822E-3</c:v>
                </c:pt>
                <c:pt idx="39">
                  <c:v>1.53122E-3</c:v>
                </c:pt>
                <c:pt idx="40">
                  <c:v>1.4820899999999999E-3</c:v>
                </c:pt>
                <c:pt idx="41">
                  <c:v>1.53651E-3</c:v>
                </c:pt>
                <c:pt idx="42">
                  <c:v>1.5200700000000001E-3</c:v>
                </c:pt>
                <c:pt idx="43">
                  <c:v>1.6081100000000001E-3</c:v>
                </c:pt>
                <c:pt idx="44">
                  <c:v>1.52867E-3</c:v>
                </c:pt>
                <c:pt idx="45">
                  <c:v>1.52305E-3</c:v>
                </c:pt>
                <c:pt idx="46">
                  <c:v>1.5728599999999999E-3</c:v>
                </c:pt>
                <c:pt idx="47">
                  <c:v>1.5520200000000001E-3</c:v>
                </c:pt>
                <c:pt idx="48">
                  <c:v>1.5620600000000001E-3</c:v>
                </c:pt>
                <c:pt idx="49">
                  <c:v>1.5784499999999999E-3</c:v>
                </c:pt>
                <c:pt idx="50">
                  <c:v>1.62174E-3</c:v>
                </c:pt>
                <c:pt idx="51">
                  <c:v>1.6366200000000001E-3</c:v>
                </c:pt>
                <c:pt idx="52">
                  <c:v>1.6523E-3</c:v>
                </c:pt>
                <c:pt idx="53">
                  <c:v>1.6885400000000001E-3</c:v>
                </c:pt>
                <c:pt idx="54">
                  <c:v>1.72697E-3</c:v>
                </c:pt>
                <c:pt idx="55">
                  <c:v>1.6619200000000001E-3</c:v>
                </c:pt>
                <c:pt idx="56">
                  <c:v>1.6691500000000001E-3</c:v>
                </c:pt>
                <c:pt idx="57">
                  <c:v>1.75414E-3</c:v>
                </c:pt>
                <c:pt idx="58">
                  <c:v>1.7277099999999999E-3</c:v>
                </c:pt>
                <c:pt idx="59">
                  <c:v>1.74412E-3</c:v>
                </c:pt>
                <c:pt idx="60">
                  <c:v>1.7499600000000001E-3</c:v>
                </c:pt>
                <c:pt idx="61">
                  <c:v>1.74942E-3</c:v>
                </c:pt>
                <c:pt idx="62">
                  <c:v>1.81968E-3</c:v>
                </c:pt>
                <c:pt idx="63">
                  <c:v>1.7634199999999999E-3</c:v>
                </c:pt>
                <c:pt idx="64">
                  <c:v>1.8335000000000001E-3</c:v>
                </c:pt>
                <c:pt idx="65">
                  <c:v>1.84344E-3</c:v>
                </c:pt>
                <c:pt idx="66">
                  <c:v>1.8381700000000001E-3</c:v>
                </c:pt>
                <c:pt idx="67">
                  <c:v>1.8045100000000001E-3</c:v>
                </c:pt>
                <c:pt idx="68">
                  <c:v>1.8770900000000001E-3</c:v>
                </c:pt>
                <c:pt idx="69">
                  <c:v>1.89003E-3</c:v>
                </c:pt>
                <c:pt idx="70">
                  <c:v>1.83073E-3</c:v>
                </c:pt>
                <c:pt idx="71">
                  <c:v>1.9843199999999999E-3</c:v>
                </c:pt>
                <c:pt idx="72">
                  <c:v>1.9057900000000001E-3</c:v>
                </c:pt>
                <c:pt idx="73">
                  <c:v>1.92946E-3</c:v>
                </c:pt>
                <c:pt idx="74">
                  <c:v>1.95392E-3</c:v>
                </c:pt>
                <c:pt idx="75">
                  <c:v>2.00285E-3</c:v>
                </c:pt>
                <c:pt idx="76">
                  <c:v>2.0514800000000001E-3</c:v>
                </c:pt>
                <c:pt idx="77">
                  <c:v>1.99315E-3</c:v>
                </c:pt>
                <c:pt idx="78">
                  <c:v>1.9773400000000002E-3</c:v>
                </c:pt>
                <c:pt idx="79">
                  <c:v>2.0371399999999998E-3</c:v>
                </c:pt>
                <c:pt idx="80">
                  <c:v>1.99533E-3</c:v>
                </c:pt>
                <c:pt idx="81">
                  <c:v>2.0384999999999999E-3</c:v>
                </c:pt>
                <c:pt idx="82">
                  <c:v>2.0640799999999998E-3</c:v>
                </c:pt>
                <c:pt idx="83">
                  <c:v>2.1091299999999999E-3</c:v>
                </c:pt>
                <c:pt idx="84">
                  <c:v>2.1093499999999999E-3</c:v>
                </c:pt>
                <c:pt idx="85">
                  <c:v>2.1334800000000001E-3</c:v>
                </c:pt>
                <c:pt idx="86">
                  <c:v>2.1292099999999999E-3</c:v>
                </c:pt>
                <c:pt idx="87">
                  <c:v>2.1557299999999998E-3</c:v>
                </c:pt>
                <c:pt idx="88">
                  <c:v>2.19688E-3</c:v>
                </c:pt>
                <c:pt idx="89">
                  <c:v>2.1843499999999998E-3</c:v>
                </c:pt>
                <c:pt idx="90">
                  <c:v>2.1895E-3</c:v>
                </c:pt>
                <c:pt idx="91">
                  <c:v>2.1531699999999998E-3</c:v>
                </c:pt>
                <c:pt idx="92">
                  <c:v>2.1664800000000001E-3</c:v>
                </c:pt>
                <c:pt idx="93">
                  <c:v>2.19959E-3</c:v>
                </c:pt>
                <c:pt idx="94">
                  <c:v>2.22134E-3</c:v>
                </c:pt>
                <c:pt idx="95">
                  <c:v>2.2410899999999998E-3</c:v>
                </c:pt>
                <c:pt idx="96">
                  <c:v>2.27158E-3</c:v>
                </c:pt>
                <c:pt idx="97">
                  <c:v>2.2531299999999999E-3</c:v>
                </c:pt>
                <c:pt idx="98">
                  <c:v>2.3222300000000002E-3</c:v>
                </c:pt>
                <c:pt idx="99">
                  <c:v>2.3449E-3</c:v>
                </c:pt>
                <c:pt idx="100">
                  <c:v>2.2830799999999998E-3</c:v>
                </c:pt>
                <c:pt idx="101">
                  <c:v>2.3414099999999999E-3</c:v>
                </c:pt>
                <c:pt idx="102">
                  <c:v>2.3640800000000002E-3</c:v>
                </c:pt>
                <c:pt idx="103">
                  <c:v>2.36841E-3</c:v>
                </c:pt>
                <c:pt idx="104">
                  <c:v>2.3957200000000001E-3</c:v>
                </c:pt>
                <c:pt idx="105">
                  <c:v>2.4069199999999999E-3</c:v>
                </c:pt>
                <c:pt idx="106">
                  <c:v>2.5117999999999998E-3</c:v>
                </c:pt>
                <c:pt idx="107">
                  <c:v>2.3272100000000001E-3</c:v>
                </c:pt>
                <c:pt idx="108">
                  <c:v>2.4439900000000001E-3</c:v>
                </c:pt>
                <c:pt idx="109">
                  <c:v>2.43428E-3</c:v>
                </c:pt>
                <c:pt idx="110">
                  <c:v>2.4714799999999999E-3</c:v>
                </c:pt>
                <c:pt idx="111">
                  <c:v>2.48628E-3</c:v>
                </c:pt>
                <c:pt idx="112">
                  <c:v>2.5304300000000002E-3</c:v>
                </c:pt>
                <c:pt idx="113">
                  <c:v>2.55091E-3</c:v>
                </c:pt>
                <c:pt idx="114">
                  <c:v>2.53996E-3</c:v>
                </c:pt>
                <c:pt idx="115">
                  <c:v>2.56288E-3</c:v>
                </c:pt>
                <c:pt idx="116">
                  <c:v>2.5533600000000002E-3</c:v>
                </c:pt>
                <c:pt idx="117">
                  <c:v>2.5601899999999999E-3</c:v>
                </c:pt>
                <c:pt idx="118">
                  <c:v>2.5394100000000002E-3</c:v>
                </c:pt>
                <c:pt idx="119">
                  <c:v>2.5865300000000001E-3</c:v>
                </c:pt>
                <c:pt idx="120">
                  <c:v>2.6028499999999999E-3</c:v>
                </c:pt>
                <c:pt idx="121">
                  <c:v>2.6136800000000002E-3</c:v>
                </c:pt>
                <c:pt idx="122">
                  <c:v>2.5925499999999999E-3</c:v>
                </c:pt>
                <c:pt idx="123">
                  <c:v>2.6552099999999999E-3</c:v>
                </c:pt>
                <c:pt idx="124">
                  <c:v>2.6301900000000001E-3</c:v>
                </c:pt>
                <c:pt idx="125">
                  <c:v>2.7014500000000002E-3</c:v>
                </c:pt>
                <c:pt idx="126">
                  <c:v>2.6400299999999998E-3</c:v>
                </c:pt>
                <c:pt idx="127">
                  <c:v>2.6669300000000001E-3</c:v>
                </c:pt>
                <c:pt idx="128">
                  <c:v>2.6755899999999998E-3</c:v>
                </c:pt>
                <c:pt idx="129">
                  <c:v>2.7177799999999999E-3</c:v>
                </c:pt>
                <c:pt idx="130">
                  <c:v>2.7246100000000001E-3</c:v>
                </c:pt>
                <c:pt idx="131">
                  <c:v>2.7347999999999999E-3</c:v>
                </c:pt>
                <c:pt idx="132">
                  <c:v>2.7812700000000002E-3</c:v>
                </c:pt>
                <c:pt idx="133">
                  <c:v>2.7709700000000002E-3</c:v>
                </c:pt>
                <c:pt idx="134">
                  <c:v>2.7992099999999999E-3</c:v>
                </c:pt>
                <c:pt idx="135">
                  <c:v>2.74566E-3</c:v>
                </c:pt>
                <c:pt idx="136">
                  <c:v>2.8195500000000001E-3</c:v>
                </c:pt>
                <c:pt idx="137">
                  <c:v>2.83498E-3</c:v>
                </c:pt>
                <c:pt idx="138">
                  <c:v>2.8823899999999999E-3</c:v>
                </c:pt>
                <c:pt idx="139">
                  <c:v>2.8818699999999999E-3</c:v>
                </c:pt>
                <c:pt idx="140">
                  <c:v>2.9006399999999999E-3</c:v>
                </c:pt>
                <c:pt idx="141">
                  <c:v>2.8820199999999999E-3</c:v>
                </c:pt>
                <c:pt idx="142">
                  <c:v>2.9030100000000001E-3</c:v>
                </c:pt>
                <c:pt idx="143">
                  <c:v>2.9048899999999998E-3</c:v>
                </c:pt>
                <c:pt idx="144">
                  <c:v>2.8873599999999998E-3</c:v>
                </c:pt>
                <c:pt idx="145">
                  <c:v>2.9688200000000001E-3</c:v>
                </c:pt>
                <c:pt idx="146">
                  <c:v>2.94896E-3</c:v>
                </c:pt>
                <c:pt idx="147">
                  <c:v>3.0084700000000001E-3</c:v>
                </c:pt>
                <c:pt idx="148">
                  <c:v>2.9885799999999998E-3</c:v>
                </c:pt>
                <c:pt idx="149">
                  <c:v>2.97109E-3</c:v>
                </c:pt>
                <c:pt idx="150">
                  <c:v>2.9739900000000001E-3</c:v>
                </c:pt>
                <c:pt idx="151">
                  <c:v>2.9833300000000002E-3</c:v>
                </c:pt>
                <c:pt idx="152">
                  <c:v>3.02959E-3</c:v>
                </c:pt>
                <c:pt idx="153">
                  <c:v>3.0313699999999998E-3</c:v>
                </c:pt>
                <c:pt idx="154">
                  <c:v>3.0627699999999998E-3</c:v>
                </c:pt>
                <c:pt idx="155">
                  <c:v>3.1225200000000002E-3</c:v>
                </c:pt>
                <c:pt idx="156">
                  <c:v>3.0575200000000002E-3</c:v>
                </c:pt>
                <c:pt idx="157">
                  <c:v>3.0617299999999999E-3</c:v>
                </c:pt>
                <c:pt idx="158">
                  <c:v>3.0907600000000001E-3</c:v>
                </c:pt>
                <c:pt idx="159">
                  <c:v>3.13416E-3</c:v>
                </c:pt>
                <c:pt idx="160">
                  <c:v>3.0949300000000001E-3</c:v>
                </c:pt>
                <c:pt idx="161">
                  <c:v>3.18607E-3</c:v>
                </c:pt>
                <c:pt idx="162">
                  <c:v>3.1521800000000001E-3</c:v>
                </c:pt>
                <c:pt idx="163">
                  <c:v>3.2437500000000001E-3</c:v>
                </c:pt>
                <c:pt idx="164">
                  <c:v>3.1568899999999999E-3</c:v>
                </c:pt>
                <c:pt idx="165">
                  <c:v>3.1321700000000001E-3</c:v>
                </c:pt>
                <c:pt idx="166">
                  <c:v>3.3207599999999999E-3</c:v>
                </c:pt>
                <c:pt idx="167">
                  <c:v>3.2896399999999999E-3</c:v>
                </c:pt>
                <c:pt idx="168">
                  <c:v>3.2268700000000002E-3</c:v>
                </c:pt>
                <c:pt idx="169">
                  <c:v>3.27823E-3</c:v>
                </c:pt>
                <c:pt idx="170">
                  <c:v>3.2545600000000001E-3</c:v>
                </c:pt>
                <c:pt idx="171">
                  <c:v>3.2471000000000002E-3</c:v>
                </c:pt>
                <c:pt idx="172">
                  <c:v>3.3409099999999999E-3</c:v>
                </c:pt>
                <c:pt idx="173">
                  <c:v>3.3467000000000002E-3</c:v>
                </c:pt>
                <c:pt idx="174">
                  <c:v>3.3284600000000001E-3</c:v>
                </c:pt>
                <c:pt idx="175">
                  <c:v>3.34221E-3</c:v>
                </c:pt>
                <c:pt idx="176">
                  <c:v>3.3172599999999998E-3</c:v>
                </c:pt>
                <c:pt idx="177">
                  <c:v>3.3352500000000001E-3</c:v>
                </c:pt>
                <c:pt idx="178">
                  <c:v>3.4100900000000002E-3</c:v>
                </c:pt>
                <c:pt idx="179">
                  <c:v>3.4442600000000002E-3</c:v>
                </c:pt>
                <c:pt idx="180">
                  <c:v>3.3835499999999999E-3</c:v>
                </c:pt>
                <c:pt idx="181">
                  <c:v>3.4268699999999998E-3</c:v>
                </c:pt>
                <c:pt idx="182">
                  <c:v>3.4375400000000002E-3</c:v>
                </c:pt>
                <c:pt idx="183">
                  <c:v>3.4807000000000002E-3</c:v>
                </c:pt>
                <c:pt idx="184">
                  <c:v>3.4302099999999999E-3</c:v>
                </c:pt>
                <c:pt idx="185">
                  <c:v>3.4537600000000002E-3</c:v>
                </c:pt>
                <c:pt idx="186">
                  <c:v>3.50615E-3</c:v>
                </c:pt>
                <c:pt idx="187">
                  <c:v>3.4914199999999999E-3</c:v>
                </c:pt>
                <c:pt idx="188">
                  <c:v>3.5087400000000002E-3</c:v>
                </c:pt>
                <c:pt idx="189">
                  <c:v>3.5606000000000001E-3</c:v>
                </c:pt>
                <c:pt idx="190">
                  <c:v>3.5525299999999999E-3</c:v>
                </c:pt>
                <c:pt idx="191">
                  <c:v>3.53659E-3</c:v>
                </c:pt>
                <c:pt idx="192">
                  <c:v>3.5537899999999998E-3</c:v>
                </c:pt>
                <c:pt idx="193">
                  <c:v>3.6052300000000001E-3</c:v>
                </c:pt>
                <c:pt idx="194">
                  <c:v>3.5992099999999998E-3</c:v>
                </c:pt>
                <c:pt idx="195">
                  <c:v>3.61444E-3</c:v>
                </c:pt>
                <c:pt idx="196">
                  <c:v>3.6465500000000001E-3</c:v>
                </c:pt>
                <c:pt idx="197">
                  <c:v>3.6487199999999998E-3</c:v>
                </c:pt>
                <c:pt idx="198">
                  <c:v>3.6407200000000001E-3</c:v>
                </c:pt>
                <c:pt idx="199">
                  <c:v>3.6826200000000002E-3</c:v>
                </c:pt>
                <c:pt idx="200">
                  <c:v>3.6846600000000002E-3</c:v>
                </c:pt>
                <c:pt idx="201">
                  <c:v>3.6934400000000001E-3</c:v>
                </c:pt>
                <c:pt idx="202">
                  <c:v>3.7267799999999998E-3</c:v>
                </c:pt>
                <c:pt idx="203">
                  <c:v>3.68893E-3</c:v>
                </c:pt>
                <c:pt idx="204">
                  <c:v>3.75319E-3</c:v>
                </c:pt>
                <c:pt idx="205">
                  <c:v>3.7119200000000001E-3</c:v>
                </c:pt>
                <c:pt idx="206">
                  <c:v>3.8036099999999998E-3</c:v>
                </c:pt>
                <c:pt idx="207">
                  <c:v>3.7385999999999999E-3</c:v>
                </c:pt>
                <c:pt idx="208">
                  <c:v>3.7885599999999998E-3</c:v>
                </c:pt>
                <c:pt idx="209">
                  <c:v>3.7863300000000001E-3</c:v>
                </c:pt>
                <c:pt idx="210">
                  <c:v>3.8005600000000001E-3</c:v>
                </c:pt>
                <c:pt idx="211">
                  <c:v>3.8685199999999999E-3</c:v>
                </c:pt>
                <c:pt idx="212">
                  <c:v>3.82746E-3</c:v>
                </c:pt>
                <c:pt idx="213">
                  <c:v>3.8463500000000001E-3</c:v>
                </c:pt>
                <c:pt idx="214">
                  <c:v>3.8622299999999999E-3</c:v>
                </c:pt>
                <c:pt idx="215">
                  <c:v>3.8535499999999999E-3</c:v>
                </c:pt>
                <c:pt idx="216">
                  <c:v>3.9025700000000002E-3</c:v>
                </c:pt>
                <c:pt idx="217">
                  <c:v>3.9437500000000002E-3</c:v>
                </c:pt>
                <c:pt idx="218">
                  <c:v>3.8466799999999999E-3</c:v>
                </c:pt>
                <c:pt idx="219">
                  <c:v>3.92071E-3</c:v>
                </c:pt>
                <c:pt idx="220">
                  <c:v>3.9385599999999998E-3</c:v>
                </c:pt>
                <c:pt idx="221">
                  <c:v>4.0127299999999999E-3</c:v>
                </c:pt>
                <c:pt idx="222">
                  <c:v>3.9599500000000003E-3</c:v>
                </c:pt>
                <c:pt idx="223">
                  <c:v>4.0390799999999996E-3</c:v>
                </c:pt>
                <c:pt idx="224">
                  <c:v>4.0330899999999996E-3</c:v>
                </c:pt>
                <c:pt idx="225">
                  <c:v>3.9901499999999996E-3</c:v>
                </c:pt>
                <c:pt idx="226">
                  <c:v>4.0886999999999998E-3</c:v>
                </c:pt>
                <c:pt idx="227">
                  <c:v>4.0226200000000002E-3</c:v>
                </c:pt>
                <c:pt idx="228">
                  <c:v>4.0851500000000001E-3</c:v>
                </c:pt>
                <c:pt idx="229">
                  <c:v>4.0321300000000001E-3</c:v>
                </c:pt>
                <c:pt idx="230">
                  <c:v>4.0367199999999997E-3</c:v>
                </c:pt>
                <c:pt idx="231">
                  <c:v>4.1013899999999999E-3</c:v>
                </c:pt>
                <c:pt idx="232">
                  <c:v>4.1518299999999996E-3</c:v>
                </c:pt>
                <c:pt idx="233">
                  <c:v>4.1144399999999996E-3</c:v>
                </c:pt>
                <c:pt idx="234">
                  <c:v>4.1488000000000002E-3</c:v>
                </c:pt>
                <c:pt idx="235">
                  <c:v>4.1476100000000004E-3</c:v>
                </c:pt>
                <c:pt idx="236">
                  <c:v>4.1765099999999996E-3</c:v>
                </c:pt>
                <c:pt idx="237">
                  <c:v>4.1687900000000003E-3</c:v>
                </c:pt>
                <c:pt idx="238">
                  <c:v>4.1980000000000003E-3</c:v>
                </c:pt>
                <c:pt idx="239">
                  <c:v>4.2448199999999998E-3</c:v>
                </c:pt>
                <c:pt idx="240">
                  <c:v>4.2260900000000001E-3</c:v>
                </c:pt>
                <c:pt idx="241">
                  <c:v>4.2291400000000002E-3</c:v>
                </c:pt>
                <c:pt idx="242">
                  <c:v>4.2675999999999999E-3</c:v>
                </c:pt>
                <c:pt idx="243">
                  <c:v>4.2802400000000003E-3</c:v>
                </c:pt>
                <c:pt idx="244">
                  <c:v>4.3020000000000003E-3</c:v>
                </c:pt>
                <c:pt idx="245">
                  <c:v>4.2926600000000002E-3</c:v>
                </c:pt>
                <c:pt idx="246">
                  <c:v>4.2836799999999998E-3</c:v>
                </c:pt>
                <c:pt idx="247">
                  <c:v>4.2678899999999999E-3</c:v>
                </c:pt>
                <c:pt idx="248">
                  <c:v>4.2818600000000002E-3</c:v>
                </c:pt>
                <c:pt idx="249">
                  <c:v>4.3231700000000003E-3</c:v>
                </c:pt>
                <c:pt idx="250">
                  <c:v>4.3344999999999998E-3</c:v>
                </c:pt>
                <c:pt idx="251">
                  <c:v>4.3814600000000002E-3</c:v>
                </c:pt>
                <c:pt idx="252">
                  <c:v>4.37916E-3</c:v>
                </c:pt>
                <c:pt idx="253">
                  <c:v>4.4809400000000001E-3</c:v>
                </c:pt>
                <c:pt idx="254">
                  <c:v>4.4301499999999999E-3</c:v>
                </c:pt>
                <c:pt idx="255">
                  <c:v>4.4081499999999996E-3</c:v>
                </c:pt>
                <c:pt idx="256">
                  <c:v>4.4459399999999998E-3</c:v>
                </c:pt>
                <c:pt idx="257">
                  <c:v>4.4529399999999998E-3</c:v>
                </c:pt>
                <c:pt idx="258">
                  <c:v>4.45978E-3</c:v>
                </c:pt>
                <c:pt idx="259">
                  <c:v>4.5069899999999998E-3</c:v>
                </c:pt>
                <c:pt idx="260">
                  <c:v>4.4684900000000003E-3</c:v>
                </c:pt>
                <c:pt idx="261">
                  <c:v>4.5616600000000004E-3</c:v>
                </c:pt>
                <c:pt idx="262">
                  <c:v>4.5773000000000003E-3</c:v>
                </c:pt>
                <c:pt idx="263">
                  <c:v>4.5551000000000003E-3</c:v>
                </c:pt>
                <c:pt idx="264">
                  <c:v>4.5884400000000001E-3</c:v>
                </c:pt>
                <c:pt idx="265">
                  <c:v>4.5797499999999996E-3</c:v>
                </c:pt>
                <c:pt idx="266">
                  <c:v>4.5745899999999999E-3</c:v>
                </c:pt>
                <c:pt idx="267">
                  <c:v>4.6470799999999996E-3</c:v>
                </c:pt>
                <c:pt idx="268">
                  <c:v>4.6283799999999996E-3</c:v>
                </c:pt>
                <c:pt idx="269">
                  <c:v>4.66951E-3</c:v>
                </c:pt>
                <c:pt idx="270">
                  <c:v>4.6495E-3</c:v>
                </c:pt>
                <c:pt idx="271">
                  <c:v>4.64511E-3</c:v>
                </c:pt>
                <c:pt idx="272">
                  <c:v>4.6938600000000002E-3</c:v>
                </c:pt>
                <c:pt idx="273">
                  <c:v>4.6669600000000004E-3</c:v>
                </c:pt>
                <c:pt idx="274">
                  <c:v>4.6598500000000001E-3</c:v>
                </c:pt>
                <c:pt idx="275">
                  <c:v>4.7081299999999996E-3</c:v>
                </c:pt>
                <c:pt idx="276">
                  <c:v>4.7287500000000003E-3</c:v>
                </c:pt>
                <c:pt idx="277">
                  <c:v>4.6553699999999998E-3</c:v>
                </c:pt>
                <c:pt idx="278">
                  <c:v>4.7838100000000003E-3</c:v>
                </c:pt>
                <c:pt idx="279">
                  <c:v>4.6632899999999996E-3</c:v>
                </c:pt>
                <c:pt idx="280">
                  <c:v>4.6983299999999997E-3</c:v>
                </c:pt>
                <c:pt idx="281">
                  <c:v>4.7272800000000004E-3</c:v>
                </c:pt>
                <c:pt idx="282">
                  <c:v>4.7264000000000004E-3</c:v>
                </c:pt>
                <c:pt idx="283">
                  <c:v>4.79E-3</c:v>
                </c:pt>
                <c:pt idx="284">
                  <c:v>4.7893500000000004E-3</c:v>
                </c:pt>
                <c:pt idx="285">
                  <c:v>4.77743E-3</c:v>
                </c:pt>
                <c:pt idx="286">
                  <c:v>4.7646900000000002E-3</c:v>
                </c:pt>
                <c:pt idx="287">
                  <c:v>4.8353500000000004E-3</c:v>
                </c:pt>
                <c:pt idx="288">
                  <c:v>4.8319799999999996E-3</c:v>
                </c:pt>
                <c:pt idx="289">
                  <c:v>4.8387899999999999E-3</c:v>
                </c:pt>
                <c:pt idx="290">
                  <c:v>4.8640699999999999E-3</c:v>
                </c:pt>
                <c:pt idx="291">
                  <c:v>4.89633E-3</c:v>
                </c:pt>
                <c:pt idx="292">
                  <c:v>4.9126400000000002E-3</c:v>
                </c:pt>
                <c:pt idx="293">
                  <c:v>4.8788299999999998E-3</c:v>
                </c:pt>
                <c:pt idx="294">
                  <c:v>4.8888899999999999E-3</c:v>
                </c:pt>
                <c:pt idx="295">
                  <c:v>4.9931799999999998E-3</c:v>
                </c:pt>
                <c:pt idx="296">
                  <c:v>4.92392E-3</c:v>
                </c:pt>
                <c:pt idx="297">
                  <c:v>4.9426000000000001E-3</c:v>
                </c:pt>
                <c:pt idx="298">
                  <c:v>4.9676199999999998E-3</c:v>
                </c:pt>
                <c:pt idx="299">
                  <c:v>5.0166799999999999E-3</c:v>
                </c:pt>
                <c:pt idx="300">
                  <c:v>5.0082800000000004E-3</c:v>
                </c:pt>
                <c:pt idx="301">
                  <c:v>5.0125200000000003E-3</c:v>
                </c:pt>
                <c:pt idx="302">
                  <c:v>5.0288800000000003E-3</c:v>
                </c:pt>
                <c:pt idx="303">
                  <c:v>5.06077E-3</c:v>
                </c:pt>
                <c:pt idx="304">
                  <c:v>5.0884900000000002E-3</c:v>
                </c:pt>
                <c:pt idx="305">
                  <c:v>5.0912500000000003E-3</c:v>
                </c:pt>
                <c:pt idx="306">
                  <c:v>5.1544399999999997E-3</c:v>
                </c:pt>
                <c:pt idx="307">
                  <c:v>5.13905E-3</c:v>
                </c:pt>
                <c:pt idx="308">
                  <c:v>5.1272599999999998E-3</c:v>
                </c:pt>
                <c:pt idx="309">
                  <c:v>5.1251400000000003E-3</c:v>
                </c:pt>
                <c:pt idx="310">
                  <c:v>5.1562500000000002E-3</c:v>
                </c:pt>
                <c:pt idx="311">
                  <c:v>5.1330200000000003E-3</c:v>
                </c:pt>
                <c:pt idx="312">
                  <c:v>5.2453500000000002E-3</c:v>
                </c:pt>
                <c:pt idx="313">
                  <c:v>5.2167300000000002E-3</c:v>
                </c:pt>
                <c:pt idx="314">
                  <c:v>5.1581999999999999E-3</c:v>
                </c:pt>
                <c:pt idx="315">
                  <c:v>5.2519200000000002E-3</c:v>
                </c:pt>
                <c:pt idx="316">
                  <c:v>5.2448E-3</c:v>
                </c:pt>
                <c:pt idx="317">
                  <c:v>5.2759399999999998E-3</c:v>
                </c:pt>
                <c:pt idx="318">
                  <c:v>5.2517900000000001E-3</c:v>
                </c:pt>
                <c:pt idx="319">
                  <c:v>5.2682800000000002E-3</c:v>
                </c:pt>
                <c:pt idx="320">
                  <c:v>5.3706700000000001E-3</c:v>
                </c:pt>
              </c:numCache>
            </c:numRef>
          </c:xVal>
          <c:yVal>
            <c:numRef>
              <c:f>'L30CPTX-1'!$N$80:$N$400</c:f>
              <c:numCache>
                <c:formatCode>General</c:formatCode>
                <c:ptCount val="321"/>
                <c:pt idx="0">
                  <c:v>-5.4759700000000004E-4</c:v>
                </c:pt>
                <c:pt idx="1">
                  <c:v>-4.7274799999999999E-4</c:v>
                </c:pt>
                <c:pt idx="2">
                  <c:v>-6.3918600000000003E-4</c:v>
                </c:pt>
                <c:pt idx="3">
                  <c:v>-5.7435299999999999E-4</c:v>
                </c:pt>
                <c:pt idx="4">
                  <c:v>-5.2769799999999995E-4</c:v>
                </c:pt>
                <c:pt idx="5">
                  <c:v>-5.8258699999999997E-4</c:v>
                </c:pt>
                <c:pt idx="6">
                  <c:v>-5.3411500000000005E-4</c:v>
                </c:pt>
                <c:pt idx="7">
                  <c:v>-5.97566E-4</c:v>
                </c:pt>
                <c:pt idx="8">
                  <c:v>-6.0847799999999997E-4</c:v>
                </c:pt>
                <c:pt idx="9">
                  <c:v>-5.8105899999999998E-4</c:v>
                </c:pt>
                <c:pt idx="10">
                  <c:v>-4.9926599999999995E-4</c:v>
                </c:pt>
                <c:pt idx="11">
                  <c:v>-5.7058399999999996E-4</c:v>
                </c:pt>
                <c:pt idx="12">
                  <c:v>-6.1214699999999995E-4</c:v>
                </c:pt>
                <c:pt idx="13">
                  <c:v>-6.4997000000000004E-4</c:v>
                </c:pt>
                <c:pt idx="14">
                  <c:v>-6.2929700000000002E-4</c:v>
                </c:pt>
                <c:pt idx="15">
                  <c:v>-5.9641100000000003E-4</c:v>
                </c:pt>
                <c:pt idx="16">
                  <c:v>-5.9369299999999996E-4</c:v>
                </c:pt>
                <c:pt idx="17">
                  <c:v>-6.2372199999999995E-4</c:v>
                </c:pt>
                <c:pt idx="18">
                  <c:v>-6.9292400000000004E-4</c:v>
                </c:pt>
                <c:pt idx="19">
                  <c:v>-6.1943199999999995E-4</c:v>
                </c:pt>
                <c:pt idx="20">
                  <c:v>-7.3850999999999995E-4</c:v>
                </c:pt>
                <c:pt idx="21">
                  <c:v>-6.5056599999999999E-4</c:v>
                </c:pt>
                <c:pt idx="22">
                  <c:v>-6.3728500000000002E-4</c:v>
                </c:pt>
                <c:pt idx="23">
                  <c:v>-5.0008300000000002E-4</c:v>
                </c:pt>
                <c:pt idx="24">
                  <c:v>-6.7009100000000005E-4</c:v>
                </c:pt>
                <c:pt idx="25">
                  <c:v>-6.5809799999999997E-4</c:v>
                </c:pt>
                <c:pt idx="26">
                  <c:v>-7.2264900000000001E-4</c:v>
                </c:pt>
                <c:pt idx="27">
                  <c:v>-6.4296899999999996E-4</c:v>
                </c:pt>
                <c:pt idx="28">
                  <c:v>-6.7945099999999997E-4</c:v>
                </c:pt>
                <c:pt idx="29">
                  <c:v>-6.6372899999999995E-4</c:v>
                </c:pt>
                <c:pt idx="30">
                  <c:v>-7.6112499999999997E-4</c:v>
                </c:pt>
                <c:pt idx="31">
                  <c:v>-7.2905699999999997E-4</c:v>
                </c:pt>
                <c:pt idx="32">
                  <c:v>-7.1428099999999999E-4</c:v>
                </c:pt>
                <c:pt idx="33">
                  <c:v>-7.5148299999999995E-4</c:v>
                </c:pt>
                <c:pt idx="34">
                  <c:v>-7.8705300000000001E-4</c:v>
                </c:pt>
                <c:pt idx="35">
                  <c:v>-8.6216999999999999E-4</c:v>
                </c:pt>
                <c:pt idx="36">
                  <c:v>-6.8609499999999996E-4</c:v>
                </c:pt>
                <c:pt idx="37">
                  <c:v>-6.8924899999999996E-4</c:v>
                </c:pt>
                <c:pt idx="38">
                  <c:v>-7.8176899999999998E-4</c:v>
                </c:pt>
                <c:pt idx="39">
                  <c:v>-7.8832999999999996E-4</c:v>
                </c:pt>
                <c:pt idx="40">
                  <c:v>-8.5449899999999999E-4</c:v>
                </c:pt>
                <c:pt idx="41">
                  <c:v>-8.2745599999999996E-4</c:v>
                </c:pt>
                <c:pt idx="42">
                  <c:v>-7.7212799999999996E-4</c:v>
                </c:pt>
                <c:pt idx="43">
                  <c:v>-7.73494E-4</c:v>
                </c:pt>
                <c:pt idx="44">
                  <c:v>-8.0734100000000005E-4</c:v>
                </c:pt>
                <c:pt idx="45">
                  <c:v>-7.5078000000000005E-4</c:v>
                </c:pt>
                <c:pt idx="46">
                  <c:v>-8.6189000000000003E-4</c:v>
                </c:pt>
                <c:pt idx="47">
                  <c:v>-7.9560299999999998E-4</c:v>
                </c:pt>
                <c:pt idx="48">
                  <c:v>-7.0525700000000004E-4</c:v>
                </c:pt>
                <c:pt idx="49">
                  <c:v>-9.3055799999999995E-4</c:v>
                </c:pt>
                <c:pt idx="50">
                  <c:v>-8.2702800000000005E-4</c:v>
                </c:pt>
                <c:pt idx="51">
                  <c:v>-9.1535399999999995E-4</c:v>
                </c:pt>
                <c:pt idx="52">
                  <c:v>-7.7296400000000001E-4</c:v>
                </c:pt>
                <c:pt idx="53">
                  <c:v>-8.94176E-4</c:v>
                </c:pt>
                <c:pt idx="54">
                  <c:v>-7.6131899999999999E-4</c:v>
                </c:pt>
                <c:pt idx="55">
                  <c:v>-9.64626E-4</c:v>
                </c:pt>
                <c:pt idx="56">
                  <c:v>-9.4322500000000001E-4</c:v>
                </c:pt>
                <c:pt idx="57">
                  <c:v>-9.4177799999999999E-4</c:v>
                </c:pt>
                <c:pt idx="58">
                  <c:v>-9.2769200000000003E-4</c:v>
                </c:pt>
                <c:pt idx="59">
                  <c:v>-9.7786500000000007E-4</c:v>
                </c:pt>
                <c:pt idx="60">
                  <c:v>-9.14524E-4</c:v>
                </c:pt>
                <c:pt idx="61">
                  <c:v>-1.1261999999999999E-3</c:v>
                </c:pt>
                <c:pt idx="62">
                  <c:v>-1.01921E-3</c:v>
                </c:pt>
                <c:pt idx="63">
                  <c:v>-9.0347799999999999E-4</c:v>
                </c:pt>
                <c:pt idx="64">
                  <c:v>-1.00383E-3</c:v>
                </c:pt>
                <c:pt idx="65">
                  <c:v>-9.17237E-4</c:v>
                </c:pt>
                <c:pt idx="66">
                  <c:v>-9.6313200000000001E-4</c:v>
                </c:pt>
                <c:pt idx="67">
                  <c:v>-9.6573500000000001E-4</c:v>
                </c:pt>
                <c:pt idx="68">
                  <c:v>-9.9247799999999998E-4</c:v>
                </c:pt>
                <c:pt idx="69">
                  <c:v>-1.0082100000000001E-3</c:v>
                </c:pt>
                <c:pt idx="70">
                  <c:v>-1.19578E-3</c:v>
                </c:pt>
                <c:pt idx="71">
                  <c:v>-9.67435E-4</c:v>
                </c:pt>
                <c:pt idx="72">
                  <c:v>-1.0022E-3</c:v>
                </c:pt>
                <c:pt idx="73">
                  <c:v>-9.8060700000000009E-4</c:v>
                </c:pt>
                <c:pt idx="74">
                  <c:v>-1.02388E-3</c:v>
                </c:pt>
                <c:pt idx="75">
                  <c:v>-1.0882800000000001E-3</c:v>
                </c:pt>
                <c:pt idx="76">
                  <c:v>-1.0233E-3</c:v>
                </c:pt>
                <c:pt idx="77">
                  <c:v>-1.0179200000000001E-3</c:v>
                </c:pt>
                <c:pt idx="78">
                  <c:v>-1.0675599999999999E-3</c:v>
                </c:pt>
                <c:pt idx="79">
                  <c:v>-1.0426999999999999E-3</c:v>
                </c:pt>
                <c:pt idx="80">
                  <c:v>-1.10692E-3</c:v>
                </c:pt>
                <c:pt idx="81">
                  <c:v>-1.13988E-3</c:v>
                </c:pt>
                <c:pt idx="82">
                  <c:v>-1.1121499999999999E-3</c:v>
                </c:pt>
                <c:pt idx="83">
                  <c:v>-1.17022E-3</c:v>
                </c:pt>
                <c:pt idx="84">
                  <c:v>-1.0994399999999999E-3</c:v>
                </c:pt>
                <c:pt idx="85">
                  <c:v>-1.11805E-3</c:v>
                </c:pt>
                <c:pt idx="86">
                  <c:v>-1.15727E-3</c:v>
                </c:pt>
                <c:pt idx="87">
                  <c:v>-1.08445E-3</c:v>
                </c:pt>
                <c:pt idx="88">
                  <c:v>-1.0843700000000001E-3</c:v>
                </c:pt>
                <c:pt idx="89">
                  <c:v>-1.10293E-3</c:v>
                </c:pt>
                <c:pt idx="90">
                  <c:v>-1.13141E-3</c:v>
                </c:pt>
                <c:pt idx="91">
                  <c:v>-1.1636999999999999E-3</c:v>
                </c:pt>
                <c:pt idx="92">
                  <c:v>-1.25493E-3</c:v>
                </c:pt>
                <c:pt idx="93">
                  <c:v>-1.13177E-3</c:v>
                </c:pt>
                <c:pt idx="94">
                  <c:v>-1.20582E-3</c:v>
                </c:pt>
                <c:pt idx="95">
                  <c:v>-1.23802E-3</c:v>
                </c:pt>
                <c:pt idx="96">
                  <c:v>-1.2505800000000001E-3</c:v>
                </c:pt>
                <c:pt idx="97">
                  <c:v>-1.34431E-3</c:v>
                </c:pt>
                <c:pt idx="98">
                  <c:v>-1.21517E-3</c:v>
                </c:pt>
                <c:pt idx="99">
                  <c:v>-1.20842E-3</c:v>
                </c:pt>
                <c:pt idx="100">
                  <c:v>-1.2684E-3</c:v>
                </c:pt>
                <c:pt idx="101">
                  <c:v>-1.2093200000000001E-3</c:v>
                </c:pt>
                <c:pt idx="102">
                  <c:v>-1.3104799999999999E-3</c:v>
                </c:pt>
                <c:pt idx="103">
                  <c:v>-1.3579099999999999E-3</c:v>
                </c:pt>
                <c:pt idx="104">
                  <c:v>-1.35359E-3</c:v>
                </c:pt>
                <c:pt idx="105">
                  <c:v>-1.26717E-3</c:v>
                </c:pt>
                <c:pt idx="106">
                  <c:v>-1.1407500000000001E-3</c:v>
                </c:pt>
                <c:pt idx="107">
                  <c:v>-1.4255800000000001E-3</c:v>
                </c:pt>
                <c:pt idx="108">
                  <c:v>-1.24924E-3</c:v>
                </c:pt>
                <c:pt idx="109">
                  <c:v>-1.33687E-3</c:v>
                </c:pt>
                <c:pt idx="110">
                  <c:v>-1.3238099999999999E-3</c:v>
                </c:pt>
                <c:pt idx="111">
                  <c:v>-1.3726599999999999E-3</c:v>
                </c:pt>
                <c:pt idx="112">
                  <c:v>-1.3529499999999999E-3</c:v>
                </c:pt>
                <c:pt idx="113">
                  <c:v>-1.3617099999999999E-3</c:v>
                </c:pt>
                <c:pt idx="114">
                  <c:v>-1.3597399999999999E-3</c:v>
                </c:pt>
                <c:pt idx="115">
                  <c:v>-1.33169E-3</c:v>
                </c:pt>
                <c:pt idx="116">
                  <c:v>-1.40912E-3</c:v>
                </c:pt>
                <c:pt idx="117">
                  <c:v>-1.3996799999999999E-3</c:v>
                </c:pt>
                <c:pt idx="118">
                  <c:v>-1.47668E-3</c:v>
                </c:pt>
                <c:pt idx="119">
                  <c:v>-1.39459E-3</c:v>
                </c:pt>
                <c:pt idx="120">
                  <c:v>-1.4184099999999999E-3</c:v>
                </c:pt>
                <c:pt idx="121">
                  <c:v>-1.51323E-3</c:v>
                </c:pt>
                <c:pt idx="122">
                  <c:v>-1.4750500000000001E-3</c:v>
                </c:pt>
                <c:pt idx="123">
                  <c:v>-1.42739E-3</c:v>
                </c:pt>
                <c:pt idx="124">
                  <c:v>-1.41362E-3</c:v>
                </c:pt>
                <c:pt idx="125">
                  <c:v>-1.44915E-3</c:v>
                </c:pt>
                <c:pt idx="126">
                  <c:v>-1.4812200000000001E-3</c:v>
                </c:pt>
                <c:pt idx="127">
                  <c:v>-1.49777E-3</c:v>
                </c:pt>
                <c:pt idx="128">
                  <c:v>-1.5051699999999999E-3</c:v>
                </c:pt>
                <c:pt idx="129">
                  <c:v>-1.4601200000000001E-3</c:v>
                </c:pt>
                <c:pt idx="130">
                  <c:v>-1.49781E-3</c:v>
                </c:pt>
                <c:pt idx="131">
                  <c:v>-1.55208E-3</c:v>
                </c:pt>
                <c:pt idx="132">
                  <c:v>-1.4343299999999999E-3</c:v>
                </c:pt>
                <c:pt idx="133">
                  <c:v>-1.50107E-3</c:v>
                </c:pt>
                <c:pt idx="134">
                  <c:v>-1.5226700000000001E-3</c:v>
                </c:pt>
                <c:pt idx="135">
                  <c:v>-1.5752800000000001E-3</c:v>
                </c:pt>
                <c:pt idx="136">
                  <c:v>-1.6385799999999999E-3</c:v>
                </c:pt>
                <c:pt idx="137">
                  <c:v>-1.5946700000000001E-3</c:v>
                </c:pt>
                <c:pt idx="138">
                  <c:v>-1.54469E-3</c:v>
                </c:pt>
                <c:pt idx="139">
                  <c:v>-1.61684E-3</c:v>
                </c:pt>
                <c:pt idx="140">
                  <c:v>-1.56101E-3</c:v>
                </c:pt>
                <c:pt idx="141">
                  <c:v>-1.62116E-3</c:v>
                </c:pt>
                <c:pt idx="142">
                  <c:v>-1.5990900000000001E-3</c:v>
                </c:pt>
                <c:pt idx="143">
                  <c:v>-1.6188000000000001E-3</c:v>
                </c:pt>
                <c:pt idx="144">
                  <c:v>-1.6621400000000001E-3</c:v>
                </c:pt>
                <c:pt idx="145">
                  <c:v>-1.60261E-3</c:v>
                </c:pt>
                <c:pt idx="146">
                  <c:v>-1.6239500000000001E-3</c:v>
                </c:pt>
                <c:pt idx="147">
                  <c:v>-1.5891499999999999E-3</c:v>
                </c:pt>
                <c:pt idx="148">
                  <c:v>-1.6087499999999999E-3</c:v>
                </c:pt>
                <c:pt idx="149">
                  <c:v>-1.637E-3</c:v>
                </c:pt>
                <c:pt idx="150">
                  <c:v>-1.68173E-3</c:v>
                </c:pt>
                <c:pt idx="151">
                  <c:v>-1.56909E-3</c:v>
                </c:pt>
                <c:pt idx="152">
                  <c:v>-1.5854899999999999E-3</c:v>
                </c:pt>
                <c:pt idx="153">
                  <c:v>-1.65468E-3</c:v>
                </c:pt>
                <c:pt idx="154">
                  <c:v>-1.6651299999999999E-3</c:v>
                </c:pt>
                <c:pt idx="155">
                  <c:v>-1.6925600000000001E-3</c:v>
                </c:pt>
                <c:pt idx="156">
                  <c:v>-1.6173299999999999E-3</c:v>
                </c:pt>
                <c:pt idx="157">
                  <c:v>-1.7600999999999999E-3</c:v>
                </c:pt>
                <c:pt idx="158">
                  <c:v>-1.70576E-3</c:v>
                </c:pt>
                <c:pt idx="159">
                  <c:v>-1.6453699999999999E-3</c:v>
                </c:pt>
                <c:pt idx="160">
                  <c:v>-1.75286E-3</c:v>
                </c:pt>
                <c:pt idx="161">
                  <c:v>-1.7199699999999999E-3</c:v>
                </c:pt>
                <c:pt idx="162">
                  <c:v>-1.7401700000000001E-3</c:v>
                </c:pt>
                <c:pt idx="163">
                  <c:v>-1.61304E-3</c:v>
                </c:pt>
                <c:pt idx="164">
                  <c:v>-1.6369399999999999E-3</c:v>
                </c:pt>
                <c:pt idx="165">
                  <c:v>-1.81072E-3</c:v>
                </c:pt>
                <c:pt idx="166">
                  <c:v>-1.7613100000000001E-3</c:v>
                </c:pt>
                <c:pt idx="167">
                  <c:v>-1.8078199999999999E-3</c:v>
                </c:pt>
                <c:pt idx="168">
                  <c:v>-1.7695600000000001E-3</c:v>
                </c:pt>
                <c:pt idx="169">
                  <c:v>-1.84158E-3</c:v>
                </c:pt>
                <c:pt idx="170">
                  <c:v>-1.86936E-3</c:v>
                </c:pt>
                <c:pt idx="171">
                  <c:v>-1.8121299999999999E-3</c:v>
                </c:pt>
                <c:pt idx="172">
                  <c:v>-1.7745899999999999E-3</c:v>
                </c:pt>
                <c:pt idx="173">
                  <c:v>-1.78561E-3</c:v>
                </c:pt>
                <c:pt idx="174">
                  <c:v>-1.77472E-3</c:v>
                </c:pt>
                <c:pt idx="175">
                  <c:v>-1.8179699999999999E-3</c:v>
                </c:pt>
                <c:pt idx="176">
                  <c:v>-1.8808799999999999E-3</c:v>
                </c:pt>
                <c:pt idx="177">
                  <c:v>-1.92421E-3</c:v>
                </c:pt>
                <c:pt idx="178">
                  <c:v>-1.8844300000000001E-3</c:v>
                </c:pt>
                <c:pt idx="179">
                  <c:v>-1.78571E-3</c:v>
                </c:pt>
                <c:pt idx="180">
                  <c:v>-1.9652300000000001E-3</c:v>
                </c:pt>
                <c:pt idx="181">
                  <c:v>-1.90701E-3</c:v>
                </c:pt>
                <c:pt idx="182">
                  <c:v>-1.92469E-3</c:v>
                </c:pt>
                <c:pt idx="183">
                  <c:v>-1.8872299999999999E-3</c:v>
                </c:pt>
                <c:pt idx="184">
                  <c:v>-1.91186E-3</c:v>
                </c:pt>
                <c:pt idx="185">
                  <c:v>-1.9612900000000001E-3</c:v>
                </c:pt>
                <c:pt idx="186">
                  <c:v>-1.93808E-3</c:v>
                </c:pt>
                <c:pt idx="187">
                  <c:v>-1.9033699999999999E-3</c:v>
                </c:pt>
                <c:pt idx="188">
                  <c:v>-2.0220899999999998E-3</c:v>
                </c:pt>
                <c:pt idx="189">
                  <c:v>-1.9907599999999998E-3</c:v>
                </c:pt>
                <c:pt idx="190">
                  <c:v>-1.9916700000000001E-3</c:v>
                </c:pt>
                <c:pt idx="191">
                  <c:v>-1.9849799999999999E-3</c:v>
                </c:pt>
                <c:pt idx="192">
                  <c:v>-1.9695699999999999E-3</c:v>
                </c:pt>
                <c:pt idx="193">
                  <c:v>-1.9692400000000001E-3</c:v>
                </c:pt>
                <c:pt idx="194">
                  <c:v>-1.9910499999999999E-3</c:v>
                </c:pt>
                <c:pt idx="195">
                  <c:v>-2.0665000000000002E-3</c:v>
                </c:pt>
                <c:pt idx="196">
                  <c:v>-2.05938E-3</c:v>
                </c:pt>
                <c:pt idx="197">
                  <c:v>-1.95751E-3</c:v>
                </c:pt>
                <c:pt idx="198">
                  <c:v>-2.0311999999999999E-3</c:v>
                </c:pt>
                <c:pt idx="199">
                  <c:v>-2.0395999999999999E-3</c:v>
                </c:pt>
                <c:pt idx="200">
                  <c:v>-2.0551699999999998E-3</c:v>
                </c:pt>
                <c:pt idx="201">
                  <c:v>-2.0775300000000002E-3</c:v>
                </c:pt>
                <c:pt idx="202">
                  <c:v>-2.0993700000000001E-3</c:v>
                </c:pt>
                <c:pt idx="203">
                  <c:v>-2.0487600000000002E-3</c:v>
                </c:pt>
                <c:pt idx="204">
                  <c:v>-2.11122E-3</c:v>
                </c:pt>
                <c:pt idx="205">
                  <c:v>-2.0579600000000002E-3</c:v>
                </c:pt>
                <c:pt idx="206">
                  <c:v>-2.0848400000000001E-3</c:v>
                </c:pt>
                <c:pt idx="207">
                  <c:v>-2.17403E-3</c:v>
                </c:pt>
                <c:pt idx="208">
                  <c:v>-2.0934700000000001E-3</c:v>
                </c:pt>
                <c:pt idx="209">
                  <c:v>-2.12042E-3</c:v>
                </c:pt>
                <c:pt idx="210">
                  <c:v>-2.1246400000000001E-3</c:v>
                </c:pt>
                <c:pt idx="211">
                  <c:v>-2.09392E-3</c:v>
                </c:pt>
                <c:pt idx="212">
                  <c:v>-2.2052999999999999E-3</c:v>
                </c:pt>
                <c:pt idx="213">
                  <c:v>-2.1777900000000002E-3</c:v>
                </c:pt>
                <c:pt idx="214">
                  <c:v>-2.14408E-3</c:v>
                </c:pt>
                <c:pt idx="215">
                  <c:v>-2.1863299999999998E-3</c:v>
                </c:pt>
                <c:pt idx="216">
                  <c:v>-2.1799800000000002E-3</c:v>
                </c:pt>
                <c:pt idx="217">
                  <c:v>-2.1812400000000001E-3</c:v>
                </c:pt>
                <c:pt idx="218">
                  <c:v>-2.2112299999999998E-3</c:v>
                </c:pt>
                <c:pt idx="219">
                  <c:v>-2.2631399999999999E-3</c:v>
                </c:pt>
                <c:pt idx="220">
                  <c:v>-2.2187299999999999E-3</c:v>
                </c:pt>
                <c:pt idx="221">
                  <c:v>-2.17578E-3</c:v>
                </c:pt>
                <c:pt idx="222">
                  <c:v>-2.1878700000000002E-3</c:v>
                </c:pt>
                <c:pt idx="223">
                  <c:v>-2.19637E-3</c:v>
                </c:pt>
                <c:pt idx="224">
                  <c:v>-2.2959299999999998E-3</c:v>
                </c:pt>
                <c:pt idx="225">
                  <c:v>-2.2155999999999999E-3</c:v>
                </c:pt>
                <c:pt idx="226">
                  <c:v>-2.2938899999999998E-3</c:v>
                </c:pt>
                <c:pt idx="227">
                  <c:v>-2.3325899999999998E-3</c:v>
                </c:pt>
                <c:pt idx="228">
                  <c:v>-2.29736E-3</c:v>
                </c:pt>
                <c:pt idx="229">
                  <c:v>-2.3038199999999998E-3</c:v>
                </c:pt>
                <c:pt idx="230">
                  <c:v>-2.2635300000000001E-3</c:v>
                </c:pt>
                <c:pt idx="231">
                  <c:v>-2.2269500000000001E-3</c:v>
                </c:pt>
                <c:pt idx="232">
                  <c:v>-2.2755800000000001E-3</c:v>
                </c:pt>
                <c:pt idx="233">
                  <c:v>-2.3312200000000002E-3</c:v>
                </c:pt>
                <c:pt idx="234">
                  <c:v>-2.29948E-3</c:v>
                </c:pt>
                <c:pt idx="235">
                  <c:v>-2.2710400000000002E-3</c:v>
                </c:pt>
                <c:pt idx="236">
                  <c:v>-2.2692599999999999E-3</c:v>
                </c:pt>
                <c:pt idx="237">
                  <c:v>-2.3609799999999999E-3</c:v>
                </c:pt>
                <c:pt idx="238">
                  <c:v>-2.3599099999999998E-3</c:v>
                </c:pt>
                <c:pt idx="239">
                  <c:v>-2.3319999999999999E-3</c:v>
                </c:pt>
                <c:pt idx="240">
                  <c:v>-2.3590299999999998E-3</c:v>
                </c:pt>
                <c:pt idx="241">
                  <c:v>-2.40209E-3</c:v>
                </c:pt>
                <c:pt idx="242">
                  <c:v>-2.4362400000000001E-3</c:v>
                </c:pt>
                <c:pt idx="243">
                  <c:v>-2.4191500000000001E-3</c:v>
                </c:pt>
                <c:pt idx="244">
                  <c:v>-2.3648699999999998E-3</c:v>
                </c:pt>
                <c:pt idx="245">
                  <c:v>-2.4873500000000002E-3</c:v>
                </c:pt>
                <c:pt idx="246">
                  <c:v>-2.3989100000000002E-3</c:v>
                </c:pt>
                <c:pt idx="247">
                  <c:v>-2.4134E-3</c:v>
                </c:pt>
                <c:pt idx="248">
                  <c:v>-2.4342600000000002E-3</c:v>
                </c:pt>
                <c:pt idx="249">
                  <c:v>-2.5382999999999998E-3</c:v>
                </c:pt>
                <c:pt idx="250">
                  <c:v>-2.4337600000000001E-3</c:v>
                </c:pt>
                <c:pt idx="251">
                  <c:v>-2.4833699999999999E-3</c:v>
                </c:pt>
                <c:pt idx="252">
                  <c:v>-2.6202700000000001E-3</c:v>
                </c:pt>
                <c:pt idx="253">
                  <c:v>-2.4935600000000001E-3</c:v>
                </c:pt>
                <c:pt idx="254">
                  <c:v>-2.5510099999999998E-3</c:v>
                </c:pt>
                <c:pt idx="255">
                  <c:v>-2.4942499999999999E-3</c:v>
                </c:pt>
                <c:pt idx="256">
                  <c:v>-2.4640199999999999E-3</c:v>
                </c:pt>
                <c:pt idx="257">
                  <c:v>-2.5061599999999999E-3</c:v>
                </c:pt>
                <c:pt idx="258">
                  <c:v>-2.5385799999999999E-3</c:v>
                </c:pt>
                <c:pt idx="259">
                  <c:v>-2.5809800000000001E-3</c:v>
                </c:pt>
                <c:pt idx="260">
                  <c:v>-2.57887E-3</c:v>
                </c:pt>
                <c:pt idx="261">
                  <c:v>-2.49322E-3</c:v>
                </c:pt>
                <c:pt idx="262">
                  <c:v>-2.4549900000000002E-3</c:v>
                </c:pt>
                <c:pt idx="263">
                  <c:v>-2.45144E-3</c:v>
                </c:pt>
                <c:pt idx="264">
                  <c:v>-2.4901300000000001E-3</c:v>
                </c:pt>
                <c:pt idx="265">
                  <c:v>-2.5163E-3</c:v>
                </c:pt>
                <c:pt idx="266">
                  <c:v>-2.5689100000000002E-3</c:v>
                </c:pt>
                <c:pt idx="267">
                  <c:v>-2.55324E-3</c:v>
                </c:pt>
                <c:pt idx="268">
                  <c:v>-2.5756899999999998E-3</c:v>
                </c:pt>
                <c:pt idx="269">
                  <c:v>-2.4791000000000001E-3</c:v>
                </c:pt>
                <c:pt idx="270">
                  <c:v>-2.5258899999999998E-3</c:v>
                </c:pt>
                <c:pt idx="271">
                  <c:v>-2.6641299999999998E-3</c:v>
                </c:pt>
                <c:pt idx="272">
                  <c:v>-2.6448399999999999E-3</c:v>
                </c:pt>
                <c:pt idx="273">
                  <c:v>-2.6889000000000001E-3</c:v>
                </c:pt>
                <c:pt idx="274">
                  <c:v>-2.6083999999999999E-3</c:v>
                </c:pt>
                <c:pt idx="275">
                  <c:v>-2.5527499999999999E-3</c:v>
                </c:pt>
                <c:pt idx="276">
                  <c:v>-2.6999599999999999E-3</c:v>
                </c:pt>
                <c:pt idx="277">
                  <c:v>-2.6407800000000001E-3</c:v>
                </c:pt>
                <c:pt idx="278">
                  <c:v>-2.46394E-3</c:v>
                </c:pt>
                <c:pt idx="279">
                  <c:v>-2.73968E-3</c:v>
                </c:pt>
                <c:pt idx="280">
                  <c:v>-2.87171E-3</c:v>
                </c:pt>
                <c:pt idx="281">
                  <c:v>-2.6755300000000002E-3</c:v>
                </c:pt>
                <c:pt idx="282">
                  <c:v>-2.8299100000000002E-3</c:v>
                </c:pt>
                <c:pt idx="283">
                  <c:v>-2.7238000000000002E-3</c:v>
                </c:pt>
                <c:pt idx="284">
                  <c:v>-2.5787100000000001E-3</c:v>
                </c:pt>
                <c:pt idx="285">
                  <c:v>-2.7778899999999999E-3</c:v>
                </c:pt>
                <c:pt idx="286">
                  <c:v>-2.7514100000000001E-3</c:v>
                </c:pt>
                <c:pt idx="287">
                  <c:v>-2.7384800000000002E-3</c:v>
                </c:pt>
                <c:pt idx="288">
                  <c:v>-2.8080800000000001E-3</c:v>
                </c:pt>
                <c:pt idx="289">
                  <c:v>-2.8460899999999999E-3</c:v>
                </c:pt>
                <c:pt idx="290">
                  <c:v>-2.8095799999999999E-3</c:v>
                </c:pt>
                <c:pt idx="291">
                  <c:v>-2.7265900000000001E-3</c:v>
                </c:pt>
                <c:pt idx="292">
                  <c:v>-2.86316E-3</c:v>
                </c:pt>
                <c:pt idx="293">
                  <c:v>-2.8483499999999999E-3</c:v>
                </c:pt>
                <c:pt idx="294">
                  <c:v>-2.7920000000000002E-3</c:v>
                </c:pt>
                <c:pt idx="295">
                  <c:v>-2.8907899999999999E-3</c:v>
                </c:pt>
                <c:pt idx="296">
                  <c:v>-2.8405000000000001E-3</c:v>
                </c:pt>
                <c:pt idx="297">
                  <c:v>-2.8284199999999999E-3</c:v>
                </c:pt>
                <c:pt idx="298">
                  <c:v>-2.8768399999999999E-3</c:v>
                </c:pt>
                <c:pt idx="299">
                  <c:v>-2.8746700000000002E-3</c:v>
                </c:pt>
                <c:pt idx="300">
                  <c:v>-2.87872E-3</c:v>
                </c:pt>
                <c:pt idx="301">
                  <c:v>-2.8969099999999999E-3</c:v>
                </c:pt>
                <c:pt idx="302">
                  <c:v>-2.88281E-3</c:v>
                </c:pt>
                <c:pt idx="303">
                  <c:v>-2.89522E-3</c:v>
                </c:pt>
                <c:pt idx="304">
                  <c:v>-2.84906E-3</c:v>
                </c:pt>
                <c:pt idx="305">
                  <c:v>-2.96591E-3</c:v>
                </c:pt>
                <c:pt idx="306">
                  <c:v>-2.9036999999999999E-3</c:v>
                </c:pt>
                <c:pt idx="307">
                  <c:v>-2.8775300000000001E-3</c:v>
                </c:pt>
                <c:pt idx="308">
                  <c:v>-2.9604000000000002E-3</c:v>
                </c:pt>
                <c:pt idx="309">
                  <c:v>-2.9539499999999999E-3</c:v>
                </c:pt>
                <c:pt idx="310">
                  <c:v>-2.98964E-3</c:v>
                </c:pt>
                <c:pt idx="311">
                  <c:v>-3.0702400000000001E-3</c:v>
                </c:pt>
                <c:pt idx="312">
                  <c:v>-2.9610600000000002E-3</c:v>
                </c:pt>
                <c:pt idx="313">
                  <c:v>-2.95517E-3</c:v>
                </c:pt>
                <c:pt idx="314">
                  <c:v>-3.04544E-3</c:v>
                </c:pt>
                <c:pt idx="315">
                  <c:v>-2.9522400000000001E-3</c:v>
                </c:pt>
                <c:pt idx="316">
                  <c:v>-3.03871E-3</c:v>
                </c:pt>
                <c:pt idx="317">
                  <c:v>-3.01249E-3</c:v>
                </c:pt>
                <c:pt idx="318">
                  <c:v>-3.0869600000000001E-3</c:v>
                </c:pt>
                <c:pt idx="319">
                  <c:v>-3.0565499999999999E-3</c:v>
                </c:pt>
                <c:pt idx="320">
                  <c:v>-3.10692E-3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D8C-44A0-A2D8-FE6A20D271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0716704"/>
        <c:axId val="370718944"/>
      </c:scatterChart>
      <c:valAx>
        <c:axId val="3707167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70718944"/>
        <c:crosses val="autoZero"/>
        <c:crossBetween val="midCat"/>
      </c:valAx>
      <c:valAx>
        <c:axId val="370718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707167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modulus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4.7797025371828519E-2"/>
                  <c:y val="-0.1905143627879848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</c:trendlineLbl>
          </c:trendline>
          <c:xVal>
            <c:numRef>
              <c:f>'L30CPTX-1'!$B$7:$B$430</c:f>
              <c:numCache>
                <c:formatCode>0.00E+00</c:formatCode>
                <c:ptCount val="424"/>
                <c:pt idx="0" formatCode="General">
                  <c:v>0</c:v>
                </c:pt>
                <c:pt idx="1">
                  <c:v>-9.6237400000000001E-6</c:v>
                </c:pt>
                <c:pt idx="2">
                  <c:v>2.8467400000000001E-5</c:v>
                </c:pt>
                <c:pt idx="3">
                  <c:v>4.85617E-5</c:v>
                </c:pt>
                <c:pt idx="4" formatCode="General">
                  <c:v>1.3281E-4</c:v>
                </c:pt>
                <c:pt idx="5">
                  <c:v>7.2601600000000006E-5</c:v>
                </c:pt>
                <c:pt idx="6">
                  <c:v>8.0993499999999996E-5</c:v>
                </c:pt>
                <c:pt idx="7">
                  <c:v>7.1365799999999994E-5</c:v>
                </c:pt>
                <c:pt idx="8">
                  <c:v>8.8585199999999993E-5</c:v>
                </c:pt>
                <c:pt idx="9" formatCode="General">
                  <c:v>1.07899E-4</c:v>
                </c:pt>
                <c:pt idx="10" formatCode="General">
                  <c:v>1.2531400000000001E-4</c:v>
                </c:pt>
                <c:pt idx="11" formatCode="General">
                  <c:v>1.6745799999999999E-4</c:v>
                </c:pt>
                <c:pt idx="12" formatCode="General">
                  <c:v>1.6999699999999999E-4</c:v>
                </c:pt>
                <c:pt idx="13" formatCode="General">
                  <c:v>2.2569199999999999E-4</c:v>
                </c:pt>
                <c:pt idx="14" formatCode="General">
                  <c:v>2.6232000000000002E-4</c:v>
                </c:pt>
                <c:pt idx="15" formatCode="General">
                  <c:v>2.4120500000000001E-4</c:v>
                </c:pt>
                <c:pt idx="16" formatCode="General">
                  <c:v>2.8669900000000001E-4</c:v>
                </c:pt>
                <c:pt idx="17" formatCode="General">
                  <c:v>3.04037E-4</c:v>
                </c:pt>
                <c:pt idx="18" formatCode="General">
                  <c:v>3.0203700000000001E-4</c:v>
                </c:pt>
                <c:pt idx="19" formatCode="General">
                  <c:v>3.3367599999999998E-4</c:v>
                </c:pt>
                <c:pt idx="20" formatCode="General">
                  <c:v>3.5913299999999998E-4</c:v>
                </c:pt>
                <c:pt idx="21" formatCode="General">
                  <c:v>3.2269999999999998E-4</c:v>
                </c:pt>
                <c:pt idx="22" formatCode="General">
                  <c:v>3.6304600000000001E-4</c:v>
                </c:pt>
                <c:pt idx="23" formatCode="General">
                  <c:v>3.62092E-4</c:v>
                </c:pt>
                <c:pt idx="24" formatCode="General">
                  <c:v>2.9358100000000001E-4</c:v>
                </c:pt>
                <c:pt idx="25" formatCode="General">
                  <c:v>4.7600600000000001E-4</c:v>
                </c:pt>
                <c:pt idx="26" formatCode="General">
                  <c:v>4.8424500000000001E-4</c:v>
                </c:pt>
                <c:pt idx="27" formatCode="General">
                  <c:v>4.9406299999999999E-4</c:v>
                </c:pt>
                <c:pt idx="28" formatCode="General">
                  <c:v>4.6192E-4</c:v>
                </c:pt>
                <c:pt idx="29" formatCode="General">
                  <c:v>4.6202299999999999E-4</c:v>
                </c:pt>
                <c:pt idx="30" formatCode="General">
                  <c:v>4.9509800000000002E-4</c:v>
                </c:pt>
                <c:pt idx="31" formatCode="General">
                  <c:v>4.80302E-4</c:v>
                </c:pt>
                <c:pt idx="32" formatCode="General">
                  <c:v>5.0887600000000001E-4</c:v>
                </c:pt>
                <c:pt idx="33" formatCode="General">
                  <c:v>4.92528E-4</c:v>
                </c:pt>
                <c:pt idx="34" formatCode="General">
                  <c:v>5.0475300000000004E-4</c:v>
                </c:pt>
                <c:pt idx="35" formatCode="General">
                  <c:v>5.57669E-4</c:v>
                </c:pt>
                <c:pt idx="36" formatCode="General">
                  <c:v>5.2065599999999998E-4</c:v>
                </c:pt>
                <c:pt idx="37" formatCode="General">
                  <c:v>5.6266200000000001E-4</c:v>
                </c:pt>
                <c:pt idx="38" formatCode="General">
                  <c:v>6.1326900000000005E-4</c:v>
                </c:pt>
                <c:pt idx="39" formatCode="General">
                  <c:v>5.8314900000000004E-4</c:v>
                </c:pt>
                <c:pt idx="40" formatCode="General">
                  <c:v>6.0293599999999999E-4</c:v>
                </c:pt>
                <c:pt idx="41" formatCode="General">
                  <c:v>5.9453999999999996E-4</c:v>
                </c:pt>
                <c:pt idx="42" formatCode="General">
                  <c:v>6.3854199999999997E-4</c:v>
                </c:pt>
                <c:pt idx="43" formatCode="General">
                  <c:v>7.2149300000000003E-4</c:v>
                </c:pt>
                <c:pt idx="44" formatCode="General">
                  <c:v>7.1943699999999996E-4</c:v>
                </c:pt>
                <c:pt idx="45" formatCode="General">
                  <c:v>6.1595200000000001E-4</c:v>
                </c:pt>
                <c:pt idx="46" formatCode="General">
                  <c:v>6.4712199999999998E-4</c:v>
                </c:pt>
                <c:pt idx="47" formatCode="General">
                  <c:v>7.1452500000000003E-4</c:v>
                </c:pt>
                <c:pt idx="48" formatCode="General">
                  <c:v>7.0247300000000001E-4</c:v>
                </c:pt>
                <c:pt idx="49" formatCode="General">
                  <c:v>7.0178799999999996E-4</c:v>
                </c:pt>
                <c:pt idx="50" formatCode="General">
                  <c:v>7.2503499999999996E-4</c:v>
                </c:pt>
                <c:pt idx="51" formatCode="General">
                  <c:v>7.4122399999999996E-4</c:v>
                </c:pt>
                <c:pt idx="52" formatCode="General">
                  <c:v>7.4732900000000003E-4</c:v>
                </c:pt>
                <c:pt idx="53" formatCode="General">
                  <c:v>8.3342699999999997E-4</c:v>
                </c:pt>
                <c:pt idx="54" formatCode="General">
                  <c:v>7.7998499999999997E-4</c:v>
                </c:pt>
                <c:pt idx="55" formatCode="General">
                  <c:v>7.5309699999999999E-4</c:v>
                </c:pt>
                <c:pt idx="56" formatCode="General">
                  <c:v>7.9553399999999998E-4</c:v>
                </c:pt>
                <c:pt idx="57" formatCode="General">
                  <c:v>8.3064100000000002E-4</c:v>
                </c:pt>
                <c:pt idx="58" formatCode="General">
                  <c:v>7.8165000000000005E-4</c:v>
                </c:pt>
                <c:pt idx="59" formatCode="General">
                  <c:v>8.3753400000000002E-4</c:v>
                </c:pt>
                <c:pt idx="60" formatCode="General">
                  <c:v>9.04863E-4</c:v>
                </c:pt>
                <c:pt idx="61" formatCode="General">
                  <c:v>8.5576100000000002E-4</c:v>
                </c:pt>
                <c:pt idx="62" formatCode="General">
                  <c:v>9.0072399999999999E-4</c:v>
                </c:pt>
                <c:pt idx="63" formatCode="General">
                  <c:v>8.8862999999999995E-4</c:v>
                </c:pt>
                <c:pt idx="64" formatCode="General">
                  <c:v>8.9771999999999996E-4</c:v>
                </c:pt>
                <c:pt idx="65" formatCode="General">
                  <c:v>9.1442699999999999E-4</c:v>
                </c:pt>
                <c:pt idx="66" formatCode="General">
                  <c:v>9.5847499999999997E-4</c:v>
                </c:pt>
                <c:pt idx="67" formatCode="General">
                  <c:v>9.6073399999999998E-4</c:v>
                </c:pt>
                <c:pt idx="68" formatCode="General">
                  <c:v>9.4201400000000002E-4</c:v>
                </c:pt>
                <c:pt idx="69" formatCode="General">
                  <c:v>9.3498799999999999E-4</c:v>
                </c:pt>
                <c:pt idx="70" formatCode="General">
                  <c:v>9.9892699999999993E-4</c:v>
                </c:pt>
                <c:pt idx="71" formatCode="General">
                  <c:v>9.8148599999999995E-4</c:v>
                </c:pt>
                <c:pt idx="72" formatCode="General">
                  <c:v>1.0097999999999999E-3</c:v>
                </c:pt>
                <c:pt idx="73" formatCode="General">
                  <c:v>1.0605300000000001E-3</c:v>
                </c:pt>
                <c:pt idx="74" formatCode="General">
                  <c:v>1.0210200000000001E-3</c:v>
                </c:pt>
                <c:pt idx="75" formatCode="General">
                  <c:v>1.0422599999999999E-3</c:v>
                </c:pt>
                <c:pt idx="76" formatCode="General">
                  <c:v>1.04126E-3</c:v>
                </c:pt>
                <c:pt idx="77" formatCode="General">
                  <c:v>1.09249E-3</c:v>
                </c:pt>
                <c:pt idx="78" formatCode="General">
                  <c:v>1.0475899999999999E-3</c:v>
                </c:pt>
                <c:pt idx="79" formatCode="General">
                  <c:v>1.1021900000000001E-3</c:v>
                </c:pt>
                <c:pt idx="80" formatCode="General">
                  <c:v>1.1206899999999999E-3</c:v>
                </c:pt>
                <c:pt idx="81" formatCode="General">
                  <c:v>1.13805E-3</c:v>
                </c:pt>
                <c:pt idx="82" formatCode="General">
                  <c:v>1.08946E-3</c:v>
                </c:pt>
                <c:pt idx="83" formatCode="General">
                  <c:v>1.1366900000000001E-3</c:v>
                </c:pt>
                <c:pt idx="84" formatCode="General">
                  <c:v>1.16238E-3</c:v>
                </c:pt>
                <c:pt idx="85" formatCode="General">
                  <c:v>1.1405499999999999E-3</c:v>
                </c:pt>
                <c:pt idx="86" formatCode="General">
                  <c:v>1.21363E-3</c:v>
                </c:pt>
                <c:pt idx="87" formatCode="General">
                  <c:v>1.2074E-3</c:v>
                </c:pt>
                <c:pt idx="88" formatCode="General">
                  <c:v>1.20134E-3</c:v>
                </c:pt>
                <c:pt idx="89" formatCode="General">
                  <c:v>1.1898099999999999E-3</c:v>
                </c:pt>
                <c:pt idx="90" formatCode="General">
                  <c:v>1.20988E-3</c:v>
                </c:pt>
                <c:pt idx="91" formatCode="General">
                  <c:v>1.2444000000000001E-3</c:v>
                </c:pt>
                <c:pt idx="92" formatCode="General">
                  <c:v>1.25143E-3</c:v>
                </c:pt>
                <c:pt idx="93" formatCode="General">
                  <c:v>1.23178E-3</c:v>
                </c:pt>
                <c:pt idx="94" formatCode="General">
                  <c:v>1.2555699999999999E-3</c:v>
                </c:pt>
                <c:pt idx="95" formatCode="General">
                  <c:v>1.3069100000000001E-3</c:v>
                </c:pt>
                <c:pt idx="96" formatCode="General">
                  <c:v>1.3119099999999999E-3</c:v>
                </c:pt>
                <c:pt idx="97" formatCode="General">
                  <c:v>1.29298E-3</c:v>
                </c:pt>
                <c:pt idx="98" formatCode="General">
                  <c:v>1.30294E-3</c:v>
                </c:pt>
                <c:pt idx="99" formatCode="General">
                  <c:v>1.33183E-3</c:v>
                </c:pt>
                <c:pt idx="100" formatCode="General">
                  <c:v>1.3300899999999999E-3</c:v>
                </c:pt>
                <c:pt idx="101" formatCode="General">
                  <c:v>1.3077500000000001E-3</c:v>
                </c:pt>
                <c:pt idx="102" formatCode="General">
                  <c:v>1.3924199999999999E-3</c:v>
                </c:pt>
                <c:pt idx="103" formatCode="General">
                  <c:v>1.36725E-3</c:v>
                </c:pt>
                <c:pt idx="104" formatCode="General">
                  <c:v>1.4584999999999999E-3</c:v>
                </c:pt>
                <c:pt idx="105" formatCode="General">
                  <c:v>1.43585E-3</c:v>
                </c:pt>
                <c:pt idx="106" formatCode="General">
                  <c:v>1.40683E-3</c:v>
                </c:pt>
                <c:pt idx="107" formatCode="General">
                  <c:v>1.4278800000000001E-3</c:v>
                </c:pt>
                <c:pt idx="108" formatCode="General">
                  <c:v>1.43794E-3</c:v>
                </c:pt>
                <c:pt idx="109" formatCode="General">
                  <c:v>1.4544600000000001E-3</c:v>
                </c:pt>
                <c:pt idx="110" formatCode="General">
                  <c:v>1.4450699999999999E-3</c:v>
                </c:pt>
                <c:pt idx="111" formatCode="General">
                  <c:v>1.41822E-3</c:v>
                </c:pt>
                <c:pt idx="112" formatCode="General">
                  <c:v>1.53122E-3</c:v>
                </c:pt>
                <c:pt idx="113" formatCode="General">
                  <c:v>1.4820899999999999E-3</c:v>
                </c:pt>
                <c:pt idx="114" formatCode="General">
                  <c:v>1.53651E-3</c:v>
                </c:pt>
                <c:pt idx="115" formatCode="General">
                  <c:v>1.5200700000000001E-3</c:v>
                </c:pt>
                <c:pt idx="116" formatCode="General">
                  <c:v>1.6081100000000001E-3</c:v>
                </c:pt>
                <c:pt idx="117" formatCode="General">
                  <c:v>1.52867E-3</c:v>
                </c:pt>
                <c:pt idx="118" formatCode="General">
                  <c:v>1.52305E-3</c:v>
                </c:pt>
                <c:pt idx="119" formatCode="General">
                  <c:v>1.5728599999999999E-3</c:v>
                </c:pt>
                <c:pt idx="120" formatCode="General">
                  <c:v>1.5520200000000001E-3</c:v>
                </c:pt>
                <c:pt idx="121" formatCode="General">
                  <c:v>1.5620600000000001E-3</c:v>
                </c:pt>
                <c:pt idx="122" formatCode="General">
                  <c:v>1.5784499999999999E-3</c:v>
                </c:pt>
                <c:pt idx="123" formatCode="General">
                  <c:v>1.62174E-3</c:v>
                </c:pt>
                <c:pt idx="124" formatCode="General">
                  <c:v>1.6366200000000001E-3</c:v>
                </c:pt>
                <c:pt idx="125" formatCode="General">
                  <c:v>1.6523E-3</c:v>
                </c:pt>
                <c:pt idx="126" formatCode="General">
                  <c:v>1.6885400000000001E-3</c:v>
                </c:pt>
                <c:pt idx="127" formatCode="General">
                  <c:v>1.72697E-3</c:v>
                </c:pt>
                <c:pt idx="128" formatCode="General">
                  <c:v>1.6619200000000001E-3</c:v>
                </c:pt>
                <c:pt idx="129" formatCode="General">
                  <c:v>1.6691500000000001E-3</c:v>
                </c:pt>
                <c:pt idx="130" formatCode="General">
                  <c:v>1.75414E-3</c:v>
                </c:pt>
                <c:pt idx="131" formatCode="General">
                  <c:v>1.7277099999999999E-3</c:v>
                </c:pt>
                <c:pt idx="132" formatCode="General">
                  <c:v>1.74412E-3</c:v>
                </c:pt>
                <c:pt idx="133" formatCode="General">
                  <c:v>1.7499600000000001E-3</c:v>
                </c:pt>
                <c:pt idx="134" formatCode="General">
                  <c:v>1.74942E-3</c:v>
                </c:pt>
                <c:pt idx="135" formatCode="General">
                  <c:v>1.81968E-3</c:v>
                </c:pt>
                <c:pt idx="136" formatCode="General">
                  <c:v>1.7634199999999999E-3</c:v>
                </c:pt>
                <c:pt idx="137" formatCode="General">
                  <c:v>1.8335000000000001E-3</c:v>
                </c:pt>
                <c:pt idx="138" formatCode="General">
                  <c:v>1.84344E-3</c:v>
                </c:pt>
                <c:pt idx="139" formatCode="General">
                  <c:v>1.8381700000000001E-3</c:v>
                </c:pt>
                <c:pt idx="140" formatCode="General">
                  <c:v>1.8045100000000001E-3</c:v>
                </c:pt>
                <c:pt idx="141" formatCode="General">
                  <c:v>1.8770900000000001E-3</c:v>
                </c:pt>
                <c:pt idx="142" formatCode="General">
                  <c:v>1.89003E-3</c:v>
                </c:pt>
                <c:pt idx="143" formatCode="General">
                  <c:v>1.83073E-3</c:v>
                </c:pt>
                <c:pt idx="144" formatCode="General">
                  <c:v>1.9843199999999999E-3</c:v>
                </c:pt>
                <c:pt idx="145" formatCode="General">
                  <c:v>1.9057900000000001E-3</c:v>
                </c:pt>
                <c:pt idx="146" formatCode="General">
                  <c:v>1.92946E-3</c:v>
                </c:pt>
                <c:pt idx="147" formatCode="General">
                  <c:v>1.95392E-3</c:v>
                </c:pt>
                <c:pt idx="148" formatCode="General">
                  <c:v>2.00285E-3</c:v>
                </c:pt>
                <c:pt idx="149" formatCode="General">
                  <c:v>2.0514800000000001E-3</c:v>
                </c:pt>
                <c:pt idx="150" formatCode="General">
                  <c:v>1.99315E-3</c:v>
                </c:pt>
                <c:pt idx="151" formatCode="General">
                  <c:v>1.9773400000000002E-3</c:v>
                </c:pt>
                <c:pt idx="152" formatCode="General">
                  <c:v>2.0371399999999998E-3</c:v>
                </c:pt>
                <c:pt idx="153" formatCode="General">
                  <c:v>1.99533E-3</c:v>
                </c:pt>
                <c:pt idx="154" formatCode="General">
                  <c:v>2.0384999999999999E-3</c:v>
                </c:pt>
                <c:pt idx="155" formatCode="General">
                  <c:v>2.0640799999999998E-3</c:v>
                </c:pt>
                <c:pt idx="156" formatCode="General">
                  <c:v>2.1091299999999999E-3</c:v>
                </c:pt>
                <c:pt idx="157" formatCode="General">
                  <c:v>2.1093499999999999E-3</c:v>
                </c:pt>
                <c:pt idx="158" formatCode="General">
                  <c:v>2.1334800000000001E-3</c:v>
                </c:pt>
                <c:pt idx="159" formatCode="General">
                  <c:v>2.1292099999999999E-3</c:v>
                </c:pt>
                <c:pt idx="160" formatCode="General">
                  <c:v>2.1557299999999998E-3</c:v>
                </c:pt>
                <c:pt idx="161" formatCode="General">
                  <c:v>2.19688E-3</c:v>
                </c:pt>
                <c:pt idx="162" formatCode="General">
                  <c:v>2.1843499999999998E-3</c:v>
                </c:pt>
                <c:pt idx="163" formatCode="General">
                  <c:v>2.1895E-3</c:v>
                </c:pt>
                <c:pt idx="164" formatCode="General">
                  <c:v>2.1531699999999998E-3</c:v>
                </c:pt>
                <c:pt idx="165" formatCode="General">
                  <c:v>2.1664800000000001E-3</c:v>
                </c:pt>
                <c:pt idx="166" formatCode="General">
                  <c:v>2.19959E-3</c:v>
                </c:pt>
                <c:pt idx="167" formatCode="General">
                  <c:v>2.22134E-3</c:v>
                </c:pt>
                <c:pt idx="168" formatCode="General">
                  <c:v>2.2410899999999998E-3</c:v>
                </c:pt>
                <c:pt idx="169" formatCode="General">
                  <c:v>2.27158E-3</c:v>
                </c:pt>
                <c:pt idx="170" formatCode="General">
                  <c:v>2.2531299999999999E-3</c:v>
                </c:pt>
                <c:pt idx="171" formatCode="General">
                  <c:v>2.3222300000000002E-3</c:v>
                </c:pt>
                <c:pt idx="172" formatCode="General">
                  <c:v>2.3449E-3</c:v>
                </c:pt>
                <c:pt idx="173" formatCode="General">
                  <c:v>2.2830799999999998E-3</c:v>
                </c:pt>
                <c:pt idx="174" formatCode="General">
                  <c:v>2.3414099999999999E-3</c:v>
                </c:pt>
                <c:pt idx="175" formatCode="General">
                  <c:v>2.3640800000000002E-3</c:v>
                </c:pt>
                <c:pt idx="176" formatCode="General">
                  <c:v>2.36841E-3</c:v>
                </c:pt>
                <c:pt idx="177" formatCode="General">
                  <c:v>2.3957200000000001E-3</c:v>
                </c:pt>
                <c:pt idx="178" formatCode="General">
                  <c:v>2.4069199999999999E-3</c:v>
                </c:pt>
                <c:pt idx="179" formatCode="General">
                  <c:v>2.5117999999999998E-3</c:v>
                </c:pt>
                <c:pt idx="180" formatCode="General">
                  <c:v>2.3272100000000001E-3</c:v>
                </c:pt>
                <c:pt idx="181" formatCode="General">
                  <c:v>2.4439900000000001E-3</c:v>
                </c:pt>
                <c:pt idx="182" formatCode="General">
                  <c:v>2.43428E-3</c:v>
                </c:pt>
                <c:pt idx="183" formatCode="General">
                  <c:v>2.4714799999999999E-3</c:v>
                </c:pt>
                <c:pt idx="184" formatCode="General">
                  <c:v>2.48628E-3</c:v>
                </c:pt>
                <c:pt idx="185" formatCode="General">
                  <c:v>2.5304300000000002E-3</c:v>
                </c:pt>
                <c:pt idx="186" formatCode="General">
                  <c:v>2.55091E-3</c:v>
                </c:pt>
                <c:pt idx="187" formatCode="General">
                  <c:v>2.53996E-3</c:v>
                </c:pt>
                <c:pt idx="188" formatCode="General">
                  <c:v>2.56288E-3</c:v>
                </c:pt>
                <c:pt idx="189" formatCode="General">
                  <c:v>2.5533600000000002E-3</c:v>
                </c:pt>
                <c:pt idx="190" formatCode="General">
                  <c:v>2.5601899999999999E-3</c:v>
                </c:pt>
                <c:pt idx="191" formatCode="General">
                  <c:v>2.5394100000000002E-3</c:v>
                </c:pt>
                <c:pt idx="192" formatCode="General">
                  <c:v>2.5865300000000001E-3</c:v>
                </c:pt>
                <c:pt idx="193" formatCode="General">
                  <c:v>2.6028499999999999E-3</c:v>
                </c:pt>
                <c:pt idx="194" formatCode="General">
                  <c:v>2.6136800000000002E-3</c:v>
                </c:pt>
                <c:pt idx="195" formatCode="General">
                  <c:v>2.5925499999999999E-3</c:v>
                </c:pt>
                <c:pt idx="196" formatCode="General">
                  <c:v>2.6552099999999999E-3</c:v>
                </c:pt>
                <c:pt idx="197" formatCode="General">
                  <c:v>2.6301900000000001E-3</c:v>
                </c:pt>
                <c:pt idx="198" formatCode="General">
                  <c:v>2.7014500000000002E-3</c:v>
                </c:pt>
                <c:pt idx="199" formatCode="General">
                  <c:v>2.6400299999999998E-3</c:v>
                </c:pt>
                <c:pt idx="200" formatCode="General">
                  <c:v>2.6669300000000001E-3</c:v>
                </c:pt>
                <c:pt idx="201" formatCode="General">
                  <c:v>2.6755899999999998E-3</c:v>
                </c:pt>
                <c:pt idx="202" formatCode="General">
                  <c:v>2.7177799999999999E-3</c:v>
                </c:pt>
                <c:pt idx="203" formatCode="General">
                  <c:v>2.7246100000000001E-3</c:v>
                </c:pt>
                <c:pt idx="204" formatCode="General">
                  <c:v>2.7347999999999999E-3</c:v>
                </c:pt>
                <c:pt idx="205" formatCode="General">
                  <c:v>2.7812700000000002E-3</c:v>
                </c:pt>
                <c:pt idx="206" formatCode="General">
                  <c:v>2.7709700000000002E-3</c:v>
                </c:pt>
                <c:pt idx="207" formatCode="General">
                  <c:v>2.7992099999999999E-3</c:v>
                </c:pt>
                <c:pt idx="208" formatCode="General">
                  <c:v>2.74566E-3</c:v>
                </c:pt>
                <c:pt idx="209" formatCode="General">
                  <c:v>2.8195500000000001E-3</c:v>
                </c:pt>
                <c:pt idx="210" formatCode="General">
                  <c:v>2.83498E-3</c:v>
                </c:pt>
                <c:pt idx="211" formatCode="General">
                  <c:v>2.8823899999999999E-3</c:v>
                </c:pt>
                <c:pt idx="212" formatCode="General">
                  <c:v>2.8818699999999999E-3</c:v>
                </c:pt>
                <c:pt idx="213" formatCode="General">
                  <c:v>2.9006399999999999E-3</c:v>
                </c:pt>
                <c:pt idx="214" formatCode="General">
                  <c:v>2.8820199999999999E-3</c:v>
                </c:pt>
                <c:pt idx="215" formatCode="General">
                  <c:v>2.9030100000000001E-3</c:v>
                </c:pt>
                <c:pt idx="216" formatCode="General">
                  <c:v>2.9048899999999998E-3</c:v>
                </c:pt>
                <c:pt idx="217" formatCode="General">
                  <c:v>2.8873599999999998E-3</c:v>
                </c:pt>
                <c:pt idx="218" formatCode="General">
                  <c:v>2.9688200000000001E-3</c:v>
                </c:pt>
                <c:pt idx="219" formatCode="General">
                  <c:v>2.94896E-3</c:v>
                </c:pt>
                <c:pt idx="220" formatCode="General">
                  <c:v>3.0084700000000001E-3</c:v>
                </c:pt>
                <c:pt idx="221" formatCode="General">
                  <c:v>2.9885799999999998E-3</c:v>
                </c:pt>
                <c:pt idx="222" formatCode="General">
                  <c:v>2.97109E-3</c:v>
                </c:pt>
                <c:pt idx="223" formatCode="General">
                  <c:v>2.9739900000000001E-3</c:v>
                </c:pt>
                <c:pt idx="224" formatCode="General">
                  <c:v>2.9833300000000002E-3</c:v>
                </c:pt>
                <c:pt idx="225" formatCode="General">
                  <c:v>3.02959E-3</c:v>
                </c:pt>
                <c:pt idx="226" formatCode="General">
                  <c:v>3.0313699999999998E-3</c:v>
                </c:pt>
                <c:pt idx="227" formatCode="General">
                  <c:v>3.0627699999999998E-3</c:v>
                </c:pt>
                <c:pt idx="228" formatCode="General">
                  <c:v>3.1225200000000002E-3</c:v>
                </c:pt>
                <c:pt idx="229" formatCode="General">
                  <c:v>3.0575200000000002E-3</c:v>
                </c:pt>
                <c:pt idx="230" formatCode="General">
                  <c:v>3.0617299999999999E-3</c:v>
                </c:pt>
                <c:pt idx="231" formatCode="General">
                  <c:v>3.0907600000000001E-3</c:v>
                </c:pt>
                <c:pt idx="232" formatCode="General">
                  <c:v>3.13416E-3</c:v>
                </c:pt>
                <c:pt idx="233" formatCode="General">
                  <c:v>3.0949300000000001E-3</c:v>
                </c:pt>
                <c:pt idx="234" formatCode="General">
                  <c:v>3.18607E-3</c:v>
                </c:pt>
                <c:pt idx="235" formatCode="General">
                  <c:v>3.1521800000000001E-3</c:v>
                </c:pt>
                <c:pt idx="236" formatCode="General">
                  <c:v>3.2437500000000001E-3</c:v>
                </c:pt>
                <c:pt idx="237" formatCode="General">
                  <c:v>3.1568899999999999E-3</c:v>
                </c:pt>
                <c:pt idx="238" formatCode="General">
                  <c:v>3.1321700000000001E-3</c:v>
                </c:pt>
                <c:pt idx="239" formatCode="General">
                  <c:v>3.3207599999999999E-3</c:v>
                </c:pt>
                <c:pt idx="240" formatCode="General">
                  <c:v>3.2896399999999999E-3</c:v>
                </c:pt>
                <c:pt idx="241" formatCode="General">
                  <c:v>3.2268700000000002E-3</c:v>
                </c:pt>
                <c:pt idx="242" formatCode="General">
                  <c:v>3.27823E-3</c:v>
                </c:pt>
                <c:pt idx="243" formatCode="General">
                  <c:v>3.2545600000000001E-3</c:v>
                </c:pt>
                <c:pt idx="244" formatCode="General">
                  <c:v>3.2471000000000002E-3</c:v>
                </c:pt>
                <c:pt idx="245" formatCode="General">
                  <c:v>3.3409099999999999E-3</c:v>
                </c:pt>
                <c:pt idx="246" formatCode="General">
                  <c:v>3.3467000000000002E-3</c:v>
                </c:pt>
                <c:pt idx="247" formatCode="General">
                  <c:v>3.3284600000000001E-3</c:v>
                </c:pt>
                <c:pt idx="248" formatCode="General">
                  <c:v>3.34221E-3</c:v>
                </c:pt>
                <c:pt idx="249" formatCode="General">
                  <c:v>3.3172599999999998E-3</c:v>
                </c:pt>
                <c:pt idx="250" formatCode="General">
                  <c:v>3.3352500000000001E-3</c:v>
                </c:pt>
                <c:pt idx="251" formatCode="General">
                  <c:v>3.4100900000000002E-3</c:v>
                </c:pt>
                <c:pt idx="252" formatCode="General">
                  <c:v>3.4442600000000002E-3</c:v>
                </c:pt>
                <c:pt idx="253" formatCode="General">
                  <c:v>3.3835499999999999E-3</c:v>
                </c:pt>
                <c:pt idx="254" formatCode="General">
                  <c:v>3.4268699999999998E-3</c:v>
                </c:pt>
                <c:pt idx="255" formatCode="General">
                  <c:v>3.4375400000000002E-3</c:v>
                </c:pt>
                <c:pt idx="256" formatCode="General">
                  <c:v>3.4807000000000002E-3</c:v>
                </c:pt>
                <c:pt idx="257" formatCode="General">
                  <c:v>3.4302099999999999E-3</c:v>
                </c:pt>
                <c:pt idx="258" formatCode="General">
                  <c:v>3.4537600000000002E-3</c:v>
                </c:pt>
                <c:pt idx="259" formatCode="General">
                  <c:v>3.50615E-3</c:v>
                </c:pt>
                <c:pt idx="260" formatCode="General">
                  <c:v>3.4914199999999999E-3</c:v>
                </c:pt>
                <c:pt idx="261" formatCode="General">
                  <c:v>3.5087400000000002E-3</c:v>
                </c:pt>
                <c:pt idx="262" formatCode="General">
                  <c:v>3.5606000000000001E-3</c:v>
                </c:pt>
                <c:pt idx="263" formatCode="General">
                  <c:v>3.5525299999999999E-3</c:v>
                </c:pt>
                <c:pt idx="264" formatCode="General">
                  <c:v>3.53659E-3</c:v>
                </c:pt>
                <c:pt idx="265" formatCode="General">
                  <c:v>3.5537899999999998E-3</c:v>
                </c:pt>
                <c:pt idx="266" formatCode="General">
                  <c:v>3.6052300000000001E-3</c:v>
                </c:pt>
                <c:pt idx="267" formatCode="General">
                  <c:v>3.5992099999999998E-3</c:v>
                </c:pt>
                <c:pt idx="268" formatCode="General">
                  <c:v>3.61444E-3</c:v>
                </c:pt>
                <c:pt idx="269" formatCode="General">
                  <c:v>3.6465500000000001E-3</c:v>
                </c:pt>
                <c:pt idx="270" formatCode="General">
                  <c:v>3.6487199999999998E-3</c:v>
                </c:pt>
                <c:pt idx="271" formatCode="General">
                  <c:v>3.6407200000000001E-3</c:v>
                </c:pt>
                <c:pt idx="272" formatCode="General">
                  <c:v>3.6826200000000002E-3</c:v>
                </c:pt>
                <c:pt idx="273" formatCode="General">
                  <c:v>3.6846600000000002E-3</c:v>
                </c:pt>
                <c:pt idx="274" formatCode="General">
                  <c:v>3.6934400000000001E-3</c:v>
                </c:pt>
                <c:pt idx="275" formatCode="General">
                  <c:v>3.7267799999999998E-3</c:v>
                </c:pt>
                <c:pt idx="276" formatCode="General">
                  <c:v>3.68893E-3</c:v>
                </c:pt>
                <c:pt idx="277" formatCode="General">
                  <c:v>3.75319E-3</c:v>
                </c:pt>
                <c:pt idx="278" formatCode="General">
                  <c:v>3.7119200000000001E-3</c:v>
                </c:pt>
                <c:pt idx="279" formatCode="General">
                  <c:v>3.8036099999999998E-3</c:v>
                </c:pt>
                <c:pt idx="280" formatCode="General">
                  <c:v>3.7385999999999999E-3</c:v>
                </c:pt>
                <c:pt idx="281" formatCode="General">
                  <c:v>3.7885599999999998E-3</c:v>
                </c:pt>
                <c:pt idx="282" formatCode="General">
                  <c:v>3.7863300000000001E-3</c:v>
                </c:pt>
                <c:pt idx="283" formatCode="General">
                  <c:v>3.8005600000000001E-3</c:v>
                </c:pt>
                <c:pt idx="284" formatCode="General">
                  <c:v>3.8685199999999999E-3</c:v>
                </c:pt>
                <c:pt idx="285" formatCode="General">
                  <c:v>3.82746E-3</c:v>
                </c:pt>
                <c:pt idx="286" formatCode="General">
                  <c:v>3.8463500000000001E-3</c:v>
                </c:pt>
                <c:pt idx="287" formatCode="General">
                  <c:v>3.8622299999999999E-3</c:v>
                </c:pt>
                <c:pt idx="288" formatCode="General">
                  <c:v>3.8535499999999999E-3</c:v>
                </c:pt>
                <c:pt idx="289" formatCode="General">
                  <c:v>3.9025700000000002E-3</c:v>
                </c:pt>
                <c:pt idx="290" formatCode="General">
                  <c:v>3.9437500000000002E-3</c:v>
                </c:pt>
                <c:pt idx="291" formatCode="General">
                  <c:v>3.8466799999999999E-3</c:v>
                </c:pt>
                <c:pt idx="292" formatCode="General">
                  <c:v>3.92071E-3</c:v>
                </c:pt>
                <c:pt idx="293" formatCode="General">
                  <c:v>3.9385599999999998E-3</c:v>
                </c:pt>
                <c:pt idx="294" formatCode="General">
                  <c:v>4.0127299999999999E-3</c:v>
                </c:pt>
                <c:pt idx="295" formatCode="General">
                  <c:v>3.9599500000000003E-3</c:v>
                </c:pt>
                <c:pt idx="296" formatCode="General">
                  <c:v>4.0390799999999996E-3</c:v>
                </c:pt>
                <c:pt idx="297" formatCode="General">
                  <c:v>4.0330899999999996E-3</c:v>
                </c:pt>
                <c:pt idx="298" formatCode="General">
                  <c:v>3.9901499999999996E-3</c:v>
                </c:pt>
                <c:pt idx="299" formatCode="General">
                  <c:v>4.0886999999999998E-3</c:v>
                </c:pt>
                <c:pt idx="300" formatCode="General">
                  <c:v>4.0226200000000002E-3</c:v>
                </c:pt>
                <c:pt idx="301" formatCode="General">
                  <c:v>4.0851500000000001E-3</c:v>
                </c:pt>
                <c:pt idx="302" formatCode="General">
                  <c:v>4.0321300000000001E-3</c:v>
                </c:pt>
                <c:pt idx="303" formatCode="General">
                  <c:v>4.0367199999999997E-3</c:v>
                </c:pt>
                <c:pt idx="304" formatCode="General">
                  <c:v>4.1013899999999999E-3</c:v>
                </c:pt>
                <c:pt idx="305" formatCode="General">
                  <c:v>4.1518299999999996E-3</c:v>
                </c:pt>
                <c:pt idx="306" formatCode="General">
                  <c:v>4.1144399999999996E-3</c:v>
                </c:pt>
                <c:pt idx="307" formatCode="General">
                  <c:v>4.1488000000000002E-3</c:v>
                </c:pt>
                <c:pt idx="308" formatCode="General">
                  <c:v>4.1476100000000004E-3</c:v>
                </c:pt>
                <c:pt idx="309" formatCode="General">
                  <c:v>4.1765099999999996E-3</c:v>
                </c:pt>
                <c:pt idx="310" formatCode="General">
                  <c:v>4.1687900000000003E-3</c:v>
                </c:pt>
                <c:pt idx="311" formatCode="General">
                  <c:v>4.1980000000000003E-3</c:v>
                </c:pt>
                <c:pt idx="312" formatCode="General">
                  <c:v>4.2448199999999998E-3</c:v>
                </c:pt>
                <c:pt idx="313" formatCode="General">
                  <c:v>4.2260900000000001E-3</c:v>
                </c:pt>
                <c:pt idx="314" formatCode="General">
                  <c:v>4.2291400000000002E-3</c:v>
                </c:pt>
                <c:pt idx="315" formatCode="General">
                  <c:v>4.2675999999999999E-3</c:v>
                </c:pt>
                <c:pt idx="316" formatCode="General">
                  <c:v>4.2802400000000003E-3</c:v>
                </c:pt>
                <c:pt idx="317" formatCode="General">
                  <c:v>4.3020000000000003E-3</c:v>
                </c:pt>
                <c:pt idx="318" formatCode="General">
                  <c:v>4.2926600000000002E-3</c:v>
                </c:pt>
                <c:pt idx="319" formatCode="General">
                  <c:v>4.2836799999999998E-3</c:v>
                </c:pt>
                <c:pt idx="320" formatCode="General">
                  <c:v>4.2678899999999999E-3</c:v>
                </c:pt>
                <c:pt idx="321" formatCode="General">
                  <c:v>4.2818600000000002E-3</c:v>
                </c:pt>
                <c:pt idx="322" formatCode="General">
                  <c:v>4.3231700000000003E-3</c:v>
                </c:pt>
                <c:pt idx="323" formatCode="General">
                  <c:v>4.3344999999999998E-3</c:v>
                </c:pt>
                <c:pt idx="324" formatCode="General">
                  <c:v>4.3814600000000002E-3</c:v>
                </c:pt>
                <c:pt idx="325" formatCode="General">
                  <c:v>4.37916E-3</c:v>
                </c:pt>
                <c:pt idx="326" formatCode="General">
                  <c:v>4.4809400000000001E-3</c:v>
                </c:pt>
                <c:pt idx="327" formatCode="General">
                  <c:v>4.4301499999999999E-3</c:v>
                </c:pt>
                <c:pt idx="328" formatCode="General">
                  <c:v>4.4081499999999996E-3</c:v>
                </c:pt>
                <c:pt idx="329" formatCode="General">
                  <c:v>4.4459399999999998E-3</c:v>
                </c:pt>
                <c:pt idx="330" formatCode="General">
                  <c:v>4.4529399999999998E-3</c:v>
                </c:pt>
                <c:pt idx="331" formatCode="General">
                  <c:v>4.45978E-3</c:v>
                </c:pt>
                <c:pt idx="332" formatCode="General">
                  <c:v>4.5069899999999998E-3</c:v>
                </c:pt>
                <c:pt idx="333" formatCode="General">
                  <c:v>4.4684900000000003E-3</c:v>
                </c:pt>
                <c:pt idx="334" formatCode="General">
                  <c:v>4.5616600000000004E-3</c:v>
                </c:pt>
                <c:pt idx="335" formatCode="General">
                  <c:v>4.5773000000000003E-3</c:v>
                </c:pt>
                <c:pt idx="336" formatCode="General">
                  <c:v>4.5551000000000003E-3</c:v>
                </c:pt>
                <c:pt idx="337" formatCode="General">
                  <c:v>4.5884400000000001E-3</c:v>
                </c:pt>
                <c:pt idx="338" formatCode="General">
                  <c:v>4.5797499999999996E-3</c:v>
                </c:pt>
                <c:pt idx="339" formatCode="General">
                  <c:v>4.5745899999999999E-3</c:v>
                </c:pt>
                <c:pt idx="340" formatCode="General">
                  <c:v>4.6470799999999996E-3</c:v>
                </c:pt>
                <c:pt idx="341" formatCode="General">
                  <c:v>4.6283799999999996E-3</c:v>
                </c:pt>
                <c:pt idx="342" formatCode="General">
                  <c:v>4.66951E-3</c:v>
                </c:pt>
                <c:pt idx="343" formatCode="General">
                  <c:v>4.6495E-3</c:v>
                </c:pt>
                <c:pt idx="344" formatCode="General">
                  <c:v>4.64511E-3</c:v>
                </c:pt>
                <c:pt idx="345" formatCode="General">
                  <c:v>4.6938600000000002E-3</c:v>
                </c:pt>
                <c:pt idx="346" formatCode="General">
                  <c:v>4.6669600000000004E-3</c:v>
                </c:pt>
                <c:pt idx="347" formatCode="General">
                  <c:v>4.6598500000000001E-3</c:v>
                </c:pt>
                <c:pt idx="348" formatCode="General">
                  <c:v>4.7081299999999996E-3</c:v>
                </c:pt>
                <c:pt idx="349" formatCode="General">
                  <c:v>4.7287500000000003E-3</c:v>
                </c:pt>
                <c:pt idx="350" formatCode="General">
                  <c:v>4.6553699999999998E-3</c:v>
                </c:pt>
                <c:pt idx="351" formatCode="General">
                  <c:v>4.7838100000000003E-3</c:v>
                </c:pt>
                <c:pt idx="352" formatCode="General">
                  <c:v>4.6632899999999996E-3</c:v>
                </c:pt>
                <c:pt idx="353" formatCode="General">
                  <c:v>4.6983299999999997E-3</c:v>
                </c:pt>
                <c:pt idx="354" formatCode="General">
                  <c:v>4.7272800000000004E-3</c:v>
                </c:pt>
                <c:pt idx="355" formatCode="General">
                  <c:v>4.7264000000000004E-3</c:v>
                </c:pt>
                <c:pt idx="356" formatCode="General">
                  <c:v>4.79E-3</c:v>
                </c:pt>
                <c:pt idx="357" formatCode="General">
                  <c:v>4.7893500000000004E-3</c:v>
                </c:pt>
                <c:pt idx="358" formatCode="General">
                  <c:v>4.77743E-3</c:v>
                </c:pt>
                <c:pt idx="359" formatCode="General">
                  <c:v>4.7646900000000002E-3</c:v>
                </c:pt>
                <c:pt idx="360" formatCode="General">
                  <c:v>4.8353500000000004E-3</c:v>
                </c:pt>
                <c:pt idx="361" formatCode="General">
                  <c:v>4.8319799999999996E-3</c:v>
                </c:pt>
                <c:pt idx="362" formatCode="General">
                  <c:v>4.8387899999999999E-3</c:v>
                </c:pt>
                <c:pt idx="363" formatCode="General">
                  <c:v>4.8640699999999999E-3</c:v>
                </c:pt>
                <c:pt idx="364" formatCode="General">
                  <c:v>4.89633E-3</c:v>
                </c:pt>
                <c:pt idx="365" formatCode="General">
                  <c:v>4.9126400000000002E-3</c:v>
                </c:pt>
                <c:pt idx="366" formatCode="General">
                  <c:v>4.8788299999999998E-3</c:v>
                </c:pt>
                <c:pt idx="367" formatCode="General">
                  <c:v>4.8888899999999999E-3</c:v>
                </c:pt>
                <c:pt idx="368" formatCode="General">
                  <c:v>4.9931799999999998E-3</c:v>
                </c:pt>
                <c:pt idx="369" formatCode="General">
                  <c:v>4.92392E-3</c:v>
                </c:pt>
                <c:pt idx="370" formatCode="General">
                  <c:v>4.9426000000000001E-3</c:v>
                </c:pt>
                <c:pt idx="371" formatCode="General">
                  <c:v>4.9676199999999998E-3</c:v>
                </c:pt>
                <c:pt idx="372" formatCode="General">
                  <c:v>5.0166799999999999E-3</c:v>
                </c:pt>
                <c:pt idx="373" formatCode="General">
                  <c:v>5.0082800000000004E-3</c:v>
                </c:pt>
                <c:pt idx="374" formatCode="General">
                  <c:v>5.0125200000000003E-3</c:v>
                </c:pt>
                <c:pt idx="375" formatCode="General">
                  <c:v>5.0288800000000003E-3</c:v>
                </c:pt>
                <c:pt idx="376" formatCode="General">
                  <c:v>5.06077E-3</c:v>
                </c:pt>
                <c:pt idx="377" formatCode="General">
                  <c:v>5.0884900000000002E-3</c:v>
                </c:pt>
                <c:pt idx="378" formatCode="General">
                  <c:v>5.0912500000000003E-3</c:v>
                </c:pt>
                <c:pt idx="379" formatCode="General">
                  <c:v>5.1544399999999997E-3</c:v>
                </c:pt>
                <c:pt idx="380" formatCode="General">
                  <c:v>5.13905E-3</c:v>
                </c:pt>
                <c:pt idx="381" formatCode="General">
                  <c:v>5.1272599999999998E-3</c:v>
                </c:pt>
                <c:pt idx="382" formatCode="General">
                  <c:v>5.1251400000000003E-3</c:v>
                </c:pt>
                <c:pt idx="383" formatCode="General">
                  <c:v>5.1562500000000002E-3</c:v>
                </c:pt>
                <c:pt idx="384" formatCode="General">
                  <c:v>5.1330200000000003E-3</c:v>
                </c:pt>
                <c:pt idx="385" formatCode="General">
                  <c:v>5.2453500000000002E-3</c:v>
                </c:pt>
                <c:pt idx="386" formatCode="General">
                  <c:v>5.2167300000000002E-3</c:v>
                </c:pt>
                <c:pt idx="387" formatCode="General">
                  <c:v>5.1581999999999999E-3</c:v>
                </c:pt>
                <c:pt idx="388" formatCode="General">
                  <c:v>5.2519200000000002E-3</c:v>
                </c:pt>
                <c:pt idx="389" formatCode="General">
                  <c:v>5.2448E-3</c:v>
                </c:pt>
                <c:pt idx="390" formatCode="General">
                  <c:v>5.2759399999999998E-3</c:v>
                </c:pt>
                <c:pt idx="391" formatCode="General">
                  <c:v>5.2517900000000001E-3</c:v>
                </c:pt>
                <c:pt idx="392" formatCode="General">
                  <c:v>5.2682800000000002E-3</c:v>
                </c:pt>
                <c:pt idx="393" formatCode="General">
                  <c:v>5.3706700000000001E-3</c:v>
                </c:pt>
                <c:pt idx="394" formatCode="General">
                  <c:v>5.3303300000000003E-3</c:v>
                </c:pt>
                <c:pt idx="395" formatCode="General">
                  <c:v>5.3090200000000002E-3</c:v>
                </c:pt>
                <c:pt idx="396" formatCode="General">
                  <c:v>5.3195600000000001E-3</c:v>
                </c:pt>
                <c:pt idx="397" formatCode="General">
                  <c:v>5.3435399999999999E-3</c:v>
                </c:pt>
                <c:pt idx="398" formatCode="General">
                  <c:v>5.3625900000000004E-3</c:v>
                </c:pt>
                <c:pt idx="399" formatCode="General">
                  <c:v>5.3847499999999998E-3</c:v>
                </c:pt>
                <c:pt idx="400" formatCode="General">
                  <c:v>5.3690200000000004E-3</c:v>
                </c:pt>
                <c:pt idx="401" formatCode="General">
                  <c:v>5.4028000000000001E-3</c:v>
                </c:pt>
                <c:pt idx="402" formatCode="General">
                  <c:v>5.44474E-3</c:v>
                </c:pt>
                <c:pt idx="403" formatCode="General">
                  <c:v>5.4191100000000004E-3</c:v>
                </c:pt>
                <c:pt idx="404" formatCode="General">
                  <c:v>5.5034799999999998E-3</c:v>
                </c:pt>
                <c:pt idx="405" formatCode="General">
                  <c:v>5.4247399999999999E-3</c:v>
                </c:pt>
                <c:pt idx="406" formatCode="General">
                  <c:v>5.4698000000000004E-3</c:v>
                </c:pt>
                <c:pt idx="407" formatCode="General">
                  <c:v>5.5348200000000002E-3</c:v>
                </c:pt>
                <c:pt idx="408" formatCode="General">
                  <c:v>5.4924700000000002E-3</c:v>
                </c:pt>
                <c:pt idx="409" formatCode="General">
                  <c:v>5.52433E-3</c:v>
                </c:pt>
                <c:pt idx="410" formatCode="General">
                  <c:v>5.5218899999999998E-3</c:v>
                </c:pt>
                <c:pt idx="411" formatCode="General">
                  <c:v>5.5074E-3</c:v>
                </c:pt>
                <c:pt idx="412" formatCode="General">
                  <c:v>5.48199E-3</c:v>
                </c:pt>
                <c:pt idx="413" formatCode="General">
                  <c:v>5.4198700000000002E-3</c:v>
                </c:pt>
                <c:pt idx="414" formatCode="General">
                  <c:v>5.3404999999999998E-3</c:v>
                </c:pt>
                <c:pt idx="415" formatCode="General">
                  <c:v>5.3291199999999997E-3</c:v>
                </c:pt>
                <c:pt idx="416" formatCode="General">
                  <c:v>4.9975099999999999E-4</c:v>
                </c:pt>
                <c:pt idx="417" formatCode="General">
                  <c:v>3.9185100000000003E-4</c:v>
                </c:pt>
                <c:pt idx="418" formatCode="General">
                  <c:v>3.9697499999999999E-4</c:v>
                </c:pt>
                <c:pt idx="419" formatCode="General">
                  <c:v>3.4741399999999999E-4</c:v>
                </c:pt>
                <c:pt idx="420" formatCode="General">
                  <c:v>2.4405299999999999E-4</c:v>
                </c:pt>
                <c:pt idx="421" formatCode="General">
                  <c:v>3.1202299999999998E-4</c:v>
                </c:pt>
                <c:pt idx="422" formatCode="General">
                  <c:v>2.9140299999999997E-4</c:v>
                </c:pt>
                <c:pt idx="423" formatCode="General">
                  <c:v>1.6830600000000001E-4</c:v>
                </c:pt>
              </c:numCache>
            </c:numRef>
          </c:xVal>
          <c:yVal>
            <c:numRef>
              <c:f>'L30CPTX-1'!$V$7:$V$417</c:f>
              <c:numCache>
                <c:formatCode>General</c:formatCode>
                <c:ptCount val="411"/>
                <c:pt idx="0">
                  <c:v>0.56505434782608699</c:v>
                </c:pt>
                <c:pt idx="1">
                  <c:v>0.66948369565217392</c:v>
                </c:pt>
                <c:pt idx="2">
                  <c:v>1.0380489130434782</c:v>
                </c:pt>
                <c:pt idx="3">
                  <c:v>1.5724619565217393</c:v>
                </c:pt>
                <c:pt idx="4">
                  <c:v>1.7936032608695653</c:v>
                </c:pt>
                <c:pt idx="5">
                  <c:v>2.0393097826086959</c:v>
                </c:pt>
                <c:pt idx="6">
                  <c:v>2.3771576086956521</c:v>
                </c:pt>
                <c:pt idx="7">
                  <c:v>2.9730054347826087</c:v>
                </c:pt>
                <c:pt idx="8">
                  <c:v>3.2002826086956522</c:v>
                </c:pt>
                <c:pt idx="9">
                  <c:v>3.5688478260869565</c:v>
                </c:pt>
                <c:pt idx="10">
                  <c:v>3.8329836956521741</c:v>
                </c:pt>
                <c:pt idx="11">
                  <c:v>4.2261195652173908</c:v>
                </c:pt>
                <c:pt idx="12">
                  <c:v>4.7175380434782612</c:v>
                </c:pt>
                <c:pt idx="13">
                  <c:v>5.1168152173913048</c:v>
                </c:pt>
                <c:pt idx="14">
                  <c:v>5.4055217391304344</c:v>
                </c:pt>
                <c:pt idx="15">
                  <c:v>5.8723913043478264</c:v>
                </c:pt>
                <c:pt idx="16">
                  <c:v>5.6696739130434786</c:v>
                </c:pt>
                <c:pt idx="17">
                  <c:v>6.412934782608696</c:v>
                </c:pt>
                <c:pt idx="18">
                  <c:v>6.5173369565217394</c:v>
                </c:pt>
                <c:pt idx="19">
                  <c:v>6.9473369565217391</c:v>
                </c:pt>
                <c:pt idx="20">
                  <c:v>7.2483152173913048</c:v>
                </c:pt>
                <c:pt idx="21">
                  <c:v>7.3650543478260877</c:v>
                </c:pt>
                <c:pt idx="22">
                  <c:v>7.5677717391304347</c:v>
                </c:pt>
                <c:pt idx="23">
                  <c:v>8.2189130434782616</c:v>
                </c:pt>
                <c:pt idx="24">
                  <c:v>8.4338586956521731</c:v>
                </c:pt>
                <c:pt idx="25">
                  <c:v>8.7778804347826096</c:v>
                </c:pt>
                <c:pt idx="26">
                  <c:v>9.0911413043478255</c:v>
                </c:pt>
                <c:pt idx="27">
                  <c:v>9.3122826086956518</c:v>
                </c:pt>
                <c:pt idx="28">
                  <c:v>9.4351630434782603</c:v>
                </c:pt>
                <c:pt idx="29">
                  <c:v>9.7791304347826085</c:v>
                </c:pt>
                <c:pt idx="30">
                  <c:v>9.9572826086956532</c:v>
                </c:pt>
                <c:pt idx="31">
                  <c:v>10.135434782608696</c:v>
                </c:pt>
                <c:pt idx="32">
                  <c:v>10.40570652173913</c:v>
                </c:pt>
                <c:pt idx="33">
                  <c:v>10.694402173913044</c:v>
                </c:pt>
                <c:pt idx="34">
                  <c:v>11.105978260869565</c:v>
                </c:pt>
                <c:pt idx="35">
                  <c:v>11.302554347826087</c:v>
                </c:pt>
                <c:pt idx="36">
                  <c:v>11.542119565217391</c:v>
                </c:pt>
                <c:pt idx="37">
                  <c:v>11.726358695652175</c:v>
                </c:pt>
                <c:pt idx="38">
                  <c:v>11.873804347826088</c:v>
                </c:pt>
                <c:pt idx="39">
                  <c:v>12.125652173913043</c:v>
                </c:pt>
                <c:pt idx="40">
                  <c:v>12.352934782608695</c:v>
                </c:pt>
                <c:pt idx="41">
                  <c:v>12.623206521739132</c:v>
                </c:pt>
                <c:pt idx="42">
                  <c:v>12.893478260869566</c:v>
                </c:pt>
                <c:pt idx="43">
                  <c:v>12.96108695652174</c:v>
                </c:pt>
                <c:pt idx="44">
                  <c:v>13.397173913043478</c:v>
                </c:pt>
                <c:pt idx="45">
                  <c:v>13.606032608695653</c:v>
                </c:pt>
                <c:pt idx="46">
                  <c:v>13.710489130434782</c:v>
                </c:pt>
                <c:pt idx="47">
                  <c:v>13.827173913043477</c:v>
                </c:pt>
                <c:pt idx="48">
                  <c:v>14.103586956521738</c:v>
                </c:pt>
                <c:pt idx="49">
                  <c:v>14.287880434782608</c:v>
                </c:pt>
                <c:pt idx="50">
                  <c:v>14.625760869565216</c:v>
                </c:pt>
                <c:pt idx="51">
                  <c:v>14.86532608695652</c:v>
                </c:pt>
                <c:pt idx="52">
                  <c:v>15.098750000000001</c:v>
                </c:pt>
                <c:pt idx="53">
                  <c:v>15.282989130434784</c:v>
                </c:pt>
                <c:pt idx="54">
                  <c:v>15.473423913043479</c:v>
                </c:pt>
                <c:pt idx="55">
                  <c:v>15.774456521739131</c:v>
                </c:pt>
                <c:pt idx="56">
                  <c:v>16.007880434782606</c:v>
                </c:pt>
                <c:pt idx="57">
                  <c:v>16.229021739130435</c:v>
                </c:pt>
                <c:pt idx="58">
                  <c:v>16.665108695652176</c:v>
                </c:pt>
                <c:pt idx="59">
                  <c:v>16.689673913043478</c:v>
                </c:pt>
                <c:pt idx="60">
                  <c:v>16.966141304347826</c:v>
                </c:pt>
                <c:pt idx="61">
                  <c:v>17.402228260869567</c:v>
                </c:pt>
                <c:pt idx="62">
                  <c:v>17.555815217391306</c:v>
                </c:pt>
                <c:pt idx="63">
                  <c:v>17.807663043478261</c:v>
                </c:pt>
                <c:pt idx="64">
                  <c:v>17.875217391304346</c:v>
                </c:pt>
                <c:pt idx="65">
                  <c:v>18.249945652173913</c:v>
                </c:pt>
                <c:pt idx="66">
                  <c:v>18.495652173913044</c:v>
                </c:pt>
                <c:pt idx="67">
                  <c:v>18.63695652173913</c:v>
                </c:pt>
                <c:pt idx="68">
                  <c:v>18.901086956521741</c:v>
                </c:pt>
                <c:pt idx="69">
                  <c:v>19.263478260869565</c:v>
                </c:pt>
                <c:pt idx="70">
                  <c:v>19.312663043478263</c:v>
                </c:pt>
                <c:pt idx="71">
                  <c:v>19.693478260869565</c:v>
                </c:pt>
                <c:pt idx="72">
                  <c:v>20.025217391304349</c:v>
                </c:pt>
                <c:pt idx="73">
                  <c:v>20.049782608695651</c:v>
                </c:pt>
                <c:pt idx="74">
                  <c:v>20.479782608695654</c:v>
                </c:pt>
                <c:pt idx="75">
                  <c:v>20.492065217391303</c:v>
                </c:pt>
                <c:pt idx="76">
                  <c:v>21.094021739130437</c:v>
                </c:pt>
                <c:pt idx="77">
                  <c:v>21.149293478260869</c:v>
                </c:pt>
                <c:pt idx="78">
                  <c:v>21.364293478260869</c:v>
                </c:pt>
                <c:pt idx="79">
                  <c:v>21.628423913043481</c:v>
                </c:pt>
                <c:pt idx="80">
                  <c:v>21.861847826086954</c:v>
                </c:pt>
                <c:pt idx="81">
                  <c:v>22.082989130434783</c:v>
                </c:pt>
                <c:pt idx="82">
                  <c:v>22.218152173913044</c:v>
                </c:pt>
                <c:pt idx="83">
                  <c:v>22.500706521739129</c:v>
                </c:pt>
                <c:pt idx="84">
                  <c:v>22.826304347826088</c:v>
                </c:pt>
                <c:pt idx="85">
                  <c:v>23.200978260869562</c:v>
                </c:pt>
                <c:pt idx="86">
                  <c:v>23.520380434782609</c:v>
                </c:pt>
                <c:pt idx="87">
                  <c:v>23.692391304347826</c:v>
                </c:pt>
                <c:pt idx="88">
                  <c:v>23.643260869565214</c:v>
                </c:pt>
                <c:pt idx="89">
                  <c:v>23.692391304347826</c:v>
                </c:pt>
                <c:pt idx="90">
                  <c:v>23.987228260869564</c:v>
                </c:pt>
                <c:pt idx="91">
                  <c:v>24.423369565217389</c:v>
                </c:pt>
                <c:pt idx="92">
                  <c:v>24.644510869565217</c:v>
                </c:pt>
                <c:pt idx="93">
                  <c:v>24.834945652173914</c:v>
                </c:pt>
                <c:pt idx="94">
                  <c:v>24.914782608695649</c:v>
                </c:pt>
                <c:pt idx="95">
                  <c:v>25.234239130434784</c:v>
                </c:pt>
                <c:pt idx="96">
                  <c:v>25.615054347826089</c:v>
                </c:pt>
                <c:pt idx="97">
                  <c:v>25.805489130434783</c:v>
                </c:pt>
                <c:pt idx="98">
                  <c:v>26.057336956521741</c:v>
                </c:pt>
                <c:pt idx="99">
                  <c:v>26.327608695652174</c:v>
                </c:pt>
                <c:pt idx="100">
                  <c:v>26.46891304347826</c:v>
                </c:pt>
                <c:pt idx="101">
                  <c:v>26.806739130434782</c:v>
                </c:pt>
                <c:pt idx="102">
                  <c:v>26.984891304347826</c:v>
                </c:pt>
                <c:pt idx="103">
                  <c:v>27.242880434782606</c:v>
                </c:pt>
                <c:pt idx="104">
                  <c:v>27.47630434782609</c:v>
                </c:pt>
                <c:pt idx="105">
                  <c:v>27.722010869565221</c:v>
                </c:pt>
                <c:pt idx="106">
                  <c:v>27.937010869565217</c:v>
                </c:pt>
                <c:pt idx="107">
                  <c:v>28.299456521739131</c:v>
                </c:pt>
                <c:pt idx="108">
                  <c:v>28.557445652173911</c:v>
                </c:pt>
                <c:pt idx="109">
                  <c:v>28.723315217391306</c:v>
                </c:pt>
                <c:pt idx="110">
                  <c:v>28.932119565217391</c:v>
                </c:pt>
                <c:pt idx="111">
                  <c:v>29.196304347826086</c:v>
                </c:pt>
                <c:pt idx="112">
                  <c:v>29.386684782608693</c:v>
                </c:pt>
                <c:pt idx="113">
                  <c:v>29.589402173913044</c:v>
                </c:pt>
                <c:pt idx="114">
                  <c:v>30.031684782608696</c:v>
                </c:pt>
                <c:pt idx="115">
                  <c:v>30.160706521739129</c:v>
                </c:pt>
                <c:pt idx="116">
                  <c:v>30.473967391304349</c:v>
                </c:pt>
                <c:pt idx="117">
                  <c:v>30.695108695652173</c:v>
                </c:pt>
                <c:pt idx="118">
                  <c:v>30.848695652173912</c:v>
                </c:pt>
                <c:pt idx="119">
                  <c:v>31.014510869565218</c:v>
                </c:pt>
                <c:pt idx="120">
                  <c:v>30.83641304347826</c:v>
                </c:pt>
                <c:pt idx="121">
                  <c:v>31.168097826086957</c:v>
                </c:pt>
                <c:pt idx="122">
                  <c:v>31.376956521739128</c:v>
                </c:pt>
                <c:pt idx="123">
                  <c:v>31.647228260869564</c:v>
                </c:pt>
                <c:pt idx="124">
                  <c:v>31.825380434782609</c:v>
                </c:pt>
                <c:pt idx="125">
                  <c:v>32.243097826086952</c:v>
                </c:pt>
                <c:pt idx="126">
                  <c:v>32.488804347826083</c:v>
                </c:pt>
                <c:pt idx="127">
                  <c:v>32.537934782608694</c:v>
                </c:pt>
                <c:pt idx="128">
                  <c:v>32.906467391304346</c:v>
                </c:pt>
                <c:pt idx="129">
                  <c:v>33.447065217391305</c:v>
                </c:pt>
                <c:pt idx="130">
                  <c:v>33.299619565217391</c:v>
                </c:pt>
                <c:pt idx="131">
                  <c:v>33.62516304347826</c:v>
                </c:pt>
                <c:pt idx="132">
                  <c:v>33.938478260869566</c:v>
                </c:pt>
                <c:pt idx="133">
                  <c:v>34.098152173913043</c:v>
                </c:pt>
                <c:pt idx="134">
                  <c:v>34.442173913043476</c:v>
                </c:pt>
                <c:pt idx="135">
                  <c:v>34.571141304347826</c:v>
                </c:pt>
                <c:pt idx="136">
                  <c:v>34.859891304347826</c:v>
                </c:pt>
                <c:pt idx="137">
                  <c:v>35.087173913043479</c:v>
                </c:pt>
                <c:pt idx="138">
                  <c:v>35.406576086956527</c:v>
                </c:pt>
                <c:pt idx="139">
                  <c:v>35.603152173913038</c:v>
                </c:pt>
                <c:pt idx="140">
                  <c:v>35.775163043478258</c:v>
                </c:pt>
                <c:pt idx="141">
                  <c:v>36.205108695652171</c:v>
                </c:pt>
                <c:pt idx="142">
                  <c:v>36.389402173913041</c:v>
                </c:pt>
                <c:pt idx="143">
                  <c:v>36.598260869565216</c:v>
                </c:pt>
                <c:pt idx="144">
                  <c:v>36.874673913043473</c:v>
                </c:pt>
                <c:pt idx="145">
                  <c:v>37.108097826086961</c:v>
                </c:pt>
                <c:pt idx="146">
                  <c:v>37.237119565217391</c:v>
                </c:pt>
                <c:pt idx="147">
                  <c:v>37.587228260869566</c:v>
                </c:pt>
                <c:pt idx="148">
                  <c:v>37.986521739130438</c:v>
                </c:pt>
                <c:pt idx="149">
                  <c:v>38.029510869565222</c:v>
                </c:pt>
                <c:pt idx="150">
                  <c:v>38.318206521739128</c:v>
                </c:pt>
                <c:pt idx="151">
                  <c:v>38.490217391304348</c:v>
                </c:pt>
                <c:pt idx="152">
                  <c:v>38.662228260869568</c:v>
                </c:pt>
                <c:pt idx="153">
                  <c:v>39.061521739130434</c:v>
                </c:pt>
                <c:pt idx="154">
                  <c:v>39.233478260869568</c:v>
                </c:pt>
                <c:pt idx="155">
                  <c:v>39.528369565217396</c:v>
                </c:pt>
                <c:pt idx="156">
                  <c:v>39.841630434782608</c:v>
                </c:pt>
                <c:pt idx="157">
                  <c:v>39.939891304347825</c:v>
                </c:pt>
                <c:pt idx="158">
                  <c:v>40.216358695652175</c:v>
                </c:pt>
                <c:pt idx="159">
                  <c:v>40.548043478260873</c:v>
                </c:pt>
                <c:pt idx="160">
                  <c:v>40.68320652173913</c:v>
                </c:pt>
                <c:pt idx="161">
                  <c:v>41.088586956521738</c:v>
                </c:pt>
                <c:pt idx="162">
                  <c:v>41.328152173913047</c:v>
                </c:pt>
                <c:pt idx="163">
                  <c:v>41.518586956521737</c:v>
                </c:pt>
                <c:pt idx="164">
                  <c:v>41.831847826086957</c:v>
                </c:pt>
                <c:pt idx="165">
                  <c:v>42.089891304347823</c:v>
                </c:pt>
                <c:pt idx="166">
                  <c:v>42.077554347826087</c:v>
                </c:pt>
                <c:pt idx="167">
                  <c:v>42.630434782608695</c:v>
                </c:pt>
                <c:pt idx="168">
                  <c:v>42.949836956521743</c:v>
                </c:pt>
                <c:pt idx="169">
                  <c:v>43.085000000000001</c:v>
                </c:pt>
                <c:pt idx="170">
                  <c:v>43.515000000000001</c:v>
                </c:pt>
                <c:pt idx="171">
                  <c:v>43.686956521739127</c:v>
                </c:pt>
                <c:pt idx="172">
                  <c:v>44.080108695652171</c:v>
                </c:pt>
                <c:pt idx="173">
                  <c:v>44.129239130434783</c:v>
                </c:pt>
                <c:pt idx="174">
                  <c:v>44.393369565217391</c:v>
                </c:pt>
                <c:pt idx="175">
                  <c:v>44.577663043478267</c:v>
                </c:pt>
                <c:pt idx="176">
                  <c:v>45.026086956521738</c:v>
                </c:pt>
                <c:pt idx="177">
                  <c:v>45.26565217391304</c:v>
                </c:pt>
                <c:pt idx="178">
                  <c:v>45.351684782608693</c:v>
                </c:pt>
                <c:pt idx="179">
                  <c:v>45.486793478260871</c:v>
                </c:pt>
                <c:pt idx="180">
                  <c:v>45.738641304347823</c:v>
                </c:pt>
                <c:pt idx="181">
                  <c:v>46.223913043478262</c:v>
                </c:pt>
                <c:pt idx="182">
                  <c:v>46.346793478260864</c:v>
                </c:pt>
                <c:pt idx="183">
                  <c:v>46.549510869565218</c:v>
                </c:pt>
                <c:pt idx="184">
                  <c:v>46.776793478260871</c:v>
                </c:pt>
                <c:pt idx="185">
                  <c:v>47.225163043478261</c:v>
                </c:pt>
                <c:pt idx="186">
                  <c:v>47.378750000000004</c:v>
                </c:pt>
                <c:pt idx="187">
                  <c:v>47.673586956521739</c:v>
                </c:pt>
                <c:pt idx="188">
                  <c:v>47.857880434782608</c:v>
                </c:pt>
                <c:pt idx="189">
                  <c:v>48.122010869565223</c:v>
                </c:pt>
                <c:pt idx="190">
                  <c:v>48.398423913043473</c:v>
                </c:pt>
                <c:pt idx="191">
                  <c:v>48.638043478260869</c:v>
                </c:pt>
                <c:pt idx="192">
                  <c:v>48.816141304347823</c:v>
                </c:pt>
                <c:pt idx="193">
                  <c:v>49.123315217391308</c:v>
                </c:pt>
                <c:pt idx="194">
                  <c:v>49.307554347826091</c:v>
                </c:pt>
                <c:pt idx="195">
                  <c:v>49.516413043478266</c:v>
                </c:pt>
                <c:pt idx="196">
                  <c:v>49.50413043478261</c:v>
                </c:pt>
                <c:pt idx="197">
                  <c:v>49.842010869565222</c:v>
                </c:pt>
                <c:pt idx="198">
                  <c:v>50.364130434782609</c:v>
                </c:pt>
                <c:pt idx="199">
                  <c:v>50.511521739130437</c:v>
                </c:pt>
                <c:pt idx="200">
                  <c:v>50.671250000000001</c:v>
                </c:pt>
                <c:pt idx="201">
                  <c:v>50.959945652173907</c:v>
                </c:pt>
                <c:pt idx="202">
                  <c:v>51.150380434782612</c:v>
                </c:pt>
                <c:pt idx="203">
                  <c:v>51.463695652173911</c:v>
                </c:pt>
                <c:pt idx="204">
                  <c:v>51.758532608695653</c:v>
                </c:pt>
                <c:pt idx="205">
                  <c:v>51.881358695652175</c:v>
                </c:pt>
                <c:pt idx="206">
                  <c:v>52.182391304347824</c:v>
                </c:pt>
                <c:pt idx="207">
                  <c:v>52.458804347826089</c:v>
                </c:pt>
                <c:pt idx="208">
                  <c:v>52.722934782608696</c:v>
                </c:pt>
                <c:pt idx="209">
                  <c:v>53.060760869565222</c:v>
                </c:pt>
                <c:pt idx="210">
                  <c:v>53.238913043478256</c:v>
                </c:pt>
                <c:pt idx="211">
                  <c:v>53.453913043478266</c:v>
                </c:pt>
                <c:pt idx="212">
                  <c:v>53.638206521739129</c:v>
                </c:pt>
                <c:pt idx="213">
                  <c:v>53.914619565217393</c:v>
                </c:pt>
                <c:pt idx="214">
                  <c:v>54.154184782608702</c:v>
                </c:pt>
                <c:pt idx="215">
                  <c:v>54.418478260869563</c:v>
                </c:pt>
                <c:pt idx="216">
                  <c:v>54.6945652173913</c:v>
                </c:pt>
                <c:pt idx="217">
                  <c:v>54.995652173913051</c:v>
                </c:pt>
                <c:pt idx="218">
                  <c:v>55.241304347826087</c:v>
                </c:pt>
                <c:pt idx="219">
                  <c:v>55.149456521739133</c:v>
                </c:pt>
                <c:pt idx="220">
                  <c:v>55.345652173913045</c:v>
                </c:pt>
                <c:pt idx="221">
                  <c:v>55.419565217391309</c:v>
                </c:pt>
                <c:pt idx="222">
                  <c:v>55.677717391304348</c:v>
                </c:pt>
                <c:pt idx="223">
                  <c:v>55.923369565217392</c:v>
                </c:pt>
                <c:pt idx="224">
                  <c:v>56.163043478260867</c:v>
                </c:pt>
                <c:pt idx="225">
                  <c:v>56.377717391304351</c:v>
                </c:pt>
                <c:pt idx="226">
                  <c:v>56.635869565217391</c:v>
                </c:pt>
                <c:pt idx="227">
                  <c:v>56.912500000000001</c:v>
                </c:pt>
                <c:pt idx="228">
                  <c:v>57.219565217391299</c:v>
                </c:pt>
                <c:pt idx="229">
                  <c:v>57.452717391304347</c:v>
                </c:pt>
                <c:pt idx="230">
                  <c:v>57.366847826086953</c:v>
                </c:pt>
                <c:pt idx="231">
                  <c:v>57.91358695652174</c:v>
                </c:pt>
                <c:pt idx="232">
                  <c:v>57.969021739130433</c:v>
                </c:pt>
                <c:pt idx="233">
                  <c:v>58.337499999999999</c:v>
                </c:pt>
                <c:pt idx="234">
                  <c:v>58.552173913043482</c:v>
                </c:pt>
                <c:pt idx="235">
                  <c:v>58.853260869565219</c:v>
                </c:pt>
                <c:pt idx="236">
                  <c:v>59.105434782608697</c:v>
                </c:pt>
                <c:pt idx="237">
                  <c:v>59.283152173913045</c:v>
                </c:pt>
                <c:pt idx="238">
                  <c:v>59.553804347826087</c:v>
                </c:pt>
                <c:pt idx="239">
                  <c:v>59.762499999999996</c:v>
                </c:pt>
                <c:pt idx="240">
                  <c:v>60.173913043478258</c:v>
                </c:pt>
                <c:pt idx="241">
                  <c:v>60.119021739130432</c:v>
                </c:pt>
                <c:pt idx="242">
                  <c:v>60.603804347826092</c:v>
                </c:pt>
                <c:pt idx="243">
                  <c:v>60.634782608695652</c:v>
                </c:pt>
                <c:pt idx="244">
                  <c:v>61.05869565217391</c:v>
                </c:pt>
                <c:pt idx="245">
                  <c:v>61.353260869565219</c:v>
                </c:pt>
                <c:pt idx="246">
                  <c:v>61.771195652173908</c:v>
                </c:pt>
                <c:pt idx="247">
                  <c:v>61.734239130434787</c:v>
                </c:pt>
                <c:pt idx="248">
                  <c:v>61.967934782608701</c:v>
                </c:pt>
                <c:pt idx="249">
                  <c:v>62.366847826086953</c:v>
                </c:pt>
                <c:pt idx="250">
                  <c:v>62.539130434782614</c:v>
                </c:pt>
                <c:pt idx="251">
                  <c:v>62.692391304347822</c:v>
                </c:pt>
                <c:pt idx="252">
                  <c:v>63.165760869565219</c:v>
                </c:pt>
                <c:pt idx="253">
                  <c:v>63.220652173913045</c:v>
                </c:pt>
                <c:pt idx="254">
                  <c:v>63.528260869565223</c:v>
                </c:pt>
                <c:pt idx="255">
                  <c:v>63.705978260869564</c:v>
                </c:pt>
                <c:pt idx="256">
                  <c:v>63.945652173913047</c:v>
                </c:pt>
                <c:pt idx="257">
                  <c:v>64.148369565217394</c:v>
                </c:pt>
                <c:pt idx="258">
                  <c:v>64.363586956521743</c:v>
                </c:pt>
                <c:pt idx="259">
                  <c:v>64.658152173913052</c:v>
                </c:pt>
                <c:pt idx="260">
                  <c:v>64.959239130434781</c:v>
                </c:pt>
                <c:pt idx="261">
                  <c:v>65.290760869565219</c:v>
                </c:pt>
                <c:pt idx="262">
                  <c:v>65.34021739130435</c:v>
                </c:pt>
                <c:pt idx="263">
                  <c:v>65.634782608695645</c:v>
                </c:pt>
                <c:pt idx="264">
                  <c:v>65.972826086956516</c:v>
                </c:pt>
                <c:pt idx="265">
                  <c:v>66.108152173913041</c:v>
                </c:pt>
                <c:pt idx="266">
                  <c:v>66.206521739130437</c:v>
                </c:pt>
                <c:pt idx="267">
                  <c:v>66.752717391304344</c:v>
                </c:pt>
                <c:pt idx="268">
                  <c:v>66.783695652173918</c:v>
                </c:pt>
                <c:pt idx="269">
                  <c:v>67.115217391304355</c:v>
                </c:pt>
                <c:pt idx="270">
                  <c:v>67.342391304347828</c:v>
                </c:pt>
                <c:pt idx="271">
                  <c:v>67.570108695652166</c:v>
                </c:pt>
                <c:pt idx="272">
                  <c:v>67.987499999999997</c:v>
                </c:pt>
                <c:pt idx="273">
                  <c:v>67.963043478260872</c:v>
                </c:pt>
                <c:pt idx="274">
                  <c:v>68.344021739130426</c:v>
                </c:pt>
                <c:pt idx="275">
                  <c:v>68.632608695652166</c:v>
                </c:pt>
                <c:pt idx="276">
                  <c:v>68.835326086956528</c:v>
                </c:pt>
                <c:pt idx="277">
                  <c:v>69.056521739130432</c:v>
                </c:pt>
                <c:pt idx="278">
                  <c:v>69.302173913043475</c:v>
                </c:pt>
                <c:pt idx="279">
                  <c:v>69.695108695652166</c:v>
                </c:pt>
                <c:pt idx="280">
                  <c:v>69.72608695652174</c:v>
                </c:pt>
                <c:pt idx="281">
                  <c:v>70.168478260869563</c:v>
                </c:pt>
                <c:pt idx="282">
                  <c:v>70.346195652173918</c:v>
                </c:pt>
                <c:pt idx="283">
                  <c:v>70.494021739130432</c:v>
                </c:pt>
                <c:pt idx="284">
                  <c:v>70.795108695652175</c:v>
                </c:pt>
                <c:pt idx="285">
                  <c:v>71.065217391304344</c:v>
                </c:pt>
                <c:pt idx="286">
                  <c:v>71.384782608695645</c:v>
                </c:pt>
                <c:pt idx="287">
                  <c:v>71.64891304347826</c:v>
                </c:pt>
                <c:pt idx="288">
                  <c:v>71.790217391304353</c:v>
                </c:pt>
                <c:pt idx="289">
                  <c:v>71.863586956521743</c:v>
                </c:pt>
                <c:pt idx="290">
                  <c:v>72.287499999999994</c:v>
                </c:pt>
                <c:pt idx="291">
                  <c:v>72.557608695652178</c:v>
                </c:pt>
                <c:pt idx="292">
                  <c:v>72.803804347826087</c:v>
                </c:pt>
                <c:pt idx="293">
                  <c:v>73.15978260869565</c:v>
                </c:pt>
                <c:pt idx="294">
                  <c:v>73.307065217391298</c:v>
                </c:pt>
                <c:pt idx="295">
                  <c:v>73.657608695652172</c:v>
                </c:pt>
                <c:pt idx="296">
                  <c:v>73.823369565217391</c:v>
                </c:pt>
                <c:pt idx="297">
                  <c:v>74.093478260869574</c:v>
                </c:pt>
                <c:pt idx="298">
                  <c:v>74.27771739130435</c:v>
                </c:pt>
                <c:pt idx="299">
                  <c:v>74.480434782608697</c:v>
                </c:pt>
                <c:pt idx="300">
                  <c:v>74.640217391304347</c:v>
                </c:pt>
                <c:pt idx="301">
                  <c:v>75.045652173913041</c:v>
                </c:pt>
                <c:pt idx="302">
                  <c:v>75.229891304347817</c:v>
                </c:pt>
                <c:pt idx="303">
                  <c:v>75.420108695652175</c:v>
                </c:pt>
                <c:pt idx="304">
                  <c:v>75.635326086956525</c:v>
                </c:pt>
                <c:pt idx="305">
                  <c:v>75.850543478260875</c:v>
                </c:pt>
                <c:pt idx="306">
                  <c:v>76.219021739130426</c:v>
                </c:pt>
                <c:pt idx="307">
                  <c:v>76.390760869565213</c:v>
                </c:pt>
                <c:pt idx="308">
                  <c:v>76.489130434782609</c:v>
                </c:pt>
                <c:pt idx="309">
                  <c:v>76.974456521739128</c:v>
                </c:pt>
                <c:pt idx="310">
                  <c:v>77.134239130434793</c:v>
                </c:pt>
                <c:pt idx="311">
                  <c:v>77.435326086956522</c:v>
                </c:pt>
                <c:pt idx="312">
                  <c:v>77.754891304347822</c:v>
                </c:pt>
                <c:pt idx="313">
                  <c:v>77.895652173913035</c:v>
                </c:pt>
                <c:pt idx="314">
                  <c:v>78.301086956521743</c:v>
                </c:pt>
                <c:pt idx="315">
                  <c:v>78.485869565217385</c:v>
                </c:pt>
                <c:pt idx="316">
                  <c:v>78.66358695652174</c:v>
                </c:pt>
                <c:pt idx="317">
                  <c:v>78.706521739130437</c:v>
                </c:pt>
                <c:pt idx="318">
                  <c:v>78.995652173913044</c:v>
                </c:pt>
                <c:pt idx="319">
                  <c:v>79.382608695652166</c:v>
                </c:pt>
                <c:pt idx="320">
                  <c:v>79.511413043478257</c:v>
                </c:pt>
                <c:pt idx="321">
                  <c:v>79.861413043478265</c:v>
                </c:pt>
                <c:pt idx="322">
                  <c:v>80.168478260869563</c:v>
                </c:pt>
                <c:pt idx="323">
                  <c:v>80.402173913043484</c:v>
                </c:pt>
                <c:pt idx="324">
                  <c:v>80.660326086956516</c:v>
                </c:pt>
                <c:pt idx="325">
                  <c:v>80.770652173913035</c:v>
                </c:pt>
                <c:pt idx="326">
                  <c:v>81.145652173913035</c:v>
                </c:pt>
                <c:pt idx="327">
                  <c:v>81.440217391304344</c:v>
                </c:pt>
                <c:pt idx="328">
                  <c:v>81.667391304347817</c:v>
                </c:pt>
                <c:pt idx="329">
                  <c:v>81.655434782608694</c:v>
                </c:pt>
                <c:pt idx="330">
                  <c:v>81.833152173913035</c:v>
                </c:pt>
                <c:pt idx="331">
                  <c:v>82.072826086956525</c:v>
                </c:pt>
                <c:pt idx="332">
                  <c:v>82.404891304347828</c:v>
                </c:pt>
                <c:pt idx="333">
                  <c:v>82.582608695652183</c:v>
                </c:pt>
                <c:pt idx="334">
                  <c:v>82.779347826086948</c:v>
                </c:pt>
                <c:pt idx="335">
                  <c:v>82.97608695652174</c:v>
                </c:pt>
                <c:pt idx="336">
                  <c:v>82.773369565217394</c:v>
                </c:pt>
                <c:pt idx="337">
                  <c:v>82.982065217391309</c:v>
                </c:pt>
                <c:pt idx="338">
                  <c:v>83.338586956521738</c:v>
                </c:pt>
                <c:pt idx="339">
                  <c:v>83.744021739130432</c:v>
                </c:pt>
                <c:pt idx="340">
                  <c:v>83.755978260869568</c:v>
                </c:pt>
                <c:pt idx="341">
                  <c:v>83.940217391304344</c:v>
                </c:pt>
                <c:pt idx="342">
                  <c:v>84.290760869565219</c:v>
                </c:pt>
                <c:pt idx="343">
                  <c:v>84.45</c:v>
                </c:pt>
                <c:pt idx="344">
                  <c:v>84.726630434782606</c:v>
                </c:pt>
                <c:pt idx="345">
                  <c:v>84.89891304347826</c:v>
                </c:pt>
                <c:pt idx="346">
                  <c:v>85.174999999999997</c:v>
                </c:pt>
                <c:pt idx="347">
                  <c:v>85.537499999999994</c:v>
                </c:pt>
                <c:pt idx="348">
                  <c:v>85.942934782608702</c:v>
                </c:pt>
                <c:pt idx="349">
                  <c:v>85.96141304347826</c:v>
                </c:pt>
                <c:pt idx="350">
                  <c:v>86.280978260869574</c:v>
                </c:pt>
                <c:pt idx="351">
                  <c:v>86.6</c:v>
                </c:pt>
                <c:pt idx="352">
                  <c:v>86.729347826086965</c:v>
                </c:pt>
                <c:pt idx="353">
                  <c:v>86.802717391304355</c:v>
                </c:pt>
                <c:pt idx="354">
                  <c:v>86.870652173913044</c:v>
                </c:pt>
                <c:pt idx="355">
                  <c:v>87.128260869565224</c:v>
                </c:pt>
                <c:pt idx="356">
                  <c:v>87.441847826086956</c:v>
                </c:pt>
                <c:pt idx="357">
                  <c:v>87.663043478260875</c:v>
                </c:pt>
                <c:pt idx="358">
                  <c:v>88.0070652173913</c:v>
                </c:pt>
                <c:pt idx="359">
                  <c:v>88.215760869565216</c:v>
                </c:pt>
                <c:pt idx="360">
                  <c:v>88.35108695652174</c:v>
                </c:pt>
                <c:pt idx="361">
                  <c:v>88.596739130434784</c:v>
                </c:pt>
                <c:pt idx="362">
                  <c:v>88.535326086956516</c:v>
                </c:pt>
                <c:pt idx="363">
                  <c:v>88.762500000000003</c:v>
                </c:pt>
                <c:pt idx="364">
                  <c:v>89.125</c:v>
                </c:pt>
                <c:pt idx="365">
                  <c:v>89.370652173913044</c:v>
                </c:pt>
                <c:pt idx="366">
                  <c:v>89.708695652173915</c:v>
                </c:pt>
                <c:pt idx="367">
                  <c:v>89.770108695652183</c:v>
                </c:pt>
                <c:pt idx="368">
                  <c:v>90.322826086956525</c:v>
                </c:pt>
                <c:pt idx="369">
                  <c:v>90.390217391304347</c:v>
                </c:pt>
                <c:pt idx="370">
                  <c:v>90.765217391304347</c:v>
                </c:pt>
                <c:pt idx="371">
                  <c:v>90.789673913043472</c:v>
                </c:pt>
                <c:pt idx="372">
                  <c:v>91.238043478260863</c:v>
                </c:pt>
                <c:pt idx="373">
                  <c:v>91.416304347826085</c:v>
                </c:pt>
                <c:pt idx="374">
                  <c:v>91.459239130434781</c:v>
                </c:pt>
                <c:pt idx="375">
                  <c:v>91.796739130434773</c:v>
                </c:pt>
                <c:pt idx="376">
                  <c:v>92.159239130434784</c:v>
                </c:pt>
                <c:pt idx="377">
                  <c:v>92.196195652173898</c:v>
                </c:pt>
                <c:pt idx="378">
                  <c:v>92.694021739130434</c:v>
                </c:pt>
                <c:pt idx="379">
                  <c:v>92.785869565217382</c:v>
                </c:pt>
                <c:pt idx="380">
                  <c:v>92.859782608695653</c:v>
                </c:pt>
                <c:pt idx="381">
                  <c:v>93.394021739130437</c:v>
                </c:pt>
                <c:pt idx="382">
                  <c:v>93.547826086956519</c:v>
                </c:pt>
                <c:pt idx="383">
                  <c:v>93.891847826086945</c:v>
                </c:pt>
                <c:pt idx="384">
                  <c:v>94.014673913043481</c:v>
                </c:pt>
                <c:pt idx="385">
                  <c:v>94.321739130434793</c:v>
                </c:pt>
                <c:pt idx="386">
                  <c:v>94.426086956521743</c:v>
                </c:pt>
                <c:pt idx="387">
                  <c:v>94.597826086956516</c:v>
                </c:pt>
                <c:pt idx="388">
                  <c:v>95.120108695652164</c:v>
                </c:pt>
                <c:pt idx="389">
                  <c:v>95.212499999999991</c:v>
                </c:pt>
                <c:pt idx="390">
                  <c:v>95.55</c:v>
                </c:pt>
                <c:pt idx="391">
                  <c:v>95.796195652173907</c:v>
                </c:pt>
                <c:pt idx="392">
                  <c:v>96.072282608695645</c:v>
                </c:pt>
                <c:pt idx="393">
                  <c:v>96.226086956521726</c:v>
                </c:pt>
                <c:pt idx="394">
                  <c:v>96.397826086956528</c:v>
                </c:pt>
                <c:pt idx="395">
                  <c:v>96.649999999999991</c:v>
                </c:pt>
                <c:pt idx="396">
                  <c:v>96.975543478260875</c:v>
                </c:pt>
                <c:pt idx="397">
                  <c:v>97.294565217391309</c:v>
                </c:pt>
                <c:pt idx="398">
                  <c:v>97.344021739130426</c:v>
                </c:pt>
                <c:pt idx="399">
                  <c:v>97.725000000000009</c:v>
                </c:pt>
                <c:pt idx="400">
                  <c:v>98.001086956521746</c:v>
                </c:pt>
                <c:pt idx="401">
                  <c:v>98.130434782608702</c:v>
                </c:pt>
                <c:pt idx="402">
                  <c:v>98.424999999999997</c:v>
                </c:pt>
                <c:pt idx="403">
                  <c:v>98.707608695652183</c:v>
                </c:pt>
                <c:pt idx="404">
                  <c:v>99.064130434782598</c:v>
                </c:pt>
                <c:pt idx="405">
                  <c:v>99.100543478260875</c:v>
                </c:pt>
                <c:pt idx="406">
                  <c:v>99.469565217391306</c:v>
                </c:pt>
                <c:pt idx="407">
                  <c:v>99.721195652173918</c:v>
                </c:pt>
                <c:pt idx="408">
                  <c:v>100.04673913043477</c:v>
                </c:pt>
                <c:pt idx="409">
                  <c:v>100.2983695652174</c:v>
                </c:pt>
                <c:pt idx="410">
                  <c:v>100.40326086956522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2EC-4416-9564-BE55B98550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70498992"/>
        <c:axId val="270499552"/>
      </c:scatterChart>
      <c:valAx>
        <c:axId val="270498992"/>
        <c:scaling>
          <c:orientation val="minMax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70499552"/>
        <c:crosses val="autoZero"/>
        <c:crossBetween val="midCat"/>
      </c:valAx>
      <c:valAx>
        <c:axId val="270499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704989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Stress-Strain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4.7797025371828519E-2"/>
                  <c:y val="-0.1905143627879848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</c:trendlineLbl>
          </c:trendline>
          <c:xVal>
            <c:numRef>
              <c:f>'L30CPTX-2'!$B$7:$B$469</c:f>
              <c:numCache>
                <c:formatCode>0.00E+00</c:formatCode>
                <c:ptCount val="463"/>
                <c:pt idx="0" formatCode="General">
                  <c:v>0</c:v>
                </c:pt>
                <c:pt idx="1">
                  <c:v>3.2257E-5</c:v>
                </c:pt>
                <c:pt idx="2">
                  <c:v>3.7366800000000003E-5</c:v>
                </c:pt>
                <c:pt idx="3">
                  <c:v>7.1578500000000006E-5</c:v>
                </c:pt>
                <c:pt idx="4">
                  <c:v>2.1960999999999999E-5</c:v>
                </c:pt>
                <c:pt idx="5">
                  <c:v>8.6544299999999997E-5</c:v>
                </c:pt>
                <c:pt idx="6">
                  <c:v>-3.5736700000000002E-6</c:v>
                </c:pt>
                <c:pt idx="7">
                  <c:v>5.6288700000000002E-5</c:v>
                </c:pt>
                <c:pt idx="8">
                  <c:v>9.43517E-5</c:v>
                </c:pt>
                <c:pt idx="9" formatCode="General">
                  <c:v>1.5118999999999999E-4</c:v>
                </c:pt>
                <c:pt idx="10" formatCode="General">
                  <c:v>1.2964500000000001E-4</c:v>
                </c:pt>
                <c:pt idx="11" formatCode="General">
                  <c:v>1.11093E-4</c:v>
                </c:pt>
                <c:pt idx="12" formatCode="General">
                  <c:v>1.3529300000000001E-4</c:v>
                </c:pt>
                <c:pt idx="13" formatCode="General">
                  <c:v>2.1248099999999999E-4</c:v>
                </c:pt>
                <c:pt idx="14" formatCode="General">
                  <c:v>1.20159E-4</c:v>
                </c:pt>
                <c:pt idx="15" formatCode="General">
                  <c:v>2.0402899999999999E-4</c:v>
                </c:pt>
                <c:pt idx="16" formatCode="General">
                  <c:v>1.6258000000000001E-4</c:v>
                </c:pt>
                <c:pt idx="17" formatCode="General">
                  <c:v>2.2034499999999999E-4</c:v>
                </c:pt>
                <c:pt idx="18" formatCode="General">
                  <c:v>2.0136700000000001E-4</c:v>
                </c:pt>
                <c:pt idx="19" formatCode="General">
                  <c:v>2.29185E-4</c:v>
                </c:pt>
                <c:pt idx="20" formatCode="General">
                  <c:v>1.89421E-4</c:v>
                </c:pt>
                <c:pt idx="21" formatCode="General">
                  <c:v>2.48881E-4</c:v>
                </c:pt>
                <c:pt idx="22" formatCode="General">
                  <c:v>2.5966599999999998E-4</c:v>
                </c:pt>
                <c:pt idx="23" formatCode="General">
                  <c:v>3.1008799999999998E-4</c:v>
                </c:pt>
                <c:pt idx="24" formatCode="General">
                  <c:v>3.0299800000000002E-4</c:v>
                </c:pt>
                <c:pt idx="25" formatCode="General">
                  <c:v>2.9239499999999998E-4</c:v>
                </c:pt>
                <c:pt idx="26" formatCode="General">
                  <c:v>2.8607900000000001E-4</c:v>
                </c:pt>
                <c:pt idx="27" formatCode="General">
                  <c:v>3.3840999999999998E-4</c:v>
                </c:pt>
                <c:pt idx="28" formatCode="General">
                  <c:v>3.8794200000000001E-4</c:v>
                </c:pt>
                <c:pt idx="29" formatCode="General">
                  <c:v>3.3313800000000002E-4</c:v>
                </c:pt>
                <c:pt idx="30" formatCode="General">
                  <c:v>4.5851099999999999E-4</c:v>
                </c:pt>
                <c:pt idx="31" formatCode="General">
                  <c:v>4.4288999999999998E-4</c:v>
                </c:pt>
                <c:pt idx="32" formatCode="General">
                  <c:v>4.1921800000000001E-4</c:v>
                </c:pt>
                <c:pt idx="33" formatCode="General">
                  <c:v>4.4313600000000001E-4</c:v>
                </c:pt>
                <c:pt idx="34" formatCode="General">
                  <c:v>4.0531699999999998E-4</c:v>
                </c:pt>
                <c:pt idx="35" formatCode="General">
                  <c:v>4.5894300000000001E-4</c:v>
                </c:pt>
                <c:pt idx="36" formatCode="General">
                  <c:v>4.8116599999999999E-4</c:v>
                </c:pt>
                <c:pt idx="37" formatCode="General">
                  <c:v>5.3707899999999999E-4</c:v>
                </c:pt>
                <c:pt idx="38" formatCode="General">
                  <c:v>4.2487100000000001E-4</c:v>
                </c:pt>
                <c:pt idx="39" formatCode="General">
                  <c:v>5.4637800000000003E-4</c:v>
                </c:pt>
                <c:pt idx="40" formatCode="General">
                  <c:v>5.4157800000000002E-4</c:v>
                </c:pt>
                <c:pt idx="41" formatCode="General">
                  <c:v>5.6832400000000004E-4</c:v>
                </c:pt>
                <c:pt idx="42" formatCode="General">
                  <c:v>5.7848700000000003E-4</c:v>
                </c:pt>
                <c:pt idx="43" formatCode="General">
                  <c:v>4.88934E-4</c:v>
                </c:pt>
                <c:pt idx="44" formatCode="General">
                  <c:v>5.8260799999999998E-4</c:v>
                </c:pt>
                <c:pt idx="45" formatCode="General">
                  <c:v>6.3686899999999998E-4</c:v>
                </c:pt>
                <c:pt idx="46" formatCode="General">
                  <c:v>6.0461300000000005E-4</c:v>
                </c:pt>
                <c:pt idx="47" formatCode="General">
                  <c:v>6.7904900000000004E-4</c:v>
                </c:pt>
                <c:pt idx="48" formatCode="General">
                  <c:v>6.4364200000000004E-4</c:v>
                </c:pt>
                <c:pt idx="49" formatCode="General">
                  <c:v>7.1472099999999998E-4</c:v>
                </c:pt>
                <c:pt idx="50" formatCode="General">
                  <c:v>6.6863800000000004E-4</c:v>
                </c:pt>
                <c:pt idx="51" formatCode="General">
                  <c:v>7.0459699999999995E-4</c:v>
                </c:pt>
                <c:pt idx="52" formatCode="General">
                  <c:v>7.5142500000000001E-4</c:v>
                </c:pt>
                <c:pt idx="53" formatCode="General">
                  <c:v>7.6102600000000004E-4</c:v>
                </c:pt>
                <c:pt idx="54" formatCode="General">
                  <c:v>7.85971E-4</c:v>
                </c:pt>
                <c:pt idx="55" formatCode="General">
                  <c:v>7.3733200000000005E-4</c:v>
                </c:pt>
                <c:pt idx="56" formatCode="General">
                  <c:v>6.8946800000000005E-4</c:v>
                </c:pt>
                <c:pt idx="57" formatCode="General">
                  <c:v>8.2822400000000002E-4</c:v>
                </c:pt>
                <c:pt idx="58" formatCode="General">
                  <c:v>7.73728E-4</c:v>
                </c:pt>
                <c:pt idx="59" formatCode="General">
                  <c:v>8.5323799999999998E-4</c:v>
                </c:pt>
                <c:pt idx="60" formatCode="General">
                  <c:v>8.6057799999999997E-4</c:v>
                </c:pt>
                <c:pt idx="61" formatCode="General">
                  <c:v>8.1855999999999997E-4</c:v>
                </c:pt>
                <c:pt idx="62" formatCode="General">
                  <c:v>8.5024000000000005E-4</c:v>
                </c:pt>
                <c:pt idx="63" formatCode="General">
                  <c:v>9.3157899999999998E-4</c:v>
                </c:pt>
                <c:pt idx="64" formatCode="General">
                  <c:v>9.0960200000000002E-4</c:v>
                </c:pt>
                <c:pt idx="65" formatCode="General">
                  <c:v>8.3813699999999997E-4</c:v>
                </c:pt>
                <c:pt idx="66" formatCode="General">
                  <c:v>9.3192399999999999E-4</c:v>
                </c:pt>
                <c:pt idx="67" formatCode="General">
                  <c:v>8.9687199999999995E-4</c:v>
                </c:pt>
                <c:pt idx="68" formatCode="General">
                  <c:v>9.6727300000000005E-4</c:v>
                </c:pt>
                <c:pt idx="69" formatCode="General">
                  <c:v>8.9384700000000002E-4</c:v>
                </c:pt>
                <c:pt idx="70" formatCode="General">
                  <c:v>9.4019999999999998E-4</c:v>
                </c:pt>
                <c:pt idx="71" formatCode="General">
                  <c:v>1.0412500000000001E-3</c:v>
                </c:pt>
                <c:pt idx="72" formatCode="General">
                  <c:v>1.0034499999999999E-3</c:v>
                </c:pt>
                <c:pt idx="73" formatCode="General">
                  <c:v>1.06869E-3</c:v>
                </c:pt>
                <c:pt idx="74" formatCode="General">
                  <c:v>1.05872E-3</c:v>
                </c:pt>
                <c:pt idx="75" formatCode="General">
                  <c:v>1.0695399999999999E-3</c:v>
                </c:pt>
                <c:pt idx="76" formatCode="General">
                  <c:v>1.0937500000000001E-3</c:v>
                </c:pt>
                <c:pt idx="77" formatCode="General">
                  <c:v>1.09815E-3</c:v>
                </c:pt>
                <c:pt idx="78" formatCode="General">
                  <c:v>1.1367700000000001E-3</c:v>
                </c:pt>
                <c:pt idx="79" formatCode="General">
                  <c:v>1.1829200000000001E-3</c:v>
                </c:pt>
                <c:pt idx="80" formatCode="General">
                  <c:v>1.1151799999999999E-3</c:v>
                </c:pt>
                <c:pt idx="81" formatCode="General">
                  <c:v>1.0974400000000001E-3</c:v>
                </c:pt>
                <c:pt idx="82" formatCode="General">
                  <c:v>1.1653E-3</c:v>
                </c:pt>
                <c:pt idx="83" formatCode="General">
                  <c:v>1.2129300000000001E-3</c:v>
                </c:pt>
                <c:pt idx="84" formatCode="General">
                  <c:v>1.1256199999999999E-3</c:v>
                </c:pt>
                <c:pt idx="85" formatCode="General">
                  <c:v>1.25595E-3</c:v>
                </c:pt>
                <c:pt idx="86" formatCode="General">
                  <c:v>1.2611199999999999E-3</c:v>
                </c:pt>
                <c:pt idx="87" formatCode="General">
                  <c:v>1.2479399999999999E-3</c:v>
                </c:pt>
                <c:pt idx="88" formatCode="General">
                  <c:v>1.3054500000000001E-3</c:v>
                </c:pt>
                <c:pt idx="89" formatCode="General">
                  <c:v>1.25624E-3</c:v>
                </c:pt>
                <c:pt idx="90" formatCode="General">
                  <c:v>1.2589000000000001E-3</c:v>
                </c:pt>
                <c:pt idx="91" formatCode="General">
                  <c:v>1.27717E-3</c:v>
                </c:pt>
                <c:pt idx="92" formatCode="General">
                  <c:v>1.2873400000000001E-3</c:v>
                </c:pt>
                <c:pt idx="93" formatCode="General">
                  <c:v>1.3513100000000001E-3</c:v>
                </c:pt>
                <c:pt idx="94" formatCode="General">
                  <c:v>1.3460499999999999E-3</c:v>
                </c:pt>
                <c:pt idx="95" formatCode="General">
                  <c:v>1.39989E-3</c:v>
                </c:pt>
                <c:pt idx="96" formatCode="General">
                  <c:v>1.4116300000000001E-3</c:v>
                </c:pt>
                <c:pt idx="97" formatCode="General">
                  <c:v>1.4011200000000001E-3</c:v>
                </c:pt>
                <c:pt idx="98" formatCode="General">
                  <c:v>1.4138499999999999E-3</c:v>
                </c:pt>
                <c:pt idx="99" formatCode="General">
                  <c:v>1.43417E-3</c:v>
                </c:pt>
                <c:pt idx="100" formatCode="General">
                  <c:v>1.43812E-3</c:v>
                </c:pt>
                <c:pt idx="101" formatCode="General">
                  <c:v>1.40372E-3</c:v>
                </c:pt>
                <c:pt idx="102" formatCode="General">
                  <c:v>1.42311E-3</c:v>
                </c:pt>
                <c:pt idx="103" formatCode="General">
                  <c:v>1.4739099999999999E-3</c:v>
                </c:pt>
                <c:pt idx="104" formatCode="General">
                  <c:v>1.5771699999999999E-3</c:v>
                </c:pt>
                <c:pt idx="105" formatCode="General">
                  <c:v>1.56499E-3</c:v>
                </c:pt>
                <c:pt idx="106" formatCode="General">
                  <c:v>1.57679E-3</c:v>
                </c:pt>
                <c:pt idx="107" formatCode="General">
                  <c:v>1.59796E-3</c:v>
                </c:pt>
                <c:pt idx="108" formatCode="General">
                  <c:v>1.6037899999999999E-3</c:v>
                </c:pt>
                <c:pt idx="109" formatCode="General">
                  <c:v>1.6043699999999999E-3</c:v>
                </c:pt>
                <c:pt idx="110" formatCode="General">
                  <c:v>1.61228E-3</c:v>
                </c:pt>
                <c:pt idx="111" formatCode="General">
                  <c:v>1.54412E-3</c:v>
                </c:pt>
                <c:pt idx="112" formatCode="General">
                  <c:v>1.6245400000000001E-3</c:v>
                </c:pt>
                <c:pt idx="113" formatCode="General">
                  <c:v>1.6185399999999999E-3</c:v>
                </c:pt>
                <c:pt idx="114" formatCode="General">
                  <c:v>1.60425E-3</c:v>
                </c:pt>
                <c:pt idx="115" formatCode="General">
                  <c:v>1.6759100000000001E-3</c:v>
                </c:pt>
                <c:pt idx="116" formatCode="General">
                  <c:v>1.64474E-3</c:v>
                </c:pt>
                <c:pt idx="117" formatCode="General">
                  <c:v>1.7068599999999999E-3</c:v>
                </c:pt>
                <c:pt idx="118" formatCode="General">
                  <c:v>1.77546E-3</c:v>
                </c:pt>
                <c:pt idx="119" formatCode="General">
                  <c:v>1.7290199999999999E-3</c:v>
                </c:pt>
                <c:pt idx="120" formatCode="General">
                  <c:v>1.7814199999999999E-3</c:v>
                </c:pt>
                <c:pt idx="121" formatCode="General">
                  <c:v>1.7831399999999999E-3</c:v>
                </c:pt>
                <c:pt idx="122" formatCode="General">
                  <c:v>1.7905600000000001E-3</c:v>
                </c:pt>
                <c:pt idx="123" formatCode="General">
                  <c:v>1.8386699999999999E-3</c:v>
                </c:pt>
                <c:pt idx="124" formatCode="General">
                  <c:v>1.8566500000000001E-3</c:v>
                </c:pt>
                <c:pt idx="125" formatCode="General">
                  <c:v>1.92223E-3</c:v>
                </c:pt>
                <c:pt idx="126" formatCode="General">
                  <c:v>1.8800799999999999E-3</c:v>
                </c:pt>
                <c:pt idx="127" formatCode="General">
                  <c:v>1.8723699999999999E-3</c:v>
                </c:pt>
                <c:pt idx="128" formatCode="General">
                  <c:v>1.9016E-3</c:v>
                </c:pt>
                <c:pt idx="129" formatCode="General">
                  <c:v>1.93089E-3</c:v>
                </c:pt>
                <c:pt idx="130" formatCode="General">
                  <c:v>1.9503299999999999E-3</c:v>
                </c:pt>
                <c:pt idx="131" formatCode="General">
                  <c:v>1.92165E-3</c:v>
                </c:pt>
                <c:pt idx="132" formatCode="General">
                  <c:v>1.91617E-3</c:v>
                </c:pt>
                <c:pt idx="133" formatCode="General">
                  <c:v>1.9302500000000001E-3</c:v>
                </c:pt>
                <c:pt idx="134" formatCode="General">
                  <c:v>1.9737800000000001E-3</c:v>
                </c:pt>
                <c:pt idx="135" formatCode="General">
                  <c:v>2.0573499999999999E-3</c:v>
                </c:pt>
                <c:pt idx="136" formatCode="General">
                  <c:v>2.02111E-3</c:v>
                </c:pt>
                <c:pt idx="137" formatCode="General">
                  <c:v>2.0503800000000001E-3</c:v>
                </c:pt>
                <c:pt idx="138" formatCode="General">
                  <c:v>2.0201799999999999E-3</c:v>
                </c:pt>
                <c:pt idx="139" formatCode="General">
                  <c:v>2.0484000000000001E-3</c:v>
                </c:pt>
                <c:pt idx="140" formatCode="General">
                  <c:v>2.1005799999999999E-3</c:v>
                </c:pt>
                <c:pt idx="141" formatCode="General">
                  <c:v>2.0953999999999999E-3</c:v>
                </c:pt>
                <c:pt idx="142" formatCode="General">
                  <c:v>2.14795E-3</c:v>
                </c:pt>
                <c:pt idx="143" formatCode="General">
                  <c:v>2.15059E-3</c:v>
                </c:pt>
                <c:pt idx="144" formatCode="General">
                  <c:v>2.1333900000000002E-3</c:v>
                </c:pt>
                <c:pt idx="145" formatCode="General">
                  <c:v>2.04843E-3</c:v>
                </c:pt>
                <c:pt idx="146" formatCode="General">
                  <c:v>2.1901400000000001E-3</c:v>
                </c:pt>
                <c:pt idx="147" formatCode="General">
                  <c:v>2.2635300000000001E-3</c:v>
                </c:pt>
                <c:pt idx="148" formatCode="General">
                  <c:v>2.1970499999999999E-3</c:v>
                </c:pt>
                <c:pt idx="149" formatCode="General">
                  <c:v>2.2323199999999999E-3</c:v>
                </c:pt>
                <c:pt idx="150" formatCode="General">
                  <c:v>2.3059500000000002E-3</c:v>
                </c:pt>
                <c:pt idx="151" formatCode="General">
                  <c:v>2.3064399999999999E-3</c:v>
                </c:pt>
                <c:pt idx="152" formatCode="General">
                  <c:v>2.3828899999999999E-3</c:v>
                </c:pt>
                <c:pt idx="153" formatCode="General">
                  <c:v>2.30752E-3</c:v>
                </c:pt>
                <c:pt idx="154" formatCode="General">
                  <c:v>2.3875099999999998E-3</c:v>
                </c:pt>
                <c:pt idx="155" formatCode="General">
                  <c:v>2.3591300000000001E-3</c:v>
                </c:pt>
                <c:pt idx="156" formatCode="General">
                  <c:v>2.3410499999999999E-3</c:v>
                </c:pt>
                <c:pt idx="157" formatCode="General">
                  <c:v>2.4137799999999999E-3</c:v>
                </c:pt>
                <c:pt idx="158" formatCode="General">
                  <c:v>2.4557099999999998E-3</c:v>
                </c:pt>
                <c:pt idx="159" formatCode="General">
                  <c:v>2.4034500000000001E-3</c:v>
                </c:pt>
                <c:pt idx="160" formatCode="General">
                  <c:v>2.4446300000000002E-3</c:v>
                </c:pt>
                <c:pt idx="161" formatCode="General">
                  <c:v>2.5485799999999999E-3</c:v>
                </c:pt>
                <c:pt idx="162" formatCode="General">
                  <c:v>2.4968199999999999E-3</c:v>
                </c:pt>
                <c:pt idx="163" formatCode="General">
                  <c:v>2.5000000000000001E-3</c:v>
                </c:pt>
                <c:pt idx="164" formatCode="General">
                  <c:v>2.4727299999999998E-3</c:v>
                </c:pt>
                <c:pt idx="165" formatCode="General">
                  <c:v>2.5008500000000002E-3</c:v>
                </c:pt>
                <c:pt idx="166" formatCode="General">
                  <c:v>2.5371600000000001E-3</c:v>
                </c:pt>
                <c:pt idx="167" formatCode="General">
                  <c:v>2.5719100000000002E-3</c:v>
                </c:pt>
                <c:pt idx="168" formatCode="General">
                  <c:v>2.5528399999999998E-3</c:v>
                </c:pt>
                <c:pt idx="169" formatCode="General">
                  <c:v>2.5554800000000002E-3</c:v>
                </c:pt>
                <c:pt idx="170" formatCode="General">
                  <c:v>2.5657000000000002E-3</c:v>
                </c:pt>
                <c:pt idx="171" formatCode="General">
                  <c:v>2.6302600000000001E-3</c:v>
                </c:pt>
                <c:pt idx="172" formatCode="General">
                  <c:v>2.6326100000000001E-3</c:v>
                </c:pt>
                <c:pt idx="173" formatCode="General">
                  <c:v>2.5926399999999998E-3</c:v>
                </c:pt>
                <c:pt idx="174" formatCode="General">
                  <c:v>2.6420699999999998E-3</c:v>
                </c:pt>
                <c:pt idx="175" formatCode="General">
                  <c:v>2.6118700000000001E-3</c:v>
                </c:pt>
                <c:pt idx="176" formatCode="General">
                  <c:v>2.63379E-3</c:v>
                </c:pt>
                <c:pt idx="177" formatCode="General">
                  <c:v>2.6832100000000001E-3</c:v>
                </c:pt>
                <c:pt idx="178" formatCode="General">
                  <c:v>2.6761100000000002E-3</c:v>
                </c:pt>
                <c:pt idx="179" formatCode="General">
                  <c:v>2.7103700000000001E-3</c:v>
                </c:pt>
                <c:pt idx="180" formatCode="General">
                  <c:v>2.7199300000000002E-3</c:v>
                </c:pt>
                <c:pt idx="181" formatCode="General">
                  <c:v>2.7651099999999999E-3</c:v>
                </c:pt>
                <c:pt idx="182" formatCode="General">
                  <c:v>2.6997100000000001E-3</c:v>
                </c:pt>
                <c:pt idx="183" formatCode="General">
                  <c:v>2.7939200000000001E-3</c:v>
                </c:pt>
                <c:pt idx="184" formatCode="General">
                  <c:v>2.7375899999999998E-3</c:v>
                </c:pt>
                <c:pt idx="185" formatCode="General">
                  <c:v>2.8333E-3</c:v>
                </c:pt>
                <c:pt idx="186" formatCode="General">
                  <c:v>2.7683199999999999E-3</c:v>
                </c:pt>
                <c:pt idx="187" formatCode="General">
                  <c:v>2.8541299999999999E-3</c:v>
                </c:pt>
                <c:pt idx="188" formatCode="General">
                  <c:v>2.8375700000000002E-3</c:v>
                </c:pt>
                <c:pt idx="189" formatCode="General">
                  <c:v>2.7416699999999999E-3</c:v>
                </c:pt>
                <c:pt idx="190" formatCode="General">
                  <c:v>2.8558899999999998E-3</c:v>
                </c:pt>
                <c:pt idx="191" formatCode="General">
                  <c:v>2.8313399999999999E-3</c:v>
                </c:pt>
                <c:pt idx="192" formatCode="General">
                  <c:v>2.826E-3</c:v>
                </c:pt>
                <c:pt idx="193" formatCode="General">
                  <c:v>2.8696099999999999E-3</c:v>
                </c:pt>
                <c:pt idx="194" formatCode="General">
                  <c:v>2.9726399999999999E-3</c:v>
                </c:pt>
                <c:pt idx="195" formatCode="General">
                  <c:v>2.9397799999999999E-3</c:v>
                </c:pt>
                <c:pt idx="196" formatCode="General">
                  <c:v>3.04894E-3</c:v>
                </c:pt>
                <c:pt idx="197" formatCode="General">
                  <c:v>2.9429999999999999E-3</c:v>
                </c:pt>
                <c:pt idx="198" formatCode="General">
                  <c:v>2.9635400000000002E-3</c:v>
                </c:pt>
                <c:pt idx="199" formatCode="General">
                  <c:v>3.01732E-3</c:v>
                </c:pt>
                <c:pt idx="200" formatCode="General">
                  <c:v>2.9862199999999999E-3</c:v>
                </c:pt>
                <c:pt idx="201" formatCode="General">
                  <c:v>3.06054E-3</c:v>
                </c:pt>
                <c:pt idx="202" formatCode="General">
                  <c:v>2.9899100000000001E-3</c:v>
                </c:pt>
                <c:pt idx="203" formatCode="General">
                  <c:v>3.0288099999999998E-3</c:v>
                </c:pt>
                <c:pt idx="204" formatCode="General">
                  <c:v>3.0747399999999999E-3</c:v>
                </c:pt>
                <c:pt idx="205" formatCode="General">
                  <c:v>3.0536700000000001E-3</c:v>
                </c:pt>
                <c:pt idx="206" formatCode="General">
                  <c:v>3.1060900000000002E-3</c:v>
                </c:pt>
                <c:pt idx="207" formatCode="General">
                  <c:v>3.0955000000000002E-3</c:v>
                </c:pt>
                <c:pt idx="208" formatCode="General">
                  <c:v>3.1335299999999998E-3</c:v>
                </c:pt>
                <c:pt idx="209" formatCode="General">
                  <c:v>3.1985500000000001E-3</c:v>
                </c:pt>
                <c:pt idx="210" formatCode="General">
                  <c:v>3.1440600000000002E-3</c:v>
                </c:pt>
                <c:pt idx="211" formatCode="General">
                  <c:v>3.1610499999999999E-3</c:v>
                </c:pt>
                <c:pt idx="212" formatCode="General">
                  <c:v>3.1744899999999999E-3</c:v>
                </c:pt>
                <c:pt idx="213" formatCode="General">
                  <c:v>3.1159E-3</c:v>
                </c:pt>
                <c:pt idx="214" formatCode="General">
                  <c:v>3.2254900000000001E-3</c:v>
                </c:pt>
                <c:pt idx="215" formatCode="General">
                  <c:v>3.28204E-3</c:v>
                </c:pt>
                <c:pt idx="216" formatCode="General">
                  <c:v>3.2510999999999998E-3</c:v>
                </c:pt>
                <c:pt idx="217" formatCode="General">
                  <c:v>3.2391999999999998E-3</c:v>
                </c:pt>
                <c:pt idx="218" formatCode="General">
                  <c:v>3.2768799999999998E-3</c:v>
                </c:pt>
                <c:pt idx="219" formatCode="General">
                  <c:v>3.27392E-3</c:v>
                </c:pt>
                <c:pt idx="220" formatCode="General">
                  <c:v>3.2821199999999999E-3</c:v>
                </c:pt>
                <c:pt idx="221" formatCode="General">
                  <c:v>3.31139E-3</c:v>
                </c:pt>
                <c:pt idx="222" formatCode="General">
                  <c:v>3.3964099999999999E-3</c:v>
                </c:pt>
                <c:pt idx="223" formatCode="General">
                  <c:v>3.3349400000000002E-3</c:v>
                </c:pt>
                <c:pt idx="224" formatCode="General">
                  <c:v>3.3681800000000001E-3</c:v>
                </c:pt>
                <c:pt idx="225" formatCode="General">
                  <c:v>3.34169E-3</c:v>
                </c:pt>
                <c:pt idx="226" formatCode="General">
                  <c:v>3.37456E-3</c:v>
                </c:pt>
                <c:pt idx="227" formatCode="General">
                  <c:v>3.3940400000000001E-3</c:v>
                </c:pt>
                <c:pt idx="228" formatCode="General">
                  <c:v>3.4454899999999998E-3</c:v>
                </c:pt>
                <c:pt idx="229" formatCode="General">
                  <c:v>3.4153600000000001E-3</c:v>
                </c:pt>
                <c:pt idx="230" formatCode="General">
                  <c:v>3.4062799999999998E-3</c:v>
                </c:pt>
                <c:pt idx="231" formatCode="General">
                  <c:v>3.4113199999999998E-3</c:v>
                </c:pt>
                <c:pt idx="232" formatCode="General">
                  <c:v>3.47445E-3</c:v>
                </c:pt>
                <c:pt idx="233" formatCode="General">
                  <c:v>3.4504700000000002E-3</c:v>
                </c:pt>
                <c:pt idx="234" formatCode="General">
                  <c:v>3.5361199999999998E-3</c:v>
                </c:pt>
                <c:pt idx="235" formatCode="General">
                  <c:v>3.4786000000000001E-3</c:v>
                </c:pt>
                <c:pt idx="236" formatCode="General">
                  <c:v>3.46431E-3</c:v>
                </c:pt>
                <c:pt idx="237" formatCode="General">
                  <c:v>3.5307200000000002E-3</c:v>
                </c:pt>
                <c:pt idx="238" formatCode="General">
                  <c:v>3.5873799999999998E-3</c:v>
                </c:pt>
                <c:pt idx="239" formatCode="General">
                  <c:v>3.5385999999999998E-3</c:v>
                </c:pt>
                <c:pt idx="240" formatCode="General">
                  <c:v>3.60414E-3</c:v>
                </c:pt>
                <c:pt idx="241" formatCode="General">
                  <c:v>3.6011099999999998E-3</c:v>
                </c:pt>
                <c:pt idx="242" formatCode="General">
                  <c:v>3.6071599999999999E-3</c:v>
                </c:pt>
                <c:pt idx="243" formatCode="General">
                  <c:v>3.6399000000000002E-3</c:v>
                </c:pt>
                <c:pt idx="244" formatCode="General">
                  <c:v>3.6584500000000002E-3</c:v>
                </c:pt>
                <c:pt idx="245" formatCode="General">
                  <c:v>3.6624600000000002E-3</c:v>
                </c:pt>
                <c:pt idx="246" formatCode="General">
                  <c:v>3.6443399999999998E-3</c:v>
                </c:pt>
                <c:pt idx="247" formatCode="General">
                  <c:v>3.6581399999999998E-3</c:v>
                </c:pt>
                <c:pt idx="248" formatCode="General">
                  <c:v>3.7190700000000001E-3</c:v>
                </c:pt>
                <c:pt idx="249" formatCode="General">
                  <c:v>3.72471E-3</c:v>
                </c:pt>
                <c:pt idx="250" formatCode="General">
                  <c:v>3.7533499999999999E-3</c:v>
                </c:pt>
                <c:pt idx="251" formatCode="General">
                  <c:v>3.6169599999999998E-3</c:v>
                </c:pt>
                <c:pt idx="252" formatCode="General">
                  <c:v>3.6743499999999998E-3</c:v>
                </c:pt>
                <c:pt idx="253" formatCode="General">
                  <c:v>3.74253E-3</c:v>
                </c:pt>
                <c:pt idx="254" formatCode="General">
                  <c:v>3.7615700000000001E-3</c:v>
                </c:pt>
                <c:pt idx="255" formatCode="General">
                  <c:v>3.80518E-3</c:v>
                </c:pt>
                <c:pt idx="256" formatCode="General">
                  <c:v>3.72493E-3</c:v>
                </c:pt>
                <c:pt idx="257" formatCode="General">
                  <c:v>3.7760200000000002E-3</c:v>
                </c:pt>
                <c:pt idx="258" formatCode="General">
                  <c:v>3.8373299999999999E-3</c:v>
                </c:pt>
                <c:pt idx="259" formatCode="General">
                  <c:v>3.8006400000000001E-3</c:v>
                </c:pt>
                <c:pt idx="260" formatCode="General">
                  <c:v>3.7634500000000002E-3</c:v>
                </c:pt>
                <c:pt idx="261" formatCode="General">
                  <c:v>3.77028E-3</c:v>
                </c:pt>
                <c:pt idx="262" formatCode="General">
                  <c:v>3.8500600000000002E-3</c:v>
                </c:pt>
                <c:pt idx="263" formatCode="General">
                  <c:v>3.8818799999999999E-3</c:v>
                </c:pt>
                <c:pt idx="264" formatCode="General">
                  <c:v>3.9104999999999999E-3</c:v>
                </c:pt>
                <c:pt idx="265" formatCode="General">
                  <c:v>3.8508700000000002E-3</c:v>
                </c:pt>
                <c:pt idx="266" formatCode="General">
                  <c:v>3.9620100000000002E-3</c:v>
                </c:pt>
                <c:pt idx="267" formatCode="General">
                  <c:v>3.9863199999999998E-3</c:v>
                </c:pt>
                <c:pt idx="268" formatCode="General">
                  <c:v>4.0567399999999997E-3</c:v>
                </c:pt>
                <c:pt idx="269" formatCode="General">
                  <c:v>3.9957200000000003E-3</c:v>
                </c:pt>
                <c:pt idx="270" formatCode="General">
                  <c:v>3.9437700000000001E-3</c:v>
                </c:pt>
                <c:pt idx="271" formatCode="General">
                  <c:v>3.9929600000000003E-3</c:v>
                </c:pt>
                <c:pt idx="272" formatCode="General">
                  <c:v>4.0280300000000002E-3</c:v>
                </c:pt>
                <c:pt idx="273" formatCode="General">
                  <c:v>4.0018500000000004E-3</c:v>
                </c:pt>
                <c:pt idx="274" formatCode="General">
                  <c:v>4.0804600000000002E-3</c:v>
                </c:pt>
                <c:pt idx="275" formatCode="General">
                  <c:v>4.0574599999999997E-3</c:v>
                </c:pt>
                <c:pt idx="276" formatCode="General">
                  <c:v>4.0892400000000001E-3</c:v>
                </c:pt>
                <c:pt idx="277" formatCode="General">
                  <c:v>4.12372E-3</c:v>
                </c:pt>
                <c:pt idx="278" formatCode="General">
                  <c:v>4.1483099999999997E-3</c:v>
                </c:pt>
                <c:pt idx="279" formatCode="General">
                  <c:v>4.1140200000000004E-3</c:v>
                </c:pt>
                <c:pt idx="280" formatCode="General">
                  <c:v>4.1131099999999997E-3</c:v>
                </c:pt>
                <c:pt idx="281" formatCode="General">
                  <c:v>4.1681599999999997E-3</c:v>
                </c:pt>
                <c:pt idx="282" formatCode="General">
                  <c:v>4.1851700000000002E-3</c:v>
                </c:pt>
                <c:pt idx="283" formatCode="General">
                  <c:v>4.2210700000000004E-3</c:v>
                </c:pt>
                <c:pt idx="284" formatCode="General">
                  <c:v>4.1770100000000001E-3</c:v>
                </c:pt>
                <c:pt idx="285" formatCode="General">
                  <c:v>4.2574800000000001E-3</c:v>
                </c:pt>
                <c:pt idx="286" formatCode="General">
                  <c:v>4.2922200000000002E-3</c:v>
                </c:pt>
                <c:pt idx="287" formatCode="General">
                  <c:v>4.24304E-3</c:v>
                </c:pt>
                <c:pt idx="288" formatCode="General">
                  <c:v>4.2516300000000002E-3</c:v>
                </c:pt>
                <c:pt idx="289" formatCode="General">
                  <c:v>4.3198100000000003E-3</c:v>
                </c:pt>
                <c:pt idx="290" formatCode="General">
                  <c:v>4.3086399999999999E-3</c:v>
                </c:pt>
                <c:pt idx="291" formatCode="General">
                  <c:v>4.3361700000000003E-3</c:v>
                </c:pt>
                <c:pt idx="292" formatCode="General">
                  <c:v>4.3275700000000002E-3</c:v>
                </c:pt>
                <c:pt idx="293" formatCode="General">
                  <c:v>4.4087500000000003E-3</c:v>
                </c:pt>
                <c:pt idx="294" formatCode="General">
                  <c:v>4.4003200000000001E-3</c:v>
                </c:pt>
                <c:pt idx="295" formatCode="General">
                  <c:v>4.4162899999999998E-3</c:v>
                </c:pt>
                <c:pt idx="296" formatCode="General">
                  <c:v>4.3502000000000002E-3</c:v>
                </c:pt>
                <c:pt idx="297" formatCode="General">
                  <c:v>4.4093600000000002E-3</c:v>
                </c:pt>
                <c:pt idx="298" formatCode="General">
                  <c:v>4.3917499999999998E-3</c:v>
                </c:pt>
                <c:pt idx="299" formatCode="General">
                  <c:v>4.4863500000000001E-3</c:v>
                </c:pt>
                <c:pt idx="300" formatCode="General">
                  <c:v>4.4429700000000001E-3</c:v>
                </c:pt>
                <c:pt idx="301" formatCode="General">
                  <c:v>4.4748499999999998E-3</c:v>
                </c:pt>
                <c:pt idx="302" formatCode="General">
                  <c:v>4.4503299999999997E-3</c:v>
                </c:pt>
                <c:pt idx="303" formatCode="General">
                  <c:v>4.5133300000000003E-3</c:v>
                </c:pt>
                <c:pt idx="304" formatCode="General">
                  <c:v>4.59429E-3</c:v>
                </c:pt>
                <c:pt idx="305" formatCode="General">
                  <c:v>4.5150900000000002E-3</c:v>
                </c:pt>
                <c:pt idx="306" formatCode="General">
                  <c:v>4.5209500000000001E-3</c:v>
                </c:pt>
                <c:pt idx="307" formatCode="General">
                  <c:v>4.5561500000000001E-3</c:v>
                </c:pt>
                <c:pt idx="308" formatCode="General">
                  <c:v>4.5361999999999998E-3</c:v>
                </c:pt>
                <c:pt idx="309" formatCode="General">
                  <c:v>4.61503E-3</c:v>
                </c:pt>
                <c:pt idx="310" formatCode="General">
                  <c:v>4.6408700000000001E-3</c:v>
                </c:pt>
                <c:pt idx="311" formatCode="General">
                  <c:v>4.5688300000000003E-3</c:v>
                </c:pt>
                <c:pt idx="312" formatCode="General">
                  <c:v>4.6020499999999999E-3</c:v>
                </c:pt>
                <c:pt idx="313" formatCode="General">
                  <c:v>4.6049400000000001E-3</c:v>
                </c:pt>
                <c:pt idx="314" formatCode="General">
                  <c:v>4.6277599999999999E-3</c:v>
                </c:pt>
                <c:pt idx="315" formatCode="General">
                  <c:v>4.6799500000000004E-3</c:v>
                </c:pt>
                <c:pt idx="316" formatCode="General">
                  <c:v>4.5925899999999997E-3</c:v>
                </c:pt>
                <c:pt idx="317" formatCode="General">
                  <c:v>4.6827300000000004E-3</c:v>
                </c:pt>
                <c:pt idx="318" formatCode="General">
                  <c:v>4.7633299999999996E-3</c:v>
                </c:pt>
                <c:pt idx="319" formatCode="General">
                  <c:v>4.7376500000000004E-3</c:v>
                </c:pt>
                <c:pt idx="320" formatCode="General">
                  <c:v>4.7122400000000004E-3</c:v>
                </c:pt>
                <c:pt idx="321" formatCode="General">
                  <c:v>4.6626100000000002E-3</c:v>
                </c:pt>
                <c:pt idx="322" formatCode="General">
                  <c:v>4.70382E-3</c:v>
                </c:pt>
                <c:pt idx="323" formatCode="General">
                  <c:v>4.7474099999999997E-3</c:v>
                </c:pt>
                <c:pt idx="324" formatCode="General">
                  <c:v>4.7733599999999999E-3</c:v>
                </c:pt>
                <c:pt idx="325" formatCode="General">
                  <c:v>4.7417900000000001E-3</c:v>
                </c:pt>
                <c:pt idx="326" formatCode="General">
                  <c:v>4.8383499999999999E-3</c:v>
                </c:pt>
                <c:pt idx="327" formatCode="General">
                  <c:v>4.8205699999999997E-3</c:v>
                </c:pt>
                <c:pt idx="328" formatCode="General">
                  <c:v>4.8344399999999997E-3</c:v>
                </c:pt>
                <c:pt idx="329" formatCode="General">
                  <c:v>4.8885400000000002E-3</c:v>
                </c:pt>
                <c:pt idx="330" formatCode="General">
                  <c:v>4.8742200000000003E-3</c:v>
                </c:pt>
                <c:pt idx="331" formatCode="General">
                  <c:v>4.8916100000000002E-3</c:v>
                </c:pt>
                <c:pt idx="332" formatCode="General">
                  <c:v>4.9197800000000003E-3</c:v>
                </c:pt>
                <c:pt idx="333" formatCode="General">
                  <c:v>4.9147799999999997E-3</c:v>
                </c:pt>
                <c:pt idx="334" formatCode="General">
                  <c:v>4.9386999999999999E-3</c:v>
                </c:pt>
                <c:pt idx="335" formatCode="General">
                  <c:v>4.9501700000000003E-3</c:v>
                </c:pt>
                <c:pt idx="336" formatCode="General">
                  <c:v>5.0148600000000003E-3</c:v>
                </c:pt>
                <c:pt idx="337" formatCode="General">
                  <c:v>4.9324E-3</c:v>
                </c:pt>
                <c:pt idx="338" formatCode="General">
                  <c:v>5.0070699999999998E-3</c:v>
                </c:pt>
                <c:pt idx="339" formatCode="General">
                  <c:v>4.9187299999999996E-3</c:v>
                </c:pt>
                <c:pt idx="340" formatCode="General">
                  <c:v>5.0501900000000004E-3</c:v>
                </c:pt>
                <c:pt idx="341" formatCode="General">
                  <c:v>5.0531400000000002E-3</c:v>
                </c:pt>
                <c:pt idx="342" formatCode="General">
                  <c:v>5.0476799999999997E-3</c:v>
                </c:pt>
                <c:pt idx="343" formatCode="General">
                  <c:v>5.0580399999999998E-3</c:v>
                </c:pt>
                <c:pt idx="344" formatCode="General">
                  <c:v>5.0541900000000001E-3</c:v>
                </c:pt>
                <c:pt idx="345" formatCode="General">
                  <c:v>5.0715400000000002E-3</c:v>
                </c:pt>
                <c:pt idx="346" formatCode="General">
                  <c:v>5.0775500000000001E-3</c:v>
                </c:pt>
                <c:pt idx="347" formatCode="General">
                  <c:v>5.1352699999999999E-3</c:v>
                </c:pt>
                <c:pt idx="348" formatCode="General">
                  <c:v>5.1043599999999996E-3</c:v>
                </c:pt>
                <c:pt idx="349" formatCode="General">
                  <c:v>5.1329699999999997E-3</c:v>
                </c:pt>
                <c:pt idx="350" formatCode="General">
                  <c:v>5.1660899999999999E-3</c:v>
                </c:pt>
                <c:pt idx="351" formatCode="General">
                  <c:v>5.19499E-3</c:v>
                </c:pt>
                <c:pt idx="352" formatCode="General">
                  <c:v>5.11466E-3</c:v>
                </c:pt>
                <c:pt idx="353" formatCode="General">
                  <c:v>5.2264800000000004E-3</c:v>
                </c:pt>
                <c:pt idx="354" formatCode="General">
                  <c:v>5.2119899999999997E-3</c:v>
                </c:pt>
                <c:pt idx="355" formatCode="General">
                  <c:v>5.2853400000000004E-3</c:v>
                </c:pt>
                <c:pt idx="356" formatCode="General">
                  <c:v>5.2648199999999999E-3</c:v>
                </c:pt>
                <c:pt idx="357" formatCode="General">
                  <c:v>5.2665000000000003E-3</c:v>
                </c:pt>
                <c:pt idx="358" formatCode="General">
                  <c:v>5.2554699999999999E-3</c:v>
                </c:pt>
                <c:pt idx="359" formatCode="General">
                  <c:v>5.2701600000000003E-3</c:v>
                </c:pt>
                <c:pt idx="360" formatCode="General">
                  <c:v>5.2481699999999999E-3</c:v>
                </c:pt>
                <c:pt idx="361" formatCode="General">
                  <c:v>5.2769100000000001E-3</c:v>
                </c:pt>
                <c:pt idx="362" formatCode="General">
                  <c:v>5.3036799999999999E-3</c:v>
                </c:pt>
                <c:pt idx="363" formatCode="General">
                  <c:v>5.32191E-3</c:v>
                </c:pt>
                <c:pt idx="364" formatCode="General">
                  <c:v>5.3902300000000002E-3</c:v>
                </c:pt>
                <c:pt idx="365" formatCode="General">
                  <c:v>5.3932499999999996E-3</c:v>
                </c:pt>
                <c:pt idx="366" formatCode="General">
                  <c:v>5.3961699999999996E-3</c:v>
                </c:pt>
                <c:pt idx="367" formatCode="General">
                  <c:v>5.3641399999999999E-3</c:v>
                </c:pt>
                <c:pt idx="368" formatCode="General">
                  <c:v>5.4138299999999997E-3</c:v>
                </c:pt>
                <c:pt idx="369" formatCode="General">
                  <c:v>5.4072800000000004E-3</c:v>
                </c:pt>
                <c:pt idx="370" formatCode="General">
                  <c:v>5.3867200000000002E-3</c:v>
                </c:pt>
                <c:pt idx="371" formatCode="General">
                  <c:v>5.4279699999999998E-3</c:v>
                </c:pt>
                <c:pt idx="372" formatCode="General">
                  <c:v>5.4225699999999998E-3</c:v>
                </c:pt>
                <c:pt idx="373" formatCode="General">
                  <c:v>5.4550299999999996E-3</c:v>
                </c:pt>
                <c:pt idx="374" formatCode="General">
                  <c:v>5.3911000000000002E-3</c:v>
                </c:pt>
                <c:pt idx="375" formatCode="General">
                  <c:v>5.4666000000000003E-3</c:v>
                </c:pt>
                <c:pt idx="376" formatCode="General">
                  <c:v>5.4682100000000003E-3</c:v>
                </c:pt>
                <c:pt idx="377" formatCode="General">
                  <c:v>5.5368300000000004E-3</c:v>
                </c:pt>
                <c:pt idx="378" formatCode="General">
                  <c:v>5.4926799999999998E-3</c:v>
                </c:pt>
                <c:pt idx="379" formatCode="General">
                  <c:v>5.5092700000000001E-3</c:v>
                </c:pt>
                <c:pt idx="380" formatCode="General">
                  <c:v>5.5454199999999997E-3</c:v>
                </c:pt>
                <c:pt idx="381" formatCode="General">
                  <c:v>5.6232900000000004E-3</c:v>
                </c:pt>
                <c:pt idx="382" formatCode="General">
                  <c:v>5.5698400000000004E-3</c:v>
                </c:pt>
                <c:pt idx="383" formatCode="General">
                  <c:v>5.6069199999999996E-3</c:v>
                </c:pt>
                <c:pt idx="384" formatCode="General">
                  <c:v>5.6037099999999996E-3</c:v>
                </c:pt>
                <c:pt idx="385" formatCode="General">
                  <c:v>5.6092900000000003E-3</c:v>
                </c:pt>
                <c:pt idx="386" formatCode="General">
                  <c:v>5.6500500000000002E-3</c:v>
                </c:pt>
                <c:pt idx="387" formatCode="General">
                  <c:v>5.6667100000000001E-3</c:v>
                </c:pt>
                <c:pt idx="388" formatCode="General">
                  <c:v>5.6631900000000002E-3</c:v>
                </c:pt>
                <c:pt idx="389" formatCode="General">
                  <c:v>5.5782200000000001E-3</c:v>
                </c:pt>
                <c:pt idx="390" formatCode="General">
                  <c:v>5.6271899999999998E-3</c:v>
                </c:pt>
                <c:pt idx="391" formatCode="General">
                  <c:v>5.6280200000000001E-3</c:v>
                </c:pt>
                <c:pt idx="392" formatCode="General">
                  <c:v>5.78284E-3</c:v>
                </c:pt>
                <c:pt idx="393" formatCode="General">
                  <c:v>5.6936299999999999E-3</c:v>
                </c:pt>
                <c:pt idx="394" formatCode="General">
                  <c:v>5.7118200000000003E-3</c:v>
                </c:pt>
                <c:pt idx="395" formatCode="General">
                  <c:v>5.7307699999999996E-3</c:v>
                </c:pt>
                <c:pt idx="396" formatCode="General">
                  <c:v>5.8077900000000002E-3</c:v>
                </c:pt>
                <c:pt idx="397" formatCode="General">
                  <c:v>5.7289999999999997E-3</c:v>
                </c:pt>
                <c:pt idx="398" formatCode="General">
                  <c:v>5.7888799999999997E-3</c:v>
                </c:pt>
                <c:pt idx="399" formatCode="General">
                  <c:v>5.7899400000000004E-3</c:v>
                </c:pt>
                <c:pt idx="400" formatCode="General">
                  <c:v>5.8669799999999999E-3</c:v>
                </c:pt>
                <c:pt idx="401" formatCode="General">
                  <c:v>5.8342899999999998E-3</c:v>
                </c:pt>
                <c:pt idx="402" formatCode="General">
                  <c:v>5.84711E-3</c:v>
                </c:pt>
                <c:pt idx="403" formatCode="General">
                  <c:v>5.8732599999999999E-3</c:v>
                </c:pt>
                <c:pt idx="404" formatCode="General">
                  <c:v>5.8733500000000003E-3</c:v>
                </c:pt>
                <c:pt idx="405" formatCode="General">
                  <c:v>5.8683199999999998E-3</c:v>
                </c:pt>
                <c:pt idx="406" formatCode="General">
                  <c:v>5.8726899999999999E-3</c:v>
                </c:pt>
                <c:pt idx="407" formatCode="General">
                  <c:v>5.9233200000000001E-3</c:v>
                </c:pt>
                <c:pt idx="408" formatCode="General">
                  <c:v>5.89895E-3</c:v>
                </c:pt>
                <c:pt idx="409" formatCode="General">
                  <c:v>5.9178399999999997E-3</c:v>
                </c:pt>
                <c:pt idx="410" formatCode="General">
                  <c:v>6.0001799999999999E-3</c:v>
                </c:pt>
                <c:pt idx="411" formatCode="General">
                  <c:v>6.0244799999999996E-3</c:v>
                </c:pt>
                <c:pt idx="412" formatCode="General">
                  <c:v>6.0231399999999997E-3</c:v>
                </c:pt>
                <c:pt idx="413" formatCode="General">
                  <c:v>6.0195800000000001E-3</c:v>
                </c:pt>
                <c:pt idx="414" formatCode="General">
                  <c:v>6.0120399999999997E-3</c:v>
                </c:pt>
                <c:pt idx="415" formatCode="General">
                  <c:v>6.08589E-3</c:v>
                </c:pt>
                <c:pt idx="416" formatCode="General">
                  <c:v>6.0726599999999997E-3</c:v>
                </c:pt>
                <c:pt idx="417" formatCode="General">
                  <c:v>6.0576299999999996E-3</c:v>
                </c:pt>
                <c:pt idx="418" formatCode="General">
                  <c:v>6.0747500000000003E-3</c:v>
                </c:pt>
                <c:pt idx="419" formatCode="General">
                  <c:v>6.1968700000000002E-3</c:v>
                </c:pt>
                <c:pt idx="420" formatCode="General">
                  <c:v>6.0827800000000003E-3</c:v>
                </c:pt>
                <c:pt idx="421" formatCode="General">
                  <c:v>6.16593E-3</c:v>
                </c:pt>
                <c:pt idx="422" formatCode="General">
                  <c:v>6.13E-3</c:v>
                </c:pt>
                <c:pt idx="423" formatCode="General">
                  <c:v>6.1663600000000001E-3</c:v>
                </c:pt>
                <c:pt idx="424" formatCode="General">
                  <c:v>6.20259E-3</c:v>
                </c:pt>
                <c:pt idx="425" formatCode="General">
                  <c:v>6.1670800000000001E-3</c:v>
                </c:pt>
                <c:pt idx="426" formatCode="General">
                  <c:v>6.2484200000000002E-3</c:v>
                </c:pt>
                <c:pt idx="427" formatCode="General">
                  <c:v>6.1736100000000004E-3</c:v>
                </c:pt>
                <c:pt idx="428" formatCode="General">
                  <c:v>6.2682099999999998E-3</c:v>
                </c:pt>
                <c:pt idx="429" formatCode="General">
                  <c:v>6.2361200000000004E-3</c:v>
                </c:pt>
                <c:pt idx="430" formatCode="General">
                  <c:v>6.3064699999999998E-3</c:v>
                </c:pt>
                <c:pt idx="431" formatCode="General">
                  <c:v>6.2551100000000004E-3</c:v>
                </c:pt>
                <c:pt idx="432" formatCode="General">
                  <c:v>6.3029399999999999E-3</c:v>
                </c:pt>
                <c:pt idx="433" formatCode="General">
                  <c:v>6.3330599999999997E-3</c:v>
                </c:pt>
                <c:pt idx="434" formatCode="General">
                  <c:v>6.3391599999999999E-3</c:v>
                </c:pt>
                <c:pt idx="435" formatCode="General">
                  <c:v>6.31169E-3</c:v>
                </c:pt>
                <c:pt idx="436" formatCode="General">
                  <c:v>6.378E-3</c:v>
                </c:pt>
                <c:pt idx="437" formatCode="General">
                  <c:v>6.2897500000000002E-3</c:v>
                </c:pt>
                <c:pt idx="438" formatCode="General">
                  <c:v>6.3941400000000004E-3</c:v>
                </c:pt>
                <c:pt idx="439" formatCode="General">
                  <c:v>6.40954E-3</c:v>
                </c:pt>
                <c:pt idx="440" formatCode="General">
                  <c:v>6.4124000000000004E-3</c:v>
                </c:pt>
                <c:pt idx="441" formatCode="General">
                  <c:v>6.4299700000000001E-3</c:v>
                </c:pt>
                <c:pt idx="442" formatCode="General">
                  <c:v>6.5161200000000002E-3</c:v>
                </c:pt>
                <c:pt idx="443" formatCode="General">
                  <c:v>6.4057799999999998E-3</c:v>
                </c:pt>
                <c:pt idx="444" formatCode="General">
                  <c:v>6.49834E-3</c:v>
                </c:pt>
                <c:pt idx="445" formatCode="General">
                  <c:v>6.5482300000000004E-3</c:v>
                </c:pt>
                <c:pt idx="446" formatCode="General">
                  <c:v>6.5350299999999998E-3</c:v>
                </c:pt>
                <c:pt idx="447" formatCode="General">
                  <c:v>6.5383100000000003E-3</c:v>
                </c:pt>
                <c:pt idx="448" formatCode="General">
                  <c:v>6.5332000000000003E-3</c:v>
                </c:pt>
                <c:pt idx="449" formatCode="General">
                  <c:v>6.5641099999999997E-3</c:v>
                </c:pt>
                <c:pt idx="450" formatCode="General">
                  <c:v>6.5373899999999997E-3</c:v>
                </c:pt>
                <c:pt idx="451" formatCode="General">
                  <c:v>6.5704800000000001E-3</c:v>
                </c:pt>
                <c:pt idx="452" formatCode="General">
                  <c:v>6.63051E-3</c:v>
                </c:pt>
                <c:pt idx="453" formatCode="General">
                  <c:v>6.5814599999999999E-3</c:v>
                </c:pt>
              </c:numCache>
            </c:numRef>
          </c:xVal>
          <c:yVal>
            <c:numRef>
              <c:f>'L30CPTX-2'!$V$7:$V$469</c:f>
              <c:numCache>
                <c:formatCode>General</c:formatCode>
                <c:ptCount val="463"/>
                <c:pt idx="0">
                  <c:v>1.1265355603448277</c:v>
                </c:pt>
                <c:pt idx="1">
                  <c:v>1.1935237068965519</c:v>
                </c:pt>
                <c:pt idx="2">
                  <c:v>1.047365301724138</c:v>
                </c:pt>
                <c:pt idx="3">
                  <c:v>0.93775323275862066</c:v>
                </c:pt>
                <c:pt idx="4">
                  <c:v>1.0169181034482759</c:v>
                </c:pt>
                <c:pt idx="5">
                  <c:v>1.1082650862068966</c:v>
                </c:pt>
                <c:pt idx="6">
                  <c:v>1.0778178879310345</c:v>
                </c:pt>
                <c:pt idx="7">
                  <c:v>1.5223706896551725</c:v>
                </c:pt>
                <c:pt idx="8">
                  <c:v>1.9303825431034483</c:v>
                </c:pt>
                <c:pt idx="9">
                  <c:v>2.581988146551724</c:v>
                </c:pt>
                <c:pt idx="10">
                  <c:v>2.3140409482758622</c:v>
                </c:pt>
                <c:pt idx="11">
                  <c:v>2.7342349137931037</c:v>
                </c:pt>
                <c:pt idx="12">
                  <c:v>3.0691702586206899</c:v>
                </c:pt>
                <c:pt idx="13">
                  <c:v>3.2153232758620689</c:v>
                </c:pt>
                <c:pt idx="14">
                  <c:v>3.4650053879310345</c:v>
                </c:pt>
                <c:pt idx="15">
                  <c:v>3.7268642241379313</c:v>
                </c:pt>
                <c:pt idx="16">
                  <c:v>3.8364816810344831</c:v>
                </c:pt>
                <c:pt idx="17">
                  <c:v>4.3114816810344827</c:v>
                </c:pt>
                <c:pt idx="18">
                  <c:v>4.4028286637931036</c:v>
                </c:pt>
                <c:pt idx="19">
                  <c:v>4.5428933189655174</c:v>
                </c:pt>
                <c:pt idx="20">
                  <c:v>4.6768696120689661</c:v>
                </c:pt>
                <c:pt idx="21">
                  <c:v>5.0848814655172418</c:v>
                </c:pt>
                <c:pt idx="22">
                  <c:v>5.6938577586206893</c:v>
                </c:pt>
                <c:pt idx="23">
                  <c:v>5.6025323275862071</c:v>
                </c:pt>
                <c:pt idx="24">
                  <c:v>6.0836206896551719</c:v>
                </c:pt>
                <c:pt idx="25">
                  <c:v>6.1079741379310351</c:v>
                </c:pt>
                <c:pt idx="26">
                  <c:v>6.4124461206896557</c:v>
                </c:pt>
                <c:pt idx="27">
                  <c:v>6.7900323275862071</c:v>
                </c:pt>
                <c:pt idx="28">
                  <c:v>7.2589439655172416</c:v>
                </c:pt>
                <c:pt idx="29">
                  <c:v>7.2406788793103445</c:v>
                </c:pt>
                <c:pt idx="30">
                  <c:v>7.6242995689655171</c:v>
                </c:pt>
                <c:pt idx="31">
                  <c:v>7.8070043103448281</c:v>
                </c:pt>
                <c:pt idx="32">
                  <c:v>8.0505926724137939</c:v>
                </c:pt>
                <c:pt idx="33">
                  <c:v>8.3428879310344826</c:v>
                </c:pt>
                <c:pt idx="34">
                  <c:v>8.5986530172413804</c:v>
                </c:pt>
                <c:pt idx="35">
                  <c:v>8.6230603448275875</c:v>
                </c:pt>
                <c:pt idx="36">
                  <c:v>8.8483836206896562</c:v>
                </c:pt>
                <c:pt idx="37">
                  <c:v>9.0371228448275858</c:v>
                </c:pt>
                <c:pt idx="38">
                  <c:v>9.1954741379310345</c:v>
                </c:pt>
                <c:pt idx="39">
                  <c:v>9.8105603448275858</c:v>
                </c:pt>
                <c:pt idx="40">
                  <c:v>10.078502155172414</c:v>
                </c:pt>
                <c:pt idx="41">
                  <c:v>10.096767241379311</c:v>
                </c:pt>
                <c:pt idx="42">
                  <c:v>10.3890625</c:v>
                </c:pt>
                <c:pt idx="43">
                  <c:v>10.797090517241379</c:v>
                </c:pt>
                <c:pt idx="44">
                  <c:v>10.931034482758621</c:v>
                </c:pt>
                <c:pt idx="45">
                  <c:v>11.144181034482759</c:v>
                </c:pt>
                <c:pt idx="46">
                  <c:v>11.527855603448277</c:v>
                </c:pt>
                <c:pt idx="47">
                  <c:v>11.558297413793102</c:v>
                </c:pt>
                <c:pt idx="48">
                  <c:v>12.015032327586207</c:v>
                </c:pt>
                <c:pt idx="49">
                  <c:v>12.16729525862069</c:v>
                </c:pt>
                <c:pt idx="50">
                  <c:v>12.325592672413794</c:v>
                </c:pt>
                <c:pt idx="51">
                  <c:v>12.745797413793102</c:v>
                </c:pt>
                <c:pt idx="52">
                  <c:v>12.800592672413794</c:v>
                </c:pt>
                <c:pt idx="53">
                  <c:v>13.07467672413793</c:v>
                </c:pt>
                <c:pt idx="54">
                  <c:v>13.482650862068967</c:v>
                </c:pt>
                <c:pt idx="55">
                  <c:v>13.586206896551724</c:v>
                </c:pt>
                <c:pt idx="56">
                  <c:v>13.598383620689656</c:v>
                </c:pt>
                <c:pt idx="57">
                  <c:v>14.140355603448276</c:v>
                </c:pt>
                <c:pt idx="58">
                  <c:v>14.274353448275864</c:v>
                </c:pt>
                <c:pt idx="59">
                  <c:v>14.408297413793102</c:v>
                </c:pt>
                <c:pt idx="60">
                  <c:v>14.487500000000001</c:v>
                </c:pt>
                <c:pt idx="61">
                  <c:v>15.078178879310347</c:v>
                </c:pt>
                <c:pt idx="62">
                  <c:v>14.907650862068966</c:v>
                </c:pt>
                <c:pt idx="63">
                  <c:v>15.254795258620691</c:v>
                </c:pt>
                <c:pt idx="64">
                  <c:v>15.449676724137932</c:v>
                </c:pt>
                <c:pt idx="65">
                  <c:v>15.541002155172414</c:v>
                </c:pt>
                <c:pt idx="66">
                  <c:v>15.656734913793104</c:v>
                </c:pt>
                <c:pt idx="67">
                  <c:v>15.949030172413792</c:v>
                </c:pt>
                <c:pt idx="68">
                  <c:v>16.180441810344828</c:v>
                </c:pt>
                <c:pt idx="69">
                  <c:v>16.527532327586208</c:v>
                </c:pt>
                <c:pt idx="70">
                  <c:v>16.716325431034484</c:v>
                </c:pt>
                <c:pt idx="71">
                  <c:v>16.978178879310345</c:v>
                </c:pt>
                <c:pt idx="72">
                  <c:v>17.258351293103448</c:v>
                </c:pt>
                <c:pt idx="73">
                  <c:v>17.617618534482759</c:v>
                </c:pt>
                <c:pt idx="74">
                  <c:v>17.922090517241379</c:v>
                </c:pt>
                <c:pt idx="75">
                  <c:v>17.940355603448275</c:v>
                </c:pt>
                <c:pt idx="76">
                  <c:v>18.518911637931037</c:v>
                </c:pt>
                <c:pt idx="77">
                  <c:v>18.738146551724139</c:v>
                </c:pt>
                <c:pt idx="78">
                  <c:v>19.21314655172414</c:v>
                </c:pt>
                <c:pt idx="79">
                  <c:v>19.420204741379312</c:v>
                </c:pt>
                <c:pt idx="80">
                  <c:v>19.645528017241379</c:v>
                </c:pt>
                <c:pt idx="81">
                  <c:v>19.968265086206898</c:v>
                </c:pt>
                <c:pt idx="82">
                  <c:v>20.083997844827589</c:v>
                </c:pt>
                <c:pt idx="83">
                  <c:v>20.619881465517242</c:v>
                </c:pt>
                <c:pt idx="84">
                  <c:v>20.705118534482757</c:v>
                </c:pt>
                <c:pt idx="85">
                  <c:v>20.784321120689658</c:v>
                </c:pt>
                <c:pt idx="86">
                  <c:v>21.137499999999999</c:v>
                </c:pt>
                <c:pt idx="87">
                  <c:v>21.405441810344829</c:v>
                </c:pt>
                <c:pt idx="88">
                  <c:v>21.722144396551727</c:v>
                </c:pt>
                <c:pt idx="89">
                  <c:v>21.807381465517242</c:v>
                </c:pt>
                <c:pt idx="90">
                  <c:v>22.124030172413796</c:v>
                </c:pt>
                <c:pt idx="91">
                  <c:v>22.318911637931038</c:v>
                </c:pt>
                <c:pt idx="92">
                  <c:v>22.428556034482757</c:v>
                </c:pt>
                <c:pt idx="93">
                  <c:v>22.927909482758622</c:v>
                </c:pt>
                <c:pt idx="94">
                  <c:v>23.098437499999999</c:v>
                </c:pt>
                <c:pt idx="95">
                  <c:v>23.250646551724138</c:v>
                </c:pt>
                <c:pt idx="96">
                  <c:v>23.60387931034483</c:v>
                </c:pt>
                <c:pt idx="97">
                  <c:v>23.871821120689653</c:v>
                </c:pt>
                <c:pt idx="98">
                  <c:v>23.914439655172416</c:v>
                </c:pt>
                <c:pt idx="99">
                  <c:v>24.334644396551727</c:v>
                </c:pt>
                <c:pt idx="100">
                  <c:v>24.486853448275863</c:v>
                </c:pt>
                <c:pt idx="101">
                  <c:v>24.888793103448275</c:v>
                </c:pt>
                <c:pt idx="102">
                  <c:v>25.095851293103451</c:v>
                </c:pt>
                <c:pt idx="103">
                  <c:v>25.132381465517241</c:v>
                </c:pt>
                <c:pt idx="104">
                  <c:v>25.4551724137931</c:v>
                </c:pt>
                <c:pt idx="105">
                  <c:v>25.753556034482756</c:v>
                </c:pt>
                <c:pt idx="106">
                  <c:v>25.930172413793105</c:v>
                </c:pt>
                <c:pt idx="107">
                  <c:v>26.076293103448279</c:v>
                </c:pt>
                <c:pt idx="108">
                  <c:v>26.374730603448274</c:v>
                </c:pt>
                <c:pt idx="109">
                  <c:v>26.593911637931036</c:v>
                </c:pt>
                <c:pt idx="110">
                  <c:v>26.916702586206895</c:v>
                </c:pt>
                <c:pt idx="111">
                  <c:v>27.117672413793105</c:v>
                </c:pt>
                <c:pt idx="112">
                  <c:v>27.519558189655175</c:v>
                </c:pt>
                <c:pt idx="113">
                  <c:v>27.799730603448278</c:v>
                </c:pt>
                <c:pt idx="114">
                  <c:v>27.970204741379312</c:v>
                </c:pt>
                <c:pt idx="115">
                  <c:v>28.23211206896552</c:v>
                </c:pt>
                <c:pt idx="116">
                  <c:v>28.37823275862069</c:v>
                </c:pt>
                <c:pt idx="117">
                  <c:v>28.682704741379311</c:v>
                </c:pt>
                <c:pt idx="118">
                  <c:v>28.859321120689657</c:v>
                </c:pt>
                <c:pt idx="119">
                  <c:v>29.2734375</c:v>
                </c:pt>
                <c:pt idx="120">
                  <c:v>29.517025862068966</c:v>
                </c:pt>
                <c:pt idx="121">
                  <c:v>29.900700431034483</c:v>
                </c:pt>
                <c:pt idx="122">
                  <c:v>30.004202586206898</c:v>
                </c:pt>
                <c:pt idx="123">
                  <c:v>30.284321120689658</c:v>
                </c:pt>
                <c:pt idx="124">
                  <c:v>30.594935344827586</c:v>
                </c:pt>
                <c:pt idx="125">
                  <c:v>30.838523706896552</c:v>
                </c:pt>
                <c:pt idx="126">
                  <c:v>31.076023706896553</c:v>
                </c:pt>
                <c:pt idx="127">
                  <c:v>31.350053879310344</c:v>
                </c:pt>
                <c:pt idx="128">
                  <c:v>31.453556034482759</c:v>
                </c:pt>
                <c:pt idx="129">
                  <c:v>31.709321120689655</c:v>
                </c:pt>
                <c:pt idx="130">
                  <c:v>31.977316810344828</c:v>
                </c:pt>
                <c:pt idx="131">
                  <c:v>32.287877155172417</c:v>
                </c:pt>
                <c:pt idx="132">
                  <c:v>32.543642241379317</c:v>
                </c:pt>
                <c:pt idx="133">
                  <c:v>32.982112068965513</c:v>
                </c:pt>
                <c:pt idx="134">
                  <c:v>33.067349137931039</c:v>
                </c:pt>
                <c:pt idx="135">
                  <c:v>33.170905172413796</c:v>
                </c:pt>
                <c:pt idx="136">
                  <c:v>33.505818965517243</c:v>
                </c:pt>
                <c:pt idx="137">
                  <c:v>33.651993534482763</c:v>
                </c:pt>
                <c:pt idx="138">
                  <c:v>34.041702586206902</c:v>
                </c:pt>
                <c:pt idx="139">
                  <c:v>34.224407327586206</c:v>
                </c:pt>
                <c:pt idx="140">
                  <c:v>34.230495689655172</c:v>
                </c:pt>
                <c:pt idx="141">
                  <c:v>34.668965517241382</c:v>
                </c:pt>
                <c:pt idx="142">
                  <c:v>35.003933189655172</c:v>
                </c:pt>
                <c:pt idx="143">
                  <c:v>35.22316810344828</c:v>
                </c:pt>
                <c:pt idx="144">
                  <c:v>35.819935344827591</c:v>
                </c:pt>
                <c:pt idx="145">
                  <c:v>35.905172413793103</c:v>
                </c:pt>
                <c:pt idx="146">
                  <c:v>36.288846982758621</c:v>
                </c:pt>
                <c:pt idx="147">
                  <c:v>36.556788793103451</c:v>
                </c:pt>
                <c:pt idx="148">
                  <c:v>36.575053879310346</c:v>
                </c:pt>
                <c:pt idx="149">
                  <c:v>36.769935344827587</c:v>
                </c:pt>
                <c:pt idx="150">
                  <c:v>37.421551724137927</c:v>
                </c:pt>
                <c:pt idx="151">
                  <c:v>37.866109913793103</c:v>
                </c:pt>
                <c:pt idx="152">
                  <c:v>38.006196120689658</c:v>
                </c:pt>
                <c:pt idx="153">
                  <c:v>38.37155172413793</c:v>
                </c:pt>
                <c:pt idx="154">
                  <c:v>38.359375</c:v>
                </c:pt>
                <c:pt idx="155">
                  <c:v>38.925700431034485</c:v>
                </c:pt>
                <c:pt idx="156">
                  <c:v>38.937931034482759</c:v>
                </c:pt>
                <c:pt idx="157">
                  <c:v>39.41293103448276</c:v>
                </c:pt>
                <c:pt idx="158">
                  <c:v>39.601670258620686</c:v>
                </c:pt>
                <c:pt idx="159">
                  <c:v>39.778286637931039</c:v>
                </c:pt>
                <c:pt idx="160">
                  <c:v>40.314170258620692</c:v>
                </c:pt>
                <c:pt idx="161">
                  <c:v>40.697844827586209</c:v>
                </c:pt>
                <c:pt idx="162">
                  <c:v>40.716109913793105</c:v>
                </c:pt>
                <c:pt idx="163">
                  <c:v>41.111961206896552</c:v>
                </c:pt>
                <c:pt idx="164">
                  <c:v>41.166756465517246</c:v>
                </c:pt>
                <c:pt idx="165">
                  <c:v>41.672198275862065</c:v>
                </c:pt>
                <c:pt idx="166">
                  <c:v>41.751400862068969</c:v>
                </c:pt>
                <c:pt idx="167">
                  <c:v>41.93405172413793</c:v>
                </c:pt>
                <c:pt idx="168">
                  <c:v>42.03151939655173</c:v>
                </c:pt>
                <c:pt idx="169">
                  <c:v>42.208135775862068</c:v>
                </c:pt>
                <c:pt idx="170">
                  <c:v>42.165463362068969</c:v>
                </c:pt>
                <c:pt idx="171">
                  <c:v>42.549137931034487</c:v>
                </c:pt>
                <c:pt idx="172">
                  <c:v>43.042403017241384</c:v>
                </c:pt>
                <c:pt idx="173">
                  <c:v>43.249461206896555</c:v>
                </c:pt>
                <c:pt idx="174">
                  <c:v>43.419989224137929</c:v>
                </c:pt>
                <c:pt idx="175">
                  <c:v>43.803609913793103</c:v>
                </c:pt>
                <c:pt idx="176">
                  <c:v>44.150754310344823</c:v>
                </c:pt>
                <c:pt idx="177">
                  <c:v>44.181196120689663</c:v>
                </c:pt>
                <c:pt idx="178">
                  <c:v>44.41869612068966</c:v>
                </c:pt>
                <c:pt idx="179">
                  <c:v>44.503933189655179</c:v>
                </c:pt>
                <c:pt idx="180">
                  <c:v>44.978987068965523</c:v>
                </c:pt>
                <c:pt idx="181">
                  <c:v>45.088577586206902</c:v>
                </c:pt>
                <c:pt idx="182">
                  <c:v>45.405226293103446</c:v>
                </c:pt>
                <c:pt idx="183">
                  <c:v>45.715840517241382</c:v>
                </c:pt>
                <c:pt idx="184">
                  <c:v>45.886314655172413</c:v>
                </c:pt>
                <c:pt idx="185">
                  <c:v>45.959428879310344</c:v>
                </c:pt>
                <c:pt idx="186">
                  <c:v>46.379633620689653</c:v>
                </c:pt>
                <c:pt idx="187">
                  <c:v>46.550107758620697</c:v>
                </c:pt>
                <c:pt idx="188">
                  <c:v>47.019019396551727</c:v>
                </c:pt>
                <c:pt idx="189">
                  <c:v>46.976400862068964</c:v>
                </c:pt>
                <c:pt idx="190">
                  <c:v>47.396605603448272</c:v>
                </c:pt>
                <c:pt idx="191">
                  <c:v>47.71325431034483</c:v>
                </c:pt>
                <c:pt idx="192">
                  <c:v>47.889870689655176</c:v>
                </c:pt>
                <c:pt idx="193">
                  <c:v>47.83507543103449</c:v>
                </c:pt>
                <c:pt idx="194">
                  <c:v>48.267456896551728</c:v>
                </c:pt>
                <c:pt idx="195">
                  <c:v>48.565840517241377</c:v>
                </c:pt>
                <c:pt idx="196">
                  <c:v>48.772898706896555</c:v>
                </c:pt>
                <c:pt idx="197">
                  <c:v>48.961691810344831</c:v>
                </c:pt>
                <c:pt idx="198">
                  <c:v>49.095635775862071</c:v>
                </c:pt>
                <c:pt idx="199">
                  <c:v>49.442780172413791</c:v>
                </c:pt>
                <c:pt idx="200">
                  <c:v>49.534105603448282</c:v>
                </c:pt>
                <c:pt idx="201">
                  <c:v>49.765517241379307</c:v>
                </c:pt>
                <c:pt idx="202">
                  <c:v>50.23442887931035</c:v>
                </c:pt>
                <c:pt idx="203">
                  <c:v>50.368426724137926</c:v>
                </c:pt>
                <c:pt idx="204">
                  <c:v>50.630280172413791</c:v>
                </c:pt>
                <c:pt idx="205">
                  <c:v>50.758135775862065</c:v>
                </c:pt>
                <c:pt idx="206">
                  <c:v>51.196605603448276</c:v>
                </c:pt>
                <c:pt idx="207">
                  <c:v>51.470689655172407</c:v>
                </c:pt>
                <c:pt idx="208">
                  <c:v>51.714278017241384</c:v>
                </c:pt>
                <c:pt idx="209">
                  <c:v>51.775161637931035</c:v>
                </c:pt>
                <c:pt idx="210">
                  <c:v>52.17101293103449</c:v>
                </c:pt>
                <c:pt idx="211">
                  <c:v>52.512015086206894</c:v>
                </c:pt>
                <c:pt idx="212">
                  <c:v>52.719073275862073</c:v>
                </c:pt>
                <c:pt idx="213">
                  <c:v>52.84698275862069</c:v>
                </c:pt>
                <c:pt idx="214">
                  <c:v>53.163631465517241</c:v>
                </c:pt>
                <c:pt idx="215">
                  <c:v>53.443750000000001</c:v>
                </c:pt>
                <c:pt idx="216">
                  <c:v>53.553394396551724</c:v>
                </c:pt>
                <c:pt idx="217">
                  <c:v>53.845689655172414</c:v>
                </c:pt>
                <c:pt idx="218">
                  <c:v>54.052801724137936</c:v>
                </c:pt>
                <c:pt idx="219">
                  <c:v>54.473060344827594</c:v>
                </c:pt>
                <c:pt idx="220">
                  <c:v>54.722521551724142</c:v>
                </c:pt>
                <c:pt idx="221">
                  <c:v>54.850754310344826</c:v>
                </c:pt>
                <c:pt idx="222">
                  <c:v>55.045258620689658</c:v>
                </c:pt>
                <c:pt idx="223">
                  <c:v>55.422952586206897</c:v>
                </c:pt>
                <c:pt idx="224">
                  <c:v>55.325431034482762</c:v>
                </c:pt>
                <c:pt idx="225">
                  <c:v>55.830818965517246</c:v>
                </c:pt>
                <c:pt idx="226">
                  <c:v>56.092672413793103</c:v>
                </c:pt>
                <c:pt idx="227">
                  <c:v>56.40948275862069</c:v>
                </c:pt>
                <c:pt idx="228">
                  <c:v>56.57381465517242</c:v>
                </c:pt>
                <c:pt idx="229">
                  <c:v>56.76885775862069</c:v>
                </c:pt>
                <c:pt idx="230">
                  <c:v>57.109913793103452</c:v>
                </c:pt>
                <c:pt idx="231">
                  <c:v>57.036637931034484</c:v>
                </c:pt>
                <c:pt idx="232">
                  <c:v>57.487607758620697</c:v>
                </c:pt>
                <c:pt idx="233">
                  <c:v>57.797952586206897</c:v>
                </c:pt>
                <c:pt idx="234">
                  <c:v>57.99892241379311</c:v>
                </c:pt>
                <c:pt idx="235">
                  <c:v>58.218211206896548</c:v>
                </c:pt>
                <c:pt idx="236">
                  <c:v>58.461745689655174</c:v>
                </c:pt>
                <c:pt idx="237">
                  <c:v>58.91864224137931</c:v>
                </c:pt>
                <c:pt idx="238">
                  <c:v>58.796875000000007</c:v>
                </c:pt>
                <c:pt idx="239">
                  <c:v>59.162176724137936</c:v>
                </c:pt>
                <c:pt idx="240">
                  <c:v>59.381465517241388</c:v>
                </c:pt>
                <c:pt idx="241">
                  <c:v>59.74676724137931</c:v>
                </c:pt>
                <c:pt idx="242">
                  <c:v>59.874461206896555</c:v>
                </c:pt>
                <c:pt idx="243">
                  <c:v>60.258081896551722</c:v>
                </c:pt>
                <c:pt idx="244">
                  <c:v>60.428879310344833</c:v>
                </c:pt>
                <c:pt idx="245">
                  <c:v>60.68426724137931</c:v>
                </c:pt>
                <c:pt idx="246">
                  <c:v>60.860991379310342</c:v>
                </c:pt>
                <c:pt idx="247">
                  <c:v>61.08620689655173</c:v>
                </c:pt>
                <c:pt idx="248">
                  <c:v>61.427262931034484</c:v>
                </c:pt>
                <c:pt idx="249">
                  <c:v>61.445581896551722</c:v>
                </c:pt>
                <c:pt idx="250">
                  <c:v>61.841594827586206</c:v>
                </c:pt>
                <c:pt idx="251">
                  <c:v>61.969288793103452</c:v>
                </c:pt>
                <c:pt idx="252">
                  <c:v>62.261853448275858</c:v>
                </c:pt>
                <c:pt idx="253">
                  <c:v>62.304418103448285</c:v>
                </c:pt>
                <c:pt idx="254">
                  <c:v>62.663793103448278</c:v>
                </c:pt>
                <c:pt idx="255">
                  <c:v>62.693965517241381</c:v>
                </c:pt>
                <c:pt idx="256">
                  <c:v>63.199353448275858</c:v>
                </c:pt>
                <c:pt idx="257">
                  <c:v>63.187500000000007</c:v>
                </c:pt>
                <c:pt idx="258">
                  <c:v>63.370150862068968</c:v>
                </c:pt>
                <c:pt idx="259">
                  <c:v>63.485991379310349</c:v>
                </c:pt>
                <c:pt idx="260">
                  <c:v>63.436961206896555</c:v>
                </c:pt>
                <c:pt idx="261">
                  <c:v>63.644396551724135</c:v>
                </c:pt>
                <c:pt idx="262">
                  <c:v>64.028017241379317</c:v>
                </c:pt>
                <c:pt idx="263">
                  <c:v>64.094827586206904</c:v>
                </c:pt>
                <c:pt idx="264">
                  <c:v>64.423491379310349</c:v>
                </c:pt>
                <c:pt idx="265">
                  <c:v>64.721982758620683</c:v>
                </c:pt>
                <c:pt idx="266">
                  <c:v>65.050646551724142</c:v>
                </c:pt>
                <c:pt idx="267">
                  <c:v>65.215517241379317</c:v>
                </c:pt>
                <c:pt idx="268">
                  <c:v>65.525862068965523</c:v>
                </c:pt>
                <c:pt idx="269">
                  <c:v>65.580818965517238</c:v>
                </c:pt>
                <c:pt idx="270">
                  <c:v>65.964439655172413</c:v>
                </c:pt>
                <c:pt idx="271">
                  <c:v>66.250538793103459</c:v>
                </c:pt>
                <c:pt idx="272">
                  <c:v>66.342133620689665</c:v>
                </c:pt>
                <c:pt idx="273">
                  <c:v>66.628232758620697</c:v>
                </c:pt>
                <c:pt idx="274">
                  <c:v>66.962823275862064</c:v>
                </c:pt>
                <c:pt idx="275">
                  <c:v>67.474676724137936</c:v>
                </c:pt>
                <c:pt idx="276">
                  <c:v>67.541487068965523</c:v>
                </c:pt>
                <c:pt idx="277">
                  <c:v>67.559806034482762</c:v>
                </c:pt>
                <c:pt idx="278">
                  <c:v>67.864224137931032</c:v>
                </c:pt>
                <c:pt idx="279">
                  <c:v>68.168642241379317</c:v>
                </c:pt>
                <c:pt idx="280">
                  <c:v>68.400323275862078</c:v>
                </c:pt>
                <c:pt idx="281">
                  <c:v>68.467133620689651</c:v>
                </c:pt>
                <c:pt idx="282">
                  <c:v>68.997306034482762</c:v>
                </c:pt>
                <c:pt idx="283">
                  <c:v>69.167564655172413</c:v>
                </c:pt>
                <c:pt idx="284">
                  <c:v>69.338362068965523</c:v>
                </c:pt>
                <c:pt idx="285">
                  <c:v>69.569504310344826</c:v>
                </c:pt>
                <c:pt idx="286">
                  <c:v>69.904633620689651</c:v>
                </c:pt>
                <c:pt idx="287">
                  <c:v>69.947198275862078</c:v>
                </c:pt>
                <c:pt idx="288">
                  <c:v>70.391702586206904</c:v>
                </c:pt>
                <c:pt idx="289">
                  <c:v>70.470905172413794</c:v>
                </c:pt>
                <c:pt idx="290">
                  <c:v>70.957974137931032</c:v>
                </c:pt>
                <c:pt idx="291">
                  <c:v>71.103987068965523</c:v>
                </c:pt>
                <c:pt idx="292">
                  <c:v>71.341594827586206</c:v>
                </c:pt>
                <c:pt idx="293">
                  <c:v>71.615840517241381</c:v>
                </c:pt>
                <c:pt idx="294">
                  <c:v>71.706896551724142</c:v>
                </c:pt>
                <c:pt idx="295">
                  <c:v>72.102909482758619</c:v>
                </c:pt>
                <c:pt idx="296">
                  <c:v>72.291487068965509</c:v>
                </c:pt>
                <c:pt idx="297">
                  <c:v>72.510775862068968</c:v>
                </c:pt>
                <c:pt idx="298">
                  <c:v>72.754310344827587</c:v>
                </c:pt>
                <c:pt idx="299">
                  <c:v>73.052801724137936</c:v>
                </c:pt>
                <c:pt idx="300">
                  <c:v>73.180495689655174</c:v>
                </c:pt>
                <c:pt idx="301">
                  <c:v>73.436422413793096</c:v>
                </c:pt>
                <c:pt idx="302">
                  <c:v>73.722521551724142</c:v>
                </c:pt>
                <c:pt idx="303">
                  <c:v>73.941810344827587</c:v>
                </c:pt>
                <c:pt idx="304">
                  <c:v>74.276939655172413</c:v>
                </c:pt>
                <c:pt idx="305">
                  <c:v>74.386314655172413</c:v>
                </c:pt>
                <c:pt idx="306">
                  <c:v>74.776400862068968</c:v>
                </c:pt>
                <c:pt idx="307">
                  <c:v>74.843211206896555</c:v>
                </c:pt>
                <c:pt idx="308">
                  <c:v>75.11745689655173</c:v>
                </c:pt>
                <c:pt idx="309">
                  <c:v>75.446120689655174</c:v>
                </c:pt>
                <c:pt idx="310">
                  <c:v>75.744612068965523</c:v>
                </c:pt>
                <c:pt idx="311">
                  <c:v>75.81142241379311</c:v>
                </c:pt>
                <c:pt idx="312">
                  <c:v>76.134159482758619</c:v>
                </c:pt>
                <c:pt idx="313">
                  <c:v>76.384159482758619</c:v>
                </c:pt>
                <c:pt idx="314">
                  <c:v>76.755387931034477</c:v>
                </c:pt>
                <c:pt idx="315">
                  <c:v>76.944504310344826</c:v>
                </c:pt>
                <c:pt idx="316">
                  <c:v>77.017241379310349</c:v>
                </c:pt>
                <c:pt idx="317">
                  <c:v>77.066271551724142</c:v>
                </c:pt>
                <c:pt idx="318">
                  <c:v>77.339978448275858</c:v>
                </c:pt>
                <c:pt idx="319">
                  <c:v>77.614224137931046</c:v>
                </c:pt>
                <c:pt idx="320">
                  <c:v>77.96120689655173</c:v>
                </c:pt>
                <c:pt idx="321">
                  <c:v>78.003771551724142</c:v>
                </c:pt>
                <c:pt idx="322">
                  <c:v>78.424030172413794</c:v>
                </c:pt>
                <c:pt idx="323">
                  <c:v>78.564116379310349</c:v>
                </c:pt>
                <c:pt idx="324">
                  <c:v>78.539870689655174</c:v>
                </c:pt>
                <c:pt idx="325">
                  <c:v>78.92941810344827</c:v>
                </c:pt>
                <c:pt idx="326">
                  <c:v>79.069504310344826</c:v>
                </c:pt>
                <c:pt idx="327">
                  <c:v>78.996767241379303</c:v>
                </c:pt>
                <c:pt idx="328">
                  <c:v>79.410560344827587</c:v>
                </c:pt>
                <c:pt idx="329">
                  <c:v>79.843211206896555</c:v>
                </c:pt>
                <c:pt idx="330">
                  <c:v>80.116918103448285</c:v>
                </c:pt>
                <c:pt idx="331">
                  <c:v>80.28125</c:v>
                </c:pt>
                <c:pt idx="332">
                  <c:v>80.439655172413794</c:v>
                </c:pt>
                <c:pt idx="333">
                  <c:v>80.713900862068968</c:v>
                </c:pt>
                <c:pt idx="334">
                  <c:v>80.926724137931032</c:v>
                </c:pt>
                <c:pt idx="335">
                  <c:v>81.170797413793096</c:v>
                </c:pt>
                <c:pt idx="336">
                  <c:v>81.554418103448285</c:v>
                </c:pt>
                <c:pt idx="337">
                  <c:v>81.700431034482762</c:v>
                </c:pt>
                <c:pt idx="338">
                  <c:v>82.023168103448285</c:v>
                </c:pt>
                <c:pt idx="339">
                  <c:v>82.126616379310349</c:v>
                </c:pt>
                <c:pt idx="340">
                  <c:v>82.425107758620697</c:v>
                </c:pt>
                <c:pt idx="341">
                  <c:v>82.772090517241381</c:v>
                </c:pt>
                <c:pt idx="342">
                  <c:v>83.216594827586206</c:v>
                </c:pt>
                <c:pt idx="343">
                  <c:v>83.216594827586206</c:v>
                </c:pt>
                <c:pt idx="344">
                  <c:v>83.612607758620697</c:v>
                </c:pt>
                <c:pt idx="345">
                  <c:v>83.53933189655173</c:v>
                </c:pt>
                <c:pt idx="346">
                  <c:v>83.850215517241381</c:v>
                </c:pt>
                <c:pt idx="347">
                  <c:v>84.361530172413794</c:v>
                </c:pt>
                <c:pt idx="348">
                  <c:v>84.501616379310349</c:v>
                </c:pt>
                <c:pt idx="349">
                  <c:v>84.544181034482762</c:v>
                </c:pt>
                <c:pt idx="350">
                  <c:v>84.909482758620697</c:v>
                </c:pt>
                <c:pt idx="351">
                  <c:v>84.988685344827587</c:v>
                </c:pt>
                <c:pt idx="352">
                  <c:v>85.415409482758619</c:v>
                </c:pt>
                <c:pt idx="353">
                  <c:v>85.603987068965523</c:v>
                </c:pt>
                <c:pt idx="354">
                  <c:v>85.768318965517253</c:v>
                </c:pt>
                <c:pt idx="355">
                  <c:v>86.048491379310349</c:v>
                </c:pt>
                <c:pt idx="356">
                  <c:v>86.28017241379311</c:v>
                </c:pt>
                <c:pt idx="357">
                  <c:v>86.505387931034477</c:v>
                </c:pt>
                <c:pt idx="358">
                  <c:v>86.913254310344826</c:v>
                </c:pt>
                <c:pt idx="359">
                  <c:v>87.150862068965523</c:v>
                </c:pt>
                <c:pt idx="360">
                  <c:v>87.084051724137936</c:v>
                </c:pt>
                <c:pt idx="361">
                  <c:v>87.363685344827587</c:v>
                </c:pt>
                <c:pt idx="362">
                  <c:v>87.522090517241381</c:v>
                </c:pt>
                <c:pt idx="363">
                  <c:v>87.772090517241381</c:v>
                </c:pt>
                <c:pt idx="364">
                  <c:v>88.113146551724142</c:v>
                </c:pt>
                <c:pt idx="365">
                  <c:v>88.240840517241381</c:v>
                </c:pt>
                <c:pt idx="366">
                  <c:v>88.837823275862064</c:v>
                </c:pt>
                <c:pt idx="367">
                  <c:v>88.788793103448285</c:v>
                </c:pt>
                <c:pt idx="368">
                  <c:v>88.892241379310349</c:v>
                </c:pt>
                <c:pt idx="369">
                  <c:v>89.154094827586206</c:v>
                </c:pt>
                <c:pt idx="370">
                  <c:v>89.214978448275858</c:v>
                </c:pt>
                <c:pt idx="371">
                  <c:v>89.367456896551715</c:v>
                </c:pt>
                <c:pt idx="372">
                  <c:v>89.5625</c:v>
                </c:pt>
                <c:pt idx="373">
                  <c:v>89.660021551724142</c:v>
                </c:pt>
                <c:pt idx="374">
                  <c:v>89.957974137931046</c:v>
                </c:pt>
                <c:pt idx="375">
                  <c:v>89.957974137931046</c:v>
                </c:pt>
                <c:pt idx="376">
                  <c:v>90.293103448275872</c:v>
                </c:pt>
                <c:pt idx="377">
                  <c:v>90.597521551724142</c:v>
                </c:pt>
                <c:pt idx="378">
                  <c:v>90.774245689655174</c:v>
                </c:pt>
                <c:pt idx="379">
                  <c:v>90.908405172413794</c:v>
                </c:pt>
                <c:pt idx="380">
                  <c:v>91.267241379310349</c:v>
                </c:pt>
                <c:pt idx="381">
                  <c:v>91.596443965517238</c:v>
                </c:pt>
                <c:pt idx="382">
                  <c:v>91.66325431034484</c:v>
                </c:pt>
                <c:pt idx="383">
                  <c:v>91.998383620689665</c:v>
                </c:pt>
                <c:pt idx="384">
                  <c:v>92.114224137931046</c:v>
                </c:pt>
                <c:pt idx="385">
                  <c:v>92.351293103448285</c:v>
                </c:pt>
                <c:pt idx="386">
                  <c:v>92.680495689655174</c:v>
                </c:pt>
                <c:pt idx="387">
                  <c:v>92.911637931034491</c:v>
                </c:pt>
                <c:pt idx="388">
                  <c:v>93.191810344827601</c:v>
                </c:pt>
                <c:pt idx="389">
                  <c:v>93.471982758620697</c:v>
                </c:pt>
                <c:pt idx="390">
                  <c:v>93.599676724137922</c:v>
                </c:pt>
                <c:pt idx="391">
                  <c:v>93.837284482758633</c:v>
                </c:pt>
                <c:pt idx="392">
                  <c:v>93.989762931034491</c:v>
                </c:pt>
                <c:pt idx="393">
                  <c:v>94.251616379310335</c:v>
                </c:pt>
                <c:pt idx="394">
                  <c:v>94.568426724137936</c:v>
                </c:pt>
                <c:pt idx="395">
                  <c:v>94.823814655172413</c:v>
                </c:pt>
                <c:pt idx="396">
                  <c:v>95.037176724137936</c:v>
                </c:pt>
                <c:pt idx="397">
                  <c:v>95.433189655172427</c:v>
                </c:pt>
                <c:pt idx="398">
                  <c:v>95.5</c:v>
                </c:pt>
                <c:pt idx="399">
                  <c:v>95.846982758620697</c:v>
                </c:pt>
                <c:pt idx="400">
                  <c:v>96.13308189655173</c:v>
                </c:pt>
                <c:pt idx="401">
                  <c:v>96.394935344827601</c:v>
                </c:pt>
                <c:pt idx="402">
                  <c:v>96.413254310344826</c:v>
                </c:pt>
                <c:pt idx="403">
                  <c:v>96.681573275862064</c:v>
                </c:pt>
                <c:pt idx="404">
                  <c:v>96.991918103448285</c:v>
                </c:pt>
                <c:pt idx="405">
                  <c:v>97.065193965517238</c:v>
                </c:pt>
                <c:pt idx="406">
                  <c:v>97.515625000000014</c:v>
                </c:pt>
                <c:pt idx="407">
                  <c:v>97.716594827586221</c:v>
                </c:pt>
                <c:pt idx="408">
                  <c:v>98.088362068965523</c:v>
                </c:pt>
                <c:pt idx="409">
                  <c:v>98.197737068965523</c:v>
                </c:pt>
                <c:pt idx="410">
                  <c:v>98.42887931034484</c:v>
                </c:pt>
                <c:pt idx="411">
                  <c:v>98.672952586206904</c:v>
                </c:pt>
                <c:pt idx="412">
                  <c:v>98.885775862068968</c:v>
                </c:pt>
                <c:pt idx="413">
                  <c:v>99.184267241379303</c:v>
                </c:pt>
                <c:pt idx="414">
                  <c:v>99.512931034482747</c:v>
                </c:pt>
                <c:pt idx="415">
                  <c:v>99.939655172413794</c:v>
                </c:pt>
                <c:pt idx="416">
                  <c:v>100.21336206896551</c:v>
                </c:pt>
                <c:pt idx="417">
                  <c:v>100.42025862068965</c:v>
                </c:pt>
                <c:pt idx="418">
                  <c:v>100.70689655172414</c:v>
                </c:pt>
                <c:pt idx="419">
                  <c:v>100.69450431034484</c:v>
                </c:pt>
                <c:pt idx="420">
                  <c:v>100.88308189655173</c:v>
                </c:pt>
                <c:pt idx="421">
                  <c:v>101.4375</c:v>
                </c:pt>
                <c:pt idx="422">
                  <c:v>101.60775862068967</c:v>
                </c:pt>
                <c:pt idx="423">
                  <c:v>102.02209051724138</c:v>
                </c:pt>
                <c:pt idx="424">
                  <c:v>102.05872844827586</c:v>
                </c:pt>
                <c:pt idx="425">
                  <c:v>102.30818965517243</c:v>
                </c:pt>
                <c:pt idx="426">
                  <c:v>102.49084051724138</c:v>
                </c:pt>
                <c:pt idx="427">
                  <c:v>102.18049568965517</c:v>
                </c:pt>
                <c:pt idx="428">
                  <c:v>102.67349137931035</c:v>
                </c:pt>
                <c:pt idx="429">
                  <c:v>102.95366379310346</c:v>
                </c:pt>
                <c:pt idx="430">
                  <c:v>103.04525862068967</c:v>
                </c:pt>
                <c:pt idx="431">
                  <c:v>103.48383620689654</c:v>
                </c:pt>
                <c:pt idx="432">
                  <c:v>103.74568965517243</c:v>
                </c:pt>
                <c:pt idx="433">
                  <c:v>103.83674568965517</c:v>
                </c:pt>
                <c:pt idx="434">
                  <c:v>103.91002155172414</c:v>
                </c:pt>
                <c:pt idx="435">
                  <c:v>104.27532327586208</c:v>
                </c:pt>
                <c:pt idx="436">
                  <c:v>104.68965517241381</c:v>
                </c:pt>
                <c:pt idx="437">
                  <c:v>104.7198275862069</c:v>
                </c:pt>
                <c:pt idx="438">
                  <c:v>105.06088362068965</c:v>
                </c:pt>
                <c:pt idx="439">
                  <c:v>105.24353448275863</c:v>
                </c:pt>
                <c:pt idx="440">
                  <c:v>105.31681034482759</c:v>
                </c:pt>
                <c:pt idx="441">
                  <c:v>105.63362068965517</c:v>
                </c:pt>
                <c:pt idx="442">
                  <c:v>106.05334051724138</c:v>
                </c:pt>
                <c:pt idx="443">
                  <c:v>106.17564655172414</c:v>
                </c:pt>
                <c:pt idx="444">
                  <c:v>106.69935344827587</c:v>
                </c:pt>
                <c:pt idx="445">
                  <c:v>107.22898706896552</c:v>
                </c:pt>
                <c:pt idx="446">
                  <c:v>107.19234913793105</c:v>
                </c:pt>
                <c:pt idx="447">
                  <c:v>107.30226293103448</c:v>
                </c:pt>
                <c:pt idx="448">
                  <c:v>107.95366379310346</c:v>
                </c:pt>
                <c:pt idx="449">
                  <c:v>107.81950431034483</c:v>
                </c:pt>
                <c:pt idx="450">
                  <c:v>107.86206896551725</c:v>
                </c:pt>
                <c:pt idx="451">
                  <c:v>108.22144396551725</c:v>
                </c:pt>
                <c:pt idx="452">
                  <c:v>108.41648706896551</c:v>
                </c:pt>
                <c:pt idx="453">
                  <c:v>108.83081896551724</c:v>
                </c:pt>
                <c:pt idx="454">
                  <c:v>55.727370689655174</c:v>
                </c:pt>
                <c:pt idx="455">
                  <c:v>25.120204741379315</c:v>
                </c:pt>
                <c:pt idx="456">
                  <c:v>11.661853448275863</c:v>
                </c:pt>
                <c:pt idx="457">
                  <c:v>5.3041109913793107</c:v>
                </c:pt>
                <c:pt idx="458">
                  <c:v>2.4601939655172416</c:v>
                </c:pt>
                <c:pt idx="459">
                  <c:v>1.1996120689655172</c:v>
                </c:pt>
                <c:pt idx="460">
                  <c:v>0.71242995689655175</c:v>
                </c:pt>
                <c:pt idx="461">
                  <c:v>-2.4431573275862071E-2</c:v>
                </c:pt>
                <c:pt idx="462">
                  <c:v>0.20697952586206897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3A2-40BF-951E-2E93AF8F45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70498992"/>
        <c:axId val="270499552"/>
      </c:scatterChart>
      <c:valAx>
        <c:axId val="2704989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70499552"/>
        <c:crosses val="autoZero"/>
        <c:crossBetween val="midCat"/>
      </c:valAx>
      <c:valAx>
        <c:axId val="270499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704989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poison</a:t>
            </a:r>
            <a:r>
              <a:rPr lang="en-US" baseline="0"/>
              <a:t> ratio 3</a:t>
            </a:r>
            <a:endParaRPr lang="en-US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1"/>
          <c:order val="0"/>
          <c:spPr>
            <a:ln>
              <a:noFill/>
            </a:ln>
          </c:spPr>
          <c:xVal>
            <c:numRef>
              <c:f>'L30CPTX-2'!$B$80:$B$400</c:f>
              <c:numCache>
                <c:formatCode>General</c:formatCode>
                <c:ptCount val="321"/>
                <c:pt idx="0">
                  <c:v>1.06869E-3</c:v>
                </c:pt>
                <c:pt idx="1">
                  <c:v>1.05872E-3</c:v>
                </c:pt>
                <c:pt idx="2">
                  <c:v>1.0695399999999999E-3</c:v>
                </c:pt>
                <c:pt idx="3">
                  <c:v>1.0937500000000001E-3</c:v>
                </c:pt>
                <c:pt idx="4">
                  <c:v>1.09815E-3</c:v>
                </c:pt>
                <c:pt idx="5">
                  <c:v>1.1367700000000001E-3</c:v>
                </c:pt>
                <c:pt idx="6">
                  <c:v>1.1829200000000001E-3</c:v>
                </c:pt>
                <c:pt idx="7">
                  <c:v>1.1151799999999999E-3</c:v>
                </c:pt>
                <c:pt idx="8">
                  <c:v>1.0974400000000001E-3</c:v>
                </c:pt>
                <c:pt idx="9">
                  <c:v>1.1653E-3</c:v>
                </c:pt>
                <c:pt idx="10">
                  <c:v>1.2129300000000001E-3</c:v>
                </c:pt>
                <c:pt idx="11">
                  <c:v>1.1256199999999999E-3</c:v>
                </c:pt>
                <c:pt idx="12">
                  <c:v>1.25595E-3</c:v>
                </c:pt>
                <c:pt idx="13">
                  <c:v>1.2611199999999999E-3</c:v>
                </c:pt>
                <c:pt idx="14">
                  <c:v>1.2479399999999999E-3</c:v>
                </c:pt>
                <c:pt idx="15">
                  <c:v>1.3054500000000001E-3</c:v>
                </c:pt>
                <c:pt idx="16">
                  <c:v>1.25624E-3</c:v>
                </c:pt>
                <c:pt idx="17">
                  <c:v>1.2589000000000001E-3</c:v>
                </c:pt>
                <c:pt idx="18">
                  <c:v>1.27717E-3</c:v>
                </c:pt>
                <c:pt idx="19">
                  <c:v>1.2873400000000001E-3</c:v>
                </c:pt>
                <c:pt idx="20">
                  <c:v>1.3513100000000001E-3</c:v>
                </c:pt>
                <c:pt idx="21">
                  <c:v>1.3460499999999999E-3</c:v>
                </c:pt>
                <c:pt idx="22">
                  <c:v>1.39989E-3</c:v>
                </c:pt>
                <c:pt idx="23">
                  <c:v>1.4116300000000001E-3</c:v>
                </c:pt>
                <c:pt idx="24">
                  <c:v>1.4011200000000001E-3</c:v>
                </c:pt>
                <c:pt idx="25">
                  <c:v>1.4138499999999999E-3</c:v>
                </c:pt>
                <c:pt idx="26">
                  <c:v>1.43417E-3</c:v>
                </c:pt>
                <c:pt idx="27">
                  <c:v>1.43812E-3</c:v>
                </c:pt>
                <c:pt idx="28">
                  <c:v>1.40372E-3</c:v>
                </c:pt>
                <c:pt idx="29">
                  <c:v>1.42311E-3</c:v>
                </c:pt>
                <c:pt idx="30">
                  <c:v>1.4739099999999999E-3</c:v>
                </c:pt>
                <c:pt idx="31">
                  <c:v>1.5771699999999999E-3</c:v>
                </c:pt>
                <c:pt idx="32">
                  <c:v>1.56499E-3</c:v>
                </c:pt>
                <c:pt idx="33">
                  <c:v>1.57679E-3</c:v>
                </c:pt>
                <c:pt idx="34">
                  <c:v>1.59796E-3</c:v>
                </c:pt>
                <c:pt idx="35">
                  <c:v>1.6037899999999999E-3</c:v>
                </c:pt>
                <c:pt idx="36">
                  <c:v>1.6043699999999999E-3</c:v>
                </c:pt>
                <c:pt idx="37">
                  <c:v>1.61228E-3</c:v>
                </c:pt>
                <c:pt idx="38">
                  <c:v>1.54412E-3</c:v>
                </c:pt>
                <c:pt idx="39">
                  <c:v>1.6245400000000001E-3</c:v>
                </c:pt>
                <c:pt idx="40">
                  <c:v>1.6185399999999999E-3</c:v>
                </c:pt>
                <c:pt idx="41">
                  <c:v>1.60425E-3</c:v>
                </c:pt>
                <c:pt idx="42">
                  <c:v>1.6759100000000001E-3</c:v>
                </c:pt>
                <c:pt idx="43">
                  <c:v>1.64474E-3</c:v>
                </c:pt>
                <c:pt idx="44">
                  <c:v>1.7068599999999999E-3</c:v>
                </c:pt>
                <c:pt idx="45">
                  <c:v>1.77546E-3</c:v>
                </c:pt>
                <c:pt idx="46">
                  <c:v>1.7290199999999999E-3</c:v>
                </c:pt>
                <c:pt idx="47">
                  <c:v>1.7814199999999999E-3</c:v>
                </c:pt>
                <c:pt idx="48">
                  <c:v>1.7831399999999999E-3</c:v>
                </c:pt>
                <c:pt idx="49">
                  <c:v>1.7905600000000001E-3</c:v>
                </c:pt>
                <c:pt idx="50">
                  <c:v>1.8386699999999999E-3</c:v>
                </c:pt>
                <c:pt idx="51">
                  <c:v>1.8566500000000001E-3</c:v>
                </c:pt>
                <c:pt idx="52">
                  <c:v>1.92223E-3</c:v>
                </c:pt>
                <c:pt idx="53">
                  <c:v>1.8800799999999999E-3</c:v>
                </c:pt>
                <c:pt idx="54">
                  <c:v>1.8723699999999999E-3</c:v>
                </c:pt>
                <c:pt idx="55">
                  <c:v>1.9016E-3</c:v>
                </c:pt>
                <c:pt idx="56">
                  <c:v>1.93089E-3</c:v>
                </c:pt>
                <c:pt idx="57">
                  <c:v>1.9503299999999999E-3</c:v>
                </c:pt>
                <c:pt idx="58">
                  <c:v>1.92165E-3</c:v>
                </c:pt>
                <c:pt idx="59">
                  <c:v>1.91617E-3</c:v>
                </c:pt>
                <c:pt idx="60">
                  <c:v>1.9302500000000001E-3</c:v>
                </c:pt>
                <c:pt idx="61">
                  <c:v>1.9737800000000001E-3</c:v>
                </c:pt>
                <c:pt idx="62">
                  <c:v>2.0573499999999999E-3</c:v>
                </c:pt>
                <c:pt idx="63">
                  <c:v>2.02111E-3</c:v>
                </c:pt>
                <c:pt idx="64">
                  <c:v>2.0503800000000001E-3</c:v>
                </c:pt>
                <c:pt idx="65">
                  <c:v>2.0201799999999999E-3</c:v>
                </c:pt>
                <c:pt idx="66">
                  <c:v>2.0484000000000001E-3</c:v>
                </c:pt>
                <c:pt idx="67">
                  <c:v>2.1005799999999999E-3</c:v>
                </c:pt>
                <c:pt idx="68">
                  <c:v>2.0953999999999999E-3</c:v>
                </c:pt>
                <c:pt idx="69">
                  <c:v>2.14795E-3</c:v>
                </c:pt>
                <c:pt idx="70">
                  <c:v>2.15059E-3</c:v>
                </c:pt>
                <c:pt idx="71">
                  <c:v>2.1333900000000002E-3</c:v>
                </c:pt>
                <c:pt idx="72">
                  <c:v>2.04843E-3</c:v>
                </c:pt>
                <c:pt idx="73">
                  <c:v>2.1901400000000001E-3</c:v>
                </c:pt>
                <c:pt idx="74">
                  <c:v>2.2635300000000001E-3</c:v>
                </c:pt>
                <c:pt idx="75">
                  <c:v>2.1970499999999999E-3</c:v>
                </c:pt>
                <c:pt idx="76">
                  <c:v>2.2323199999999999E-3</c:v>
                </c:pt>
                <c:pt idx="77">
                  <c:v>2.3059500000000002E-3</c:v>
                </c:pt>
                <c:pt idx="78">
                  <c:v>2.3064399999999999E-3</c:v>
                </c:pt>
                <c:pt idx="79">
                  <c:v>2.3828899999999999E-3</c:v>
                </c:pt>
                <c:pt idx="80">
                  <c:v>2.30752E-3</c:v>
                </c:pt>
                <c:pt idx="81">
                  <c:v>2.3875099999999998E-3</c:v>
                </c:pt>
                <c:pt idx="82">
                  <c:v>2.3591300000000001E-3</c:v>
                </c:pt>
                <c:pt idx="83">
                  <c:v>2.3410499999999999E-3</c:v>
                </c:pt>
                <c:pt idx="84">
                  <c:v>2.4137799999999999E-3</c:v>
                </c:pt>
                <c:pt idx="85">
                  <c:v>2.4557099999999998E-3</c:v>
                </c:pt>
                <c:pt idx="86">
                  <c:v>2.4034500000000001E-3</c:v>
                </c:pt>
                <c:pt idx="87">
                  <c:v>2.4446300000000002E-3</c:v>
                </c:pt>
                <c:pt idx="88">
                  <c:v>2.5485799999999999E-3</c:v>
                </c:pt>
                <c:pt idx="89">
                  <c:v>2.4968199999999999E-3</c:v>
                </c:pt>
                <c:pt idx="90">
                  <c:v>2.5000000000000001E-3</c:v>
                </c:pt>
                <c:pt idx="91">
                  <c:v>2.4727299999999998E-3</c:v>
                </c:pt>
                <c:pt idx="92">
                  <c:v>2.5008500000000002E-3</c:v>
                </c:pt>
                <c:pt idx="93">
                  <c:v>2.5371600000000001E-3</c:v>
                </c:pt>
                <c:pt idx="94">
                  <c:v>2.5719100000000002E-3</c:v>
                </c:pt>
                <c:pt idx="95">
                  <c:v>2.5528399999999998E-3</c:v>
                </c:pt>
                <c:pt idx="96">
                  <c:v>2.5554800000000002E-3</c:v>
                </c:pt>
                <c:pt idx="97">
                  <c:v>2.5657000000000002E-3</c:v>
                </c:pt>
                <c:pt idx="98">
                  <c:v>2.6302600000000001E-3</c:v>
                </c:pt>
                <c:pt idx="99">
                  <c:v>2.6326100000000001E-3</c:v>
                </c:pt>
                <c:pt idx="100">
                  <c:v>2.5926399999999998E-3</c:v>
                </c:pt>
                <c:pt idx="101">
                  <c:v>2.6420699999999998E-3</c:v>
                </c:pt>
                <c:pt idx="102">
                  <c:v>2.6118700000000001E-3</c:v>
                </c:pt>
                <c:pt idx="103">
                  <c:v>2.63379E-3</c:v>
                </c:pt>
                <c:pt idx="104">
                  <c:v>2.6832100000000001E-3</c:v>
                </c:pt>
                <c:pt idx="105">
                  <c:v>2.6761100000000002E-3</c:v>
                </c:pt>
                <c:pt idx="106">
                  <c:v>2.7103700000000001E-3</c:v>
                </c:pt>
                <c:pt idx="107">
                  <c:v>2.7199300000000002E-3</c:v>
                </c:pt>
                <c:pt idx="108">
                  <c:v>2.7651099999999999E-3</c:v>
                </c:pt>
                <c:pt idx="109">
                  <c:v>2.6997100000000001E-3</c:v>
                </c:pt>
                <c:pt idx="110">
                  <c:v>2.7939200000000001E-3</c:v>
                </c:pt>
                <c:pt idx="111">
                  <c:v>2.7375899999999998E-3</c:v>
                </c:pt>
                <c:pt idx="112">
                  <c:v>2.8333E-3</c:v>
                </c:pt>
                <c:pt idx="113">
                  <c:v>2.7683199999999999E-3</c:v>
                </c:pt>
                <c:pt idx="114">
                  <c:v>2.8541299999999999E-3</c:v>
                </c:pt>
                <c:pt idx="115">
                  <c:v>2.8375700000000002E-3</c:v>
                </c:pt>
                <c:pt idx="116">
                  <c:v>2.7416699999999999E-3</c:v>
                </c:pt>
                <c:pt idx="117">
                  <c:v>2.8558899999999998E-3</c:v>
                </c:pt>
                <c:pt idx="118">
                  <c:v>2.8313399999999999E-3</c:v>
                </c:pt>
                <c:pt idx="119">
                  <c:v>2.826E-3</c:v>
                </c:pt>
                <c:pt idx="120">
                  <c:v>2.8696099999999999E-3</c:v>
                </c:pt>
                <c:pt idx="121">
                  <c:v>2.9726399999999999E-3</c:v>
                </c:pt>
                <c:pt idx="122">
                  <c:v>2.9397799999999999E-3</c:v>
                </c:pt>
                <c:pt idx="123">
                  <c:v>3.04894E-3</c:v>
                </c:pt>
                <c:pt idx="124">
                  <c:v>2.9429999999999999E-3</c:v>
                </c:pt>
                <c:pt idx="125">
                  <c:v>2.9635400000000002E-3</c:v>
                </c:pt>
                <c:pt idx="126">
                  <c:v>3.01732E-3</c:v>
                </c:pt>
                <c:pt idx="127">
                  <c:v>2.9862199999999999E-3</c:v>
                </c:pt>
                <c:pt idx="128">
                  <c:v>3.06054E-3</c:v>
                </c:pt>
                <c:pt idx="129">
                  <c:v>2.9899100000000001E-3</c:v>
                </c:pt>
                <c:pt idx="130">
                  <c:v>3.0288099999999998E-3</c:v>
                </c:pt>
                <c:pt idx="131">
                  <c:v>3.0747399999999999E-3</c:v>
                </c:pt>
                <c:pt idx="132">
                  <c:v>3.0536700000000001E-3</c:v>
                </c:pt>
                <c:pt idx="133">
                  <c:v>3.1060900000000002E-3</c:v>
                </c:pt>
                <c:pt idx="134">
                  <c:v>3.0955000000000002E-3</c:v>
                </c:pt>
                <c:pt idx="135">
                  <c:v>3.1335299999999998E-3</c:v>
                </c:pt>
                <c:pt idx="136">
                  <c:v>3.1985500000000001E-3</c:v>
                </c:pt>
                <c:pt idx="137">
                  <c:v>3.1440600000000002E-3</c:v>
                </c:pt>
                <c:pt idx="138">
                  <c:v>3.1610499999999999E-3</c:v>
                </c:pt>
                <c:pt idx="139">
                  <c:v>3.1744899999999999E-3</c:v>
                </c:pt>
                <c:pt idx="140">
                  <c:v>3.1159E-3</c:v>
                </c:pt>
                <c:pt idx="141">
                  <c:v>3.2254900000000001E-3</c:v>
                </c:pt>
                <c:pt idx="142">
                  <c:v>3.28204E-3</c:v>
                </c:pt>
                <c:pt idx="143">
                  <c:v>3.2510999999999998E-3</c:v>
                </c:pt>
                <c:pt idx="144">
                  <c:v>3.2391999999999998E-3</c:v>
                </c:pt>
                <c:pt idx="145">
                  <c:v>3.2768799999999998E-3</c:v>
                </c:pt>
                <c:pt idx="146">
                  <c:v>3.27392E-3</c:v>
                </c:pt>
                <c:pt idx="147">
                  <c:v>3.2821199999999999E-3</c:v>
                </c:pt>
                <c:pt idx="148">
                  <c:v>3.31139E-3</c:v>
                </c:pt>
                <c:pt idx="149">
                  <c:v>3.3964099999999999E-3</c:v>
                </c:pt>
                <c:pt idx="150">
                  <c:v>3.3349400000000002E-3</c:v>
                </c:pt>
                <c:pt idx="151">
                  <c:v>3.3681800000000001E-3</c:v>
                </c:pt>
                <c:pt idx="152">
                  <c:v>3.34169E-3</c:v>
                </c:pt>
                <c:pt idx="153">
                  <c:v>3.37456E-3</c:v>
                </c:pt>
                <c:pt idx="154">
                  <c:v>3.3940400000000001E-3</c:v>
                </c:pt>
                <c:pt idx="155">
                  <c:v>3.4454899999999998E-3</c:v>
                </c:pt>
                <c:pt idx="156">
                  <c:v>3.4153600000000001E-3</c:v>
                </c:pt>
                <c:pt idx="157">
                  <c:v>3.4062799999999998E-3</c:v>
                </c:pt>
                <c:pt idx="158">
                  <c:v>3.4113199999999998E-3</c:v>
                </c:pt>
                <c:pt idx="159">
                  <c:v>3.47445E-3</c:v>
                </c:pt>
                <c:pt idx="160">
                  <c:v>3.4504700000000002E-3</c:v>
                </c:pt>
                <c:pt idx="161">
                  <c:v>3.5361199999999998E-3</c:v>
                </c:pt>
                <c:pt idx="162">
                  <c:v>3.4786000000000001E-3</c:v>
                </c:pt>
                <c:pt idx="163">
                  <c:v>3.46431E-3</c:v>
                </c:pt>
                <c:pt idx="164">
                  <c:v>3.5307200000000002E-3</c:v>
                </c:pt>
                <c:pt idx="165">
                  <c:v>3.5873799999999998E-3</c:v>
                </c:pt>
                <c:pt idx="166">
                  <c:v>3.5385999999999998E-3</c:v>
                </c:pt>
                <c:pt idx="167">
                  <c:v>3.60414E-3</c:v>
                </c:pt>
                <c:pt idx="168">
                  <c:v>3.6011099999999998E-3</c:v>
                </c:pt>
                <c:pt idx="169">
                  <c:v>3.6071599999999999E-3</c:v>
                </c:pt>
                <c:pt idx="170">
                  <c:v>3.6399000000000002E-3</c:v>
                </c:pt>
                <c:pt idx="171">
                  <c:v>3.6584500000000002E-3</c:v>
                </c:pt>
                <c:pt idx="172">
                  <c:v>3.6624600000000002E-3</c:v>
                </c:pt>
                <c:pt idx="173">
                  <c:v>3.6443399999999998E-3</c:v>
                </c:pt>
                <c:pt idx="174">
                  <c:v>3.6581399999999998E-3</c:v>
                </c:pt>
                <c:pt idx="175">
                  <c:v>3.7190700000000001E-3</c:v>
                </c:pt>
                <c:pt idx="176">
                  <c:v>3.72471E-3</c:v>
                </c:pt>
                <c:pt idx="177">
                  <c:v>3.7533499999999999E-3</c:v>
                </c:pt>
                <c:pt idx="178">
                  <c:v>3.6169599999999998E-3</c:v>
                </c:pt>
                <c:pt idx="179">
                  <c:v>3.6743499999999998E-3</c:v>
                </c:pt>
                <c:pt idx="180">
                  <c:v>3.74253E-3</c:v>
                </c:pt>
                <c:pt idx="181">
                  <c:v>3.7615700000000001E-3</c:v>
                </c:pt>
                <c:pt idx="182">
                  <c:v>3.80518E-3</c:v>
                </c:pt>
                <c:pt idx="183">
                  <c:v>3.72493E-3</c:v>
                </c:pt>
                <c:pt idx="184">
                  <c:v>3.7760200000000002E-3</c:v>
                </c:pt>
                <c:pt idx="185">
                  <c:v>3.8373299999999999E-3</c:v>
                </c:pt>
                <c:pt idx="186">
                  <c:v>3.8006400000000001E-3</c:v>
                </c:pt>
                <c:pt idx="187">
                  <c:v>3.7634500000000002E-3</c:v>
                </c:pt>
                <c:pt idx="188">
                  <c:v>3.77028E-3</c:v>
                </c:pt>
                <c:pt idx="189">
                  <c:v>3.8500600000000002E-3</c:v>
                </c:pt>
                <c:pt idx="190">
                  <c:v>3.8818799999999999E-3</c:v>
                </c:pt>
                <c:pt idx="191">
                  <c:v>3.9104999999999999E-3</c:v>
                </c:pt>
                <c:pt idx="192">
                  <c:v>3.8508700000000002E-3</c:v>
                </c:pt>
                <c:pt idx="193">
                  <c:v>3.9620100000000002E-3</c:v>
                </c:pt>
                <c:pt idx="194">
                  <c:v>3.9863199999999998E-3</c:v>
                </c:pt>
                <c:pt idx="195">
                  <c:v>4.0567399999999997E-3</c:v>
                </c:pt>
                <c:pt idx="196">
                  <c:v>3.9957200000000003E-3</c:v>
                </c:pt>
                <c:pt idx="197">
                  <c:v>3.9437700000000001E-3</c:v>
                </c:pt>
                <c:pt idx="198">
                  <c:v>3.9929600000000003E-3</c:v>
                </c:pt>
                <c:pt idx="199">
                  <c:v>4.0280300000000002E-3</c:v>
                </c:pt>
                <c:pt idx="200">
                  <c:v>4.0018500000000004E-3</c:v>
                </c:pt>
                <c:pt idx="201">
                  <c:v>4.0804600000000002E-3</c:v>
                </c:pt>
                <c:pt idx="202">
                  <c:v>4.0574599999999997E-3</c:v>
                </c:pt>
                <c:pt idx="203">
                  <c:v>4.0892400000000001E-3</c:v>
                </c:pt>
                <c:pt idx="204">
                  <c:v>4.12372E-3</c:v>
                </c:pt>
                <c:pt idx="205">
                  <c:v>4.1483099999999997E-3</c:v>
                </c:pt>
                <c:pt idx="206">
                  <c:v>4.1140200000000004E-3</c:v>
                </c:pt>
                <c:pt idx="207">
                  <c:v>4.1131099999999997E-3</c:v>
                </c:pt>
                <c:pt idx="208">
                  <c:v>4.1681599999999997E-3</c:v>
                </c:pt>
                <c:pt idx="209">
                  <c:v>4.1851700000000002E-3</c:v>
                </c:pt>
                <c:pt idx="210">
                  <c:v>4.2210700000000004E-3</c:v>
                </c:pt>
                <c:pt idx="211">
                  <c:v>4.1770100000000001E-3</c:v>
                </c:pt>
                <c:pt idx="212">
                  <c:v>4.2574800000000001E-3</c:v>
                </c:pt>
                <c:pt idx="213">
                  <c:v>4.2922200000000002E-3</c:v>
                </c:pt>
                <c:pt idx="214">
                  <c:v>4.24304E-3</c:v>
                </c:pt>
                <c:pt idx="215">
                  <c:v>4.2516300000000002E-3</c:v>
                </c:pt>
                <c:pt idx="216">
                  <c:v>4.3198100000000003E-3</c:v>
                </c:pt>
                <c:pt idx="217">
                  <c:v>4.3086399999999999E-3</c:v>
                </c:pt>
                <c:pt idx="218">
                  <c:v>4.3361700000000003E-3</c:v>
                </c:pt>
                <c:pt idx="219">
                  <c:v>4.3275700000000002E-3</c:v>
                </c:pt>
                <c:pt idx="220">
                  <c:v>4.4087500000000003E-3</c:v>
                </c:pt>
                <c:pt idx="221">
                  <c:v>4.4003200000000001E-3</c:v>
                </c:pt>
                <c:pt idx="222">
                  <c:v>4.4162899999999998E-3</c:v>
                </c:pt>
                <c:pt idx="223">
                  <c:v>4.3502000000000002E-3</c:v>
                </c:pt>
                <c:pt idx="224">
                  <c:v>4.4093600000000002E-3</c:v>
                </c:pt>
                <c:pt idx="225">
                  <c:v>4.3917499999999998E-3</c:v>
                </c:pt>
                <c:pt idx="226">
                  <c:v>4.4863500000000001E-3</c:v>
                </c:pt>
                <c:pt idx="227">
                  <c:v>4.4429700000000001E-3</c:v>
                </c:pt>
                <c:pt idx="228">
                  <c:v>4.4748499999999998E-3</c:v>
                </c:pt>
                <c:pt idx="229">
                  <c:v>4.4503299999999997E-3</c:v>
                </c:pt>
                <c:pt idx="230">
                  <c:v>4.5133300000000003E-3</c:v>
                </c:pt>
                <c:pt idx="231">
                  <c:v>4.59429E-3</c:v>
                </c:pt>
                <c:pt idx="232">
                  <c:v>4.5150900000000002E-3</c:v>
                </c:pt>
                <c:pt idx="233">
                  <c:v>4.5209500000000001E-3</c:v>
                </c:pt>
                <c:pt idx="234">
                  <c:v>4.5561500000000001E-3</c:v>
                </c:pt>
                <c:pt idx="235">
                  <c:v>4.5361999999999998E-3</c:v>
                </c:pt>
                <c:pt idx="236">
                  <c:v>4.61503E-3</c:v>
                </c:pt>
                <c:pt idx="237">
                  <c:v>4.6408700000000001E-3</c:v>
                </c:pt>
                <c:pt idx="238">
                  <c:v>4.5688300000000003E-3</c:v>
                </c:pt>
                <c:pt idx="239">
                  <c:v>4.6020499999999999E-3</c:v>
                </c:pt>
                <c:pt idx="240">
                  <c:v>4.6049400000000001E-3</c:v>
                </c:pt>
                <c:pt idx="241">
                  <c:v>4.6277599999999999E-3</c:v>
                </c:pt>
                <c:pt idx="242">
                  <c:v>4.6799500000000004E-3</c:v>
                </c:pt>
                <c:pt idx="243">
                  <c:v>4.5925899999999997E-3</c:v>
                </c:pt>
                <c:pt idx="244">
                  <c:v>4.6827300000000004E-3</c:v>
                </c:pt>
                <c:pt idx="245">
                  <c:v>4.7633299999999996E-3</c:v>
                </c:pt>
                <c:pt idx="246">
                  <c:v>4.7376500000000004E-3</c:v>
                </c:pt>
                <c:pt idx="247">
                  <c:v>4.7122400000000004E-3</c:v>
                </c:pt>
                <c:pt idx="248">
                  <c:v>4.6626100000000002E-3</c:v>
                </c:pt>
                <c:pt idx="249">
                  <c:v>4.70382E-3</c:v>
                </c:pt>
                <c:pt idx="250">
                  <c:v>4.7474099999999997E-3</c:v>
                </c:pt>
                <c:pt idx="251">
                  <c:v>4.7733599999999999E-3</c:v>
                </c:pt>
                <c:pt idx="252">
                  <c:v>4.7417900000000001E-3</c:v>
                </c:pt>
                <c:pt idx="253">
                  <c:v>4.8383499999999999E-3</c:v>
                </c:pt>
                <c:pt idx="254">
                  <c:v>4.8205699999999997E-3</c:v>
                </c:pt>
                <c:pt idx="255">
                  <c:v>4.8344399999999997E-3</c:v>
                </c:pt>
                <c:pt idx="256">
                  <c:v>4.8885400000000002E-3</c:v>
                </c:pt>
                <c:pt idx="257">
                  <c:v>4.8742200000000003E-3</c:v>
                </c:pt>
                <c:pt idx="258">
                  <c:v>4.8916100000000002E-3</c:v>
                </c:pt>
                <c:pt idx="259">
                  <c:v>4.9197800000000003E-3</c:v>
                </c:pt>
                <c:pt idx="260">
                  <c:v>4.9147799999999997E-3</c:v>
                </c:pt>
                <c:pt idx="261">
                  <c:v>4.9386999999999999E-3</c:v>
                </c:pt>
                <c:pt idx="262">
                  <c:v>4.9501700000000003E-3</c:v>
                </c:pt>
                <c:pt idx="263">
                  <c:v>5.0148600000000003E-3</c:v>
                </c:pt>
                <c:pt idx="264">
                  <c:v>4.9324E-3</c:v>
                </c:pt>
                <c:pt idx="265">
                  <c:v>5.0070699999999998E-3</c:v>
                </c:pt>
                <c:pt idx="266">
                  <c:v>4.9187299999999996E-3</c:v>
                </c:pt>
                <c:pt idx="267">
                  <c:v>5.0501900000000004E-3</c:v>
                </c:pt>
                <c:pt idx="268">
                  <c:v>5.0531400000000002E-3</c:v>
                </c:pt>
                <c:pt idx="269">
                  <c:v>5.0476799999999997E-3</c:v>
                </c:pt>
                <c:pt idx="270">
                  <c:v>5.0580399999999998E-3</c:v>
                </c:pt>
                <c:pt idx="271">
                  <c:v>5.0541900000000001E-3</c:v>
                </c:pt>
                <c:pt idx="272">
                  <c:v>5.0715400000000002E-3</c:v>
                </c:pt>
                <c:pt idx="273">
                  <c:v>5.0775500000000001E-3</c:v>
                </c:pt>
                <c:pt idx="274">
                  <c:v>5.1352699999999999E-3</c:v>
                </c:pt>
                <c:pt idx="275">
                  <c:v>5.1043599999999996E-3</c:v>
                </c:pt>
                <c:pt idx="276">
                  <c:v>5.1329699999999997E-3</c:v>
                </c:pt>
                <c:pt idx="277">
                  <c:v>5.1660899999999999E-3</c:v>
                </c:pt>
                <c:pt idx="278">
                  <c:v>5.19499E-3</c:v>
                </c:pt>
                <c:pt idx="279">
                  <c:v>5.11466E-3</c:v>
                </c:pt>
                <c:pt idx="280">
                  <c:v>5.2264800000000004E-3</c:v>
                </c:pt>
                <c:pt idx="281">
                  <c:v>5.2119899999999997E-3</c:v>
                </c:pt>
                <c:pt idx="282">
                  <c:v>5.2853400000000004E-3</c:v>
                </c:pt>
                <c:pt idx="283">
                  <c:v>5.2648199999999999E-3</c:v>
                </c:pt>
                <c:pt idx="284">
                  <c:v>5.2665000000000003E-3</c:v>
                </c:pt>
                <c:pt idx="285">
                  <c:v>5.2554699999999999E-3</c:v>
                </c:pt>
                <c:pt idx="286">
                  <c:v>5.2701600000000003E-3</c:v>
                </c:pt>
                <c:pt idx="287">
                  <c:v>5.2481699999999999E-3</c:v>
                </c:pt>
                <c:pt idx="288">
                  <c:v>5.2769100000000001E-3</c:v>
                </c:pt>
                <c:pt idx="289">
                  <c:v>5.3036799999999999E-3</c:v>
                </c:pt>
                <c:pt idx="290">
                  <c:v>5.32191E-3</c:v>
                </c:pt>
                <c:pt idx="291">
                  <c:v>5.3902300000000002E-3</c:v>
                </c:pt>
                <c:pt idx="292">
                  <c:v>5.3932499999999996E-3</c:v>
                </c:pt>
                <c:pt idx="293">
                  <c:v>5.3961699999999996E-3</c:v>
                </c:pt>
                <c:pt idx="294">
                  <c:v>5.3641399999999999E-3</c:v>
                </c:pt>
                <c:pt idx="295">
                  <c:v>5.4138299999999997E-3</c:v>
                </c:pt>
                <c:pt idx="296">
                  <c:v>5.4072800000000004E-3</c:v>
                </c:pt>
                <c:pt idx="297">
                  <c:v>5.3867200000000002E-3</c:v>
                </c:pt>
                <c:pt idx="298">
                  <c:v>5.4279699999999998E-3</c:v>
                </c:pt>
                <c:pt idx="299">
                  <c:v>5.4225699999999998E-3</c:v>
                </c:pt>
                <c:pt idx="300">
                  <c:v>5.4550299999999996E-3</c:v>
                </c:pt>
                <c:pt idx="301">
                  <c:v>5.3911000000000002E-3</c:v>
                </c:pt>
                <c:pt idx="302">
                  <c:v>5.4666000000000003E-3</c:v>
                </c:pt>
                <c:pt idx="303">
                  <c:v>5.4682100000000003E-3</c:v>
                </c:pt>
                <c:pt idx="304">
                  <c:v>5.5368300000000004E-3</c:v>
                </c:pt>
                <c:pt idx="305">
                  <c:v>5.4926799999999998E-3</c:v>
                </c:pt>
                <c:pt idx="306">
                  <c:v>5.5092700000000001E-3</c:v>
                </c:pt>
                <c:pt idx="307">
                  <c:v>5.5454199999999997E-3</c:v>
                </c:pt>
                <c:pt idx="308">
                  <c:v>5.6232900000000004E-3</c:v>
                </c:pt>
                <c:pt idx="309">
                  <c:v>5.5698400000000004E-3</c:v>
                </c:pt>
                <c:pt idx="310">
                  <c:v>5.6069199999999996E-3</c:v>
                </c:pt>
                <c:pt idx="311">
                  <c:v>5.6037099999999996E-3</c:v>
                </c:pt>
                <c:pt idx="312">
                  <c:v>5.6092900000000003E-3</c:v>
                </c:pt>
                <c:pt idx="313">
                  <c:v>5.6500500000000002E-3</c:v>
                </c:pt>
                <c:pt idx="314">
                  <c:v>5.6667100000000001E-3</c:v>
                </c:pt>
                <c:pt idx="315">
                  <c:v>5.6631900000000002E-3</c:v>
                </c:pt>
                <c:pt idx="316">
                  <c:v>5.5782200000000001E-3</c:v>
                </c:pt>
                <c:pt idx="317">
                  <c:v>5.6271899999999998E-3</c:v>
                </c:pt>
                <c:pt idx="318">
                  <c:v>5.6280200000000001E-3</c:v>
                </c:pt>
                <c:pt idx="319">
                  <c:v>5.78284E-3</c:v>
                </c:pt>
                <c:pt idx="320">
                  <c:v>5.6936299999999999E-3</c:v>
                </c:pt>
              </c:numCache>
            </c:numRef>
          </c:xVal>
          <c:yVal>
            <c:numRef>
              <c:f>'L30CPTX-2'!$F$80:$F$400</c:f>
              <c:numCache>
                <c:formatCode>General</c:formatCode>
                <c:ptCount val="321"/>
                <c:pt idx="0">
                  <c:v>-4.71767E-4</c:v>
                </c:pt>
                <c:pt idx="1">
                  <c:v>-4.12545E-4</c:v>
                </c:pt>
                <c:pt idx="2">
                  <c:v>-5.0530900000000001E-4</c:v>
                </c:pt>
                <c:pt idx="3">
                  <c:v>-4.30858E-4</c:v>
                </c:pt>
                <c:pt idx="4">
                  <c:v>-3.7125500000000002E-4</c:v>
                </c:pt>
                <c:pt idx="5">
                  <c:v>-4.0127300000000001E-4</c:v>
                </c:pt>
                <c:pt idx="6">
                  <c:v>-4.0809400000000001E-4</c:v>
                </c:pt>
                <c:pt idx="7">
                  <c:v>-5.0352000000000003E-4</c:v>
                </c:pt>
                <c:pt idx="8">
                  <c:v>-5.4573800000000004E-4</c:v>
                </c:pt>
                <c:pt idx="9">
                  <c:v>-6.5891599999999995E-4</c:v>
                </c:pt>
                <c:pt idx="10">
                  <c:v>-4.40137E-4</c:v>
                </c:pt>
                <c:pt idx="11">
                  <c:v>-4.6482400000000002E-4</c:v>
                </c:pt>
                <c:pt idx="12">
                  <c:v>-5.7735100000000004E-4</c:v>
                </c:pt>
                <c:pt idx="13">
                  <c:v>-5.1676800000000002E-4</c:v>
                </c:pt>
                <c:pt idx="14">
                  <c:v>-5.9758999999999995E-4</c:v>
                </c:pt>
                <c:pt idx="15">
                  <c:v>-5.2424199999999996E-4</c:v>
                </c:pt>
                <c:pt idx="16">
                  <c:v>-4.8362299999999997E-4</c:v>
                </c:pt>
                <c:pt idx="17">
                  <c:v>-5.8988200000000001E-4</c:v>
                </c:pt>
                <c:pt idx="18">
                  <c:v>-5.7695499999999998E-4</c:v>
                </c:pt>
                <c:pt idx="19">
                  <c:v>-5.8407200000000004E-4</c:v>
                </c:pt>
                <c:pt idx="20">
                  <c:v>-7.0512899999999998E-4</c:v>
                </c:pt>
                <c:pt idx="21">
                  <c:v>-5.6742700000000001E-4</c:v>
                </c:pt>
                <c:pt idx="22">
                  <c:v>-5.58674E-4</c:v>
                </c:pt>
                <c:pt idx="23">
                  <c:v>-5.9446300000000004E-4</c:v>
                </c:pt>
                <c:pt idx="24">
                  <c:v>-6.2424599999999996E-4</c:v>
                </c:pt>
                <c:pt idx="25">
                  <c:v>-6.7363099999999995E-4</c:v>
                </c:pt>
                <c:pt idx="26">
                  <c:v>-6.1901199999999995E-4</c:v>
                </c:pt>
                <c:pt idx="27">
                  <c:v>-6.01546E-4</c:v>
                </c:pt>
                <c:pt idx="28">
                  <c:v>-6.93342E-4</c:v>
                </c:pt>
                <c:pt idx="29">
                  <c:v>-6.5483499999999999E-4</c:v>
                </c:pt>
                <c:pt idx="30">
                  <c:v>-6.8560799999999999E-4</c:v>
                </c:pt>
                <c:pt idx="31">
                  <c:v>-6.73304E-4</c:v>
                </c:pt>
                <c:pt idx="32">
                  <c:v>-7.2173799999999998E-4</c:v>
                </c:pt>
                <c:pt idx="33">
                  <c:v>-6.3850799999999998E-4</c:v>
                </c:pt>
                <c:pt idx="34">
                  <c:v>-6.4892900000000002E-4</c:v>
                </c:pt>
                <c:pt idx="35">
                  <c:v>-6.9074700000000002E-4</c:v>
                </c:pt>
                <c:pt idx="36">
                  <c:v>-7.9444100000000001E-4</c:v>
                </c:pt>
                <c:pt idx="37">
                  <c:v>-5.9731400000000005E-4</c:v>
                </c:pt>
                <c:pt idx="38">
                  <c:v>-9.4485800000000003E-4</c:v>
                </c:pt>
                <c:pt idx="39">
                  <c:v>-7.6878700000000005E-4</c:v>
                </c:pt>
                <c:pt idx="40">
                  <c:v>-8.1111499999999995E-4</c:v>
                </c:pt>
                <c:pt idx="41">
                  <c:v>-7.3025399999999995E-4</c:v>
                </c:pt>
                <c:pt idx="42">
                  <c:v>-7.6599100000000005E-4</c:v>
                </c:pt>
                <c:pt idx="43">
                  <c:v>-7.0824099999999997E-4</c:v>
                </c:pt>
                <c:pt idx="44">
                  <c:v>-6.8806399999999995E-4</c:v>
                </c:pt>
                <c:pt idx="45">
                  <c:v>-7.6766900000000001E-4</c:v>
                </c:pt>
                <c:pt idx="46">
                  <c:v>-8.5339300000000003E-4</c:v>
                </c:pt>
                <c:pt idx="47">
                  <c:v>-6.7073899999999995E-4</c:v>
                </c:pt>
                <c:pt idx="48">
                  <c:v>-8.1151499999999996E-4</c:v>
                </c:pt>
                <c:pt idx="49">
                  <c:v>-7.8864199999999999E-4</c:v>
                </c:pt>
                <c:pt idx="50">
                  <c:v>-7.5635199999999996E-4</c:v>
                </c:pt>
                <c:pt idx="51">
                  <c:v>-7.5150300000000005E-4</c:v>
                </c:pt>
                <c:pt idx="52">
                  <c:v>-8.6085299999999997E-4</c:v>
                </c:pt>
                <c:pt idx="53">
                  <c:v>-8.5543299999999995E-4</c:v>
                </c:pt>
                <c:pt idx="54">
                  <c:v>-8.4242699999999998E-4</c:v>
                </c:pt>
                <c:pt idx="55">
                  <c:v>-7.9185200000000001E-4</c:v>
                </c:pt>
                <c:pt idx="56">
                  <c:v>-7.7606400000000003E-4</c:v>
                </c:pt>
                <c:pt idx="57">
                  <c:v>-7.9712100000000003E-4</c:v>
                </c:pt>
                <c:pt idx="58">
                  <c:v>-8.9226599999999996E-4</c:v>
                </c:pt>
                <c:pt idx="59">
                  <c:v>-8.1581799999999995E-4</c:v>
                </c:pt>
                <c:pt idx="60">
                  <c:v>-8.9185200000000005E-4</c:v>
                </c:pt>
                <c:pt idx="61">
                  <c:v>-8.7712599999999999E-4</c:v>
                </c:pt>
                <c:pt idx="62">
                  <c:v>-8.3388899999999998E-4</c:v>
                </c:pt>
                <c:pt idx="63">
                  <c:v>-9.2411100000000003E-4</c:v>
                </c:pt>
                <c:pt idx="64">
                  <c:v>-8.5016499999999995E-4</c:v>
                </c:pt>
                <c:pt idx="65">
                  <c:v>-9.2076300000000001E-4</c:v>
                </c:pt>
                <c:pt idx="66">
                  <c:v>-1.0339699999999999E-3</c:v>
                </c:pt>
                <c:pt idx="67">
                  <c:v>-1.06051E-3</c:v>
                </c:pt>
                <c:pt idx="68">
                  <c:v>-9.00869E-4</c:v>
                </c:pt>
                <c:pt idx="69">
                  <c:v>-9.7128999999999998E-4</c:v>
                </c:pt>
                <c:pt idx="70">
                  <c:v>-9.1001400000000001E-4</c:v>
                </c:pt>
                <c:pt idx="71">
                  <c:v>-1.17695E-3</c:v>
                </c:pt>
                <c:pt idx="72">
                  <c:v>-8.8687900000000003E-4</c:v>
                </c:pt>
                <c:pt idx="73">
                  <c:v>-1.00205E-3</c:v>
                </c:pt>
                <c:pt idx="74">
                  <c:v>-9.6575899999999995E-4</c:v>
                </c:pt>
                <c:pt idx="75">
                  <c:v>-7.7785500000000004E-4</c:v>
                </c:pt>
                <c:pt idx="76">
                  <c:v>-9.2284799999999998E-4</c:v>
                </c:pt>
                <c:pt idx="77">
                  <c:v>-1.0443099999999999E-3</c:v>
                </c:pt>
                <c:pt idx="78">
                  <c:v>-1.08803E-3</c:v>
                </c:pt>
                <c:pt idx="79">
                  <c:v>-9.6035700000000001E-4</c:v>
                </c:pt>
                <c:pt idx="80">
                  <c:v>-1.1352999999999999E-3</c:v>
                </c:pt>
                <c:pt idx="81">
                  <c:v>-1.0563599999999999E-3</c:v>
                </c:pt>
                <c:pt idx="82">
                  <c:v>-1.0368599999999999E-3</c:v>
                </c:pt>
                <c:pt idx="83">
                  <c:v>-1.0187799999999999E-3</c:v>
                </c:pt>
                <c:pt idx="84">
                  <c:v>-1.02811E-3</c:v>
                </c:pt>
                <c:pt idx="85">
                  <c:v>-1.0425600000000001E-3</c:v>
                </c:pt>
                <c:pt idx="86">
                  <c:v>-1.0282399999999999E-3</c:v>
                </c:pt>
                <c:pt idx="87">
                  <c:v>-1.04378E-3</c:v>
                </c:pt>
                <c:pt idx="88">
                  <c:v>-9.4846199999999996E-4</c:v>
                </c:pt>
                <c:pt idx="89">
                  <c:v>-1.1182099999999999E-3</c:v>
                </c:pt>
                <c:pt idx="90">
                  <c:v>-1.03046E-3</c:v>
                </c:pt>
                <c:pt idx="91">
                  <c:v>-1.1212100000000001E-3</c:v>
                </c:pt>
                <c:pt idx="92">
                  <c:v>-1.11539E-3</c:v>
                </c:pt>
                <c:pt idx="93">
                  <c:v>-1.03388E-3</c:v>
                </c:pt>
                <c:pt idx="94">
                  <c:v>-9.5213999999999997E-4</c:v>
                </c:pt>
                <c:pt idx="95">
                  <c:v>-1.1551300000000001E-3</c:v>
                </c:pt>
                <c:pt idx="96">
                  <c:v>-1.2163300000000001E-3</c:v>
                </c:pt>
                <c:pt idx="97">
                  <c:v>-1.0447099999999999E-3</c:v>
                </c:pt>
                <c:pt idx="98">
                  <c:v>-1.1324200000000001E-3</c:v>
                </c:pt>
                <c:pt idx="99">
                  <c:v>-1.0076499999999999E-3</c:v>
                </c:pt>
                <c:pt idx="100">
                  <c:v>-1.1626E-3</c:v>
                </c:pt>
                <c:pt idx="101">
                  <c:v>-1.1266200000000001E-3</c:v>
                </c:pt>
                <c:pt idx="102">
                  <c:v>-1.1911300000000001E-3</c:v>
                </c:pt>
                <c:pt idx="103">
                  <c:v>-1.17479E-3</c:v>
                </c:pt>
                <c:pt idx="104">
                  <c:v>-1.17124E-3</c:v>
                </c:pt>
                <c:pt idx="105">
                  <c:v>-1.2586100000000001E-3</c:v>
                </c:pt>
                <c:pt idx="106">
                  <c:v>-1.22365E-3</c:v>
                </c:pt>
                <c:pt idx="107">
                  <c:v>-1.3007400000000001E-3</c:v>
                </c:pt>
                <c:pt idx="108">
                  <c:v>-1.15982E-3</c:v>
                </c:pt>
                <c:pt idx="109">
                  <c:v>-1.1877400000000001E-3</c:v>
                </c:pt>
                <c:pt idx="110">
                  <c:v>-1.10659E-3</c:v>
                </c:pt>
                <c:pt idx="111">
                  <c:v>-1.26351E-3</c:v>
                </c:pt>
                <c:pt idx="112">
                  <c:v>-1.33585E-3</c:v>
                </c:pt>
                <c:pt idx="113">
                  <c:v>-1.2085500000000001E-3</c:v>
                </c:pt>
                <c:pt idx="114">
                  <c:v>-1.2976299999999999E-3</c:v>
                </c:pt>
                <c:pt idx="115">
                  <c:v>-1.2440000000000001E-3</c:v>
                </c:pt>
                <c:pt idx="116">
                  <c:v>-1.38897E-3</c:v>
                </c:pt>
                <c:pt idx="117">
                  <c:v>-1.2890899999999999E-3</c:v>
                </c:pt>
                <c:pt idx="118">
                  <c:v>-1.41085E-3</c:v>
                </c:pt>
                <c:pt idx="119">
                  <c:v>-1.2049599999999999E-3</c:v>
                </c:pt>
                <c:pt idx="120">
                  <c:v>-1.2554599999999999E-3</c:v>
                </c:pt>
                <c:pt idx="121">
                  <c:v>-1.2828900000000001E-3</c:v>
                </c:pt>
                <c:pt idx="122">
                  <c:v>-1.24128E-3</c:v>
                </c:pt>
                <c:pt idx="123">
                  <c:v>-1.3382800000000001E-3</c:v>
                </c:pt>
                <c:pt idx="124">
                  <c:v>-1.29484E-3</c:v>
                </c:pt>
                <c:pt idx="125">
                  <c:v>-1.28195E-3</c:v>
                </c:pt>
                <c:pt idx="126">
                  <c:v>-1.3702E-3</c:v>
                </c:pt>
                <c:pt idx="127">
                  <c:v>-1.2960599999999999E-3</c:v>
                </c:pt>
                <c:pt idx="128">
                  <c:v>-1.31208E-3</c:v>
                </c:pt>
                <c:pt idx="129">
                  <c:v>-1.34775E-3</c:v>
                </c:pt>
                <c:pt idx="130">
                  <c:v>-1.37049E-3</c:v>
                </c:pt>
                <c:pt idx="131">
                  <c:v>-1.3844700000000001E-3</c:v>
                </c:pt>
                <c:pt idx="132">
                  <c:v>-1.3819399999999999E-3</c:v>
                </c:pt>
                <c:pt idx="133">
                  <c:v>-1.3464499999999999E-3</c:v>
                </c:pt>
                <c:pt idx="134">
                  <c:v>-1.3666500000000001E-3</c:v>
                </c:pt>
                <c:pt idx="135">
                  <c:v>-1.38562E-3</c:v>
                </c:pt>
                <c:pt idx="136">
                  <c:v>-1.36473E-3</c:v>
                </c:pt>
                <c:pt idx="137">
                  <c:v>-1.3575900000000001E-3</c:v>
                </c:pt>
                <c:pt idx="138">
                  <c:v>-1.38266E-3</c:v>
                </c:pt>
                <c:pt idx="139">
                  <c:v>-1.42764E-3</c:v>
                </c:pt>
                <c:pt idx="140">
                  <c:v>-1.4608799999999999E-3</c:v>
                </c:pt>
                <c:pt idx="141">
                  <c:v>-1.44947E-3</c:v>
                </c:pt>
                <c:pt idx="142">
                  <c:v>-1.40142E-3</c:v>
                </c:pt>
                <c:pt idx="143">
                  <c:v>-1.48094E-3</c:v>
                </c:pt>
                <c:pt idx="144">
                  <c:v>-1.54666E-3</c:v>
                </c:pt>
                <c:pt idx="145">
                  <c:v>-1.49778E-3</c:v>
                </c:pt>
                <c:pt idx="146">
                  <c:v>-1.4843600000000001E-3</c:v>
                </c:pt>
                <c:pt idx="147">
                  <c:v>-1.4357599999999999E-3</c:v>
                </c:pt>
                <c:pt idx="148">
                  <c:v>-1.39828E-3</c:v>
                </c:pt>
                <c:pt idx="149">
                  <c:v>-1.56266E-3</c:v>
                </c:pt>
                <c:pt idx="150">
                  <c:v>-1.4935199999999999E-3</c:v>
                </c:pt>
                <c:pt idx="151">
                  <c:v>-1.50504E-3</c:v>
                </c:pt>
                <c:pt idx="152">
                  <c:v>-1.39876E-3</c:v>
                </c:pt>
                <c:pt idx="153">
                  <c:v>-1.40201E-3</c:v>
                </c:pt>
                <c:pt idx="154">
                  <c:v>-1.49205E-3</c:v>
                </c:pt>
                <c:pt idx="155">
                  <c:v>-1.5376400000000001E-3</c:v>
                </c:pt>
                <c:pt idx="156">
                  <c:v>-1.48467E-3</c:v>
                </c:pt>
                <c:pt idx="157">
                  <c:v>-1.7089099999999999E-3</c:v>
                </c:pt>
                <c:pt idx="158">
                  <c:v>-1.5015499999999999E-3</c:v>
                </c:pt>
                <c:pt idx="159">
                  <c:v>-1.4592800000000001E-3</c:v>
                </c:pt>
                <c:pt idx="160">
                  <c:v>-1.56924E-3</c:v>
                </c:pt>
                <c:pt idx="161">
                  <c:v>-1.6104800000000001E-3</c:v>
                </c:pt>
                <c:pt idx="162">
                  <c:v>-1.55163E-3</c:v>
                </c:pt>
                <c:pt idx="163">
                  <c:v>-1.5887E-3</c:v>
                </c:pt>
                <c:pt idx="164">
                  <c:v>-1.5148099999999999E-3</c:v>
                </c:pt>
                <c:pt idx="165">
                  <c:v>-1.5855999999999999E-3</c:v>
                </c:pt>
                <c:pt idx="166">
                  <c:v>-1.63083E-3</c:v>
                </c:pt>
                <c:pt idx="167">
                  <c:v>-1.65595E-3</c:v>
                </c:pt>
                <c:pt idx="168">
                  <c:v>-1.65865E-3</c:v>
                </c:pt>
                <c:pt idx="169">
                  <c:v>-1.6559999999999999E-3</c:v>
                </c:pt>
                <c:pt idx="170">
                  <c:v>-1.5883500000000001E-3</c:v>
                </c:pt>
                <c:pt idx="171">
                  <c:v>-1.7012100000000001E-3</c:v>
                </c:pt>
                <c:pt idx="172">
                  <c:v>-1.6678299999999999E-3</c:v>
                </c:pt>
                <c:pt idx="173">
                  <c:v>-1.712E-3</c:v>
                </c:pt>
                <c:pt idx="174">
                  <c:v>-1.60089E-3</c:v>
                </c:pt>
                <c:pt idx="175">
                  <c:v>-1.7648799999999999E-3</c:v>
                </c:pt>
                <c:pt idx="176">
                  <c:v>-1.79828E-3</c:v>
                </c:pt>
                <c:pt idx="177">
                  <c:v>-1.7387100000000001E-3</c:v>
                </c:pt>
                <c:pt idx="178">
                  <c:v>-1.66041E-3</c:v>
                </c:pt>
                <c:pt idx="179">
                  <c:v>-1.7647299999999999E-3</c:v>
                </c:pt>
                <c:pt idx="180">
                  <c:v>-1.6810600000000001E-3</c:v>
                </c:pt>
                <c:pt idx="181">
                  <c:v>-1.77622E-3</c:v>
                </c:pt>
                <c:pt idx="182">
                  <c:v>-1.60574E-3</c:v>
                </c:pt>
                <c:pt idx="183">
                  <c:v>-1.72343E-3</c:v>
                </c:pt>
                <c:pt idx="184">
                  <c:v>-1.78279E-3</c:v>
                </c:pt>
                <c:pt idx="185">
                  <c:v>-1.7013200000000001E-3</c:v>
                </c:pt>
                <c:pt idx="186">
                  <c:v>-1.77899E-3</c:v>
                </c:pt>
                <c:pt idx="187">
                  <c:v>-1.7595600000000001E-3</c:v>
                </c:pt>
                <c:pt idx="188">
                  <c:v>-1.66621E-3</c:v>
                </c:pt>
                <c:pt idx="189">
                  <c:v>-1.7677299999999999E-3</c:v>
                </c:pt>
                <c:pt idx="190">
                  <c:v>-1.74602E-3</c:v>
                </c:pt>
                <c:pt idx="191">
                  <c:v>-1.73537E-3</c:v>
                </c:pt>
                <c:pt idx="192">
                  <c:v>-1.6164300000000001E-3</c:v>
                </c:pt>
                <c:pt idx="193">
                  <c:v>-1.82715E-3</c:v>
                </c:pt>
                <c:pt idx="194">
                  <c:v>-1.84063E-3</c:v>
                </c:pt>
                <c:pt idx="195">
                  <c:v>-1.7034400000000001E-3</c:v>
                </c:pt>
                <c:pt idx="196">
                  <c:v>-1.6740100000000001E-3</c:v>
                </c:pt>
                <c:pt idx="197">
                  <c:v>-1.82742E-3</c:v>
                </c:pt>
                <c:pt idx="198">
                  <c:v>-1.84307E-3</c:v>
                </c:pt>
                <c:pt idx="199">
                  <c:v>-1.76038E-3</c:v>
                </c:pt>
                <c:pt idx="200">
                  <c:v>-1.7750400000000001E-3</c:v>
                </c:pt>
                <c:pt idx="201">
                  <c:v>-1.7840499999999999E-3</c:v>
                </c:pt>
                <c:pt idx="202">
                  <c:v>-1.8079599999999999E-3</c:v>
                </c:pt>
                <c:pt idx="203">
                  <c:v>-1.8142099999999999E-3</c:v>
                </c:pt>
                <c:pt idx="204">
                  <c:v>-1.8345200000000001E-3</c:v>
                </c:pt>
                <c:pt idx="205">
                  <c:v>-1.83647E-3</c:v>
                </c:pt>
                <c:pt idx="206">
                  <c:v>-1.8864299999999999E-3</c:v>
                </c:pt>
                <c:pt idx="207">
                  <c:v>-1.87356E-3</c:v>
                </c:pt>
                <c:pt idx="208">
                  <c:v>-1.8722400000000001E-3</c:v>
                </c:pt>
                <c:pt idx="209">
                  <c:v>-1.90895E-3</c:v>
                </c:pt>
                <c:pt idx="210">
                  <c:v>-1.8831900000000001E-3</c:v>
                </c:pt>
                <c:pt idx="211">
                  <c:v>-1.9223599999999999E-3</c:v>
                </c:pt>
                <c:pt idx="212">
                  <c:v>-1.9170599999999999E-3</c:v>
                </c:pt>
                <c:pt idx="213">
                  <c:v>-1.9354999999999999E-3</c:v>
                </c:pt>
                <c:pt idx="214">
                  <c:v>-1.9962000000000001E-3</c:v>
                </c:pt>
                <c:pt idx="215">
                  <c:v>-1.8828300000000001E-3</c:v>
                </c:pt>
                <c:pt idx="216">
                  <c:v>-1.9549900000000002E-3</c:v>
                </c:pt>
                <c:pt idx="217">
                  <c:v>-1.97993E-3</c:v>
                </c:pt>
                <c:pt idx="218">
                  <c:v>-1.93016E-3</c:v>
                </c:pt>
                <c:pt idx="219">
                  <c:v>-1.90452E-3</c:v>
                </c:pt>
                <c:pt idx="220">
                  <c:v>-2.03309E-3</c:v>
                </c:pt>
                <c:pt idx="221">
                  <c:v>-1.9869800000000002E-3</c:v>
                </c:pt>
                <c:pt idx="222">
                  <c:v>-2.0293500000000001E-3</c:v>
                </c:pt>
                <c:pt idx="223">
                  <c:v>-2.0302100000000002E-3</c:v>
                </c:pt>
                <c:pt idx="224">
                  <c:v>-2.0531E-3</c:v>
                </c:pt>
                <c:pt idx="225">
                  <c:v>-2.1398699999999999E-3</c:v>
                </c:pt>
                <c:pt idx="226">
                  <c:v>-2.05222E-3</c:v>
                </c:pt>
                <c:pt idx="227">
                  <c:v>-2.0277300000000002E-3</c:v>
                </c:pt>
                <c:pt idx="228">
                  <c:v>-2.0117899999999998E-3</c:v>
                </c:pt>
                <c:pt idx="229">
                  <c:v>-2.0853999999999998E-3</c:v>
                </c:pt>
                <c:pt idx="230">
                  <c:v>-2.1161700000000001E-3</c:v>
                </c:pt>
                <c:pt idx="231">
                  <c:v>-1.98941E-3</c:v>
                </c:pt>
                <c:pt idx="232">
                  <c:v>-2.0307900000000002E-3</c:v>
                </c:pt>
                <c:pt idx="233">
                  <c:v>-2.00847E-3</c:v>
                </c:pt>
                <c:pt idx="234">
                  <c:v>-2.0508100000000001E-3</c:v>
                </c:pt>
                <c:pt idx="235">
                  <c:v>-2.0790399999999999E-3</c:v>
                </c:pt>
                <c:pt idx="236">
                  <c:v>-2.1478600000000001E-3</c:v>
                </c:pt>
                <c:pt idx="237">
                  <c:v>-2.1732100000000001E-3</c:v>
                </c:pt>
                <c:pt idx="238">
                  <c:v>-2.21405E-3</c:v>
                </c:pt>
                <c:pt idx="239">
                  <c:v>-2.1498300000000001E-3</c:v>
                </c:pt>
                <c:pt idx="240">
                  <c:v>-2.0754300000000001E-3</c:v>
                </c:pt>
                <c:pt idx="241">
                  <c:v>-2.1258100000000001E-3</c:v>
                </c:pt>
                <c:pt idx="242">
                  <c:v>-2.0005999999999999E-3</c:v>
                </c:pt>
                <c:pt idx="243">
                  <c:v>-2.2309999999999999E-3</c:v>
                </c:pt>
                <c:pt idx="244">
                  <c:v>-2.1476500000000001E-3</c:v>
                </c:pt>
                <c:pt idx="245">
                  <c:v>-2.2140900000000002E-3</c:v>
                </c:pt>
                <c:pt idx="246">
                  <c:v>-2.17198E-3</c:v>
                </c:pt>
                <c:pt idx="247">
                  <c:v>-2.13533E-3</c:v>
                </c:pt>
                <c:pt idx="248">
                  <c:v>-2.1725300000000002E-3</c:v>
                </c:pt>
                <c:pt idx="249">
                  <c:v>-2.14525E-3</c:v>
                </c:pt>
                <c:pt idx="250">
                  <c:v>-2.06931E-3</c:v>
                </c:pt>
                <c:pt idx="251">
                  <c:v>-2.1227199999999998E-3</c:v>
                </c:pt>
                <c:pt idx="252">
                  <c:v>-2.14329E-3</c:v>
                </c:pt>
                <c:pt idx="253">
                  <c:v>-2.3247400000000001E-3</c:v>
                </c:pt>
                <c:pt idx="254">
                  <c:v>-2.2431600000000001E-3</c:v>
                </c:pt>
                <c:pt idx="255">
                  <c:v>-2.30745E-3</c:v>
                </c:pt>
                <c:pt idx="256">
                  <c:v>-2.2499400000000002E-3</c:v>
                </c:pt>
                <c:pt idx="257">
                  <c:v>-2.3161000000000002E-3</c:v>
                </c:pt>
                <c:pt idx="258">
                  <c:v>-2.1599100000000001E-3</c:v>
                </c:pt>
                <c:pt idx="259">
                  <c:v>-2.2039999999999998E-3</c:v>
                </c:pt>
                <c:pt idx="260">
                  <c:v>-2.1888300000000001E-3</c:v>
                </c:pt>
                <c:pt idx="261">
                  <c:v>-2.2531399999999998E-3</c:v>
                </c:pt>
                <c:pt idx="262">
                  <c:v>-2.20922E-3</c:v>
                </c:pt>
                <c:pt idx="263">
                  <c:v>-2.33607E-3</c:v>
                </c:pt>
                <c:pt idx="264">
                  <c:v>-2.2596199999999999E-3</c:v>
                </c:pt>
                <c:pt idx="265">
                  <c:v>-2.2178499999999999E-3</c:v>
                </c:pt>
                <c:pt idx="266">
                  <c:v>-2.35316E-3</c:v>
                </c:pt>
                <c:pt idx="267">
                  <c:v>-2.3040500000000002E-3</c:v>
                </c:pt>
                <c:pt idx="268">
                  <c:v>-2.26698E-3</c:v>
                </c:pt>
                <c:pt idx="269">
                  <c:v>-2.16971E-3</c:v>
                </c:pt>
                <c:pt idx="270">
                  <c:v>-2.3542300000000001E-3</c:v>
                </c:pt>
                <c:pt idx="271">
                  <c:v>-2.3416399999999999E-3</c:v>
                </c:pt>
                <c:pt idx="272">
                  <c:v>-2.3509400000000001E-3</c:v>
                </c:pt>
                <c:pt idx="273">
                  <c:v>-2.26267E-3</c:v>
                </c:pt>
                <c:pt idx="274">
                  <c:v>-2.3678900000000001E-3</c:v>
                </c:pt>
                <c:pt idx="275">
                  <c:v>-2.3992200000000001E-3</c:v>
                </c:pt>
                <c:pt idx="276">
                  <c:v>-2.3315300000000001E-3</c:v>
                </c:pt>
                <c:pt idx="277">
                  <c:v>-2.4430200000000002E-3</c:v>
                </c:pt>
                <c:pt idx="278">
                  <c:v>-2.4645499999999998E-3</c:v>
                </c:pt>
                <c:pt idx="279">
                  <c:v>-2.4604499999999999E-3</c:v>
                </c:pt>
                <c:pt idx="280">
                  <c:v>-2.3545100000000002E-3</c:v>
                </c:pt>
                <c:pt idx="281">
                  <c:v>-2.3778499999999999E-3</c:v>
                </c:pt>
                <c:pt idx="282">
                  <c:v>-2.2951500000000001E-3</c:v>
                </c:pt>
                <c:pt idx="283">
                  <c:v>-2.3300399999999998E-3</c:v>
                </c:pt>
                <c:pt idx="284">
                  <c:v>-2.4031500000000002E-3</c:v>
                </c:pt>
                <c:pt idx="285">
                  <c:v>-2.5140900000000001E-3</c:v>
                </c:pt>
                <c:pt idx="286">
                  <c:v>-2.5449600000000002E-3</c:v>
                </c:pt>
                <c:pt idx="287">
                  <c:v>-2.5116800000000001E-3</c:v>
                </c:pt>
                <c:pt idx="288">
                  <c:v>-2.4466000000000002E-3</c:v>
                </c:pt>
                <c:pt idx="289">
                  <c:v>-2.4771099999999998E-3</c:v>
                </c:pt>
                <c:pt idx="290">
                  <c:v>-2.42413E-3</c:v>
                </c:pt>
                <c:pt idx="291">
                  <c:v>-2.4239700000000001E-3</c:v>
                </c:pt>
                <c:pt idx="292">
                  <c:v>-2.4462199999999998E-3</c:v>
                </c:pt>
                <c:pt idx="293">
                  <c:v>-2.4412499999999998E-3</c:v>
                </c:pt>
                <c:pt idx="294">
                  <c:v>-2.4733200000000002E-3</c:v>
                </c:pt>
                <c:pt idx="295">
                  <c:v>-2.4562099999999999E-3</c:v>
                </c:pt>
                <c:pt idx="296">
                  <c:v>-2.4722099999999999E-3</c:v>
                </c:pt>
                <c:pt idx="297">
                  <c:v>-2.5539099999999999E-3</c:v>
                </c:pt>
                <c:pt idx="298">
                  <c:v>-2.5479000000000001E-3</c:v>
                </c:pt>
                <c:pt idx="299">
                  <c:v>-2.48913E-3</c:v>
                </c:pt>
                <c:pt idx="300">
                  <c:v>-2.5141199999999999E-3</c:v>
                </c:pt>
                <c:pt idx="301">
                  <c:v>-2.5646699999999998E-3</c:v>
                </c:pt>
                <c:pt idx="302">
                  <c:v>-2.5381700000000002E-3</c:v>
                </c:pt>
                <c:pt idx="303">
                  <c:v>-2.5518200000000002E-3</c:v>
                </c:pt>
                <c:pt idx="304">
                  <c:v>-2.5814800000000001E-3</c:v>
                </c:pt>
                <c:pt idx="305">
                  <c:v>-2.6566799999999998E-3</c:v>
                </c:pt>
                <c:pt idx="306">
                  <c:v>-2.5812700000000001E-3</c:v>
                </c:pt>
                <c:pt idx="307">
                  <c:v>-2.5582399999999998E-3</c:v>
                </c:pt>
                <c:pt idx="308">
                  <c:v>-2.6298200000000002E-3</c:v>
                </c:pt>
                <c:pt idx="309">
                  <c:v>-2.6057099999999998E-3</c:v>
                </c:pt>
                <c:pt idx="310">
                  <c:v>-2.6051E-3</c:v>
                </c:pt>
                <c:pt idx="311">
                  <c:v>-2.6239800000000001E-3</c:v>
                </c:pt>
                <c:pt idx="312">
                  <c:v>-2.6031600000000002E-3</c:v>
                </c:pt>
                <c:pt idx="313">
                  <c:v>-2.6393499999999999E-3</c:v>
                </c:pt>
                <c:pt idx="314">
                  <c:v>-2.6032799999999999E-3</c:v>
                </c:pt>
                <c:pt idx="315">
                  <c:v>-2.6121500000000001E-3</c:v>
                </c:pt>
                <c:pt idx="316">
                  <c:v>-2.6863999999999998E-3</c:v>
                </c:pt>
                <c:pt idx="317">
                  <c:v>-2.6443999999999999E-3</c:v>
                </c:pt>
                <c:pt idx="318">
                  <c:v>-2.6964599999999999E-3</c:v>
                </c:pt>
                <c:pt idx="319">
                  <c:v>-2.7191099999999998E-3</c:v>
                </c:pt>
                <c:pt idx="320">
                  <c:v>-2.7073000000000002E-3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3C7-45AF-9164-FC6A9FDF0C45}"/>
            </c:ext>
          </c:extLst>
        </c:ser>
        <c:ser>
          <c:idx val="2"/>
          <c:order val="1"/>
          <c:spPr>
            <a:ln w="19050" cap="rnd">
              <a:noFill/>
              <a:round/>
            </a:ln>
            <a:effectLst/>
          </c:spPr>
          <c:xVal>
            <c:numRef>
              <c:f>'L30CPTX-2'!$B$80:$B$400</c:f>
              <c:numCache>
                <c:formatCode>General</c:formatCode>
                <c:ptCount val="321"/>
                <c:pt idx="0">
                  <c:v>1.06869E-3</c:v>
                </c:pt>
                <c:pt idx="1">
                  <c:v>1.05872E-3</c:v>
                </c:pt>
                <c:pt idx="2">
                  <c:v>1.0695399999999999E-3</c:v>
                </c:pt>
                <c:pt idx="3">
                  <c:v>1.0937500000000001E-3</c:v>
                </c:pt>
                <c:pt idx="4">
                  <c:v>1.09815E-3</c:v>
                </c:pt>
                <c:pt idx="5">
                  <c:v>1.1367700000000001E-3</c:v>
                </c:pt>
                <c:pt idx="6">
                  <c:v>1.1829200000000001E-3</c:v>
                </c:pt>
                <c:pt idx="7">
                  <c:v>1.1151799999999999E-3</c:v>
                </c:pt>
                <c:pt idx="8">
                  <c:v>1.0974400000000001E-3</c:v>
                </c:pt>
                <c:pt idx="9">
                  <c:v>1.1653E-3</c:v>
                </c:pt>
                <c:pt idx="10">
                  <c:v>1.2129300000000001E-3</c:v>
                </c:pt>
                <c:pt idx="11">
                  <c:v>1.1256199999999999E-3</c:v>
                </c:pt>
                <c:pt idx="12">
                  <c:v>1.25595E-3</c:v>
                </c:pt>
                <c:pt idx="13">
                  <c:v>1.2611199999999999E-3</c:v>
                </c:pt>
                <c:pt idx="14">
                  <c:v>1.2479399999999999E-3</c:v>
                </c:pt>
                <c:pt idx="15">
                  <c:v>1.3054500000000001E-3</c:v>
                </c:pt>
                <c:pt idx="16">
                  <c:v>1.25624E-3</c:v>
                </c:pt>
                <c:pt idx="17">
                  <c:v>1.2589000000000001E-3</c:v>
                </c:pt>
                <c:pt idx="18">
                  <c:v>1.27717E-3</c:v>
                </c:pt>
                <c:pt idx="19">
                  <c:v>1.2873400000000001E-3</c:v>
                </c:pt>
                <c:pt idx="20">
                  <c:v>1.3513100000000001E-3</c:v>
                </c:pt>
                <c:pt idx="21">
                  <c:v>1.3460499999999999E-3</c:v>
                </c:pt>
                <c:pt idx="22">
                  <c:v>1.39989E-3</c:v>
                </c:pt>
                <c:pt idx="23">
                  <c:v>1.4116300000000001E-3</c:v>
                </c:pt>
                <c:pt idx="24">
                  <c:v>1.4011200000000001E-3</c:v>
                </c:pt>
                <c:pt idx="25">
                  <c:v>1.4138499999999999E-3</c:v>
                </c:pt>
                <c:pt idx="26">
                  <c:v>1.43417E-3</c:v>
                </c:pt>
                <c:pt idx="27">
                  <c:v>1.43812E-3</c:v>
                </c:pt>
                <c:pt idx="28">
                  <c:v>1.40372E-3</c:v>
                </c:pt>
                <c:pt idx="29">
                  <c:v>1.42311E-3</c:v>
                </c:pt>
                <c:pt idx="30">
                  <c:v>1.4739099999999999E-3</c:v>
                </c:pt>
                <c:pt idx="31">
                  <c:v>1.5771699999999999E-3</c:v>
                </c:pt>
                <c:pt idx="32">
                  <c:v>1.56499E-3</c:v>
                </c:pt>
                <c:pt idx="33">
                  <c:v>1.57679E-3</c:v>
                </c:pt>
                <c:pt idx="34">
                  <c:v>1.59796E-3</c:v>
                </c:pt>
                <c:pt idx="35">
                  <c:v>1.6037899999999999E-3</c:v>
                </c:pt>
                <c:pt idx="36">
                  <c:v>1.6043699999999999E-3</c:v>
                </c:pt>
                <c:pt idx="37">
                  <c:v>1.61228E-3</c:v>
                </c:pt>
                <c:pt idx="38">
                  <c:v>1.54412E-3</c:v>
                </c:pt>
                <c:pt idx="39">
                  <c:v>1.6245400000000001E-3</c:v>
                </c:pt>
                <c:pt idx="40">
                  <c:v>1.6185399999999999E-3</c:v>
                </c:pt>
                <c:pt idx="41">
                  <c:v>1.60425E-3</c:v>
                </c:pt>
                <c:pt idx="42">
                  <c:v>1.6759100000000001E-3</c:v>
                </c:pt>
                <c:pt idx="43">
                  <c:v>1.64474E-3</c:v>
                </c:pt>
                <c:pt idx="44">
                  <c:v>1.7068599999999999E-3</c:v>
                </c:pt>
                <c:pt idx="45">
                  <c:v>1.77546E-3</c:v>
                </c:pt>
                <c:pt idx="46">
                  <c:v>1.7290199999999999E-3</c:v>
                </c:pt>
                <c:pt idx="47">
                  <c:v>1.7814199999999999E-3</c:v>
                </c:pt>
                <c:pt idx="48">
                  <c:v>1.7831399999999999E-3</c:v>
                </c:pt>
                <c:pt idx="49">
                  <c:v>1.7905600000000001E-3</c:v>
                </c:pt>
                <c:pt idx="50">
                  <c:v>1.8386699999999999E-3</c:v>
                </c:pt>
                <c:pt idx="51">
                  <c:v>1.8566500000000001E-3</c:v>
                </c:pt>
                <c:pt idx="52">
                  <c:v>1.92223E-3</c:v>
                </c:pt>
                <c:pt idx="53">
                  <c:v>1.8800799999999999E-3</c:v>
                </c:pt>
                <c:pt idx="54">
                  <c:v>1.8723699999999999E-3</c:v>
                </c:pt>
                <c:pt idx="55">
                  <c:v>1.9016E-3</c:v>
                </c:pt>
                <c:pt idx="56">
                  <c:v>1.93089E-3</c:v>
                </c:pt>
                <c:pt idx="57">
                  <c:v>1.9503299999999999E-3</c:v>
                </c:pt>
                <c:pt idx="58">
                  <c:v>1.92165E-3</c:v>
                </c:pt>
                <c:pt idx="59">
                  <c:v>1.91617E-3</c:v>
                </c:pt>
                <c:pt idx="60">
                  <c:v>1.9302500000000001E-3</c:v>
                </c:pt>
                <c:pt idx="61">
                  <c:v>1.9737800000000001E-3</c:v>
                </c:pt>
                <c:pt idx="62">
                  <c:v>2.0573499999999999E-3</c:v>
                </c:pt>
                <c:pt idx="63">
                  <c:v>2.02111E-3</c:v>
                </c:pt>
                <c:pt idx="64">
                  <c:v>2.0503800000000001E-3</c:v>
                </c:pt>
                <c:pt idx="65">
                  <c:v>2.0201799999999999E-3</c:v>
                </c:pt>
                <c:pt idx="66">
                  <c:v>2.0484000000000001E-3</c:v>
                </c:pt>
                <c:pt idx="67">
                  <c:v>2.1005799999999999E-3</c:v>
                </c:pt>
                <c:pt idx="68">
                  <c:v>2.0953999999999999E-3</c:v>
                </c:pt>
                <c:pt idx="69">
                  <c:v>2.14795E-3</c:v>
                </c:pt>
                <c:pt idx="70">
                  <c:v>2.15059E-3</c:v>
                </c:pt>
                <c:pt idx="71">
                  <c:v>2.1333900000000002E-3</c:v>
                </c:pt>
                <c:pt idx="72">
                  <c:v>2.04843E-3</c:v>
                </c:pt>
                <c:pt idx="73">
                  <c:v>2.1901400000000001E-3</c:v>
                </c:pt>
                <c:pt idx="74">
                  <c:v>2.2635300000000001E-3</c:v>
                </c:pt>
                <c:pt idx="75">
                  <c:v>2.1970499999999999E-3</c:v>
                </c:pt>
                <c:pt idx="76">
                  <c:v>2.2323199999999999E-3</c:v>
                </c:pt>
                <c:pt idx="77">
                  <c:v>2.3059500000000002E-3</c:v>
                </c:pt>
                <c:pt idx="78">
                  <c:v>2.3064399999999999E-3</c:v>
                </c:pt>
                <c:pt idx="79">
                  <c:v>2.3828899999999999E-3</c:v>
                </c:pt>
                <c:pt idx="80">
                  <c:v>2.30752E-3</c:v>
                </c:pt>
                <c:pt idx="81">
                  <c:v>2.3875099999999998E-3</c:v>
                </c:pt>
                <c:pt idx="82">
                  <c:v>2.3591300000000001E-3</c:v>
                </c:pt>
                <c:pt idx="83">
                  <c:v>2.3410499999999999E-3</c:v>
                </c:pt>
                <c:pt idx="84">
                  <c:v>2.4137799999999999E-3</c:v>
                </c:pt>
                <c:pt idx="85">
                  <c:v>2.4557099999999998E-3</c:v>
                </c:pt>
                <c:pt idx="86">
                  <c:v>2.4034500000000001E-3</c:v>
                </c:pt>
                <c:pt idx="87">
                  <c:v>2.4446300000000002E-3</c:v>
                </c:pt>
                <c:pt idx="88">
                  <c:v>2.5485799999999999E-3</c:v>
                </c:pt>
                <c:pt idx="89">
                  <c:v>2.4968199999999999E-3</c:v>
                </c:pt>
                <c:pt idx="90">
                  <c:v>2.5000000000000001E-3</c:v>
                </c:pt>
                <c:pt idx="91">
                  <c:v>2.4727299999999998E-3</c:v>
                </c:pt>
                <c:pt idx="92">
                  <c:v>2.5008500000000002E-3</c:v>
                </c:pt>
                <c:pt idx="93">
                  <c:v>2.5371600000000001E-3</c:v>
                </c:pt>
                <c:pt idx="94">
                  <c:v>2.5719100000000002E-3</c:v>
                </c:pt>
                <c:pt idx="95">
                  <c:v>2.5528399999999998E-3</c:v>
                </c:pt>
                <c:pt idx="96">
                  <c:v>2.5554800000000002E-3</c:v>
                </c:pt>
                <c:pt idx="97">
                  <c:v>2.5657000000000002E-3</c:v>
                </c:pt>
                <c:pt idx="98">
                  <c:v>2.6302600000000001E-3</c:v>
                </c:pt>
                <c:pt idx="99">
                  <c:v>2.6326100000000001E-3</c:v>
                </c:pt>
                <c:pt idx="100">
                  <c:v>2.5926399999999998E-3</c:v>
                </c:pt>
                <c:pt idx="101">
                  <c:v>2.6420699999999998E-3</c:v>
                </c:pt>
                <c:pt idx="102">
                  <c:v>2.6118700000000001E-3</c:v>
                </c:pt>
                <c:pt idx="103">
                  <c:v>2.63379E-3</c:v>
                </c:pt>
                <c:pt idx="104">
                  <c:v>2.6832100000000001E-3</c:v>
                </c:pt>
                <c:pt idx="105">
                  <c:v>2.6761100000000002E-3</c:v>
                </c:pt>
                <c:pt idx="106">
                  <c:v>2.7103700000000001E-3</c:v>
                </c:pt>
                <c:pt idx="107">
                  <c:v>2.7199300000000002E-3</c:v>
                </c:pt>
                <c:pt idx="108">
                  <c:v>2.7651099999999999E-3</c:v>
                </c:pt>
                <c:pt idx="109">
                  <c:v>2.6997100000000001E-3</c:v>
                </c:pt>
                <c:pt idx="110">
                  <c:v>2.7939200000000001E-3</c:v>
                </c:pt>
                <c:pt idx="111">
                  <c:v>2.7375899999999998E-3</c:v>
                </c:pt>
                <c:pt idx="112">
                  <c:v>2.8333E-3</c:v>
                </c:pt>
                <c:pt idx="113">
                  <c:v>2.7683199999999999E-3</c:v>
                </c:pt>
                <c:pt idx="114">
                  <c:v>2.8541299999999999E-3</c:v>
                </c:pt>
                <c:pt idx="115">
                  <c:v>2.8375700000000002E-3</c:v>
                </c:pt>
                <c:pt idx="116">
                  <c:v>2.7416699999999999E-3</c:v>
                </c:pt>
                <c:pt idx="117">
                  <c:v>2.8558899999999998E-3</c:v>
                </c:pt>
                <c:pt idx="118">
                  <c:v>2.8313399999999999E-3</c:v>
                </c:pt>
                <c:pt idx="119">
                  <c:v>2.826E-3</c:v>
                </c:pt>
                <c:pt idx="120">
                  <c:v>2.8696099999999999E-3</c:v>
                </c:pt>
                <c:pt idx="121">
                  <c:v>2.9726399999999999E-3</c:v>
                </c:pt>
                <c:pt idx="122">
                  <c:v>2.9397799999999999E-3</c:v>
                </c:pt>
                <c:pt idx="123">
                  <c:v>3.04894E-3</c:v>
                </c:pt>
                <c:pt idx="124">
                  <c:v>2.9429999999999999E-3</c:v>
                </c:pt>
                <c:pt idx="125">
                  <c:v>2.9635400000000002E-3</c:v>
                </c:pt>
                <c:pt idx="126">
                  <c:v>3.01732E-3</c:v>
                </c:pt>
                <c:pt idx="127">
                  <c:v>2.9862199999999999E-3</c:v>
                </c:pt>
                <c:pt idx="128">
                  <c:v>3.06054E-3</c:v>
                </c:pt>
                <c:pt idx="129">
                  <c:v>2.9899100000000001E-3</c:v>
                </c:pt>
                <c:pt idx="130">
                  <c:v>3.0288099999999998E-3</c:v>
                </c:pt>
                <c:pt idx="131">
                  <c:v>3.0747399999999999E-3</c:v>
                </c:pt>
                <c:pt idx="132">
                  <c:v>3.0536700000000001E-3</c:v>
                </c:pt>
                <c:pt idx="133">
                  <c:v>3.1060900000000002E-3</c:v>
                </c:pt>
                <c:pt idx="134">
                  <c:v>3.0955000000000002E-3</c:v>
                </c:pt>
                <c:pt idx="135">
                  <c:v>3.1335299999999998E-3</c:v>
                </c:pt>
                <c:pt idx="136">
                  <c:v>3.1985500000000001E-3</c:v>
                </c:pt>
                <c:pt idx="137">
                  <c:v>3.1440600000000002E-3</c:v>
                </c:pt>
                <c:pt idx="138">
                  <c:v>3.1610499999999999E-3</c:v>
                </c:pt>
                <c:pt idx="139">
                  <c:v>3.1744899999999999E-3</c:v>
                </c:pt>
                <c:pt idx="140">
                  <c:v>3.1159E-3</c:v>
                </c:pt>
                <c:pt idx="141">
                  <c:v>3.2254900000000001E-3</c:v>
                </c:pt>
                <c:pt idx="142">
                  <c:v>3.28204E-3</c:v>
                </c:pt>
                <c:pt idx="143">
                  <c:v>3.2510999999999998E-3</c:v>
                </c:pt>
                <c:pt idx="144">
                  <c:v>3.2391999999999998E-3</c:v>
                </c:pt>
                <c:pt idx="145">
                  <c:v>3.2768799999999998E-3</c:v>
                </c:pt>
                <c:pt idx="146">
                  <c:v>3.27392E-3</c:v>
                </c:pt>
                <c:pt idx="147">
                  <c:v>3.2821199999999999E-3</c:v>
                </c:pt>
                <c:pt idx="148">
                  <c:v>3.31139E-3</c:v>
                </c:pt>
                <c:pt idx="149">
                  <c:v>3.3964099999999999E-3</c:v>
                </c:pt>
                <c:pt idx="150">
                  <c:v>3.3349400000000002E-3</c:v>
                </c:pt>
                <c:pt idx="151">
                  <c:v>3.3681800000000001E-3</c:v>
                </c:pt>
                <c:pt idx="152">
                  <c:v>3.34169E-3</c:v>
                </c:pt>
                <c:pt idx="153">
                  <c:v>3.37456E-3</c:v>
                </c:pt>
                <c:pt idx="154">
                  <c:v>3.3940400000000001E-3</c:v>
                </c:pt>
                <c:pt idx="155">
                  <c:v>3.4454899999999998E-3</c:v>
                </c:pt>
                <c:pt idx="156">
                  <c:v>3.4153600000000001E-3</c:v>
                </c:pt>
                <c:pt idx="157">
                  <c:v>3.4062799999999998E-3</c:v>
                </c:pt>
                <c:pt idx="158">
                  <c:v>3.4113199999999998E-3</c:v>
                </c:pt>
                <c:pt idx="159">
                  <c:v>3.47445E-3</c:v>
                </c:pt>
                <c:pt idx="160">
                  <c:v>3.4504700000000002E-3</c:v>
                </c:pt>
                <c:pt idx="161">
                  <c:v>3.5361199999999998E-3</c:v>
                </c:pt>
                <c:pt idx="162">
                  <c:v>3.4786000000000001E-3</c:v>
                </c:pt>
                <c:pt idx="163">
                  <c:v>3.46431E-3</c:v>
                </c:pt>
                <c:pt idx="164">
                  <c:v>3.5307200000000002E-3</c:v>
                </c:pt>
                <c:pt idx="165">
                  <c:v>3.5873799999999998E-3</c:v>
                </c:pt>
                <c:pt idx="166">
                  <c:v>3.5385999999999998E-3</c:v>
                </c:pt>
                <c:pt idx="167">
                  <c:v>3.60414E-3</c:v>
                </c:pt>
                <c:pt idx="168">
                  <c:v>3.6011099999999998E-3</c:v>
                </c:pt>
                <c:pt idx="169">
                  <c:v>3.6071599999999999E-3</c:v>
                </c:pt>
                <c:pt idx="170">
                  <c:v>3.6399000000000002E-3</c:v>
                </c:pt>
                <c:pt idx="171">
                  <c:v>3.6584500000000002E-3</c:v>
                </c:pt>
                <c:pt idx="172">
                  <c:v>3.6624600000000002E-3</c:v>
                </c:pt>
                <c:pt idx="173">
                  <c:v>3.6443399999999998E-3</c:v>
                </c:pt>
                <c:pt idx="174">
                  <c:v>3.6581399999999998E-3</c:v>
                </c:pt>
                <c:pt idx="175">
                  <c:v>3.7190700000000001E-3</c:v>
                </c:pt>
                <c:pt idx="176">
                  <c:v>3.72471E-3</c:v>
                </c:pt>
                <c:pt idx="177">
                  <c:v>3.7533499999999999E-3</c:v>
                </c:pt>
                <c:pt idx="178">
                  <c:v>3.6169599999999998E-3</c:v>
                </c:pt>
                <c:pt idx="179">
                  <c:v>3.6743499999999998E-3</c:v>
                </c:pt>
                <c:pt idx="180">
                  <c:v>3.74253E-3</c:v>
                </c:pt>
                <c:pt idx="181">
                  <c:v>3.7615700000000001E-3</c:v>
                </c:pt>
                <c:pt idx="182">
                  <c:v>3.80518E-3</c:v>
                </c:pt>
                <c:pt idx="183">
                  <c:v>3.72493E-3</c:v>
                </c:pt>
                <c:pt idx="184">
                  <c:v>3.7760200000000002E-3</c:v>
                </c:pt>
                <c:pt idx="185">
                  <c:v>3.8373299999999999E-3</c:v>
                </c:pt>
                <c:pt idx="186">
                  <c:v>3.8006400000000001E-3</c:v>
                </c:pt>
                <c:pt idx="187">
                  <c:v>3.7634500000000002E-3</c:v>
                </c:pt>
                <c:pt idx="188">
                  <c:v>3.77028E-3</c:v>
                </c:pt>
                <c:pt idx="189">
                  <c:v>3.8500600000000002E-3</c:v>
                </c:pt>
                <c:pt idx="190">
                  <c:v>3.8818799999999999E-3</c:v>
                </c:pt>
                <c:pt idx="191">
                  <c:v>3.9104999999999999E-3</c:v>
                </c:pt>
                <c:pt idx="192">
                  <c:v>3.8508700000000002E-3</c:v>
                </c:pt>
                <c:pt idx="193">
                  <c:v>3.9620100000000002E-3</c:v>
                </c:pt>
                <c:pt idx="194">
                  <c:v>3.9863199999999998E-3</c:v>
                </c:pt>
                <c:pt idx="195">
                  <c:v>4.0567399999999997E-3</c:v>
                </c:pt>
                <c:pt idx="196">
                  <c:v>3.9957200000000003E-3</c:v>
                </c:pt>
                <c:pt idx="197">
                  <c:v>3.9437700000000001E-3</c:v>
                </c:pt>
                <c:pt idx="198">
                  <c:v>3.9929600000000003E-3</c:v>
                </c:pt>
                <c:pt idx="199">
                  <c:v>4.0280300000000002E-3</c:v>
                </c:pt>
                <c:pt idx="200">
                  <c:v>4.0018500000000004E-3</c:v>
                </c:pt>
                <c:pt idx="201">
                  <c:v>4.0804600000000002E-3</c:v>
                </c:pt>
                <c:pt idx="202">
                  <c:v>4.0574599999999997E-3</c:v>
                </c:pt>
                <c:pt idx="203">
                  <c:v>4.0892400000000001E-3</c:v>
                </c:pt>
                <c:pt idx="204">
                  <c:v>4.12372E-3</c:v>
                </c:pt>
                <c:pt idx="205">
                  <c:v>4.1483099999999997E-3</c:v>
                </c:pt>
                <c:pt idx="206">
                  <c:v>4.1140200000000004E-3</c:v>
                </c:pt>
                <c:pt idx="207">
                  <c:v>4.1131099999999997E-3</c:v>
                </c:pt>
                <c:pt idx="208">
                  <c:v>4.1681599999999997E-3</c:v>
                </c:pt>
                <c:pt idx="209">
                  <c:v>4.1851700000000002E-3</c:v>
                </c:pt>
                <c:pt idx="210">
                  <c:v>4.2210700000000004E-3</c:v>
                </c:pt>
                <c:pt idx="211">
                  <c:v>4.1770100000000001E-3</c:v>
                </c:pt>
                <c:pt idx="212">
                  <c:v>4.2574800000000001E-3</c:v>
                </c:pt>
                <c:pt idx="213">
                  <c:v>4.2922200000000002E-3</c:v>
                </c:pt>
                <c:pt idx="214">
                  <c:v>4.24304E-3</c:v>
                </c:pt>
                <c:pt idx="215">
                  <c:v>4.2516300000000002E-3</c:v>
                </c:pt>
                <c:pt idx="216">
                  <c:v>4.3198100000000003E-3</c:v>
                </c:pt>
                <c:pt idx="217">
                  <c:v>4.3086399999999999E-3</c:v>
                </c:pt>
                <c:pt idx="218">
                  <c:v>4.3361700000000003E-3</c:v>
                </c:pt>
                <c:pt idx="219">
                  <c:v>4.3275700000000002E-3</c:v>
                </c:pt>
                <c:pt idx="220">
                  <c:v>4.4087500000000003E-3</c:v>
                </c:pt>
                <c:pt idx="221">
                  <c:v>4.4003200000000001E-3</c:v>
                </c:pt>
                <c:pt idx="222">
                  <c:v>4.4162899999999998E-3</c:v>
                </c:pt>
                <c:pt idx="223">
                  <c:v>4.3502000000000002E-3</c:v>
                </c:pt>
                <c:pt idx="224">
                  <c:v>4.4093600000000002E-3</c:v>
                </c:pt>
                <c:pt idx="225">
                  <c:v>4.3917499999999998E-3</c:v>
                </c:pt>
                <c:pt idx="226">
                  <c:v>4.4863500000000001E-3</c:v>
                </c:pt>
                <c:pt idx="227">
                  <c:v>4.4429700000000001E-3</c:v>
                </c:pt>
                <c:pt idx="228">
                  <c:v>4.4748499999999998E-3</c:v>
                </c:pt>
                <c:pt idx="229">
                  <c:v>4.4503299999999997E-3</c:v>
                </c:pt>
                <c:pt idx="230">
                  <c:v>4.5133300000000003E-3</c:v>
                </c:pt>
                <c:pt idx="231">
                  <c:v>4.59429E-3</c:v>
                </c:pt>
                <c:pt idx="232">
                  <c:v>4.5150900000000002E-3</c:v>
                </c:pt>
                <c:pt idx="233">
                  <c:v>4.5209500000000001E-3</c:v>
                </c:pt>
                <c:pt idx="234">
                  <c:v>4.5561500000000001E-3</c:v>
                </c:pt>
                <c:pt idx="235">
                  <c:v>4.5361999999999998E-3</c:v>
                </c:pt>
                <c:pt idx="236">
                  <c:v>4.61503E-3</c:v>
                </c:pt>
                <c:pt idx="237">
                  <c:v>4.6408700000000001E-3</c:v>
                </c:pt>
                <c:pt idx="238">
                  <c:v>4.5688300000000003E-3</c:v>
                </c:pt>
                <c:pt idx="239">
                  <c:v>4.6020499999999999E-3</c:v>
                </c:pt>
                <c:pt idx="240">
                  <c:v>4.6049400000000001E-3</c:v>
                </c:pt>
                <c:pt idx="241">
                  <c:v>4.6277599999999999E-3</c:v>
                </c:pt>
                <c:pt idx="242">
                  <c:v>4.6799500000000004E-3</c:v>
                </c:pt>
                <c:pt idx="243">
                  <c:v>4.5925899999999997E-3</c:v>
                </c:pt>
                <c:pt idx="244">
                  <c:v>4.6827300000000004E-3</c:v>
                </c:pt>
                <c:pt idx="245">
                  <c:v>4.7633299999999996E-3</c:v>
                </c:pt>
                <c:pt idx="246">
                  <c:v>4.7376500000000004E-3</c:v>
                </c:pt>
                <c:pt idx="247">
                  <c:v>4.7122400000000004E-3</c:v>
                </c:pt>
                <c:pt idx="248">
                  <c:v>4.6626100000000002E-3</c:v>
                </c:pt>
                <c:pt idx="249">
                  <c:v>4.70382E-3</c:v>
                </c:pt>
                <c:pt idx="250">
                  <c:v>4.7474099999999997E-3</c:v>
                </c:pt>
                <c:pt idx="251">
                  <c:v>4.7733599999999999E-3</c:v>
                </c:pt>
                <c:pt idx="252">
                  <c:v>4.7417900000000001E-3</c:v>
                </c:pt>
                <c:pt idx="253">
                  <c:v>4.8383499999999999E-3</c:v>
                </c:pt>
                <c:pt idx="254">
                  <c:v>4.8205699999999997E-3</c:v>
                </c:pt>
                <c:pt idx="255">
                  <c:v>4.8344399999999997E-3</c:v>
                </c:pt>
                <c:pt idx="256">
                  <c:v>4.8885400000000002E-3</c:v>
                </c:pt>
                <c:pt idx="257">
                  <c:v>4.8742200000000003E-3</c:v>
                </c:pt>
                <c:pt idx="258">
                  <c:v>4.8916100000000002E-3</c:v>
                </c:pt>
                <c:pt idx="259">
                  <c:v>4.9197800000000003E-3</c:v>
                </c:pt>
                <c:pt idx="260">
                  <c:v>4.9147799999999997E-3</c:v>
                </c:pt>
                <c:pt idx="261">
                  <c:v>4.9386999999999999E-3</c:v>
                </c:pt>
                <c:pt idx="262">
                  <c:v>4.9501700000000003E-3</c:v>
                </c:pt>
                <c:pt idx="263">
                  <c:v>5.0148600000000003E-3</c:v>
                </c:pt>
                <c:pt idx="264">
                  <c:v>4.9324E-3</c:v>
                </c:pt>
                <c:pt idx="265">
                  <c:v>5.0070699999999998E-3</c:v>
                </c:pt>
                <c:pt idx="266">
                  <c:v>4.9187299999999996E-3</c:v>
                </c:pt>
                <c:pt idx="267">
                  <c:v>5.0501900000000004E-3</c:v>
                </c:pt>
                <c:pt idx="268">
                  <c:v>5.0531400000000002E-3</c:v>
                </c:pt>
                <c:pt idx="269">
                  <c:v>5.0476799999999997E-3</c:v>
                </c:pt>
                <c:pt idx="270">
                  <c:v>5.0580399999999998E-3</c:v>
                </c:pt>
                <c:pt idx="271">
                  <c:v>5.0541900000000001E-3</c:v>
                </c:pt>
                <c:pt idx="272">
                  <c:v>5.0715400000000002E-3</c:v>
                </c:pt>
                <c:pt idx="273">
                  <c:v>5.0775500000000001E-3</c:v>
                </c:pt>
                <c:pt idx="274">
                  <c:v>5.1352699999999999E-3</c:v>
                </c:pt>
                <c:pt idx="275">
                  <c:v>5.1043599999999996E-3</c:v>
                </c:pt>
                <c:pt idx="276">
                  <c:v>5.1329699999999997E-3</c:v>
                </c:pt>
                <c:pt idx="277">
                  <c:v>5.1660899999999999E-3</c:v>
                </c:pt>
                <c:pt idx="278">
                  <c:v>5.19499E-3</c:v>
                </c:pt>
                <c:pt idx="279">
                  <c:v>5.11466E-3</c:v>
                </c:pt>
                <c:pt idx="280">
                  <c:v>5.2264800000000004E-3</c:v>
                </c:pt>
                <c:pt idx="281">
                  <c:v>5.2119899999999997E-3</c:v>
                </c:pt>
                <c:pt idx="282">
                  <c:v>5.2853400000000004E-3</c:v>
                </c:pt>
                <c:pt idx="283">
                  <c:v>5.2648199999999999E-3</c:v>
                </c:pt>
                <c:pt idx="284">
                  <c:v>5.2665000000000003E-3</c:v>
                </c:pt>
                <c:pt idx="285">
                  <c:v>5.2554699999999999E-3</c:v>
                </c:pt>
                <c:pt idx="286">
                  <c:v>5.2701600000000003E-3</c:v>
                </c:pt>
                <c:pt idx="287">
                  <c:v>5.2481699999999999E-3</c:v>
                </c:pt>
                <c:pt idx="288">
                  <c:v>5.2769100000000001E-3</c:v>
                </c:pt>
                <c:pt idx="289">
                  <c:v>5.3036799999999999E-3</c:v>
                </c:pt>
                <c:pt idx="290">
                  <c:v>5.32191E-3</c:v>
                </c:pt>
                <c:pt idx="291">
                  <c:v>5.3902300000000002E-3</c:v>
                </c:pt>
                <c:pt idx="292">
                  <c:v>5.3932499999999996E-3</c:v>
                </c:pt>
                <c:pt idx="293">
                  <c:v>5.3961699999999996E-3</c:v>
                </c:pt>
                <c:pt idx="294">
                  <c:v>5.3641399999999999E-3</c:v>
                </c:pt>
                <c:pt idx="295">
                  <c:v>5.4138299999999997E-3</c:v>
                </c:pt>
                <c:pt idx="296">
                  <c:v>5.4072800000000004E-3</c:v>
                </c:pt>
                <c:pt idx="297">
                  <c:v>5.3867200000000002E-3</c:v>
                </c:pt>
                <c:pt idx="298">
                  <c:v>5.4279699999999998E-3</c:v>
                </c:pt>
                <c:pt idx="299">
                  <c:v>5.4225699999999998E-3</c:v>
                </c:pt>
                <c:pt idx="300">
                  <c:v>5.4550299999999996E-3</c:v>
                </c:pt>
                <c:pt idx="301">
                  <c:v>5.3911000000000002E-3</c:v>
                </c:pt>
                <c:pt idx="302">
                  <c:v>5.4666000000000003E-3</c:v>
                </c:pt>
                <c:pt idx="303">
                  <c:v>5.4682100000000003E-3</c:v>
                </c:pt>
                <c:pt idx="304">
                  <c:v>5.5368300000000004E-3</c:v>
                </c:pt>
                <c:pt idx="305">
                  <c:v>5.4926799999999998E-3</c:v>
                </c:pt>
                <c:pt idx="306">
                  <c:v>5.5092700000000001E-3</c:v>
                </c:pt>
                <c:pt idx="307">
                  <c:v>5.5454199999999997E-3</c:v>
                </c:pt>
                <c:pt idx="308">
                  <c:v>5.6232900000000004E-3</c:v>
                </c:pt>
                <c:pt idx="309">
                  <c:v>5.5698400000000004E-3</c:v>
                </c:pt>
                <c:pt idx="310">
                  <c:v>5.6069199999999996E-3</c:v>
                </c:pt>
                <c:pt idx="311">
                  <c:v>5.6037099999999996E-3</c:v>
                </c:pt>
                <c:pt idx="312">
                  <c:v>5.6092900000000003E-3</c:v>
                </c:pt>
                <c:pt idx="313">
                  <c:v>5.6500500000000002E-3</c:v>
                </c:pt>
                <c:pt idx="314">
                  <c:v>5.6667100000000001E-3</c:v>
                </c:pt>
                <c:pt idx="315">
                  <c:v>5.6631900000000002E-3</c:v>
                </c:pt>
                <c:pt idx="316">
                  <c:v>5.5782200000000001E-3</c:v>
                </c:pt>
                <c:pt idx="317">
                  <c:v>5.6271899999999998E-3</c:v>
                </c:pt>
                <c:pt idx="318">
                  <c:v>5.6280200000000001E-3</c:v>
                </c:pt>
                <c:pt idx="319">
                  <c:v>5.78284E-3</c:v>
                </c:pt>
                <c:pt idx="320">
                  <c:v>5.6936299999999999E-3</c:v>
                </c:pt>
              </c:numCache>
            </c:numRef>
          </c:xVal>
          <c:yVal>
            <c:numRef>
              <c:f>'L30CPTX-2'!$J$80:$J$400</c:f>
              <c:numCache>
                <c:formatCode>General</c:formatCode>
                <c:ptCount val="321"/>
                <c:pt idx="0">
                  <c:v>-4.0798599999999999E-4</c:v>
                </c:pt>
                <c:pt idx="1">
                  <c:v>-3.7536699999999999E-4</c:v>
                </c:pt>
                <c:pt idx="2">
                  <c:v>-4.3211999999999998E-4</c:v>
                </c:pt>
                <c:pt idx="3">
                  <c:v>-3.4203700000000001E-4</c:v>
                </c:pt>
                <c:pt idx="4">
                  <c:v>-3.3468700000000002E-4</c:v>
                </c:pt>
                <c:pt idx="5">
                  <c:v>-3.4807799999999998E-4</c:v>
                </c:pt>
                <c:pt idx="6">
                  <c:v>-3.48733E-4</c:v>
                </c:pt>
                <c:pt idx="7">
                  <c:v>-4.5772500000000003E-4</c:v>
                </c:pt>
                <c:pt idx="8">
                  <c:v>-5.1841599999999995E-4</c:v>
                </c:pt>
                <c:pt idx="9">
                  <c:v>-5.7402799999999997E-4</c:v>
                </c:pt>
                <c:pt idx="10">
                  <c:v>-4.3935399999999998E-4</c:v>
                </c:pt>
                <c:pt idx="11">
                  <c:v>-4.0040900000000001E-4</c:v>
                </c:pt>
                <c:pt idx="12">
                  <c:v>-5.2341099999999999E-4</c:v>
                </c:pt>
                <c:pt idx="13">
                  <c:v>-4.59266E-4</c:v>
                </c:pt>
                <c:pt idx="14">
                  <c:v>-4.9589399999999998E-4</c:v>
                </c:pt>
                <c:pt idx="15">
                  <c:v>-4.7885899999999999E-4</c:v>
                </c:pt>
                <c:pt idx="16">
                  <c:v>-4.4439600000000001E-4</c:v>
                </c:pt>
                <c:pt idx="17">
                  <c:v>-5.7377600000000002E-4</c:v>
                </c:pt>
                <c:pt idx="18">
                  <c:v>-5.3459000000000004E-4</c:v>
                </c:pt>
                <c:pt idx="19">
                  <c:v>-5.3140700000000002E-4</c:v>
                </c:pt>
                <c:pt idx="20">
                  <c:v>-6.0057600000000002E-4</c:v>
                </c:pt>
                <c:pt idx="21">
                  <c:v>-5.0637999999999996E-4</c:v>
                </c:pt>
                <c:pt idx="22">
                  <c:v>-5.1983499999999996E-4</c:v>
                </c:pt>
                <c:pt idx="23">
                  <c:v>-5.2450299999999995E-4</c:v>
                </c:pt>
                <c:pt idx="24">
                  <c:v>-5.0623499999999995E-4</c:v>
                </c:pt>
                <c:pt idx="25">
                  <c:v>-6.1696600000000004E-4</c:v>
                </c:pt>
                <c:pt idx="26">
                  <c:v>-5.9192700000000001E-4</c:v>
                </c:pt>
                <c:pt idx="27">
                  <c:v>-5.4653799999999995E-4</c:v>
                </c:pt>
                <c:pt idx="28">
                  <c:v>-6.43054E-4</c:v>
                </c:pt>
                <c:pt idx="29">
                  <c:v>-5.9168600000000001E-4</c:v>
                </c:pt>
                <c:pt idx="30">
                  <c:v>-6.4539299999999996E-4</c:v>
                </c:pt>
                <c:pt idx="31">
                  <c:v>-5.8324500000000003E-4</c:v>
                </c:pt>
                <c:pt idx="32">
                  <c:v>-6.91923E-4</c:v>
                </c:pt>
                <c:pt idx="33">
                  <c:v>-6.0801099999999999E-4</c:v>
                </c:pt>
                <c:pt idx="34">
                  <c:v>-5.7471900000000001E-4</c:v>
                </c:pt>
                <c:pt idx="35">
                  <c:v>-6.8987499999999995E-4</c:v>
                </c:pt>
                <c:pt idx="36">
                  <c:v>-6.2878299999999995E-4</c:v>
                </c:pt>
                <c:pt idx="37">
                  <c:v>-5.3019199999999997E-4</c:v>
                </c:pt>
                <c:pt idx="38">
                  <c:v>-7.8039299999999999E-4</c:v>
                </c:pt>
                <c:pt idx="39">
                  <c:v>-7.8044500000000005E-4</c:v>
                </c:pt>
                <c:pt idx="40">
                  <c:v>-7.7139400000000001E-4</c:v>
                </c:pt>
                <c:pt idx="41">
                  <c:v>-6.5571200000000003E-4</c:v>
                </c:pt>
                <c:pt idx="42">
                  <c:v>-6.8183899999999995E-4</c:v>
                </c:pt>
                <c:pt idx="43">
                  <c:v>-6.8424399999999998E-4</c:v>
                </c:pt>
                <c:pt idx="44">
                  <c:v>-6.56633E-4</c:v>
                </c:pt>
                <c:pt idx="45">
                  <c:v>-7.3650699999999996E-4</c:v>
                </c:pt>
                <c:pt idx="46">
                  <c:v>-7.8798099999999999E-4</c:v>
                </c:pt>
                <c:pt idx="47">
                  <c:v>-6.6665599999999995E-4</c:v>
                </c:pt>
                <c:pt idx="48">
                  <c:v>-7.1197199999999995E-4</c:v>
                </c:pt>
                <c:pt idx="49">
                  <c:v>-7.2626699999999995E-4</c:v>
                </c:pt>
                <c:pt idx="50">
                  <c:v>-6.7662799999999997E-4</c:v>
                </c:pt>
                <c:pt idx="51">
                  <c:v>-7.1400499999999998E-4</c:v>
                </c:pt>
                <c:pt idx="52">
                  <c:v>-7.3497600000000003E-4</c:v>
                </c:pt>
                <c:pt idx="53">
                  <c:v>-6.5336799999999998E-4</c:v>
                </c:pt>
                <c:pt idx="54">
                  <c:v>-7.8288299999999995E-4</c:v>
                </c:pt>
                <c:pt idx="55">
                  <c:v>-7.4174699999999996E-4</c:v>
                </c:pt>
                <c:pt idx="56">
                  <c:v>-7.9385499999999999E-4</c:v>
                </c:pt>
                <c:pt idx="57">
                  <c:v>-7.4160700000000003E-4</c:v>
                </c:pt>
                <c:pt idx="58">
                  <c:v>-8.8597399999999998E-4</c:v>
                </c:pt>
                <c:pt idx="59">
                  <c:v>-8.3881400000000001E-4</c:v>
                </c:pt>
                <c:pt idx="60">
                  <c:v>-7.6462800000000005E-4</c:v>
                </c:pt>
                <c:pt idx="61">
                  <c:v>-7.5034699999999995E-4</c:v>
                </c:pt>
                <c:pt idx="62">
                  <c:v>-7.2521499999999997E-4</c:v>
                </c:pt>
                <c:pt idx="63">
                  <c:v>-8.3696900000000002E-4</c:v>
                </c:pt>
                <c:pt idx="64">
                  <c:v>-7.73852E-4</c:v>
                </c:pt>
                <c:pt idx="65">
                  <c:v>-8.3960899999999995E-4</c:v>
                </c:pt>
                <c:pt idx="66">
                  <c:v>-9.8367700000000008E-4</c:v>
                </c:pt>
                <c:pt idx="67">
                  <c:v>-9.7793300000000006E-4</c:v>
                </c:pt>
                <c:pt idx="68">
                  <c:v>-9.0447100000000001E-4</c:v>
                </c:pt>
                <c:pt idx="69">
                  <c:v>-8.6436399999999995E-4</c:v>
                </c:pt>
                <c:pt idx="70">
                  <c:v>-7.9939200000000001E-4</c:v>
                </c:pt>
                <c:pt idx="71">
                  <c:v>-1.0525000000000001E-3</c:v>
                </c:pt>
                <c:pt idx="72">
                  <c:v>-8.3112400000000003E-4</c:v>
                </c:pt>
                <c:pt idx="73">
                  <c:v>-9.9834899999999994E-4</c:v>
                </c:pt>
                <c:pt idx="74">
                  <c:v>-8.4699299999999999E-4</c:v>
                </c:pt>
                <c:pt idx="75">
                  <c:v>-7.0102999999999995E-4</c:v>
                </c:pt>
                <c:pt idx="76">
                  <c:v>-9.1631600000000003E-4</c:v>
                </c:pt>
                <c:pt idx="77">
                  <c:v>-8.9924899999999997E-4</c:v>
                </c:pt>
                <c:pt idx="78">
                  <c:v>-1.07204E-3</c:v>
                </c:pt>
                <c:pt idx="79">
                  <c:v>-8.5836099999999998E-4</c:v>
                </c:pt>
                <c:pt idx="80">
                  <c:v>-1.0780900000000001E-3</c:v>
                </c:pt>
                <c:pt idx="81">
                  <c:v>-9.5371500000000005E-4</c:v>
                </c:pt>
                <c:pt idx="82">
                  <c:v>-1.01285E-3</c:v>
                </c:pt>
                <c:pt idx="83">
                  <c:v>-9.3741400000000002E-4</c:v>
                </c:pt>
                <c:pt idx="84">
                  <c:v>-9.7228600000000005E-4</c:v>
                </c:pt>
                <c:pt idx="85">
                  <c:v>-9.8223699999999995E-4</c:v>
                </c:pt>
                <c:pt idx="86">
                  <c:v>-9.8894999999999994E-4</c:v>
                </c:pt>
                <c:pt idx="87">
                  <c:v>-9.7455100000000004E-4</c:v>
                </c:pt>
                <c:pt idx="88">
                  <c:v>-9.40966E-4</c:v>
                </c:pt>
                <c:pt idx="89">
                  <c:v>-1.1050000000000001E-3</c:v>
                </c:pt>
                <c:pt idx="90">
                  <c:v>-9.8520399999999994E-4</c:v>
                </c:pt>
                <c:pt idx="91">
                  <c:v>-1.08504E-3</c:v>
                </c:pt>
                <c:pt idx="92">
                  <c:v>-1.05306E-3</c:v>
                </c:pt>
                <c:pt idx="93">
                  <c:v>-9.1185099999999998E-4</c:v>
                </c:pt>
                <c:pt idx="94">
                  <c:v>-9.0911200000000001E-4</c:v>
                </c:pt>
                <c:pt idx="95">
                  <c:v>-1.0252E-3</c:v>
                </c:pt>
                <c:pt idx="96">
                  <c:v>-1.18633E-3</c:v>
                </c:pt>
                <c:pt idx="97">
                  <c:v>-1.0121900000000001E-3</c:v>
                </c:pt>
                <c:pt idx="98">
                  <c:v>-1.07156E-3</c:v>
                </c:pt>
                <c:pt idx="99">
                  <c:v>-9.5194500000000005E-4</c:v>
                </c:pt>
                <c:pt idx="100">
                  <c:v>-1.1188000000000001E-3</c:v>
                </c:pt>
                <c:pt idx="101">
                  <c:v>-1.07554E-3</c:v>
                </c:pt>
                <c:pt idx="102">
                  <c:v>-1.1015300000000001E-3</c:v>
                </c:pt>
                <c:pt idx="103">
                  <c:v>-1.0770199999999999E-3</c:v>
                </c:pt>
                <c:pt idx="104">
                  <c:v>-1.11333E-3</c:v>
                </c:pt>
                <c:pt idx="105">
                  <c:v>-1.1822099999999999E-3</c:v>
                </c:pt>
                <c:pt idx="106">
                  <c:v>-1.1403299999999999E-3</c:v>
                </c:pt>
                <c:pt idx="107">
                  <c:v>-1.2447700000000001E-3</c:v>
                </c:pt>
                <c:pt idx="108">
                  <c:v>-1.04185E-3</c:v>
                </c:pt>
                <c:pt idx="109">
                  <c:v>-1.1067200000000001E-3</c:v>
                </c:pt>
                <c:pt idx="110">
                  <c:v>-1.0014900000000001E-3</c:v>
                </c:pt>
                <c:pt idx="111">
                  <c:v>-1.1550099999999999E-3</c:v>
                </c:pt>
                <c:pt idx="112">
                  <c:v>-1.19422E-3</c:v>
                </c:pt>
                <c:pt idx="113">
                  <c:v>-1.1639700000000001E-3</c:v>
                </c:pt>
                <c:pt idx="114">
                  <c:v>-1.2026999999999999E-3</c:v>
                </c:pt>
                <c:pt idx="115">
                  <c:v>-1.2361200000000001E-3</c:v>
                </c:pt>
                <c:pt idx="116">
                  <c:v>-1.3137299999999999E-3</c:v>
                </c:pt>
                <c:pt idx="117">
                  <c:v>-1.2199699999999999E-3</c:v>
                </c:pt>
                <c:pt idx="118">
                  <c:v>-1.3585800000000001E-3</c:v>
                </c:pt>
                <c:pt idx="119">
                  <c:v>-1.1111300000000001E-3</c:v>
                </c:pt>
                <c:pt idx="120">
                  <c:v>-1.0933099999999999E-3</c:v>
                </c:pt>
                <c:pt idx="121">
                  <c:v>-1.2464799999999999E-3</c:v>
                </c:pt>
                <c:pt idx="122">
                  <c:v>-1.1879499999999999E-3</c:v>
                </c:pt>
                <c:pt idx="123">
                  <c:v>-1.2454600000000001E-3</c:v>
                </c:pt>
                <c:pt idx="124">
                  <c:v>-1.1746300000000001E-3</c:v>
                </c:pt>
                <c:pt idx="125">
                  <c:v>-1.2209499999999999E-3</c:v>
                </c:pt>
                <c:pt idx="126">
                  <c:v>-1.33482E-3</c:v>
                </c:pt>
                <c:pt idx="127">
                  <c:v>-1.2133300000000001E-3</c:v>
                </c:pt>
                <c:pt idx="128">
                  <c:v>-1.2582699999999999E-3</c:v>
                </c:pt>
                <c:pt idx="129">
                  <c:v>-1.2547999999999999E-3</c:v>
                </c:pt>
                <c:pt idx="130">
                  <c:v>-1.25687E-3</c:v>
                </c:pt>
                <c:pt idx="131">
                  <c:v>-1.2809900000000001E-3</c:v>
                </c:pt>
                <c:pt idx="132">
                  <c:v>-1.3406799999999999E-3</c:v>
                </c:pt>
                <c:pt idx="133">
                  <c:v>-1.27608E-3</c:v>
                </c:pt>
                <c:pt idx="134">
                  <c:v>-1.3138100000000001E-3</c:v>
                </c:pt>
                <c:pt idx="135">
                  <c:v>-1.3559399999999999E-3</c:v>
                </c:pt>
                <c:pt idx="136">
                  <c:v>-1.31679E-3</c:v>
                </c:pt>
                <c:pt idx="137">
                  <c:v>-1.3215799999999999E-3</c:v>
                </c:pt>
                <c:pt idx="138">
                  <c:v>-1.3172500000000001E-3</c:v>
                </c:pt>
                <c:pt idx="139">
                  <c:v>-1.3531299999999999E-3</c:v>
                </c:pt>
                <c:pt idx="140">
                  <c:v>-1.3708699999999999E-3</c:v>
                </c:pt>
                <c:pt idx="141">
                  <c:v>-1.36068E-3</c:v>
                </c:pt>
                <c:pt idx="142">
                  <c:v>-1.4290399999999999E-3</c:v>
                </c:pt>
                <c:pt idx="143">
                  <c:v>-1.4166199999999999E-3</c:v>
                </c:pt>
                <c:pt idx="144">
                  <c:v>-1.49047E-3</c:v>
                </c:pt>
                <c:pt idx="145">
                  <c:v>-1.3658100000000001E-3</c:v>
                </c:pt>
                <c:pt idx="146">
                  <c:v>-1.39635E-3</c:v>
                </c:pt>
                <c:pt idx="147">
                  <c:v>-1.3883599999999999E-3</c:v>
                </c:pt>
                <c:pt idx="148">
                  <c:v>-1.4132999999999999E-3</c:v>
                </c:pt>
                <c:pt idx="149">
                  <c:v>-1.4447100000000001E-3</c:v>
                </c:pt>
                <c:pt idx="150">
                  <c:v>-1.45554E-3</c:v>
                </c:pt>
                <c:pt idx="151">
                  <c:v>-1.37192E-3</c:v>
                </c:pt>
                <c:pt idx="152">
                  <c:v>-1.4341499999999999E-3</c:v>
                </c:pt>
                <c:pt idx="153">
                  <c:v>-1.4231700000000001E-3</c:v>
                </c:pt>
                <c:pt idx="154">
                  <c:v>-1.4062300000000001E-3</c:v>
                </c:pt>
                <c:pt idx="155">
                  <c:v>-1.43242E-3</c:v>
                </c:pt>
                <c:pt idx="156">
                  <c:v>-1.34621E-3</c:v>
                </c:pt>
                <c:pt idx="157">
                  <c:v>-1.60907E-3</c:v>
                </c:pt>
                <c:pt idx="158">
                  <c:v>-1.35549E-3</c:v>
                </c:pt>
                <c:pt idx="159">
                  <c:v>-1.4214E-3</c:v>
                </c:pt>
                <c:pt idx="160">
                  <c:v>-1.5090100000000001E-3</c:v>
                </c:pt>
                <c:pt idx="161">
                  <c:v>-1.53885E-3</c:v>
                </c:pt>
                <c:pt idx="162">
                  <c:v>-1.4863999999999999E-3</c:v>
                </c:pt>
                <c:pt idx="163">
                  <c:v>-1.5329E-3</c:v>
                </c:pt>
                <c:pt idx="164">
                  <c:v>-1.50913E-3</c:v>
                </c:pt>
                <c:pt idx="165">
                  <c:v>-1.48745E-3</c:v>
                </c:pt>
                <c:pt idx="166">
                  <c:v>-1.5508500000000001E-3</c:v>
                </c:pt>
                <c:pt idx="167">
                  <c:v>-1.5993800000000001E-3</c:v>
                </c:pt>
                <c:pt idx="168">
                  <c:v>-1.6252300000000001E-3</c:v>
                </c:pt>
                <c:pt idx="169">
                  <c:v>-1.6125E-3</c:v>
                </c:pt>
                <c:pt idx="170">
                  <c:v>-1.4957200000000001E-3</c:v>
                </c:pt>
                <c:pt idx="171">
                  <c:v>-1.64164E-3</c:v>
                </c:pt>
                <c:pt idx="172">
                  <c:v>-1.5901800000000001E-3</c:v>
                </c:pt>
                <c:pt idx="173">
                  <c:v>-1.6436599999999999E-3</c:v>
                </c:pt>
                <c:pt idx="174">
                  <c:v>-1.5884300000000001E-3</c:v>
                </c:pt>
                <c:pt idx="175">
                  <c:v>-1.6719E-3</c:v>
                </c:pt>
                <c:pt idx="176">
                  <c:v>-1.7240599999999999E-3</c:v>
                </c:pt>
                <c:pt idx="177">
                  <c:v>-1.6343099999999999E-3</c:v>
                </c:pt>
                <c:pt idx="178">
                  <c:v>-1.59022E-3</c:v>
                </c:pt>
                <c:pt idx="179">
                  <c:v>-1.6725100000000001E-3</c:v>
                </c:pt>
                <c:pt idx="180">
                  <c:v>-1.66697E-3</c:v>
                </c:pt>
                <c:pt idx="181">
                  <c:v>-1.73964E-3</c:v>
                </c:pt>
                <c:pt idx="182">
                  <c:v>-1.5572800000000001E-3</c:v>
                </c:pt>
                <c:pt idx="183">
                  <c:v>-1.6961299999999999E-3</c:v>
                </c:pt>
                <c:pt idx="184">
                  <c:v>-1.71722E-3</c:v>
                </c:pt>
                <c:pt idx="185">
                  <c:v>-1.5971099999999999E-3</c:v>
                </c:pt>
                <c:pt idx="186">
                  <c:v>-1.73598E-3</c:v>
                </c:pt>
                <c:pt idx="187">
                  <c:v>-1.7843500000000001E-3</c:v>
                </c:pt>
                <c:pt idx="188">
                  <c:v>-1.6286499999999999E-3</c:v>
                </c:pt>
                <c:pt idx="189">
                  <c:v>-1.72434E-3</c:v>
                </c:pt>
                <c:pt idx="190">
                  <c:v>-1.6513400000000001E-3</c:v>
                </c:pt>
                <c:pt idx="191">
                  <c:v>-1.62922E-3</c:v>
                </c:pt>
                <c:pt idx="192">
                  <c:v>-1.6253400000000001E-3</c:v>
                </c:pt>
                <c:pt idx="193">
                  <c:v>-1.7693800000000001E-3</c:v>
                </c:pt>
                <c:pt idx="194">
                  <c:v>-1.6568500000000001E-3</c:v>
                </c:pt>
                <c:pt idx="195">
                  <c:v>-1.59084E-3</c:v>
                </c:pt>
                <c:pt idx="196">
                  <c:v>-1.6538E-3</c:v>
                </c:pt>
                <c:pt idx="197">
                  <c:v>-1.7601400000000001E-3</c:v>
                </c:pt>
                <c:pt idx="198">
                  <c:v>-1.79663E-3</c:v>
                </c:pt>
                <c:pt idx="199">
                  <c:v>-1.7011699999999999E-3</c:v>
                </c:pt>
                <c:pt idx="200">
                  <c:v>-1.6882500000000001E-3</c:v>
                </c:pt>
                <c:pt idx="201">
                  <c:v>-1.6590400000000001E-3</c:v>
                </c:pt>
                <c:pt idx="202">
                  <c:v>-1.7539700000000001E-3</c:v>
                </c:pt>
                <c:pt idx="203">
                  <c:v>-1.76418E-3</c:v>
                </c:pt>
                <c:pt idx="204">
                  <c:v>-1.75205E-3</c:v>
                </c:pt>
                <c:pt idx="205">
                  <c:v>-1.7433800000000001E-3</c:v>
                </c:pt>
                <c:pt idx="206">
                  <c:v>-1.7808399999999999E-3</c:v>
                </c:pt>
                <c:pt idx="207">
                  <c:v>-1.81678E-3</c:v>
                </c:pt>
                <c:pt idx="208">
                  <c:v>-1.79929E-3</c:v>
                </c:pt>
                <c:pt idx="209">
                  <c:v>-1.9095799999999999E-3</c:v>
                </c:pt>
                <c:pt idx="210">
                  <c:v>-1.8196099999999999E-3</c:v>
                </c:pt>
                <c:pt idx="211">
                  <c:v>-1.79609E-3</c:v>
                </c:pt>
                <c:pt idx="212">
                  <c:v>-1.7941700000000001E-3</c:v>
                </c:pt>
                <c:pt idx="213">
                  <c:v>-1.8376099999999999E-3</c:v>
                </c:pt>
                <c:pt idx="214">
                  <c:v>-1.8998999999999999E-3</c:v>
                </c:pt>
                <c:pt idx="215">
                  <c:v>-1.79291E-3</c:v>
                </c:pt>
                <c:pt idx="216">
                  <c:v>-1.81705E-3</c:v>
                </c:pt>
                <c:pt idx="217">
                  <c:v>-1.8860700000000001E-3</c:v>
                </c:pt>
                <c:pt idx="218">
                  <c:v>-1.87598E-3</c:v>
                </c:pt>
                <c:pt idx="219">
                  <c:v>-1.8429E-3</c:v>
                </c:pt>
                <c:pt idx="220">
                  <c:v>-1.9747200000000001E-3</c:v>
                </c:pt>
                <c:pt idx="221">
                  <c:v>-1.85534E-3</c:v>
                </c:pt>
                <c:pt idx="222">
                  <c:v>-1.9998799999999999E-3</c:v>
                </c:pt>
                <c:pt idx="223">
                  <c:v>-1.9722699999999999E-3</c:v>
                </c:pt>
                <c:pt idx="224">
                  <c:v>-1.93118E-3</c:v>
                </c:pt>
                <c:pt idx="225">
                  <c:v>-1.9955200000000002E-3</c:v>
                </c:pt>
                <c:pt idx="226">
                  <c:v>-1.9244799999999999E-3</c:v>
                </c:pt>
                <c:pt idx="227">
                  <c:v>-1.9709699999999998E-3</c:v>
                </c:pt>
                <c:pt idx="228">
                  <c:v>-1.9551899999999999E-3</c:v>
                </c:pt>
                <c:pt idx="229">
                  <c:v>-1.9769700000000002E-3</c:v>
                </c:pt>
                <c:pt idx="230">
                  <c:v>-2.0285099999999999E-3</c:v>
                </c:pt>
                <c:pt idx="231">
                  <c:v>-1.9014699999999999E-3</c:v>
                </c:pt>
                <c:pt idx="232">
                  <c:v>-1.9126200000000001E-3</c:v>
                </c:pt>
                <c:pt idx="233">
                  <c:v>-1.9179500000000001E-3</c:v>
                </c:pt>
                <c:pt idx="234">
                  <c:v>-1.99708E-3</c:v>
                </c:pt>
                <c:pt idx="235">
                  <c:v>-2.0160199999999999E-3</c:v>
                </c:pt>
                <c:pt idx="236">
                  <c:v>-2.0594900000000002E-3</c:v>
                </c:pt>
                <c:pt idx="237">
                  <c:v>-1.9884099999999999E-3</c:v>
                </c:pt>
                <c:pt idx="238">
                  <c:v>-2.1199399999999998E-3</c:v>
                </c:pt>
                <c:pt idx="239">
                  <c:v>-2.0361300000000001E-3</c:v>
                </c:pt>
                <c:pt idx="240">
                  <c:v>-2.0717999999999999E-3</c:v>
                </c:pt>
                <c:pt idx="241">
                  <c:v>-2.0213399999999999E-3</c:v>
                </c:pt>
                <c:pt idx="242">
                  <c:v>-1.95451E-3</c:v>
                </c:pt>
                <c:pt idx="243">
                  <c:v>-2.1249799999999998E-3</c:v>
                </c:pt>
                <c:pt idx="244">
                  <c:v>-2.0458500000000001E-3</c:v>
                </c:pt>
                <c:pt idx="245">
                  <c:v>-1.9832500000000002E-3</c:v>
                </c:pt>
                <c:pt idx="246">
                  <c:v>-2.0642400000000002E-3</c:v>
                </c:pt>
                <c:pt idx="247">
                  <c:v>-2.04682E-3</c:v>
                </c:pt>
                <c:pt idx="248">
                  <c:v>-2.0845099999999999E-3</c:v>
                </c:pt>
                <c:pt idx="249">
                  <c:v>-2.0736000000000001E-3</c:v>
                </c:pt>
                <c:pt idx="250">
                  <c:v>-2.0266400000000001E-3</c:v>
                </c:pt>
                <c:pt idx="251">
                  <c:v>-2.1073200000000002E-3</c:v>
                </c:pt>
                <c:pt idx="252">
                  <c:v>-2.1408600000000001E-3</c:v>
                </c:pt>
                <c:pt idx="253">
                  <c:v>-2.2170100000000002E-3</c:v>
                </c:pt>
                <c:pt idx="254">
                  <c:v>-2.1068200000000001E-3</c:v>
                </c:pt>
                <c:pt idx="255">
                  <c:v>-2.2641699999999998E-3</c:v>
                </c:pt>
                <c:pt idx="256">
                  <c:v>-2.11217E-3</c:v>
                </c:pt>
                <c:pt idx="257">
                  <c:v>-2.1967599999999999E-3</c:v>
                </c:pt>
                <c:pt idx="258">
                  <c:v>-2.1048400000000002E-3</c:v>
                </c:pt>
                <c:pt idx="259">
                  <c:v>-2.1177399999999999E-3</c:v>
                </c:pt>
                <c:pt idx="260">
                  <c:v>-2.2008499999999999E-3</c:v>
                </c:pt>
                <c:pt idx="261">
                  <c:v>-2.173E-3</c:v>
                </c:pt>
                <c:pt idx="262">
                  <c:v>-2.1760899999999999E-3</c:v>
                </c:pt>
                <c:pt idx="263">
                  <c:v>-2.23201E-3</c:v>
                </c:pt>
                <c:pt idx="264">
                  <c:v>-2.2018599999999999E-3</c:v>
                </c:pt>
                <c:pt idx="265">
                  <c:v>-2.27377E-3</c:v>
                </c:pt>
                <c:pt idx="266">
                  <c:v>-2.3287500000000001E-3</c:v>
                </c:pt>
                <c:pt idx="267">
                  <c:v>-2.2525700000000002E-3</c:v>
                </c:pt>
                <c:pt idx="268">
                  <c:v>-2.1879199999999999E-3</c:v>
                </c:pt>
                <c:pt idx="269">
                  <c:v>-2.1164000000000001E-3</c:v>
                </c:pt>
                <c:pt idx="270">
                  <c:v>-2.27955E-3</c:v>
                </c:pt>
                <c:pt idx="271">
                  <c:v>-2.2927400000000001E-3</c:v>
                </c:pt>
                <c:pt idx="272">
                  <c:v>-2.22762E-3</c:v>
                </c:pt>
                <c:pt idx="273">
                  <c:v>-2.2043900000000001E-3</c:v>
                </c:pt>
                <c:pt idx="274">
                  <c:v>-2.27261E-3</c:v>
                </c:pt>
                <c:pt idx="275">
                  <c:v>-2.2877700000000002E-3</c:v>
                </c:pt>
                <c:pt idx="276">
                  <c:v>-2.19644E-3</c:v>
                </c:pt>
                <c:pt idx="277">
                  <c:v>-2.3736999999999999E-3</c:v>
                </c:pt>
                <c:pt idx="278">
                  <c:v>-2.3751100000000002E-3</c:v>
                </c:pt>
                <c:pt idx="279">
                  <c:v>-2.39617E-3</c:v>
                </c:pt>
                <c:pt idx="280">
                  <c:v>-2.2521099999999999E-3</c:v>
                </c:pt>
                <c:pt idx="281">
                  <c:v>-2.2761499999999998E-3</c:v>
                </c:pt>
                <c:pt idx="282">
                  <c:v>-2.2011499999999998E-3</c:v>
                </c:pt>
                <c:pt idx="283">
                  <c:v>-2.2764500000000002E-3</c:v>
                </c:pt>
                <c:pt idx="284">
                  <c:v>-2.3508299999999999E-3</c:v>
                </c:pt>
                <c:pt idx="285">
                  <c:v>-2.3931099999999999E-3</c:v>
                </c:pt>
                <c:pt idx="286">
                  <c:v>-2.4427400000000001E-3</c:v>
                </c:pt>
                <c:pt idx="287">
                  <c:v>-2.4207999999999999E-3</c:v>
                </c:pt>
                <c:pt idx="288">
                  <c:v>-2.37288E-3</c:v>
                </c:pt>
                <c:pt idx="289">
                  <c:v>-2.4025000000000001E-3</c:v>
                </c:pt>
                <c:pt idx="290">
                  <c:v>-2.3509799999999999E-3</c:v>
                </c:pt>
                <c:pt idx="291">
                  <c:v>-2.3376E-3</c:v>
                </c:pt>
                <c:pt idx="292">
                  <c:v>-2.3466300000000002E-3</c:v>
                </c:pt>
                <c:pt idx="293">
                  <c:v>-2.3266099999999998E-3</c:v>
                </c:pt>
                <c:pt idx="294">
                  <c:v>-2.3711299999999999E-3</c:v>
                </c:pt>
                <c:pt idx="295">
                  <c:v>-2.34045E-3</c:v>
                </c:pt>
                <c:pt idx="296">
                  <c:v>-2.4028299999999999E-3</c:v>
                </c:pt>
                <c:pt idx="297">
                  <c:v>-2.4033599999999998E-3</c:v>
                </c:pt>
                <c:pt idx="298">
                  <c:v>-2.4148099999999999E-3</c:v>
                </c:pt>
                <c:pt idx="299">
                  <c:v>-2.4501800000000002E-3</c:v>
                </c:pt>
                <c:pt idx="300">
                  <c:v>-2.4068499999999999E-3</c:v>
                </c:pt>
                <c:pt idx="301">
                  <c:v>-2.48496E-3</c:v>
                </c:pt>
                <c:pt idx="302">
                  <c:v>-2.4295300000000001E-3</c:v>
                </c:pt>
                <c:pt idx="303">
                  <c:v>-2.45956E-3</c:v>
                </c:pt>
                <c:pt idx="304">
                  <c:v>-2.44824E-3</c:v>
                </c:pt>
                <c:pt idx="305">
                  <c:v>-2.5482899999999999E-3</c:v>
                </c:pt>
                <c:pt idx="306">
                  <c:v>-2.4293399999999999E-3</c:v>
                </c:pt>
                <c:pt idx="307">
                  <c:v>-2.44838E-3</c:v>
                </c:pt>
                <c:pt idx="308">
                  <c:v>-2.4781299999999998E-3</c:v>
                </c:pt>
                <c:pt idx="309">
                  <c:v>-2.4574900000000001E-3</c:v>
                </c:pt>
                <c:pt idx="310">
                  <c:v>-2.47642E-3</c:v>
                </c:pt>
                <c:pt idx="311">
                  <c:v>-2.4841300000000002E-3</c:v>
                </c:pt>
                <c:pt idx="312">
                  <c:v>-2.5236899999999999E-3</c:v>
                </c:pt>
                <c:pt idx="313">
                  <c:v>-2.53908E-3</c:v>
                </c:pt>
                <c:pt idx="314">
                  <c:v>-2.4986399999999999E-3</c:v>
                </c:pt>
                <c:pt idx="315">
                  <c:v>-2.4940800000000001E-3</c:v>
                </c:pt>
                <c:pt idx="316">
                  <c:v>-2.5718999999999998E-3</c:v>
                </c:pt>
                <c:pt idx="317">
                  <c:v>-2.5211399999999998E-3</c:v>
                </c:pt>
                <c:pt idx="318">
                  <c:v>-2.58779E-3</c:v>
                </c:pt>
                <c:pt idx="319">
                  <c:v>-2.57596E-3</c:v>
                </c:pt>
                <c:pt idx="320">
                  <c:v>-2.57325E-3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3C7-45AF-9164-FC6A9FDF0C45}"/>
            </c:ext>
          </c:extLst>
        </c:ser>
        <c:ser>
          <c:idx val="0"/>
          <c:order val="2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0.1107576611159878"/>
                  <c:y val="-0.5065523853054090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</c:trendlineLbl>
          </c:trendline>
          <c:xVal>
            <c:numRef>
              <c:f>'L30CPTX-2'!$B$80:$B$400</c:f>
              <c:numCache>
                <c:formatCode>General</c:formatCode>
                <c:ptCount val="321"/>
                <c:pt idx="0">
                  <c:v>1.06869E-3</c:v>
                </c:pt>
                <c:pt idx="1">
                  <c:v>1.05872E-3</c:v>
                </c:pt>
                <c:pt idx="2">
                  <c:v>1.0695399999999999E-3</c:v>
                </c:pt>
                <c:pt idx="3">
                  <c:v>1.0937500000000001E-3</c:v>
                </c:pt>
                <c:pt idx="4">
                  <c:v>1.09815E-3</c:v>
                </c:pt>
                <c:pt idx="5">
                  <c:v>1.1367700000000001E-3</c:v>
                </c:pt>
                <c:pt idx="6">
                  <c:v>1.1829200000000001E-3</c:v>
                </c:pt>
                <c:pt idx="7">
                  <c:v>1.1151799999999999E-3</c:v>
                </c:pt>
                <c:pt idx="8">
                  <c:v>1.0974400000000001E-3</c:v>
                </c:pt>
                <c:pt idx="9">
                  <c:v>1.1653E-3</c:v>
                </c:pt>
                <c:pt idx="10">
                  <c:v>1.2129300000000001E-3</c:v>
                </c:pt>
                <c:pt idx="11">
                  <c:v>1.1256199999999999E-3</c:v>
                </c:pt>
                <c:pt idx="12">
                  <c:v>1.25595E-3</c:v>
                </c:pt>
                <c:pt idx="13">
                  <c:v>1.2611199999999999E-3</c:v>
                </c:pt>
                <c:pt idx="14">
                  <c:v>1.2479399999999999E-3</c:v>
                </c:pt>
                <c:pt idx="15">
                  <c:v>1.3054500000000001E-3</c:v>
                </c:pt>
                <c:pt idx="16">
                  <c:v>1.25624E-3</c:v>
                </c:pt>
                <c:pt idx="17">
                  <c:v>1.2589000000000001E-3</c:v>
                </c:pt>
                <c:pt idx="18">
                  <c:v>1.27717E-3</c:v>
                </c:pt>
                <c:pt idx="19">
                  <c:v>1.2873400000000001E-3</c:v>
                </c:pt>
                <c:pt idx="20">
                  <c:v>1.3513100000000001E-3</c:v>
                </c:pt>
                <c:pt idx="21">
                  <c:v>1.3460499999999999E-3</c:v>
                </c:pt>
                <c:pt idx="22">
                  <c:v>1.39989E-3</c:v>
                </c:pt>
                <c:pt idx="23">
                  <c:v>1.4116300000000001E-3</c:v>
                </c:pt>
                <c:pt idx="24">
                  <c:v>1.4011200000000001E-3</c:v>
                </c:pt>
                <c:pt idx="25">
                  <c:v>1.4138499999999999E-3</c:v>
                </c:pt>
                <c:pt idx="26">
                  <c:v>1.43417E-3</c:v>
                </c:pt>
                <c:pt idx="27">
                  <c:v>1.43812E-3</c:v>
                </c:pt>
                <c:pt idx="28">
                  <c:v>1.40372E-3</c:v>
                </c:pt>
                <c:pt idx="29">
                  <c:v>1.42311E-3</c:v>
                </c:pt>
                <c:pt idx="30">
                  <c:v>1.4739099999999999E-3</c:v>
                </c:pt>
                <c:pt idx="31">
                  <c:v>1.5771699999999999E-3</c:v>
                </c:pt>
                <c:pt idx="32">
                  <c:v>1.56499E-3</c:v>
                </c:pt>
                <c:pt idx="33">
                  <c:v>1.57679E-3</c:v>
                </c:pt>
                <c:pt idx="34">
                  <c:v>1.59796E-3</c:v>
                </c:pt>
                <c:pt idx="35">
                  <c:v>1.6037899999999999E-3</c:v>
                </c:pt>
                <c:pt idx="36">
                  <c:v>1.6043699999999999E-3</c:v>
                </c:pt>
                <c:pt idx="37">
                  <c:v>1.61228E-3</c:v>
                </c:pt>
                <c:pt idx="38">
                  <c:v>1.54412E-3</c:v>
                </c:pt>
                <c:pt idx="39">
                  <c:v>1.6245400000000001E-3</c:v>
                </c:pt>
                <c:pt idx="40">
                  <c:v>1.6185399999999999E-3</c:v>
                </c:pt>
                <c:pt idx="41">
                  <c:v>1.60425E-3</c:v>
                </c:pt>
                <c:pt idx="42">
                  <c:v>1.6759100000000001E-3</c:v>
                </c:pt>
                <c:pt idx="43">
                  <c:v>1.64474E-3</c:v>
                </c:pt>
                <c:pt idx="44">
                  <c:v>1.7068599999999999E-3</c:v>
                </c:pt>
                <c:pt idx="45">
                  <c:v>1.77546E-3</c:v>
                </c:pt>
                <c:pt idx="46">
                  <c:v>1.7290199999999999E-3</c:v>
                </c:pt>
                <c:pt idx="47">
                  <c:v>1.7814199999999999E-3</c:v>
                </c:pt>
                <c:pt idx="48">
                  <c:v>1.7831399999999999E-3</c:v>
                </c:pt>
                <c:pt idx="49">
                  <c:v>1.7905600000000001E-3</c:v>
                </c:pt>
                <c:pt idx="50">
                  <c:v>1.8386699999999999E-3</c:v>
                </c:pt>
                <c:pt idx="51">
                  <c:v>1.8566500000000001E-3</c:v>
                </c:pt>
                <c:pt idx="52">
                  <c:v>1.92223E-3</c:v>
                </c:pt>
                <c:pt idx="53">
                  <c:v>1.8800799999999999E-3</c:v>
                </c:pt>
                <c:pt idx="54">
                  <c:v>1.8723699999999999E-3</c:v>
                </c:pt>
                <c:pt idx="55">
                  <c:v>1.9016E-3</c:v>
                </c:pt>
                <c:pt idx="56">
                  <c:v>1.93089E-3</c:v>
                </c:pt>
                <c:pt idx="57">
                  <c:v>1.9503299999999999E-3</c:v>
                </c:pt>
                <c:pt idx="58">
                  <c:v>1.92165E-3</c:v>
                </c:pt>
                <c:pt idx="59">
                  <c:v>1.91617E-3</c:v>
                </c:pt>
                <c:pt idx="60">
                  <c:v>1.9302500000000001E-3</c:v>
                </c:pt>
                <c:pt idx="61">
                  <c:v>1.9737800000000001E-3</c:v>
                </c:pt>
                <c:pt idx="62">
                  <c:v>2.0573499999999999E-3</c:v>
                </c:pt>
                <c:pt idx="63">
                  <c:v>2.02111E-3</c:v>
                </c:pt>
                <c:pt idx="64">
                  <c:v>2.0503800000000001E-3</c:v>
                </c:pt>
                <c:pt idx="65">
                  <c:v>2.0201799999999999E-3</c:v>
                </c:pt>
                <c:pt idx="66">
                  <c:v>2.0484000000000001E-3</c:v>
                </c:pt>
                <c:pt idx="67">
                  <c:v>2.1005799999999999E-3</c:v>
                </c:pt>
                <c:pt idx="68">
                  <c:v>2.0953999999999999E-3</c:v>
                </c:pt>
                <c:pt idx="69">
                  <c:v>2.14795E-3</c:v>
                </c:pt>
                <c:pt idx="70">
                  <c:v>2.15059E-3</c:v>
                </c:pt>
                <c:pt idx="71">
                  <c:v>2.1333900000000002E-3</c:v>
                </c:pt>
                <c:pt idx="72">
                  <c:v>2.04843E-3</c:v>
                </c:pt>
                <c:pt idx="73">
                  <c:v>2.1901400000000001E-3</c:v>
                </c:pt>
                <c:pt idx="74">
                  <c:v>2.2635300000000001E-3</c:v>
                </c:pt>
                <c:pt idx="75">
                  <c:v>2.1970499999999999E-3</c:v>
                </c:pt>
                <c:pt idx="76">
                  <c:v>2.2323199999999999E-3</c:v>
                </c:pt>
                <c:pt idx="77">
                  <c:v>2.3059500000000002E-3</c:v>
                </c:pt>
                <c:pt idx="78">
                  <c:v>2.3064399999999999E-3</c:v>
                </c:pt>
                <c:pt idx="79">
                  <c:v>2.3828899999999999E-3</c:v>
                </c:pt>
                <c:pt idx="80">
                  <c:v>2.30752E-3</c:v>
                </c:pt>
                <c:pt idx="81">
                  <c:v>2.3875099999999998E-3</c:v>
                </c:pt>
                <c:pt idx="82">
                  <c:v>2.3591300000000001E-3</c:v>
                </c:pt>
                <c:pt idx="83">
                  <c:v>2.3410499999999999E-3</c:v>
                </c:pt>
                <c:pt idx="84">
                  <c:v>2.4137799999999999E-3</c:v>
                </c:pt>
                <c:pt idx="85">
                  <c:v>2.4557099999999998E-3</c:v>
                </c:pt>
                <c:pt idx="86">
                  <c:v>2.4034500000000001E-3</c:v>
                </c:pt>
                <c:pt idx="87">
                  <c:v>2.4446300000000002E-3</c:v>
                </c:pt>
                <c:pt idx="88">
                  <c:v>2.5485799999999999E-3</c:v>
                </c:pt>
                <c:pt idx="89">
                  <c:v>2.4968199999999999E-3</c:v>
                </c:pt>
                <c:pt idx="90">
                  <c:v>2.5000000000000001E-3</c:v>
                </c:pt>
                <c:pt idx="91">
                  <c:v>2.4727299999999998E-3</c:v>
                </c:pt>
                <c:pt idx="92">
                  <c:v>2.5008500000000002E-3</c:v>
                </c:pt>
                <c:pt idx="93">
                  <c:v>2.5371600000000001E-3</c:v>
                </c:pt>
                <c:pt idx="94">
                  <c:v>2.5719100000000002E-3</c:v>
                </c:pt>
                <c:pt idx="95">
                  <c:v>2.5528399999999998E-3</c:v>
                </c:pt>
                <c:pt idx="96">
                  <c:v>2.5554800000000002E-3</c:v>
                </c:pt>
                <c:pt idx="97">
                  <c:v>2.5657000000000002E-3</c:v>
                </c:pt>
                <c:pt idx="98">
                  <c:v>2.6302600000000001E-3</c:v>
                </c:pt>
                <c:pt idx="99">
                  <c:v>2.6326100000000001E-3</c:v>
                </c:pt>
                <c:pt idx="100">
                  <c:v>2.5926399999999998E-3</c:v>
                </c:pt>
                <c:pt idx="101">
                  <c:v>2.6420699999999998E-3</c:v>
                </c:pt>
                <c:pt idx="102">
                  <c:v>2.6118700000000001E-3</c:v>
                </c:pt>
                <c:pt idx="103">
                  <c:v>2.63379E-3</c:v>
                </c:pt>
                <c:pt idx="104">
                  <c:v>2.6832100000000001E-3</c:v>
                </c:pt>
                <c:pt idx="105">
                  <c:v>2.6761100000000002E-3</c:v>
                </c:pt>
                <c:pt idx="106">
                  <c:v>2.7103700000000001E-3</c:v>
                </c:pt>
                <c:pt idx="107">
                  <c:v>2.7199300000000002E-3</c:v>
                </c:pt>
                <c:pt idx="108">
                  <c:v>2.7651099999999999E-3</c:v>
                </c:pt>
                <c:pt idx="109">
                  <c:v>2.6997100000000001E-3</c:v>
                </c:pt>
                <c:pt idx="110">
                  <c:v>2.7939200000000001E-3</c:v>
                </c:pt>
                <c:pt idx="111">
                  <c:v>2.7375899999999998E-3</c:v>
                </c:pt>
                <c:pt idx="112">
                  <c:v>2.8333E-3</c:v>
                </c:pt>
                <c:pt idx="113">
                  <c:v>2.7683199999999999E-3</c:v>
                </c:pt>
                <c:pt idx="114">
                  <c:v>2.8541299999999999E-3</c:v>
                </c:pt>
                <c:pt idx="115">
                  <c:v>2.8375700000000002E-3</c:v>
                </c:pt>
                <c:pt idx="116">
                  <c:v>2.7416699999999999E-3</c:v>
                </c:pt>
                <c:pt idx="117">
                  <c:v>2.8558899999999998E-3</c:v>
                </c:pt>
                <c:pt idx="118">
                  <c:v>2.8313399999999999E-3</c:v>
                </c:pt>
                <c:pt idx="119">
                  <c:v>2.826E-3</c:v>
                </c:pt>
                <c:pt idx="120">
                  <c:v>2.8696099999999999E-3</c:v>
                </c:pt>
                <c:pt idx="121">
                  <c:v>2.9726399999999999E-3</c:v>
                </c:pt>
                <c:pt idx="122">
                  <c:v>2.9397799999999999E-3</c:v>
                </c:pt>
                <c:pt idx="123">
                  <c:v>3.04894E-3</c:v>
                </c:pt>
                <c:pt idx="124">
                  <c:v>2.9429999999999999E-3</c:v>
                </c:pt>
                <c:pt idx="125">
                  <c:v>2.9635400000000002E-3</c:v>
                </c:pt>
                <c:pt idx="126">
                  <c:v>3.01732E-3</c:v>
                </c:pt>
                <c:pt idx="127">
                  <c:v>2.9862199999999999E-3</c:v>
                </c:pt>
                <c:pt idx="128">
                  <c:v>3.06054E-3</c:v>
                </c:pt>
                <c:pt idx="129">
                  <c:v>2.9899100000000001E-3</c:v>
                </c:pt>
                <c:pt idx="130">
                  <c:v>3.0288099999999998E-3</c:v>
                </c:pt>
                <c:pt idx="131">
                  <c:v>3.0747399999999999E-3</c:v>
                </c:pt>
                <c:pt idx="132">
                  <c:v>3.0536700000000001E-3</c:v>
                </c:pt>
                <c:pt idx="133">
                  <c:v>3.1060900000000002E-3</c:v>
                </c:pt>
                <c:pt idx="134">
                  <c:v>3.0955000000000002E-3</c:v>
                </c:pt>
                <c:pt idx="135">
                  <c:v>3.1335299999999998E-3</c:v>
                </c:pt>
                <c:pt idx="136">
                  <c:v>3.1985500000000001E-3</c:v>
                </c:pt>
                <c:pt idx="137">
                  <c:v>3.1440600000000002E-3</c:v>
                </c:pt>
                <c:pt idx="138">
                  <c:v>3.1610499999999999E-3</c:v>
                </c:pt>
                <c:pt idx="139">
                  <c:v>3.1744899999999999E-3</c:v>
                </c:pt>
                <c:pt idx="140">
                  <c:v>3.1159E-3</c:v>
                </c:pt>
                <c:pt idx="141">
                  <c:v>3.2254900000000001E-3</c:v>
                </c:pt>
                <c:pt idx="142">
                  <c:v>3.28204E-3</c:v>
                </c:pt>
                <c:pt idx="143">
                  <c:v>3.2510999999999998E-3</c:v>
                </c:pt>
                <c:pt idx="144">
                  <c:v>3.2391999999999998E-3</c:v>
                </c:pt>
                <c:pt idx="145">
                  <c:v>3.2768799999999998E-3</c:v>
                </c:pt>
                <c:pt idx="146">
                  <c:v>3.27392E-3</c:v>
                </c:pt>
                <c:pt idx="147">
                  <c:v>3.2821199999999999E-3</c:v>
                </c:pt>
                <c:pt idx="148">
                  <c:v>3.31139E-3</c:v>
                </c:pt>
                <c:pt idx="149">
                  <c:v>3.3964099999999999E-3</c:v>
                </c:pt>
                <c:pt idx="150">
                  <c:v>3.3349400000000002E-3</c:v>
                </c:pt>
                <c:pt idx="151">
                  <c:v>3.3681800000000001E-3</c:v>
                </c:pt>
                <c:pt idx="152">
                  <c:v>3.34169E-3</c:v>
                </c:pt>
                <c:pt idx="153">
                  <c:v>3.37456E-3</c:v>
                </c:pt>
                <c:pt idx="154">
                  <c:v>3.3940400000000001E-3</c:v>
                </c:pt>
                <c:pt idx="155">
                  <c:v>3.4454899999999998E-3</c:v>
                </c:pt>
                <c:pt idx="156">
                  <c:v>3.4153600000000001E-3</c:v>
                </c:pt>
                <c:pt idx="157">
                  <c:v>3.4062799999999998E-3</c:v>
                </c:pt>
                <c:pt idx="158">
                  <c:v>3.4113199999999998E-3</c:v>
                </c:pt>
                <c:pt idx="159">
                  <c:v>3.47445E-3</c:v>
                </c:pt>
                <c:pt idx="160">
                  <c:v>3.4504700000000002E-3</c:v>
                </c:pt>
                <c:pt idx="161">
                  <c:v>3.5361199999999998E-3</c:v>
                </c:pt>
                <c:pt idx="162">
                  <c:v>3.4786000000000001E-3</c:v>
                </c:pt>
                <c:pt idx="163">
                  <c:v>3.46431E-3</c:v>
                </c:pt>
                <c:pt idx="164">
                  <c:v>3.5307200000000002E-3</c:v>
                </c:pt>
                <c:pt idx="165">
                  <c:v>3.5873799999999998E-3</c:v>
                </c:pt>
                <c:pt idx="166">
                  <c:v>3.5385999999999998E-3</c:v>
                </c:pt>
                <c:pt idx="167">
                  <c:v>3.60414E-3</c:v>
                </c:pt>
                <c:pt idx="168">
                  <c:v>3.6011099999999998E-3</c:v>
                </c:pt>
                <c:pt idx="169">
                  <c:v>3.6071599999999999E-3</c:v>
                </c:pt>
                <c:pt idx="170">
                  <c:v>3.6399000000000002E-3</c:v>
                </c:pt>
                <c:pt idx="171">
                  <c:v>3.6584500000000002E-3</c:v>
                </c:pt>
                <c:pt idx="172">
                  <c:v>3.6624600000000002E-3</c:v>
                </c:pt>
                <c:pt idx="173">
                  <c:v>3.6443399999999998E-3</c:v>
                </c:pt>
                <c:pt idx="174">
                  <c:v>3.6581399999999998E-3</c:v>
                </c:pt>
                <c:pt idx="175">
                  <c:v>3.7190700000000001E-3</c:v>
                </c:pt>
                <c:pt idx="176">
                  <c:v>3.72471E-3</c:v>
                </c:pt>
                <c:pt idx="177">
                  <c:v>3.7533499999999999E-3</c:v>
                </c:pt>
                <c:pt idx="178">
                  <c:v>3.6169599999999998E-3</c:v>
                </c:pt>
                <c:pt idx="179">
                  <c:v>3.6743499999999998E-3</c:v>
                </c:pt>
                <c:pt idx="180">
                  <c:v>3.74253E-3</c:v>
                </c:pt>
                <c:pt idx="181">
                  <c:v>3.7615700000000001E-3</c:v>
                </c:pt>
                <c:pt idx="182">
                  <c:v>3.80518E-3</c:v>
                </c:pt>
                <c:pt idx="183">
                  <c:v>3.72493E-3</c:v>
                </c:pt>
                <c:pt idx="184">
                  <c:v>3.7760200000000002E-3</c:v>
                </c:pt>
                <c:pt idx="185">
                  <c:v>3.8373299999999999E-3</c:v>
                </c:pt>
                <c:pt idx="186">
                  <c:v>3.8006400000000001E-3</c:v>
                </c:pt>
                <c:pt idx="187">
                  <c:v>3.7634500000000002E-3</c:v>
                </c:pt>
                <c:pt idx="188">
                  <c:v>3.77028E-3</c:v>
                </c:pt>
                <c:pt idx="189">
                  <c:v>3.8500600000000002E-3</c:v>
                </c:pt>
                <c:pt idx="190">
                  <c:v>3.8818799999999999E-3</c:v>
                </c:pt>
                <c:pt idx="191">
                  <c:v>3.9104999999999999E-3</c:v>
                </c:pt>
                <c:pt idx="192">
                  <c:v>3.8508700000000002E-3</c:v>
                </c:pt>
                <c:pt idx="193">
                  <c:v>3.9620100000000002E-3</c:v>
                </c:pt>
                <c:pt idx="194">
                  <c:v>3.9863199999999998E-3</c:v>
                </c:pt>
                <c:pt idx="195">
                  <c:v>4.0567399999999997E-3</c:v>
                </c:pt>
                <c:pt idx="196">
                  <c:v>3.9957200000000003E-3</c:v>
                </c:pt>
                <c:pt idx="197">
                  <c:v>3.9437700000000001E-3</c:v>
                </c:pt>
                <c:pt idx="198">
                  <c:v>3.9929600000000003E-3</c:v>
                </c:pt>
                <c:pt idx="199">
                  <c:v>4.0280300000000002E-3</c:v>
                </c:pt>
                <c:pt idx="200">
                  <c:v>4.0018500000000004E-3</c:v>
                </c:pt>
                <c:pt idx="201">
                  <c:v>4.0804600000000002E-3</c:v>
                </c:pt>
                <c:pt idx="202">
                  <c:v>4.0574599999999997E-3</c:v>
                </c:pt>
                <c:pt idx="203">
                  <c:v>4.0892400000000001E-3</c:v>
                </c:pt>
                <c:pt idx="204">
                  <c:v>4.12372E-3</c:v>
                </c:pt>
                <c:pt idx="205">
                  <c:v>4.1483099999999997E-3</c:v>
                </c:pt>
                <c:pt idx="206">
                  <c:v>4.1140200000000004E-3</c:v>
                </c:pt>
                <c:pt idx="207">
                  <c:v>4.1131099999999997E-3</c:v>
                </c:pt>
                <c:pt idx="208">
                  <c:v>4.1681599999999997E-3</c:v>
                </c:pt>
                <c:pt idx="209">
                  <c:v>4.1851700000000002E-3</c:v>
                </c:pt>
                <c:pt idx="210">
                  <c:v>4.2210700000000004E-3</c:v>
                </c:pt>
                <c:pt idx="211">
                  <c:v>4.1770100000000001E-3</c:v>
                </c:pt>
                <c:pt idx="212">
                  <c:v>4.2574800000000001E-3</c:v>
                </c:pt>
                <c:pt idx="213">
                  <c:v>4.2922200000000002E-3</c:v>
                </c:pt>
                <c:pt idx="214">
                  <c:v>4.24304E-3</c:v>
                </c:pt>
                <c:pt idx="215">
                  <c:v>4.2516300000000002E-3</c:v>
                </c:pt>
                <c:pt idx="216">
                  <c:v>4.3198100000000003E-3</c:v>
                </c:pt>
                <c:pt idx="217">
                  <c:v>4.3086399999999999E-3</c:v>
                </c:pt>
                <c:pt idx="218">
                  <c:v>4.3361700000000003E-3</c:v>
                </c:pt>
                <c:pt idx="219">
                  <c:v>4.3275700000000002E-3</c:v>
                </c:pt>
                <c:pt idx="220">
                  <c:v>4.4087500000000003E-3</c:v>
                </c:pt>
                <c:pt idx="221">
                  <c:v>4.4003200000000001E-3</c:v>
                </c:pt>
                <c:pt idx="222">
                  <c:v>4.4162899999999998E-3</c:v>
                </c:pt>
                <c:pt idx="223">
                  <c:v>4.3502000000000002E-3</c:v>
                </c:pt>
                <c:pt idx="224">
                  <c:v>4.4093600000000002E-3</c:v>
                </c:pt>
                <c:pt idx="225">
                  <c:v>4.3917499999999998E-3</c:v>
                </c:pt>
                <c:pt idx="226">
                  <c:v>4.4863500000000001E-3</c:v>
                </c:pt>
                <c:pt idx="227">
                  <c:v>4.4429700000000001E-3</c:v>
                </c:pt>
                <c:pt idx="228">
                  <c:v>4.4748499999999998E-3</c:v>
                </c:pt>
                <c:pt idx="229">
                  <c:v>4.4503299999999997E-3</c:v>
                </c:pt>
                <c:pt idx="230">
                  <c:v>4.5133300000000003E-3</c:v>
                </c:pt>
                <c:pt idx="231">
                  <c:v>4.59429E-3</c:v>
                </c:pt>
                <c:pt idx="232">
                  <c:v>4.5150900000000002E-3</c:v>
                </c:pt>
                <c:pt idx="233">
                  <c:v>4.5209500000000001E-3</c:v>
                </c:pt>
                <c:pt idx="234">
                  <c:v>4.5561500000000001E-3</c:v>
                </c:pt>
                <c:pt idx="235">
                  <c:v>4.5361999999999998E-3</c:v>
                </c:pt>
                <c:pt idx="236">
                  <c:v>4.61503E-3</c:v>
                </c:pt>
                <c:pt idx="237">
                  <c:v>4.6408700000000001E-3</c:v>
                </c:pt>
                <c:pt idx="238">
                  <c:v>4.5688300000000003E-3</c:v>
                </c:pt>
                <c:pt idx="239">
                  <c:v>4.6020499999999999E-3</c:v>
                </c:pt>
                <c:pt idx="240">
                  <c:v>4.6049400000000001E-3</c:v>
                </c:pt>
                <c:pt idx="241">
                  <c:v>4.6277599999999999E-3</c:v>
                </c:pt>
                <c:pt idx="242">
                  <c:v>4.6799500000000004E-3</c:v>
                </c:pt>
                <c:pt idx="243">
                  <c:v>4.5925899999999997E-3</c:v>
                </c:pt>
                <c:pt idx="244">
                  <c:v>4.6827300000000004E-3</c:v>
                </c:pt>
                <c:pt idx="245">
                  <c:v>4.7633299999999996E-3</c:v>
                </c:pt>
                <c:pt idx="246">
                  <c:v>4.7376500000000004E-3</c:v>
                </c:pt>
                <c:pt idx="247">
                  <c:v>4.7122400000000004E-3</c:v>
                </c:pt>
                <c:pt idx="248">
                  <c:v>4.6626100000000002E-3</c:v>
                </c:pt>
                <c:pt idx="249">
                  <c:v>4.70382E-3</c:v>
                </c:pt>
                <c:pt idx="250">
                  <c:v>4.7474099999999997E-3</c:v>
                </c:pt>
                <c:pt idx="251">
                  <c:v>4.7733599999999999E-3</c:v>
                </c:pt>
                <c:pt idx="252">
                  <c:v>4.7417900000000001E-3</c:v>
                </c:pt>
                <c:pt idx="253">
                  <c:v>4.8383499999999999E-3</c:v>
                </c:pt>
                <c:pt idx="254">
                  <c:v>4.8205699999999997E-3</c:v>
                </c:pt>
                <c:pt idx="255">
                  <c:v>4.8344399999999997E-3</c:v>
                </c:pt>
                <c:pt idx="256">
                  <c:v>4.8885400000000002E-3</c:v>
                </c:pt>
                <c:pt idx="257">
                  <c:v>4.8742200000000003E-3</c:v>
                </c:pt>
                <c:pt idx="258">
                  <c:v>4.8916100000000002E-3</c:v>
                </c:pt>
                <c:pt idx="259">
                  <c:v>4.9197800000000003E-3</c:v>
                </c:pt>
                <c:pt idx="260">
                  <c:v>4.9147799999999997E-3</c:v>
                </c:pt>
                <c:pt idx="261">
                  <c:v>4.9386999999999999E-3</c:v>
                </c:pt>
                <c:pt idx="262">
                  <c:v>4.9501700000000003E-3</c:v>
                </c:pt>
                <c:pt idx="263">
                  <c:v>5.0148600000000003E-3</c:v>
                </c:pt>
                <c:pt idx="264">
                  <c:v>4.9324E-3</c:v>
                </c:pt>
                <c:pt idx="265">
                  <c:v>5.0070699999999998E-3</c:v>
                </c:pt>
                <c:pt idx="266">
                  <c:v>4.9187299999999996E-3</c:v>
                </c:pt>
                <c:pt idx="267">
                  <c:v>5.0501900000000004E-3</c:v>
                </c:pt>
                <c:pt idx="268">
                  <c:v>5.0531400000000002E-3</c:v>
                </c:pt>
                <c:pt idx="269">
                  <c:v>5.0476799999999997E-3</c:v>
                </c:pt>
                <c:pt idx="270">
                  <c:v>5.0580399999999998E-3</c:v>
                </c:pt>
                <c:pt idx="271">
                  <c:v>5.0541900000000001E-3</c:v>
                </c:pt>
                <c:pt idx="272">
                  <c:v>5.0715400000000002E-3</c:v>
                </c:pt>
                <c:pt idx="273">
                  <c:v>5.0775500000000001E-3</c:v>
                </c:pt>
                <c:pt idx="274">
                  <c:v>5.1352699999999999E-3</c:v>
                </c:pt>
                <c:pt idx="275">
                  <c:v>5.1043599999999996E-3</c:v>
                </c:pt>
                <c:pt idx="276">
                  <c:v>5.1329699999999997E-3</c:v>
                </c:pt>
                <c:pt idx="277">
                  <c:v>5.1660899999999999E-3</c:v>
                </c:pt>
                <c:pt idx="278">
                  <c:v>5.19499E-3</c:v>
                </c:pt>
                <c:pt idx="279">
                  <c:v>5.11466E-3</c:v>
                </c:pt>
                <c:pt idx="280">
                  <c:v>5.2264800000000004E-3</c:v>
                </c:pt>
                <c:pt idx="281">
                  <c:v>5.2119899999999997E-3</c:v>
                </c:pt>
                <c:pt idx="282">
                  <c:v>5.2853400000000004E-3</c:v>
                </c:pt>
                <c:pt idx="283">
                  <c:v>5.2648199999999999E-3</c:v>
                </c:pt>
                <c:pt idx="284">
                  <c:v>5.2665000000000003E-3</c:v>
                </c:pt>
                <c:pt idx="285">
                  <c:v>5.2554699999999999E-3</c:v>
                </c:pt>
                <c:pt idx="286">
                  <c:v>5.2701600000000003E-3</c:v>
                </c:pt>
                <c:pt idx="287">
                  <c:v>5.2481699999999999E-3</c:v>
                </c:pt>
                <c:pt idx="288">
                  <c:v>5.2769100000000001E-3</c:v>
                </c:pt>
                <c:pt idx="289">
                  <c:v>5.3036799999999999E-3</c:v>
                </c:pt>
                <c:pt idx="290">
                  <c:v>5.32191E-3</c:v>
                </c:pt>
                <c:pt idx="291">
                  <c:v>5.3902300000000002E-3</c:v>
                </c:pt>
                <c:pt idx="292">
                  <c:v>5.3932499999999996E-3</c:v>
                </c:pt>
                <c:pt idx="293">
                  <c:v>5.3961699999999996E-3</c:v>
                </c:pt>
                <c:pt idx="294">
                  <c:v>5.3641399999999999E-3</c:v>
                </c:pt>
                <c:pt idx="295">
                  <c:v>5.4138299999999997E-3</c:v>
                </c:pt>
                <c:pt idx="296">
                  <c:v>5.4072800000000004E-3</c:v>
                </c:pt>
                <c:pt idx="297">
                  <c:v>5.3867200000000002E-3</c:v>
                </c:pt>
                <c:pt idx="298">
                  <c:v>5.4279699999999998E-3</c:v>
                </c:pt>
                <c:pt idx="299">
                  <c:v>5.4225699999999998E-3</c:v>
                </c:pt>
                <c:pt idx="300">
                  <c:v>5.4550299999999996E-3</c:v>
                </c:pt>
                <c:pt idx="301">
                  <c:v>5.3911000000000002E-3</c:v>
                </c:pt>
                <c:pt idx="302">
                  <c:v>5.4666000000000003E-3</c:v>
                </c:pt>
                <c:pt idx="303">
                  <c:v>5.4682100000000003E-3</c:v>
                </c:pt>
                <c:pt idx="304">
                  <c:v>5.5368300000000004E-3</c:v>
                </c:pt>
                <c:pt idx="305">
                  <c:v>5.4926799999999998E-3</c:v>
                </c:pt>
                <c:pt idx="306">
                  <c:v>5.5092700000000001E-3</c:v>
                </c:pt>
                <c:pt idx="307">
                  <c:v>5.5454199999999997E-3</c:v>
                </c:pt>
                <c:pt idx="308">
                  <c:v>5.6232900000000004E-3</c:v>
                </c:pt>
                <c:pt idx="309">
                  <c:v>5.5698400000000004E-3</c:v>
                </c:pt>
                <c:pt idx="310">
                  <c:v>5.6069199999999996E-3</c:v>
                </c:pt>
                <c:pt idx="311">
                  <c:v>5.6037099999999996E-3</c:v>
                </c:pt>
                <c:pt idx="312">
                  <c:v>5.6092900000000003E-3</c:v>
                </c:pt>
                <c:pt idx="313">
                  <c:v>5.6500500000000002E-3</c:v>
                </c:pt>
                <c:pt idx="314">
                  <c:v>5.6667100000000001E-3</c:v>
                </c:pt>
                <c:pt idx="315">
                  <c:v>5.6631900000000002E-3</c:v>
                </c:pt>
                <c:pt idx="316">
                  <c:v>5.5782200000000001E-3</c:v>
                </c:pt>
                <c:pt idx="317">
                  <c:v>5.6271899999999998E-3</c:v>
                </c:pt>
                <c:pt idx="318">
                  <c:v>5.6280200000000001E-3</c:v>
                </c:pt>
                <c:pt idx="319">
                  <c:v>5.78284E-3</c:v>
                </c:pt>
                <c:pt idx="320">
                  <c:v>5.6936299999999999E-3</c:v>
                </c:pt>
              </c:numCache>
            </c:numRef>
          </c:xVal>
          <c:yVal>
            <c:numRef>
              <c:f>'L30CPTX-2'!$N$80:$N$400</c:f>
              <c:numCache>
                <c:formatCode>General</c:formatCode>
                <c:ptCount val="321"/>
                <c:pt idx="0">
                  <c:v>-6.1909499999999995E-4</c:v>
                </c:pt>
                <c:pt idx="1">
                  <c:v>-5.8300799999999999E-4</c:v>
                </c:pt>
                <c:pt idx="2">
                  <c:v>-5.9824499999999996E-4</c:v>
                </c:pt>
                <c:pt idx="3">
                  <c:v>-5.7176899999999997E-4</c:v>
                </c:pt>
                <c:pt idx="4">
                  <c:v>-6.3075499999999999E-4</c:v>
                </c:pt>
                <c:pt idx="5">
                  <c:v>-5.7798500000000004E-4</c:v>
                </c:pt>
                <c:pt idx="6">
                  <c:v>-5.8737600000000002E-4</c:v>
                </c:pt>
                <c:pt idx="7">
                  <c:v>-6.9177099999999999E-4</c:v>
                </c:pt>
                <c:pt idx="8">
                  <c:v>-7.5188499999999999E-4</c:v>
                </c:pt>
                <c:pt idx="9">
                  <c:v>-8.0145300000000004E-4</c:v>
                </c:pt>
                <c:pt idx="10">
                  <c:v>-6.7742099999999999E-4</c:v>
                </c:pt>
                <c:pt idx="11">
                  <c:v>-7.0361999999999996E-4</c:v>
                </c:pt>
                <c:pt idx="12">
                  <c:v>-7.7243699999999995E-4</c:v>
                </c:pt>
                <c:pt idx="13">
                  <c:v>-6.9324399999999998E-4</c:v>
                </c:pt>
                <c:pt idx="14">
                  <c:v>-7.4677499999999998E-4</c:v>
                </c:pt>
                <c:pt idx="15">
                  <c:v>-7.1761000000000004E-4</c:v>
                </c:pt>
                <c:pt idx="16">
                  <c:v>-7.3901900000000005E-4</c:v>
                </c:pt>
                <c:pt idx="17">
                  <c:v>-8.6569000000000001E-4</c:v>
                </c:pt>
                <c:pt idx="18">
                  <c:v>-7.6912599999999997E-4</c:v>
                </c:pt>
                <c:pt idx="19">
                  <c:v>-7.9661499999999998E-4</c:v>
                </c:pt>
                <c:pt idx="20">
                  <c:v>-8.6125999999999998E-4</c:v>
                </c:pt>
                <c:pt idx="21">
                  <c:v>-7.7177400000000003E-4</c:v>
                </c:pt>
                <c:pt idx="22">
                  <c:v>-8.12902E-4</c:v>
                </c:pt>
                <c:pt idx="23">
                  <c:v>-7.89882E-4</c:v>
                </c:pt>
                <c:pt idx="24">
                  <c:v>-7.2168500000000001E-4</c:v>
                </c:pt>
                <c:pt idx="25">
                  <c:v>-8.8389600000000001E-4</c:v>
                </c:pt>
                <c:pt idx="26">
                  <c:v>-9.0373000000000005E-4</c:v>
                </c:pt>
                <c:pt idx="27">
                  <c:v>-8.4004999999999995E-4</c:v>
                </c:pt>
                <c:pt idx="28">
                  <c:v>-9.5204999999999997E-4</c:v>
                </c:pt>
                <c:pt idx="29">
                  <c:v>-9.0345300000000003E-4</c:v>
                </c:pt>
                <c:pt idx="30">
                  <c:v>-9.6466800000000001E-4</c:v>
                </c:pt>
                <c:pt idx="31">
                  <c:v>-8.9514499999999997E-4</c:v>
                </c:pt>
                <c:pt idx="32">
                  <c:v>-9.5993700000000001E-4</c:v>
                </c:pt>
                <c:pt idx="33">
                  <c:v>-9.2871200000000005E-4</c:v>
                </c:pt>
                <c:pt idx="34">
                  <c:v>-9.0975699999999997E-4</c:v>
                </c:pt>
                <c:pt idx="35">
                  <c:v>-9.2348799999999998E-4</c:v>
                </c:pt>
                <c:pt idx="36">
                  <c:v>-9.2437400000000005E-4</c:v>
                </c:pt>
                <c:pt idx="37">
                  <c:v>-8.5970800000000004E-4</c:v>
                </c:pt>
                <c:pt idx="38">
                  <c:v>-9.7511500000000003E-4</c:v>
                </c:pt>
                <c:pt idx="39">
                  <c:v>-1.0568000000000001E-3</c:v>
                </c:pt>
                <c:pt idx="40">
                  <c:v>-1.0735199999999999E-3</c:v>
                </c:pt>
                <c:pt idx="41">
                  <c:v>-1.01783E-3</c:v>
                </c:pt>
                <c:pt idx="42">
                  <c:v>-1.0179099999999999E-3</c:v>
                </c:pt>
                <c:pt idx="43">
                  <c:v>-1.0496800000000001E-3</c:v>
                </c:pt>
                <c:pt idx="44">
                  <c:v>-9.5947999999999997E-4</c:v>
                </c:pt>
                <c:pt idx="45">
                  <c:v>-1.0136800000000001E-3</c:v>
                </c:pt>
                <c:pt idx="46">
                  <c:v>-1.1525699999999999E-3</c:v>
                </c:pt>
                <c:pt idx="47">
                  <c:v>-1.01301E-3</c:v>
                </c:pt>
                <c:pt idx="48">
                  <c:v>-1.01424E-3</c:v>
                </c:pt>
                <c:pt idx="49">
                  <c:v>-1.0474200000000001E-3</c:v>
                </c:pt>
                <c:pt idx="50">
                  <c:v>-1.04126E-3</c:v>
                </c:pt>
                <c:pt idx="51">
                  <c:v>-1.0424500000000001E-3</c:v>
                </c:pt>
                <c:pt idx="52">
                  <c:v>-1.1142400000000001E-3</c:v>
                </c:pt>
                <c:pt idx="53">
                  <c:v>-9.6603300000000004E-4</c:v>
                </c:pt>
                <c:pt idx="54">
                  <c:v>-1.1466499999999999E-3</c:v>
                </c:pt>
                <c:pt idx="55">
                  <c:v>-1.1440599999999999E-3</c:v>
                </c:pt>
                <c:pt idx="56">
                  <c:v>-1.1528599999999999E-3</c:v>
                </c:pt>
                <c:pt idx="57">
                  <c:v>-1.10794E-3</c:v>
                </c:pt>
                <c:pt idx="58">
                  <c:v>-1.22386E-3</c:v>
                </c:pt>
                <c:pt idx="59">
                  <c:v>-1.21601E-3</c:v>
                </c:pt>
                <c:pt idx="60">
                  <c:v>-1.14598E-3</c:v>
                </c:pt>
                <c:pt idx="61">
                  <c:v>-1.1233300000000001E-3</c:v>
                </c:pt>
                <c:pt idx="62">
                  <c:v>-1.09391E-3</c:v>
                </c:pt>
                <c:pt idx="63">
                  <c:v>-1.1754999999999999E-3</c:v>
                </c:pt>
                <c:pt idx="64">
                  <c:v>-1.14642E-3</c:v>
                </c:pt>
                <c:pt idx="65">
                  <c:v>-1.2511E-3</c:v>
                </c:pt>
                <c:pt idx="66">
                  <c:v>-1.3257E-3</c:v>
                </c:pt>
                <c:pt idx="67">
                  <c:v>-1.2236700000000001E-3</c:v>
                </c:pt>
                <c:pt idx="68">
                  <c:v>-1.2754699999999999E-3</c:v>
                </c:pt>
                <c:pt idx="69">
                  <c:v>-1.1891600000000001E-3</c:v>
                </c:pt>
                <c:pt idx="70">
                  <c:v>-1.1636000000000001E-3</c:v>
                </c:pt>
                <c:pt idx="71">
                  <c:v>-1.0816000000000001E-3</c:v>
                </c:pt>
                <c:pt idx="72">
                  <c:v>-1.2093E-3</c:v>
                </c:pt>
                <c:pt idx="73">
                  <c:v>-1.2917200000000001E-3</c:v>
                </c:pt>
                <c:pt idx="74">
                  <c:v>-1.2713900000000001E-3</c:v>
                </c:pt>
                <c:pt idx="75">
                  <c:v>-1.1495100000000001E-3</c:v>
                </c:pt>
                <c:pt idx="76">
                  <c:v>-1.26914E-3</c:v>
                </c:pt>
                <c:pt idx="77">
                  <c:v>-1.2618200000000001E-3</c:v>
                </c:pt>
                <c:pt idx="78">
                  <c:v>-1.43267E-3</c:v>
                </c:pt>
                <c:pt idx="79">
                  <c:v>-1.299E-3</c:v>
                </c:pt>
                <c:pt idx="80">
                  <c:v>-1.42052E-3</c:v>
                </c:pt>
                <c:pt idx="81">
                  <c:v>-1.37189E-3</c:v>
                </c:pt>
                <c:pt idx="82">
                  <c:v>-1.39007E-3</c:v>
                </c:pt>
                <c:pt idx="83">
                  <c:v>-1.42184E-3</c:v>
                </c:pt>
                <c:pt idx="84">
                  <c:v>-1.3131499999999999E-3</c:v>
                </c:pt>
                <c:pt idx="85">
                  <c:v>-1.4108199999999999E-3</c:v>
                </c:pt>
                <c:pt idx="86">
                  <c:v>-1.46491E-3</c:v>
                </c:pt>
                <c:pt idx="87">
                  <c:v>-1.4074999999999999E-3</c:v>
                </c:pt>
                <c:pt idx="88">
                  <c:v>-1.4172399999999999E-3</c:v>
                </c:pt>
                <c:pt idx="89">
                  <c:v>-1.5283600000000001E-3</c:v>
                </c:pt>
                <c:pt idx="90">
                  <c:v>-1.4700099999999999E-3</c:v>
                </c:pt>
                <c:pt idx="91">
                  <c:v>-1.5857200000000001E-3</c:v>
                </c:pt>
                <c:pt idx="92">
                  <c:v>-1.50544E-3</c:v>
                </c:pt>
                <c:pt idx="93">
                  <c:v>-1.38937E-3</c:v>
                </c:pt>
                <c:pt idx="94">
                  <c:v>-1.3912499999999999E-3</c:v>
                </c:pt>
                <c:pt idx="95">
                  <c:v>-1.4995900000000001E-3</c:v>
                </c:pt>
                <c:pt idx="96">
                  <c:v>-1.5513199999999999E-3</c:v>
                </c:pt>
                <c:pt idx="97">
                  <c:v>-1.4746E-3</c:v>
                </c:pt>
                <c:pt idx="98">
                  <c:v>-1.46083E-3</c:v>
                </c:pt>
                <c:pt idx="99">
                  <c:v>-1.44922E-3</c:v>
                </c:pt>
                <c:pt idx="100">
                  <c:v>-1.5769200000000001E-3</c:v>
                </c:pt>
                <c:pt idx="101">
                  <c:v>-1.59282E-3</c:v>
                </c:pt>
                <c:pt idx="102">
                  <c:v>-1.53554E-3</c:v>
                </c:pt>
                <c:pt idx="103">
                  <c:v>-1.55434E-3</c:v>
                </c:pt>
                <c:pt idx="104">
                  <c:v>-1.5632300000000001E-3</c:v>
                </c:pt>
                <c:pt idx="105">
                  <c:v>-1.6420199999999999E-3</c:v>
                </c:pt>
                <c:pt idx="106">
                  <c:v>-1.57103E-3</c:v>
                </c:pt>
                <c:pt idx="107">
                  <c:v>-1.6443300000000001E-3</c:v>
                </c:pt>
                <c:pt idx="108">
                  <c:v>-1.5376700000000001E-3</c:v>
                </c:pt>
                <c:pt idx="109">
                  <c:v>-1.59348E-3</c:v>
                </c:pt>
                <c:pt idx="110">
                  <c:v>-1.5166999999999999E-3</c:v>
                </c:pt>
                <c:pt idx="111">
                  <c:v>-1.57344E-3</c:v>
                </c:pt>
                <c:pt idx="112">
                  <c:v>-1.59538E-3</c:v>
                </c:pt>
                <c:pt idx="113">
                  <c:v>-1.6554899999999999E-3</c:v>
                </c:pt>
                <c:pt idx="114">
                  <c:v>-1.69111E-3</c:v>
                </c:pt>
                <c:pt idx="115">
                  <c:v>-1.68188E-3</c:v>
                </c:pt>
                <c:pt idx="116">
                  <c:v>-1.74351E-3</c:v>
                </c:pt>
                <c:pt idx="117">
                  <c:v>-1.7080400000000001E-3</c:v>
                </c:pt>
                <c:pt idx="118">
                  <c:v>-1.8261600000000001E-3</c:v>
                </c:pt>
                <c:pt idx="119">
                  <c:v>-1.6553E-3</c:v>
                </c:pt>
                <c:pt idx="120">
                  <c:v>-1.6268299999999999E-3</c:v>
                </c:pt>
                <c:pt idx="121">
                  <c:v>-1.7502399999999999E-3</c:v>
                </c:pt>
                <c:pt idx="122">
                  <c:v>-1.72134E-3</c:v>
                </c:pt>
                <c:pt idx="123">
                  <c:v>-1.76429E-3</c:v>
                </c:pt>
                <c:pt idx="124">
                  <c:v>-1.68713E-3</c:v>
                </c:pt>
                <c:pt idx="125">
                  <c:v>-1.75545E-3</c:v>
                </c:pt>
                <c:pt idx="126">
                  <c:v>-1.80602E-3</c:v>
                </c:pt>
                <c:pt idx="127">
                  <c:v>-1.71861E-3</c:v>
                </c:pt>
                <c:pt idx="128">
                  <c:v>-1.7775200000000001E-3</c:v>
                </c:pt>
                <c:pt idx="129">
                  <c:v>-1.7932899999999999E-3</c:v>
                </c:pt>
                <c:pt idx="130">
                  <c:v>-1.7907299999999999E-3</c:v>
                </c:pt>
                <c:pt idx="131">
                  <c:v>-1.8159999999999999E-3</c:v>
                </c:pt>
                <c:pt idx="132">
                  <c:v>-1.8321399999999999E-3</c:v>
                </c:pt>
                <c:pt idx="133">
                  <c:v>-1.7809799999999999E-3</c:v>
                </c:pt>
                <c:pt idx="134">
                  <c:v>-1.8564199999999999E-3</c:v>
                </c:pt>
                <c:pt idx="135">
                  <c:v>-1.91563E-3</c:v>
                </c:pt>
                <c:pt idx="136">
                  <c:v>-1.85264E-3</c:v>
                </c:pt>
                <c:pt idx="137">
                  <c:v>-1.8942E-3</c:v>
                </c:pt>
                <c:pt idx="138">
                  <c:v>-1.8110400000000001E-3</c:v>
                </c:pt>
                <c:pt idx="139">
                  <c:v>-1.88579E-3</c:v>
                </c:pt>
                <c:pt idx="140">
                  <c:v>-1.98723E-3</c:v>
                </c:pt>
                <c:pt idx="141">
                  <c:v>-1.9042E-3</c:v>
                </c:pt>
                <c:pt idx="142">
                  <c:v>-2.0525399999999998E-3</c:v>
                </c:pt>
                <c:pt idx="143">
                  <c:v>-1.9332100000000001E-3</c:v>
                </c:pt>
                <c:pt idx="144">
                  <c:v>-1.9964499999999999E-3</c:v>
                </c:pt>
                <c:pt idx="145">
                  <c:v>-1.9984999999999998E-3</c:v>
                </c:pt>
                <c:pt idx="146">
                  <c:v>-1.9189999999999999E-3</c:v>
                </c:pt>
                <c:pt idx="147">
                  <c:v>-1.9788000000000002E-3</c:v>
                </c:pt>
                <c:pt idx="148">
                  <c:v>-1.9699800000000001E-3</c:v>
                </c:pt>
                <c:pt idx="149">
                  <c:v>-2.0392399999999999E-3</c:v>
                </c:pt>
                <c:pt idx="150">
                  <c:v>-1.9546799999999999E-3</c:v>
                </c:pt>
                <c:pt idx="151">
                  <c:v>-2.0056599999999998E-3</c:v>
                </c:pt>
                <c:pt idx="152">
                  <c:v>-2.0540300000000001E-3</c:v>
                </c:pt>
                <c:pt idx="153">
                  <c:v>-2.0377899999999998E-3</c:v>
                </c:pt>
                <c:pt idx="154">
                  <c:v>-1.9764399999999999E-3</c:v>
                </c:pt>
                <c:pt idx="155">
                  <c:v>-1.9773600000000001E-3</c:v>
                </c:pt>
                <c:pt idx="156">
                  <c:v>-1.98628E-3</c:v>
                </c:pt>
                <c:pt idx="157">
                  <c:v>-2.0912600000000002E-3</c:v>
                </c:pt>
                <c:pt idx="158">
                  <c:v>-2.03885E-3</c:v>
                </c:pt>
                <c:pt idx="159">
                  <c:v>-2.0173499999999998E-3</c:v>
                </c:pt>
                <c:pt idx="160">
                  <c:v>-2.0913500000000001E-3</c:v>
                </c:pt>
                <c:pt idx="161">
                  <c:v>-2.0908799999999998E-3</c:v>
                </c:pt>
                <c:pt idx="162">
                  <c:v>-2.0821099999999999E-3</c:v>
                </c:pt>
                <c:pt idx="163">
                  <c:v>-2.1000300000000001E-3</c:v>
                </c:pt>
                <c:pt idx="164">
                  <c:v>-2.1120100000000001E-3</c:v>
                </c:pt>
                <c:pt idx="165">
                  <c:v>-2.1070400000000001E-3</c:v>
                </c:pt>
                <c:pt idx="166">
                  <c:v>-2.21287E-3</c:v>
                </c:pt>
                <c:pt idx="167">
                  <c:v>-2.1505500000000002E-3</c:v>
                </c:pt>
                <c:pt idx="168">
                  <c:v>-2.2333499999999998E-3</c:v>
                </c:pt>
                <c:pt idx="169">
                  <c:v>-2.1986200000000001E-3</c:v>
                </c:pt>
                <c:pt idx="170">
                  <c:v>-2.1479300000000002E-3</c:v>
                </c:pt>
                <c:pt idx="171">
                  <c:v>-2.2009999999999998E-3</c:v>
                </c:pt>
                <c:pt idx="172">
                  <c:v>-2.2251900000000002E-3</c:v>
                </c:pt>
                <c:pt idx="173">
                  <c:v>-2.2036600000000001E-3</c:v>
                </c:pt>
                <c:pt idx="174">
                  <c:v>-2.18944E-3</c:v>
                </c:pt>
                <c:pt idx="175">
                  <c:v>-2.2885200000000001E-3</c:v>
                </c:pt>
                <c:pt idx="176">
                  <c:v>-2.2654799999999998E-3</c:v>
                </c:pt>
                <c:pt idx="177">
                  <c:v>-2.1999599999999999E-3</c:v>
                </c:pt>
                <c:pt idx="178">
                  <c:v>-2.2360100000000001E-3</c:v>
                </c:pt>
                <c:pt idx="179">
                  <c:v>-2.2855000000000002E-3</c:v>
                </c:pt>
                <c:pt idx="180">
                  <c:v>-2.2894E-3</c:v>
                </c:pt>
                <c:pt idx="181">
                  <c:v>-2.2888100000000001E-3</c:v>
                </c:pt>
                <c:pt idx="182">
                  <c:v>-2.2706900000000001E-3</c:v>
                </c:pt>
                <c:pt idx="183">
                  <c:v>-2.3383599999999998E-3</c:v>
                </c:pt>
                <c:pt idx="184">
                  <c:v>-2.3783599999999999E-3</c:v>
                </c:pt>
                <c:pt idx="185">
                  <c:v>-2.1975200000000001E-3</c:v>
                </c:pt>
                <c:pt idx="186">
                  <c:v>-2.3475000000000002E-3</c:v>
                </c:pt>
                <c:pt idx="187">
                  <c:v>-2.415E-3</c:v>
                </c:pt>
                <c:pt idx="188">
                  <c:v>-2.2977800000000001E-3</c:v>
                </c:pt>
                <c:pt idx="189">
                  <c:v>-2.3442300000000001E-3</c:v>
                </c:pt>
                <c:pt idx="190">
                  <c:v>-2.2916199999999999E-3</c:v>
                </c:pt>
                <c:pt idx="191">
                  <c:v>-2.3174699999999999E-3</c:v>
                </c:pt>
                <c:pt idx="192">
                  <c:v>-2.3263300000000002E-3</c:v>
                </c:pt>
                <c:pt idx="193">
                  <c:v>-2.3707200000000002E-3</c:v>
                </c:pt>
                <c:pt idx="194">
                  <c:v>-2.1867000000000002E-3</c:v>
                </c:pt>
                <c:pt idx="195">
                  <c:v>-2.2812599999999998E-3</c:v>
                </c:pt>
                <c:pt idx="196">
                  <c:v>-2.3531899999999998E-3</c:v>
                </c:pt>
                <c:pt idx="197">
                  <c:v>-2.4023400000000002E-3</c:v>
                </c:pt>
                <c:pt idx="198">
                  <c:v>-2.28605E-3</c:v>
                </c:pt>
                <c:pt idx="199">
                  <c:v>-2.3940200000000002E-3</c:v>
                </c:pt>
                <c:pt idx="200">
                  <c:v>-2.3640200000000001E-3</c:v>
                </c:pt>
                <c:pt idx="201">
                  <c:v>-2.27911E-3</c:v>
                </c:pt>
                <c:pt idx="202">
                  <c:v>-2.4062599999999999E-3</c:v>
                </c:pt>
                <c:pt idx="203">
                  <c:v>-2.4540199999999999E-3</c:v>
                </c:pt>
                <c:pt idx="204">
                  <c:v>-2.4138599999999999E-3</c:v>
                </c:pt>
                <c:pt idx="205">
                  <c:v>-2.4163800000000001E-3</c:v>
                </c:pt>
                <c:pt idx="206">
                  <c:v>-2.44196E-3</c:v>
                </c:pt>
                <c:pt idx="207">
                  <c:v>-2.4963899999999998E-3</c:v>
                </c:pt>
                <c:pt idx="208">
                  <c:v>-2.4772800000000001E-3</c:v>
                </c:pt>
                <c:pt idx="209">
                  <c:v>-2.5577099999999999E-3</c:v>
                </c:pt>
                <c:pt idx="210">
                  <c:v>-2.4750100000000001E-3</c:v>
                </c:pt>
                <c:pt idx="211">
                  <c:v>-2.4560200000000002E-3</c:v>
                </c:pt>
                <c:pt idx="212">
                  <c:v>-2.4125399999999999E-3</c:v>
                </c:pt>
                <c:pt idx="213">
                  <c:v>-2.5107100000000002E-3</c:v>
                </c:pt>
                <c:pt idx="214">
                  <c:v>-2.5237300000000001E-3</c:v>
                </c:pt>
                <c:pt idx="215">
                  <c:v>-2.5014299999999998E-3</c:v>
                </c:pt>
                <c:pt idx="216">
                  <c:v>-2.4474499999999999E-3</c:v>
                </c:pt>
                <c:pt idx="217">
                  <c:v>-2.5583799999999999E-3</c:v>
                </c:pt>
                <c:pt idx="218">
                  <c:v>-2.58566E-3</c:v>
                </c:pt>
                <c:pt idx="219">
                  <c:v>-2.5321699999999998E-3</c:v>
                </c:pt>
                <c:pt idx="220">
                  <c:v>-2.5534799999999999E-3</c:v>
                </c:pt>
                <c:pt idx="221">
                  <c:v>-2.5772899999999999E-3</c:v>
                </c:pt>
                <c:pt idx="222">
                  <c:v>-2.69806E-3</c:v>
                </c:pt>
                <c:pt idx="223">
                  <c:v>-2.6863E-3</c:v>
                </c:pt>
                <c:pt idx="224">
                  <c:v>-2.6280499999999998E-3</c:v>
                </c:pt>
                <c:pt idx="225">
                  <c:v>-2.5588199999999998E-3</c:v>
                </c:pt>
                <c:pt idx="226">
                  <c:v>-2.6316999999999998E-3</c:v>
                </c:pt>
                <c:pt idx="227">
                  <c:v>-2.6938800000000001E-3</c:v>
                </c:pt>
                <c:pt idx="228">
                  <c:v>-2.70579E-3</c:v>
                </c:pt>
                <c:pt idx="229">
                  <c:v>-2.6840800000000001E-3</c:v>
                </c:pt>
                <c:pt idx="230">
                  <c:v>-2.7240799999999998E-3</c:v>
                </c:pt>
                <c:pt idx="231">
                  <c:v>-2.56157E-3</c:v>
                </c:pt>
                <c:pt idx="232">
                  <c:v>-2.66088E-3</c:v>
                </c:pt>
                <c:pt idx="233">
                  <c:v>-2.6395099999999999E-3</c:v>
                </c:pt>
                <c:pt idx="234">
                  <c:v>-2.7333399999999999E-3</c:v>
                </c:pt>
                <c:pt idx="235">
                  <c:v>-2.7188899999999998E-3</c:v>
                </c:pt>
                <c:pt idx="236">
                  <c:v>-2.7125700000000001E-3</c:v>
                </c:pt>
                <c:pt idx="237">
                  <c:v>-2.80992E-3</c:v>
                </c:pt>
                <c:pt idx="238">
                  <c:v>-2.8754800000000001E-3</c:v>
                </c:pt>
                <c:pt idx="239">
                  <c:v>-2.78071E-3</c:v>
                </c:pt>
                <c:pt idx="240">
                  <c:v>-2.8266900000000002E-3</c:v>
                </c:pt>
                <c:pt idx="241">
                  <c:v>-2.8277799999999998E-3</c:v>
                </c:pt>
                <c:pt idx="242">
                  <c:v>-2.7913600000000001E-3</c:v>
                </c:pt>
                <c:pt idx="243">
                  <c:v>-2.7718999999999999E-3</c:v>
                </c:pt>
                <c:pt idx="244">
                  <c:v>-2.8127199999999999E-3</c:v>
                </c:pt>
                <c:pt idx="245">
                  <c:v>-2.7302200000000002E-3</c:v>
                </c:pt>
                <c:pt idx="246">
                  <c:v>-2.8180100000000001E-3</c:v>
                </c:pt>
                <c:pt idx="247">
                  <c:v>-2.8507599999999999E-3</c:v>
                </c:pt>
                <c:pt idx="248">
                  <c:v>-2.8797599999999999E-3</c:v>
                </c:pt>
                <c:pt idx="249">
                  <c:v>-2.8756699999999999E-3</c:v>
                </c:pt>
                <c:pt idx="250">
                  <c:v>-2.7730300000000001E-3</c:v>
                </c:pt>
                <c:pt idx="251">
                  <c:v>-2.8545100000000002E-3</c:v>
                </c:pt>
                <c:pt idx="252">
                  <c:v>-2.8875699999999999E-3</c:v>
                </c:pt>
                <c:pt idx="253">
                  <c:v>-2.9540600000000001E-3</c:v>
                </c:pt>
                <c:pt idx="254">
                  <c:v>-2.9199E-3</c:v>
                </c:pt>
                <c:pt idx="255">
                  <c:v>-3.00234E-3</c:v>
                </c:pt>
                <c:pt idx="256">
                  <c:v>-2.87762E-3</c:v>
                </c:pt>
                <c:pt idx="257">
                  <c:v>-2.89814E-3</c:v>
                </c:pt>
                <c:pt idx="258">
                  <c:v>-2.88434E-3</c:v>
                </c:pt>
                <c:pt idx="259">
                  <c:v>-2.8595299999999999E-3</c:v>
                </c:pt>
                <c:pt idx="260">
                  <c:v>-3.0103899999999999E-3</c:v>
                </c:pt>
                <c:pt idx="261">
                  <c:v>-2.93181E-3</c:v>
                </c:pt>
                <c:pt idx="262">
                  <c:v>-3.0229499999999999E-3</c:v>
                </c:pt>
                <c:pt idx="263">
                  <c:v>-2.9643500000000001E-3</c:v>
                </c:pt>
                <c:pt idx="264">
                  <c:v>-2.9722199999999998E-3</c:v>
                </c:pt>
                <c:pt idx="265">
                  <c:v>-3.0947000000000001E-3</c:v>
                </c:pt>
                <c:pt idx="266">
                  <c:v>-3.1258000000000002E-3</c:v>
                </c:pt>
                <c:pt idx="267">
                  <c:v>-2.9896900000000001E-3</c:v>
                </c:pt>
                <c:pt idx="268">
                  <c:v>-2.9995E-3</c:v>
                </c:pt>
                <c:pt idx="269">
                  <c:v>-2.9346699999999999E-3</c:v>
                </c:pt>
                <c:pt idx="270">
                  <c:v>-3.02462E-3</c:v>
                </c:pt>
                <c:pt idx="271">
                  <c:v>-3.1010299999999998E-3</c:v>
                </c:pt>
                <c:pt idx="272">
                  <c:v>-3.0315099999999998E-3</c:v>
                </c:pt>
                <c:pt idx="273">
                  <c:v>-2.9672000000000001E-3</c:v>
                </c:pt>
                <c:pt idx="274">
                  <c:v>-3.1107700000000001E-3</c:v>
                </c:pt>
                <c:pt idx="275">
                  <c:v>-3.13233E-3</c:v>
                </c:pt>
                <c:pt idx="276">
                  <c:v>-3.0610300000000002E-3</c:v>
                </c:pt>
                <c:pt idx="277">
                  <c:v>-3.1882E-3</c:v>
                </c:pt>
                <c:pt idx="278">
                  <c:v>-3.1796699999999999E-3</c:v>
                </c:pt>
                <c:pt idx="279">
                  <c:v>-3.20076E-3</c:v>
                </c:pt>
                <c:pt idx="280">
                  <c:v>-3.0875500000000001E-3</c:v>
                </c:pt>
                <c:pt idx="281">
                  <c:v>-3.09173E-3</c:v>
                </c:pt>
                <c:pt idx="282">
                  <c:v>-2.9505600000000001E-3</c:v>
                </c:pt>
                <c:pt idx="283">
                  <c:v>-3.1318000000000001E-3</c:v>
                </c:pt>
                <c:pt idx="284">
                  <c:v>-3.1849999999999999E-3</c:v>
                </c:pt>
                <c:pt idx="285">
                  <c:v>-3.2294799999999999E-3</c:v>
                </c:pt>
                <c:pt idx="286">
                  <c:v>-3.27152E-3</c:v>
                </c:pt>
                <c:pt idx="287">
                  <c:v>-3.2954799999999999E-3</c:v>
                </c:pt>
                <c:pt idx="288">
                  <c:v>-3.2254900000000001E-3</c:v>
                </c:pt>
                <c:pt idx="289">
                  <c:v>-3.2344499999999998E-3</c:v>
                </c:pt>
                <c:pt idx="290">
                  <c:v>-3.2459199999999998E-3</c:v>
                </c:pt>
                <c:pt idx="291">
                  <c:v>-3.2503900000000001E-3</c:v>
                </c:pt>
                <c:pt idx="292">
                  <c:v>-3.2346100000000002E-3</c:v>
                </c:pt>
                <c:pt idx="293">
                  <c:v>-3.2206800000000001E-3</c:v>
                </c:pt>
                <c:pt idx="294">
                  <c:v>-3.1758799999999998E-3</c:v>
                </c:pt>
                <c:pt idx="295">
                  <c:v>-3.1963199999999999E-3</c:v>
                </c:pt>
                <c:pt idx="296">
                  <c:v>-3.2575199999999999E-3</c:v>
                </c:pt>
                <c:pt idx="297">
                  <c:v>-3.2889600000000001E-3</c:v>
                </c:pt>
                <c:pt idx="298">
                  <c:v>-3.2260399999999999E-3</c:v>
                </c:pt>
                <c:pt idx="299">
                  <c:v>-3.3755999999999999E-3</c:v>
                </c:pt>
                <c:pt idx="300">
                  <c:v>-3.2935899999999999E-3</c:v>
                </c:pt>
                <c:pt idx="301">
                  <c:v>-3.3650799999999999E-3</c:v>
                </c:pt>
                <c:pt idx="302">
                  <c:v>-3.2973199999999999E-3</c:v>
                </c:pt>
                <c:pt idx="303">
                  <c:v>-3.33234E-3</c:v>
                </c:pt>
                <c:pt idx="304">
                  <c:v>-3.3091100000000001E-3</c:v>
                </c:pt>
                <c:pt idx="305">
                  <c:v>-3.3724499999999999E-3</c:v>
                </c:pt>
                <c:pt idx="306">
                  <c:v>-3.3322400000000002E-3</c:v>
                </c:pt>
                <c:pt idx="307">
                  <c:v>-3.3537900000000002E-3</c:v>
                </c:pt>
                <c:pt idx="308">
                  <c:v>-3.3233999999999998E-3</c:v>
                </c:pt>
                <c:pt idx="309">
                  <c:v>-3.47869E-3</c:v>
                </c:pt>
                <c:pt idx="310">
                  <c:v>-3.3431300000000001E-3</c:v>
                </c:pt>
                <c:pt idx="311">
                  <c:v>-3.36959E-3</c:v>
                </c:pt>
                <c:pt idx="312">
                  <c:v>-3.4083799999999999E-3</c:v>
                </c:pt>
                <c:pt idx="313">
                  <c:v>-3.4015E-3</c:v>
                </c:pt>
                <c:pt idx="314">
                  <c:v>-3.4019300000000001E-3</c:v>
                </c:pt>
                <c:pt idx="315">
                  <c:v>-3.39413E-3</c:v>
                </c:pt>
                <c:pt idx="316">
                  <c:v>-3.4742200000000001E-3</c:v>
                </c:pt>
                <c:pt idx="317">
                  <c:v>-3.4971400000000001E-3</c:v>
                </c:pt>
                <c:pt idx="318">
                  <c:v>-3.48344E-3</c:v>
                </c:pt>
                <c:pt idx="319">
                  <c:v>-3.4911E-3</c:v>
                </c:pt>
                <c:pt idx="320">
                  <c:v>-3.4740299999999999E-3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3C7-45AF-9164-FC6A9FDF0C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0716704"/>
        <c:axId val="370718944"/>
      </c:scatterChart>
      <c:valAx>
        <c:axId val="3707167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70718944"/>
        <c:crosses val="autoZero"/>
        <c:crossBetween val="midCat"/>
      </c:valAx>
      <c:valAx>
        <c:axId val="370718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70716704"/>
        <c:crosses val="autoZero"/>
        <c:crossBetween val="midCat"/>
      </c:valAx>
    </c:plotArea>
    <c:plotVisOnly val="1"/>
    <c:dispBlanksAs val="gap"/>
    <c:showDLblsOverMax val="0"/>
  </c:chart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Stress-Strain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4.7797025371828519E-2"/>
                  <c:y val="-0.1905143627879848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</c:trendlineLbl>
          </c:trendline>
          <c:xVal>
            <c:numRef>
              <c:f>'L30CPTX-2'!$B$7:$B$469</c:f>
              <c:numCache>
                <c:formatCode>0.00E+00</c:formatCode>
                <c:ptCount val="463"/>
                <c:pt idx="0" formatCode="General">
                  <c:v>0</c:v>
                </c:pt>
                <c:pt idx="1">
                  <c:v>3.2257E-5</c:v>
                </c:pt>
                <c:pt idx="2">
                  <c:v>3.7366800000000003E-5</c:v>
                </c:pt>
                <c:pt idx="3">
                  <c:v>7.1578500000000006E-5</c:v>
                </c:pt>
                <c:pt idx="4">
                  <c:v>2.1960999999999999E-5</c:v>
                </c:pt>
                <c:pt idx="5">
                  <c:v>8.6544299999999997E-5</c:v>
                </c:pt>
                <c:pt idx="6">
                  <c:v>-3.5736700000000002E-6</c:v>
                </c:pt>
                <c:pt idx="7">
                  <c:v>5.6288700000000002E-5</c:v>
                </c:pt>
                <c:pt idx="8">
                  <c:v>9.43517E-5</c:v>
                </c:pt>
                <c:pt idx="9" formatCode="General">
                  <c:v>1.5118999999999999E-4</c:v>
                </c:pt>
                <c:pt idx="10" formatCode="General">
                  <c:v>1.2964500000000001E-4</c:v>
                </c:pt>
                <c:pt idx="11" formatCode="General">
                  <c:v>1.11093E-4</c:v>
                </c:pt>
                <c:pt idx="12" formatCode="General">
                  <c:v>1.3529300000000001E-4</c:v>
                </c:pt>
                <c:pt idx="13" formatCode="General">
                  <c:v>2.1248099999999999E-4</c:v>
                </c:pt>
                <c:pt idx="14" formatCode="General">
                  <c:v>1.20159E-4</c:v>
                </c:pt>
                <c:pt idx="15" formatCode="General">
                  <c:v>2.0402899999999999E-4</c:v>
                </c:pt>
                <c:pt idx="16" formatCode="General">
                  <c:v>1.6258000000000001E-4</c:v>
                </c:pt>
                <c:pt idx="17" formatCode="General">
                  <c:v>2.2034499999999999E-4</c:v>
                </c:pt>
                <c:pt idx="18" formatCode="General">
                  <c:v>2.0136700000000001E-4</c:v>
                </c:pt>
                <c:pt idx="19" formatCode="General">
                  <c:v>2.29185E-4</c:v>
                </c:pt>
                <c:pt idx="20" formatCode="General">
                  <c:v>1.89421E-4</c:v>
                </c:pt>
                <c:pt idx="21" formatCode="General">
                  <c:v>2.48881E-4</c:v>
                </c:pt>
                <c:pt idx="22" formatCode="General">
                  <c:v>2.5966599999999998E-4</c:v>
                </c:pt>
                <c:pt idx="23" formatCode="General">
                  <c:v>3.1008799999999998E-4</c:v>
                </c:pt>
                <c:pt idx="24" formatCode="General">
                  <c:v>3.0299800000000002E-4</c:v>
                </c:pt>
                <c:pt idx="25" formatCode="General">
                  <c:v>2.9239499999999998E-4</c:v>
                </c:pt>
                <c:pt idx="26" formatCode="General">
                  <c:v>2.8607900000000001E-4</c:v>
                </c:pt>
                <c:pt idx="27" formatCode="General">
                  <c:v>3.3840999999999998E-4</c:v>
                </c:pt>
                <c:pt idx="28" formatCode="General">
                  <c:v>3.8794200000000001E-4</c:v>
                </c:pt>
                <c:pt idx="29" formatCode="General">
                  <c:v>3.3313800000000002E-4</c:v>
                </c:pt>
                <c:pt idx="30" formatCode="General">
                  <c:v>4.5851099999999999E-4</c:v>
                </c:pt>
                <c:pt idx="31" formatCode="General">
                  <c:v>4.4288999999999998E-4</c:v>
                </c:pt>
                <c:pt idx="32" formatCode="General">
                  <c:v>4.1921800000000001E-4</c:v>
                </c:pt>
                <c:pt idx="33" formatCode="General">
                  <c:v>4.4313600000000001E-4</c:v>
                </c:pt>
                <c:pt idx="34" formatCode="General">
                  <c:v>4.0531699999999998E-4</c:v>
                </c:pt>
                <c:pt idx="35" formatCode="General">
                  <c:v>4.5894300000000001E-4</c:v>
                </c:pt>
                <c:pt idx="36" formatCode="General">
                  <c:v>4.8116599999999999E-4</c:v>
                </c:pt>
                <c:pt idx="37" formatCode="General">
                  <c:v>5.3707899999999999E-4</c:v>
                </c:pt>
                <c:pt idx="38" formatCode="General">
                  <c:v>4.2487100000000001E-4</c:v>
                </c:pt>
                <c:pt idx="39" formatCode="General">
                  <c:v>5.4637800000000003E-4</c:v>
                </c:pt>
                <c:pt idx="40" formatCode="General">
                  <c:v>5.4157800000000002E-4</c:v>
                </c:pt>
                <c:pt idx="41" formatCode="General">
                  <c:v>5.6832400000000004E-4</c:v>
                </c:pt>
                <c:pt idx="42" formatCode="General">
                  <c:v>5.7848700000000003E-4</c:v>
                </c:pt>
                <c:pt idx="43" formatCode="General">
                  <c:v>4.88934E-4</c:v>
                </c:pt>
                <c:pt idx="44" formatCode="General">
                  <c:v>5.8260799999999998E-4</c:v>
                </c:pt>
                <c:pt idx="45" formatCode="General">
                  <c:v>6.3686899999999998E-4</c:v>
                </c:pt>
                <c:pt idx="46" formatCode="General">
                  <c:v>6.0461300000000005E-4</c:v>
                </c:pt>
                <c:pt idx="47" formatCode="General">
                  <c:v>6.7904900000000004E-4</c:v>
                </c:pt>
                <c:pt idx="48" formatCode="General">
                  <c:v>6.4364200000000004E-4</c:v>
                </c:pt>
                <c:pt idx="49" formatCode="General">
                  <c:v>7.1472099999999998E-4</c:v>
                </c:pt>
                <c:pt idx="50" formatCode="General">
                  <c:v>6.6863800000000004E-4</c:v>
                </c:pt>
                <c:pt idx="51" formatCode="General">
                  <c:v>7.0459699999999995E-4</c:v>
                </c:pt>
                <c:pt idx="52" formatCode="General">
                  <c:v>7.5142500000000001E-4</c:v>
                </c:pt>
                <c:pt idx="53" formatCode="General">
                  <c:v>7.6102600000000004E-4</c:v>
                </c:pt>
                <c:pt idx="54" formatCode="General">
                  <c:v>7.85971E-4</c:v>
                </c:pt>
                <c:pt idx="55" formatCode="General">
                  <c:v>7.3733200000000005E-4</c:v>
                </c:pt>
                <c:pt idx="56" formatCode="General">
                  <c:v>6.8946800000000005E-4</c:v>
                </c:pt>
                <c:pt idx="57" formatCode="General">
                  <c:v>8.2822400000000002E-4</c:v>
                </c:pt>
                <c:pt idx="58" formatCode="General">
                  <c:v>7.73728E-4</c:v>
                </c:pt>
                <c:pt idx="59" formatCode="General">
                  <c:v>8.5323799999999998E-4</c:v>
                </c:pt>
                <c:pt idx="60" formatCode="General">
                  <c:v>8.6057799999999997E-4</c:v>
                </c:pt>
                <c:pt idx="61" formatCode="General">
                  <c:v>8.1855999999999997E-4</c:v>
                </c:pt>
                <c:pt idx="62" formatCode="General">
                  <c:v>8.5024000000000005E-4</c:v>
                </c:pt>
                <c:pt idx="63" formatCode="General">
                  <c:v>9.3157899999999998E-4</c:v>
                </c:pt>
                <c:pt idx="64" formatCode="General">
                  <c:v>9.0960200000000002E-4</c:v>
                </c:pt>
                <c:pt idx="65" formatCode="General">
                  <c:v>8.3813699999999997E-4</c:v>
                </c:pt>
                <c:pt idx="66" formatCode="General">
                  <c:v>9.3192399999999999E-4</c:v>
                </c:pt>
                <c:pt idx="67" formatCode="General">
                  <c:v>8.9687199999999995E-4</c:v>
                </c:pt>
                <c:pt idx="68" formatCode="General">
                  <c:v>9.6727300000000005E-4</c:v>
                </c:pt>
                <c:pt idx="69" formatCode="General">
                  <c:v>8.9384700000000002E-4</c:v>
                </c:pt>
                <c:pt idx="70" formatCode="General">
                  <c:v>9.4019999999999998E-4</c:v>
                </c:pt>
                <c:pt idx="71" formatCode="General">
                  <c:v>1.0412500000000001E-3</c:v>
                </c:pt>
                <c:pt idx="72" formatCode="General">
                  <c:v>1.0034499999999999E-3</c:v>
                </c:pt>
                <c:pt idx="73" formatCode="General">
                  <c:v>1.06869E-3</c:v>
                </c:pt>
                <c:pt idx="74" formatCode="General">
                  <c:v>1.05872E-3</c:v>
                </c:pt>
                <c:pt idx="75" formatCode="General">
                  <c:v>1.0695399999999999E-3</c:v>
                </c:pt>
                <c:pt idx="76" formatCode="General">
                  <c:v>1.0937500000000001E-3</c:v>
                </c:pt>
                <c:pt idx="77" formatCode="General">
                  <c:v>1.09815E-3</c:v>
                </c:pt>
                <c:pt idx="78" formatCode="General">
                  <c:v>1.1367700000000001E-3</c:v>
                </c:pt>
                <c:pt idx="79" formatCode="General">
                  <c:v>1.1829200000000001E-3</c:v>
                </c:pt>
                <c:pt idx="80" formatCode="General">
                  <c:v>1.1151799999999999E-3</c:v>
                </c:pt>
                <c:pt idx="81" formatCode="General">
                  <c:v>1.0974400000000001E-3</c:v>
                </c:pt>
                <c:pt idx="82" formatCode="General">
                  <c:v>1.1653E-3</c:v>
                </c:pt>
                <c:pt idx="83" formatCode="General">
                  <c:v>1.2129300000000001E-3</c:v>
                </c:pt>
                <c:pt idx="84" formatCode="General">
                  <c:v>1.1256199999999999E-3</c:v>
                </c:pt>
                <c:pt idx="85" formatCode="General">
                  <c:v>1.25595E-3</c:v>
                </c:pt>
                <c:pt idx="86" formatCode="General">
                  <c:v>1.2611199999999999E-3</c:v>
                </c:pt>
                <c:pt idx="87" formatCode="General">
                  <c:v>1.2479399999999999E-3</c:v>
                </c:pt>
                <c:pt idx="88" formatCode="General">
                  <c:v>1.3054500000000001E-3</c:v>
                </c:pt>
                <c:pt idx="89" formatCode="General">
                  <c:v>1.25624E-3</c:v>
                </c:pt>
                <c:pt idx="90" formatCode="General">
                  <c:v>1.2589000000000001E-3</c:v>
                </c:pt>
                <c:pt idx="91" formatCode="General">
                  <c:v>1.27717E-3</c:v>
                </c:pt>
                <c:pt idx="92" formatCode="General">
                  <c:v>1.2873400000000001E-3</c:v>
                </c:pt>
                <c:pt idx="93" formatCode="General">
                  <c:v>1.3513100000000001E-3</c:v>
                </c:pt>
                <c:pt idx="94" formatCode="General">
                  <c:v>1.3460499999999999E-3</c:v>
                </c:pt>
                <c:pt idx="95" formatCode="General">
                  <c:v>1.39989E-3</c:v>
                </c:pt>
                <c:pt idx="96" formatCode="General">
                  <c:v>1.4116300000000001E-3</c:v>
                </c:pt>
                <c:pt idx="97" formatCode="General">
                  <c:v>1.4011200000000001E-3</c:v>
                </c:pt>
                <c:pt idx="98" formatCode="General">
                  <c:v>1.4138499999999999E-3</c:v>
                </c:pt>
                <c:pt idx="99" formatCode="General">
                  <c:v>1.43417E-3</c:v>
                </c:pt>
                <c:pt idx="100" formatCode="General">
                  <c:v>1.43812E-3</c:v>
                </c:pt>
                <c:pt idx="101" formatCode="General">
                  <c:v>1.40372E-3</c:v>
                </c:pt>
                <c:pt idx="102" formatCode="General">
                  <c:v>1.42311E-3</c:v>
                </c:pt>
                <c:pt idx="103" formatCode="General">
                  <c:v>1.4739099999999999E-3</c:v>
                </c:pt>
                <c:pt idx="104" formatCode="General">
                  <c:v>1.5771699999999999E-3</c:v>
                </c:pt>
                <c:pt idx="105" formatCode="General">
                  <c:v>1.56499E-3</c:v>
                </c:pt>
                <c:pt idx="106" formatCode="General">
                  <c:v>1.57679E-3</c:v>
                </c:pt>
                <c:pt idx="107" formatCode="General">
                  <c:v>1.59796E-3</c:v>
                </c:pt>
                <c:pt idx="108" formatCode="General">
                  <c:v>1.6037899999999999E-3</c:v>
                </c:pt>
                <c:pt idx="109" formatCode="General">
                  <c:v>1.6043699999999999E-3</c:v>
                </c:pt>
                <c:pt idx="110" formatCode="General">
                  <c:v>1.61228E-3</c:v>
                </c:pt>
                <c:pt idx="111" formatCode="General">
                  <c:v>1.54412E-3</c:v>
                </c:pt>
                <c:pt idx="112" formatCode="General">
                  <c:v>1.6245400000000001E-3</c:v>
                </c:pt>
                <c:pt idx="113" formatCode="General">
                  <c:v>1.6185399999999999E-3</c:v>
                </c:pt>
                <c:pt idx="114" formatCode="General">
                  <c:v>1.60425E-3</c:v>
                </c:pt>
                <c:pt idx="115" formatCode="General">
                  <c:v>1.6759100000000001E-3</c:v>
                </c:pt>
                <c:pt idx="116" formatCode="General">
                  <c:v>1.64474E-3</c:v>
                </c:pt>
                <c:pt idx="117" formatCode="General">
                  <c:v>1.7068599999999999E-3</c:v>
                </c:pt>
                <c:pt idx="118" formatCode="General">
                  <c:v>1.77546E-3</c:v>
                </c:pt>
                <c:pt idx="119" formatCode="General">
                  <c:v>1.7290199999999999E-3</c:v>
                </c:pt>
                <c:pt idx="120" formatCode="General">
                  <c:v>1.7814199999999999E-3</c:v>
                </c:pt>
                <c:pt idx="121" formatCode="General">
                  <c:v>1.7831399999999999E-3</c:v>
                </c:pt>
                <c:pt idx="122" formatCode="General">
                  <c:v>1.7905600000000001E-3</c:v>
                </c:pt>
                <c:pt idx="123" formatCode="General">
                  <c:v>1.8386699999999999E-3</c:v>
                </c:pt>
                <c:pt idx="124" formatCode="General">
                  <c:v>1.8566500000000001E-3</c:v>
                </c:pt>
                <c:pt idx="125" formatCode="General">
                  <c:v>1.92223E-3</c:v>
                </c:pt>
                <c:pt idx="126" formatCode="General">
                  <c:v>1.8800799999999999E-3</c:v>
                </c:pt>
                <c:pt idx="127" formatCode="General">
                  <c:v>1.8723699999999999E-3</c:v>
                </c:pt>
                <c:pt idx="128" formatCode="General">
                  <c:v>1.9016E-3</c:v>
                </c:pt>
                <c:pt idx="129" formatCode="General">
                  <c:v>1.93089E-3</c:v>
                </c:pt>
                <c:pt idx="130" formatCode="General">
                  <c:v>1.9503299999999999E-3</c:v>
                </c:pt>
                <c:pt idx="131" formatCode="General">
                  <c:v>1.92165E-3</c:v>
                </c:pt>
                <c:pt idx="132" formatCode="General">
                  <c:v>1.91617E-3</c:v>
                </c:pt>
                <c:pt idx="133" formatCode="General">
                  <c:v>1.9302500000000001E-3</c:v>
                </c:pt>
                <c:pt idx="134" formatCode="General">
                  <c:v>1.9737800000000001E-3</c:v>
                </c:pt>
                <c:pt idx="135" formatCode="General">
                  <c:v>2.0573499999999999E-3</c:v>
                </c:pt>
                <c:pt idx="136" formatCode="General">
                  <c:v>2.02111E-3</c:v>
                </c:pt>
                <c:pt idx="137" formatCode="General">
                  <c:v>2.0503800000000001E-3</c:v>
                </c:pt>
                <c:pt idx="138" formatCode="General">
                  <c:v>2.0201799999999999E-3</c:v>
                </c:pt>
                <c:pt idx="139" formatCode="General">
                  <c:v>2.0484000000000001E-3</c:v>
                </c:pt>
                <c:pt idx="140" formatCode="General">
                  <c:v>2.1005799999999999E-3</c:v>
                </c:pt>
                <c:pt idx="141" formatCode="General">
                  <c:v>2.0953999999999999E-3</c:v>
                </c:pt>
                <c:pt idx="142" formatCode="General">
                  <c:v>2.14795E-3</c:v>
                </c:pt>
                <c:pt idx="143" formatCode="General">
                  <c:v>2.15059E-3</c:v>
                </c:pt>
                <c:pt idx="144" formatCode="General">
                  <c:v>2.1333900000000002E-3</c:v>
                </c:pt>
                <c:pt idx="145" formatCode="General">
                  <c:v>2.04843E-3</c:v>
                </c:pt>
                <c:pt idx="146" formatCode="General">
                  <c:v>2.1901400000000001E-3</c:v>
                </c:pt>
                <c:pt idx="147" formatCode="General">
                  <c:v>2.2635300000000001E-3</c:v>
                </c:pt>
                <c:pt idx="148" formatCode="General">
                  <c:v>2.1970499999999999E-3</c:v>
                </c:pt>
                <c:pt idx="149" formatCode="General">
                  <c:v>2.2323199999999999E-3</c:v>
                </c:pt>
                <c:pt idx="150" formatCode="General">
                  <c:v>2.3059500000000002E-3</c:v>
                </c:pt>
                <c:pt idx="151" formatCode="General">
                  <c:v>2.3064399999999999E-3</c:v>
                </c:pt>
                <c:pt idx="152" formatCode="General">
                  <c:v>2.3828899999999999E-3</c:v>
                </c:pt>
                <c:pt idx="153" formatCode="General">
                  <c:v>2.30752E-3</c:v>
                </c:pt>
                <c:pt idx="154" formatCode="General">
                  <c:v>2.3875099999999998E-3</c:v>
                </c:pt>
                <c:pt idx="155" formatCode="General">
                  <c:v>2.3591300000000001E-3</c:v>
                </c:pt>
                <c:pt idx="156" formatCode="General">
                  <c:v>2.3410499999999999E-3</c:v>
                </c:pt>
                <c:pt idx="157" formatCode="General">
                  <c:v>2.4137799999999999E-3</c:v>
                </c:pt>
                <c:pt idx="158" formatCode="General">
                  <c:v>2.4557099999999998E-3</c:v>
                </c:pt>
                <c:pt idx="159" formatCode="General">
                  <c:v>2.4034500000000001E-3</c:v>
                </c:pt>
                <c:pt idx="160" formatCode="General">
                  <c:v>2.4446300000000002E-3</c:v>
                </c:pt>
                <c:pt idx="161" formatCode="General">
                  <c:v>2.5485799999999999E-3</c:v>
                </c:pt>
                <c:pt idx="162" formatCode="General">
                  <c:v>2.4968199999999999E-3</c:v>
                </c:pt>
                <c:pt idx="163" formatCode="General">
                  <c:v>2.5000000000000001E-3</c:v>
                </c:pt>
                <c:pt idx="164" formatCode="General">
                  <c:v>2.4727299999999998E-3</c:v>
                </c:pt>
                <c:pt idx="165" formatCode="General">
                  <c:v>2.5008500000000002E-3</c:v>
                </c:pt>
                <c:pt idx="166" formatCode="General">
                  <c:v>2.5371600000000001E-3</c:v>
                </c:pt>
                <c:pt idx="167" formatCode="General">
                  <c:v>2.5719100000000002E-3</c:v>
                </c:pt>
                <c:pt idx="168" formatCode="General">
                  <c:v>2.5528399999999998E-3</c:v>
                </c:pt>
                <c:pt idx="169" formatCode="General">
                  <c:v>2.5554800000000002E-3</c:v>
                </c:pt>
                <c:pt idx="170" formatCode="General">
                  <c:v>2.5657000000000002E-3</c:v>
                </c:pt>
                <c:pt idx="171" formatCode="General">
                  <c:v>2.6302600000000001E-3</c:v>
                </c:pt>
                <c:pt idx="172" formatCode="General">
                  <c:v>2.6326100000000001E-3</c:v>
                </c:pt>
                <c:pt idx="173" formatCode="General">
                  <c:v>2.5926399999999998E-3</c:v>
                </c:pt>
                <c:pt idx="174" formatCode="General">
                  <c:v>2.6420699999999998E-3</c:v>
                </c:pt>
                <c:pt idx="175" formatCode="General">
                  <c:v>2.6118700000000001E-3</c:v>
                </c:pt>
                <c:pt idx="176" formatCode="General">
                  <c:v>2.63379E-3</c:v>
                </c:pt>
                <c:pt idx="177" formatCode="General">
                  <c:v>2.6832100000000001E-3</c:v>
                </c:pt>
                <c:pt idx="178" formatCode="General">
                  <c:v>2.6761100000000002E-3</c:v>
                </c:pt>
                <c:pt idx="179" formatCode="General">
                  <c:v>2.7103700000000001E-3</c:v>
                </c:pt>
                <c:pt idx="180" formatCode="General">
                  <c:v>2.7199300000000002E-3</c:v>
                </c:pt>
                <c:pt idx="181" formatCode="General">
                  <c:v>2.7651099999999999E-3</c:v>
                </c:pt>
                <c:pt idx="182" formatCode="General">
                  <c:v>2.6997100000000001E-3</c:v>
                </c:pt>
                <c:pt idx="183" formatCode="General">
                  <c:v>2.7939200000000001E-3</c:v>
                </c:pt>
                <c:pt idx="184" formatCode="General">
                  <c:v>2.7375899999999998E-3</c:v>
                </c:pt>
                <c:pt idx="185" formatCode="General">
                  <c:v>2.8333E-3</c:v>
                </c:pt>
                <c:pt idx="186" formatCode="General">
                  <c:v>2.7683199999999999E-3</c:v>
                </c:pt>
                <c:pt idx="187" formatCode="General">
                  <c:v>2.8541299999999999E-3</c:v>
                </c:pt>
                <c:pt idx="188" formatCode="General">
                  <c:v>2.8375700000000002E-3</c:v>
                </c:pt>
                <c:pt idx="189" formatCode="General">
                  <c:v>2.7416699999999999E-3</c:v>
                </c:pt>
                <c:pt idx="190" formatCode="General">
                  <c:v>2.8558899999999998E-3</c:v>
                </c:pt>
                <c:pt idx="191" formatCode="General">
                  <c:v>2.8313399999999999E-3</c:v>
                </c:pt>
                <c:pt idx="192" formatCode="General">
                  <c:v>2.826E-3</c:v>
                </c:pt>
                <c:pt idx="193" formatCode="General">
                  <c:v>2.8696099999999999E-3</c:v>
                </c:pt>
                <c:pt idx="194" formatCode="General">
                  <c:v>2.9726399999999999E-3</c:v>
                </c:pt>
                <c:pt idx="195" formatCode="General">
                  <c:v>2.9397799999999999E-3</c:v>
                </c:pt>
                <c:pt idx="196" formatCode="General">
                  <c:v>3.04894E-3</c:v>
                </c:pt>
                <c:pt idx="197" formatCode="General">
                  <c:v>2.9429999999999999E-3</c:v>
                </c:pt>
                <c:pt idx="198" formatCode="General">
                  <c:v>2.9635400000000002E-3</c:v>
                </c:pt>
                <c:pt idx="199" formatCode="General">
                  <c:v>3.01732E-3</c:v>
                </c:pt>
                <c:pt idx="200" formatCode="General">
                  <c:v>2.9862199999999999E-3</c:v>
                </c:pt>
                <c:pt idx="201" formatCode="General">
                  <c:v>3.06054E-3</c:v>
                </c:pt>
                <c:pt idx="202" formatCode="General">
                  <c:v>2.9899100000000001E-3</c:v>
                </c:pt>
                <c:pt idx="203" formatCode="General">
                  <c:v>3.0288099999999998E-3</c:v>
                </c:pt>
                <c:pt idx="204" formatCode="General">
                  <c:v>3.0747399999999999E-3</c:v>
                </c:pt>
                <c:pt idx="205" formatCode="General">
                  <c:v>3.0536700000000001E-3</c:v>
                </c:pt>
                <c:pt idx="206" formatCode="General">
                  <c:v>3.1060900000000002E-3</c:v>
                </c:pt>
                <c:pt idx="207" formatCode="General">
                  <c:v>3.0955000000000002E-3</c:v>
                </c:pt>
                <c:pt idx="208" formatCode="General">
                  <c:v>3.1335299999999998E-3</c:v>
                </c:pt>
                <c:pt idx="209" formatCode="General">
                  <c:v>3.1985500000000001E-3</c:v>
                </c:pt>
                <c:pt idx="210" formatCode="General">
                  <c:v>3.1440600000000002E-3</c:v>
                </c:pt>
                <c:pt idx="211" formatCode="General">
                  <c:v>3.1610499999999999E-3</c:v>
                </c:pt>
                <c:pt idx="212" formatCode="General">
                  <c:v>3.1744899999999999E-3</c:v>
                </c:pt>
                <c:pt idx="213" formatCode="General">
                  <c:v>3.1159E-3</c:v>
                </c:pt>
                <c:pt idx="214" formatCode="General">
                  <c:v>3.2254900000000001E-3</c:v>
                </c:pt>
                <c:pt idx="215" formatCode="General">
                  <c:v>3.28204E-3</c:v>
                </c:pt>
                <c:pt idx="216" formatCode="General">
                  <c:v>3.2510999999999998E-3</c:v>
                </c:pt>
                <c:pt idx="217" formatCode="General">
                  <c:v>3.2391999999999998E-3</c:v>
                </c:pt>
                <c:pt idx="218" formatCode="General">
                  <c:v>3.2768799999999998E-3</c:v>
                </c:pt>
                <c:pt idx="219" formatCode="General">
                  <c:v>3.27392E-3</c:v>
                </c:pt>
                <c:pt idx="220" formatCode="General">
                  <c:v>3.2821199999999999E-3</c:v>
                </c:pt>
                <c:pt idx="221" formatCode="General">
                  <c:v>3.31139E-3</c:v>
                </c:pt>
                <c:pt idx="222" formatCode="General">
                  <c:v>3.3964099999999999E-3</c:v>
                </c:pt>
                <c:pt idx="223" formatCode="General">
                  <c:v>3.3349400000000002E-3</c:v>
                </c:pt>
                <c:pt idx="224" formatCode="General">
                  <c:v>3.3681800000000001E-3</c:v>
                </c:pt>
                <c:pt idx="225" formatCode="General">
                  <c:v>3.34169E-3</c:v>
                </c:pt>
                <c:pt idx="226" formatCode="General">
                  <c:v>3.37456E-3</c:v>
                </c:pt>
                <c:pt idx="227" formatCode="General">
                  <c:v>3.3940400000000001E-3</c:v>
                </c:pt>
                <c:pt idx="228" formatCode="General">
                  <c:v>3.4454899999999998E-3</c:v>
                </c:pt>
                <c:pt idx="229" formatCode="General">
                  <c:v>3.4153600000000001E-3</c:v>
                </c:pt>
                <c:pt idx="230" formatCode="General">
                  <c:v>3.4062799999999998E-3</c:v>
                </c:pt>
                <c:pt idx="231" formatCode="General">
                  <c:v>3.4113199999999998E-3</c:v>
                </c:pt>
                <c:pt idx="232" formatCode="General">
                  <c:v>3.47445E-3</c:v>
                </c:pt>
                <c:pt idx="233" formatCode="General">
                  <c:v>3.4504700000000002E-3</c:v>
                </c:pt>
                <c:pt idx="234" formatCode="General">
                  <c:v>3.5361199999999998E-3</c:v>
                </c:pt>
                <c:pt idx="235" formatCode="General">
                  <c:v>3.4786000000000001E-3</c:v>
                </c:pt>
                <c:pt idx="236" formatCode="General">
                  <c:v>3.46431E-3</c:v>
                </c:pt>
                <c:pt idx="237" formatCode="General">
                  <c:v>3.5307200000000002E-3</c:v>
                </c:pt>
                <c:pt idx="238" formatCode="General">
                  <c:v>3.5873799999999998E-3</c:v>
                </c:pt>
                <c:pt idx="239" formatCode="General">
                  <c:v>3.5385999999999998E-3</c:v>
                </c:pt>
                <c:pt idx="240" formatCode="General">
                  <c:v>3.60414E-3</c:v>
                </c:pt>
                <c:pt idx="241" formatCode="General">
                  <c:v>3.6011099999999998E-3</c:v>
                </c:pt>
                <c:pt idx="242" formatCode="General">
                  <c:v>3.6071599999999999E-3</c:v>
                </c:pt>
                <c:pt idx="243" formatCode="General">
                  <c:v>3.6399000000000002E-3</c:v>
                </c:pt>
                <c:pt idx="244" formatCode="General">
                  <c:v>3.6584500000000002E-3</c:v>
                </c:pt>
                <c:pt idx="245" formatCode="General">
                  <c:v>3.6624600000000002E-3</c:v>
                </c:pt>
                <c:pt idx="246" formatCode="General">
                  <c:v>3.6443399999999998E-3</c:v>
                </c:pt>
                <c:pt idx="247" formatCode="General">
                  <c:v>3.6581399999999998E-3</c:v>
                </c:pt>
                <c:pt idx="248" formatCode="General">
                  <c:v>3.7190700000000001E-3</c:v>
                </c:pt>
                <c:pt idx="249" formatCode="General">
                  <c:v>3.72471E-3</c:v>
                </c:pt>
                <c:pt idx="250" formatCode="General">
                  <c:v>3.7533499999999999E-3</c:v>
                </c:pt>
                <c:pt idx="251" formatCode="General">
                  <c:v>3.6169599999999998E-3</c:v>
                </c:pt>
                <c:pt idx="252" formatCode="General">
                  <c:v>3.6743499999999998E-3</c:v>
                </c:pt>
                <c:pt idx="253" formatCode="General">
                  <c:v>3.74253E-3</c:v>
                </c:pt>
                <c:pt idx="254" formatCode="General">
                  <c:v>3.7615700000000001E-3</c:v>
                </c:pt>
                <c:pt idx="255" formatCode="General">
                  <c:v>3.80518E-3</c:v>
                </c:pt>
                <c:pt idx="256" formatCode="General">
                  <c:v>3.72493E-3</c:v>
                </c:pt>
                <c:pt idx="257" formatCode="General">
                  <c:v>3.7760200000000002E-3</c:v>
                </c:pt>
                <c:pt idx="258" formatCode="General">
                  <c:v>3.8373299999999999E-3</c:v>
                </c:pt>
                <c:pt idx="259" formatCode="General">
                  <c:v>3.8006400000000001E-3</c:v>
                </c:pt>
                <c:pt idx="260" formatCode="General">
                  <c:v>3.7634500000000002E-3</c:v>
                </c:pt>
                <c:pt idx="261" formatCode="General">
                  <c:v>3.77028E-3</c:v>
                </c:pt>
                <c:pt idx="262" formatCode="General">
                  <c:v>3.8500600000000002E-3</c:v>
                </c:pt>
                <c:pt idx="263" formatCode="General">
                  <c:v>3.8818799999999999E-3</c:v>
                </c:pt>
                <c:pt idx="264" formatCode="General">
                  <c:v>3.9104999999999999E-3</c:v>
                </c:pt>
                <c:pt idx="265" formatCode="General">
                  <c:v>3.8508700000000002E-3</c:v>
                </c:pt>
                <c:pt idx="266" formatCode="General">
                  <c:v>3.9620100000000002E-3</c:v>
                </c:pt>
                <c:pt idx="267" formatCode="General">
                  <c:v>3.9863199999999998E-3</c:v>
                </c:pt>
                <c:pt idx="268" formatCode="General">
                  <c:v>4.0567399999999997E-3</c:v>
                </c:pt>
                <c:pt idx="269" formatCode="General">
                  <c:v>3.9957200000000003E-3</c:v>
                </c:pt>
                <c:pt idx="270" formatCode="General">
                  <c:v>3.9437700000000001E-3</c:v>
                </c:pt>
                <c:pt idx="271" formatCode="General">
                  <c:v>3.9929600000000003E-3</c:v>
                </c:pt>
                <c:pt idx="272" formatCode="General">
                  <c:v>4.0280300000000002E-3</c:v>
                </c:pt>
                <c:pt idx="273" formatCode="General">
                  <c:v>4.0018500000000004E-3</c:v>
                </c:pt>
                <c:pt idx="274" formatCode="General">
                  <c:v>4.0804600000000002E-3</c:v>
                </c:pt>
                <c:pt idx="275" formatCode="General">
                  <c:v>4.0574599999999997E-3</c:v>
                </c:pt>
                <c:pt idx="276" formatCode="General">
                  <c:v>4.0892400000000001E-3</c:v>
                </c:pt>
                <c:pt idx="277" formatCode="General">
                  <c:v>4.12372E-3</c:v>
                </c:pt>
                <c:pt idx="278" formatCode="General">
                  <c:v>4.1483099999999997E-3</c:v>
                </c:pt>
                <c:pt idx="279" formatCode="General">
                  <c:v>4.1140200000000004E-3</c:v>
                </c:pt>
                <c:pt idx="280" formatCode="General">
                  <c:v>4.1131099999999997E-3</c:v>
                </c:pt>
                <c:pt idx="281" formatCode="General">
                  <c:v>4.1681599999999997E-3</c:v>
                </c:pt>
                <c:pt idx="282" formatCode="General">
                  <c:v>4.1851700000000002E-3</c:v>
                </c:pt>
                <c:pt idx="283" formatCode="General">
                  <c:v>4.2210700000000004E-3</c:v>
                </c:pt>
                <c:pt idx="284" formatCode="General">
                  <c:v>4.1770100000000001E-3</c:v>
                </c:pt>
                <c:pt idx="285" formatCode="General">
                  <c:v>4.2574800000000001E-3</c:v>
                </c:pt>
                <c:pt idx="286" formatCode="General">
                  <c:v>4.2922200000000002E-3</c:v>
                </c:pt>
                <c:pt idx="287" formatCode="General">
                  <c:v>4.24304E-3</c:v>
                </c:pt>
                <c:pt idx="288" formatCode="General">
                  <c:v>4.2516300000000002E-3</c:v>
                </c:pt>
                <c:pt idx="289" formatCode="General">
                  <c:v>4.3198100000000003E-3</c:v>
                </c:pt>
                <c:pt idx="290" formatCode="General">
                  <c:v>4.3086399999999999E-3</c:v>
                </c:pt>
                <c:pt idx="291" formatCode="General">
                  <c:v>4.3361700000000003E-3</c:v>
                </c:pt>
                <c:pt idx="292" formatCode="General">
                  <c:v>4.3275700000000002E-3</c:v>
                </c:pt>
                <c:pt idx="293" formatCode="General">
                  <c:v>4.4087500000000003E-3</c:v>
                </c:pt>
                <c:pt idx="294" formatCode="General">
                  <c:v>4.4003200000000001E-3</c:v>
                </c:pt>
                <c:pt idx="295" formatCode="General">
                  <c:v>4.4162899999999998E-3</c:v>
                </c:pt>
                <c:pt idx="296" formatCode="General">
                  <c:v>4.3502000000000002E-3</c:v>
                </c:pt>
                <c:pt idx="297" formatCode="General">
                  <c:v>4.4093600000000002E-3</c:v>
                </c:pt>
                <c:pt idx="298" formatCode="General">
                  <c:v>4.3917499999999998E-3</c:v>
                </c:pt>
                <c:pt idx="299" formatCode="General">
                  <c:v>4.4863500000000001E-3</c:v>
                </c:pt>
                <c:pt idx="300" formatCode="General">
                  <c:v>4.4429700000000001E-3</c:v>
                </c:pt>
                <c:pt idx="301" formatCode="General">
                  <c:v>4.4748499999999998E-3</c:v>
                </c:pt>
                <c:pt idx="302" formatCode="General">
                  <c:v>4.4503299999999997E-3</c:v>
                </c:pt>
                <c:pt idx="303" formatCode="General">
                  <c:v>4.5133300000000003E-3</c:v>
                </c:pt>
                <c:pt idx="304" formatCode="General">
                  <c:v>4.59429E-3</c:v>
                </c:pt>
                <c:pt idx="305" formatCode="General">
                  <c:v>4.5150900000000002E-3</c:v>
                </c:pt>
                <c:pt idx="306" formatCode="General">
                  <c:v>4.5209500000000001E-3</c:v>
                </c:pt>
                <c:pt idx="307" formatCode="General">
                  <c:v>4.5561500000000001E-3</c:v>
                </c:pt>
                <c:pt idx="308" formatCode="General">
                  <c:v>4.5361999999999998E-3</c:v>
                </c:pt>
                <c:pt idx="309" formatCode="General">
                  <c:v>4.61503E-3</c:v>
                </c:pt>
                <c:pt idx="310" formatCode="General">
                  <c:v>4.6408700000000001E-3</c:v>
                </c:pt>
                <c:pt idx="311" formatCode="General">
                  <c:v>4.5688300000000003E-3</c:v>
                </c:pt>
                <c:pt idx="312" formatCode="General">
                  <c:v>4.6020499999999999E-3</c:v>
                </c:pt>
                <c:pt idx="313" formatCode="General">
                  <c:v>4.6049400000000001E-3</c:v>
                </c:pt>
                <c:pt idx="314" formatCode="General">
                  <c:v>4.6277599999999999E-3</c:v>
                </c:pt>
                <c:pt idx="315" formatCode="General">
                  <c:v>4.6799500000000004E-3</c:v>
                </c:pt>
                <c:pt idx="316" formatCode="General">
                  <c:v>4.5925899999999997E-3</c:v>
                </c:pt>
                <c:pt idx="317" formatCode="General">
                  <c:v>4.6827300000000004E-3</c:v>
                </c:pt>
                <c:pt idx="318" formatCode="General">
                  <c:v>4.7633299999999996E-3</c:v>
                </c:pt>
                <c:pt idx="319" formatCode="General">
                  <c:v>4.7376500000000004E-3</c:v>
                </c:pt>
                <c:pt idx="320" formatCode="General">
                  <c:v>4.7122400000000004E-3</c:v>
                </c:pt>
                <c:pt idx="321" formatCode="General">
                  <c:v>4.6626100000000002E-3</c:v>
                </c:pt>
                <c:pt idx="322" formatCode="General">
                  <c:v>4.70382E-3</c:v>
                </c:pt>
                <c:pt idx="323" formatCode="General">
                  <c:v>4.7474099999999997E-3</c:v>
                </c:pt>
                <c:pt idx="324" formatCode="General">
                  <c:v>4.7733599999999999E-3</c:v>
                </c:pt>
                <c:pt idx="325" formatCode="General">
                  <c:v>4.7417900000000001E-3</c:v>
                </c:pt>
                <c:pt idx="326" formatCode="General">
                  <c:v>4.8383499999999999E-3</c:v>
                </c:pt>
                <c:pt idx="327" formatCode="General">
                  <c:v>4.8205699999999997E-3</c:v>
                </c:pt>
                <c:pt idx="328" formatCode="General">
                  <c:v>4.8344399999999997E-3</c:v>
                </c:pt>
                <c:pt idx="329" formatCode="General">
                  <c:v>4.8885400000000002E-3</c:v>
                </c:pt>
                <c:pt idx="330" formatCode="General">
                  <c:v>4.8742200000000003E-3</c:v>
                </c:pt>
                <c:pt idx="331" formatCode="General">
                  <c:v>4.8916100000000002E-3</c:v>
                </c:pt>
                <c:pt idx="332" formatCode="General">
                  <c:v>4.9197800000000003E-3</c:v>
                </c:pt>
                <c:pt idx="333" formatCode="General">
                  <c:v>4.9147799999999997E-3</c:v>
                </c:pt>
                <c:pt idx="334" formatCode="General">
                  <c:v>4.9386999999999999E-3</c:v>
                </c:pt>
                <c:pt idx="335" formatCode="General">
                  <c:v>4.9501700000000003E-3</c:v>
                </c:pt>
                <c:pt idx="336" formatCode="General">
                  <c:v>5.0148600000000003E-3</c:v>
                </c:pt>
                <c:pt idx="337" formatCode="General">
                  <c:v>4.9324E-3</c:v>
                </c:pt>
                <c:pt idx="338" formatCode="General">
                  <c:v>5.0070699999999998E-3</c:v>
                </c:pt>
                <c:pt idx="339" formatCode="General">
                  <c:v>4.9187299999999996E-3</c:v>
                </c:pt>
                <c:pt idx="340" formatCode="General">
                  <c:v>5.0501900000000004E-3</c:v>
                </c:pt>
                <c:pt idx="341" formatCode="General">
                  <c:v>5.0531400000000002E-3</c:v>
                </c:pt>
                <c:pt idx="342" formatCode="General">
                  <c:v>5.0476799999999997E-3</c:v>
                </c:pt>
                <c:pt idx="343" formatCode="General">
                  <c:v>5.0580399999999998E-3</c:v>
                </c:pt>
                <c:pt idx="344" formatCode="General">
                  <c:v>5.0541900000000001E-3</c:v>
                </c:pt>
                <c:pt idx="345" formatCode="General">
                  <c:v>5.0715400000000002E-3</c:v>
                </c:pt>
                <c:pt idx="346" formatCode="General">
                  <c:v>5.0775500000000001E-3</c:v>
                </c:pt>
                <c:pt idx="347" formatCode="General">
                  <c:v>5.1352699999999999E-3</c:v>
                </c:pt>
                <c:pt idx="348" formatCode="General">
                  <c:v>5.1043599999999996E-3</c:v>
                </c:pt>
                <c:pt idx="349" formatCode="General">
                  <c:v>5.1329699999999997E-3</c:v>
                </c:pt>
                <c:pt idx="350" formatCode="General">
                  <c:v>5.1660899999999999E-3</c:v>
                </c:pt>
                <c:pt idx="351" formatCode="General">
                  <c:v>5.19499E-3</c:v>
                </c:pt>
                <c:pt idx="352" formatCode="General">
                  <c:v>5.11466E-3</c:v>
                </c:pt>
                <c:pt idx="353" formatCode="General">
                  <c:v>5.2264800000000004E-3</c:v>
                </c:pt>
                <c:pt idx="354" formatCode="General">
                  <c:v>5.2119899999999997E-3</c:v>
                </c:pt>
                <c:pt idx="355" formatCode="General">
                  <c:v>5.2853400000000004E-3</c:v>
                </c:pt>
                <c:pt idx="356" formatCode="General">
                  <c:v>5.2648199999999999E-3</c:v>
                </c:pt>
                <c:pt idx="357" formatCode="General">
                  <c:v>5.2665000000000003E-3</c:v>
                </c:pt>
                <c:pt idx="358" formatCode="General">
                  <c:v>5.2554699999999999E-3</c:v>
                </c:pt>
                <c:pt idx="359" formatCode="General">
                  <c:v>5.2701600000000003E-3</c:v>
                </c:pt>
                <c:pt idx="360" formatCode="General">
                  <c:v>5.2481699999999999E-3</c:v>
                </c:pt>
                <c:pt idx="361" formatCode="General">
                  <c:v>5.2769100000000001E-3</c:v>
                </c:pt>
                <c:pt idx="362" formatCode="General">
                  <c:v>5.3036799999999999E-3</c:v>
                </c:pt>
                <c:pt idx="363" formatCode="General">
                  <c:v>5.32191E-3</c:v>
                </c:pt>
                <c:pt idx="364" formatCode="General">
                  <c:v>5.3902300000000002E-3</c:v>
                </c:pt>
                <c:pt idx="365" formatCode="General">
                  <c:v>5.3932499999999996E-3</c:v>
                </c:pt>
                <c:pt idx="366" formatCode="General">
                  <c:v>5.3961699999999996E-3</c:v>
                </c:pt>
                <c:pt idx="367" formatCode="General">
                  <c:v>5.3641399999999999E-3</c:v>
                </c:pt>
                <c:pt idx="368" formatCode="General">
                  <c:v>5.4138299999999997E-3</c:v>
                </c:pt>
                <c:pt idx="369" formatCode="General">
                  <c:v>5.4072800000000004E-3</c:v>
                </c:pt>
                <c:pt idx="370" formatCode="General">
                  <c:v>5.3867200000000002E-3</c:v>
                </c:pt>
                <c:pt idx="371" formatCode="General">
                  <c:v>5.4279699999999998E-3</c:v>
                </c:pt>
                <c:pt idx="372" formatCode="General">
                  <c:v>5.4225699999999998E-3</c:v>
                </c:pt>
                <c:pt idx="373" formatCode="General">
                  <c:v>5.4550299999999996E-3</c:v>
                </c:pt>
                <c:pt idx="374" formatCode="General">
                  <c:v>5.3911000000000002E-3</c:v>
                </c:pt>
                <c:pt idx="375" formatCode="General">
                  <c:v>5.4666000000000003E-3</c:v>
                </c:pt>
                <c:pt idx="376" formatCode="General">
                  <c:v>5.4682100000000003E-3</c:v>
                </c:pt>
                <c:pt idx="377" formatCode="General">
                  <c:v>5.5368300000000004E-3</c:v>
                </c:pt>
                <c:pt idx="378" formatCode="General">
                  <c:v>5.4926799999999998E-3</c:v>
                </c:pt>
                <c:pt idx="379" formatCode="General">
                  <c:v>5.5092700000000001E-3</c:v>
                </c:pt>
                <c:pt idx="380" formatCode="General">
                  <c:v>5.5454199999999997E-3</c:v>
                </c:pt>
                <c:pt idx="381" formatCode="General">
                  <c:v>5.6232900000000004E-3</c:v>
                </c:pt>
                <c:pt idx="382" formatCode="General">
                  <c:v>5.5698400000000004E-3</c:v>
                </c:pt>
                <c:pt idx="383" formatCode="General">
                  <c:v>5.6069199999999996E-3</c:v>
                </c:pt>
                <c:pt idx="384" formatCode="General">
                  <c:v>5.6037099999999996E-3</c:v>
                </c:pt>
                <c:pt idx="385" formatCode="General">
                  <c:v>5.6092900000000003E-3</c:v>
                </c:pt>
                <c:pt idx="386" formatCode="General">
                  <c:v>5.6500500000000002E-3</c:v>
                </c:pt>
                <c:pt idx="387" formatCode="General">
                  <c:v>5.6667100000000001E-3</c:v>
                </c:pt>
                <c:pt idx="388" formatCode="General">
                  <c:v>5.6631900000000002E-3</c:v>
                </c:pt>
                <c:pt idx="389" formatCode="General">
                  <c:v>5.5782200000000001E-3</c:v>
                </c:pt>
                <c:pt idx="390" formatCode="General">
                  <c:v>5.6271899999999998E-3</c:v>
                </c:pt>
                <c:pt idx="391" formatCode="General">
                  <c:v>5.6280200000000001E-3</c:v>
                </c:pt>
                <c:pt idx="392" formatCode="General">
                  <c:v>5.78284E-3</c:v>
                </c:pt>
                <c:pt idx="393" formatCode="General">
                  <c:v>5.6936299999999999E-3</c:v>
                </c:pt>
                <c:pt idx="394" formatCode="General">
                  <c:v>5.7118200000000003E-3</c:v>
                </c:pt>
                <c:pt idx="395" formatCode="General">
                  <c:v>5.7307699999999996E-3</c:v>
                </c:pt>
                <c:pt idx="396" formatCode="General">
                  <c:v>5.8077900000000002E-3</c:v>
                </c:pt>
                <c:pt idx="397" formatCode="General">
                  <c:v>5.7289999999999997E-3</c:v>
                </c:pt>
                <c:pt idx="398" formatCode="General">
                  <c:v>5.7888799999999997E-3</c:v>
                </c:pt>
                <c:pt idx="399" formatCode="General">
                  <c:v>5.7899400000000004E-3</c:v>
                </c:pt>
                <c:pt idx="400" formatCode="General">
                  <c:v>5.8669799999999999E-3</c:v>
                </c:pt>
                <c:pt idx="401" formatCode="General">
                  <c:v>5.8342899999999998E-3</c:v>
                </c:pt>
                <c:pt idx="402" formatCode="General">
                  <c:v>5.84711E-3</c:v>
                </c:pt>
                <c:pt idx="403" formatCode="General">
                  <c:v>5.8732599999999999E-3</c:v>
                </c:pt>
                <c:pt idx="404" formatCode="General">
                  <c:v>5.8733500000000003E-3</c:v>
                </c:pt>
                <c:pt idx="405" formatCode="General">
                  <c:v>5.8683199999999998E-3</c:v>
                </c:pt>
                <c:pt idx="406" formatCode="General">
                  <c:v>5.8726899999999999E-3</c:v>
                </c:pt>
                <c:pt idx="407" formatCode="General">
                  <c:v>5.9233200000000001E-3</c:v>
                </c:pt>
                <c:pt idx="408" formatCode="General">
                  <c:v>5.89895E-3</c:v>
                </c:pt>
                <c:pt idx="409" formatCode="General">
                  <c:v>5.9178399999999997E-3</c:v>
                </c:pt>
                <c:pt idx="410" formatCode="General">
                  <c:v>6.0001799999999999E-3</c:v>
                </c:pt>
                <c:pt idx="411" formatCode="General">
                  <c:v>6.0244799999999996E-3</c:v>
                </c:pt>
                <c:pt idx="412" formatCode="General">
                  <c:v>6.0231399999999997E-3</c:v>
                </c:pt>
                <c:pt idx="413" formatCode="General">
                  <c:v>6.0195800000000001E-3</c:v>
                </c:pt>
                <c:pt idx="414" formatCode="General">
                  <c:v>6.0120399999999997E-3</c:v>
                </c:pt>
                <c:pt idx="415" formatCode="General">
                  <c:v>6.08589E-3</c:v>
                </c:pt>
                <c:pt idx="416" formatCode="General">
                  <c:v>6.0726599999999997E-3</c:v>
                </c:pt>
                <c:pt idx="417" formatCode="General">
                  <c:v>6.0576299999999996E-3</c:v>
                </c:pt>
                <c:pt idx="418" formatCode="General">
                  <c:v>6.0747500000000003E-3</c:v>
                </c:pt>
                <c:pt idx="419" formatCode="General">
                  <c:v>6.1968700000000002E-3</c:v>
                </c:pt>
                <c:pt idx="420" formatCode="General">
                  <c:v>6.0827800000000003E-3</c:v>
                </c:pt>
                <c:pt idx="421" formatCode="General">
                  <c:v>6.16593E-3</c:v>
                </c:pt>
                <c:pt idx="422" formatCode="General">
                  <c:v>6.13E-3</c:v>
                </c:pt>
                <c:pt idx="423" formatCode="General">
                  <c:v>6.1663600000000001E-3</c:v>
                </c:pt>
                <c:pt idx="424" formatCode="General">
                  <c:v>6.20259E-3</c:v>
                </c:pt>
                <c:pt idx="425" formatCode="General">
                  <c:v>6.1670800000000001E-3</c:v>
                </c:pt>
                <c:pt idx="426" formatCode="General">
                  <c:v>6.2484200000000002E-3</c:v>
                </c:pt>
                <c:pt idx="427" formatCode="General">
                  <c:v>6.1736100000000004E-3</c:v>
                </c:pt>
                <c:pt idx="428" formatCode="General">
                  <c:v>6.2682099999999998E-3</c:v>
                </c:pt>
                <c:pt idx="429" formatCode="General">
                  <c:v>6.2361200000000004E-3</c:v>
                </c:pt>
                <c:pt idx="430" formatCode="General">
                  <c:v>6.3064699999999998E-3</c:v>
                </c:pt>
                <c:pt idx="431" formatCode="General">
                  <c:v>6.2551100000000004E-3</c:v>
                </c:pt>
                <c:pt idx="432" formatCode="General">
                  <c:v>6.3029399999999999E-3</c:v>
                </c:pt>
                <c:pt idx="433" formatCode="General">
                  <c:v>6.3330599999999997E-3</c:v>
                </c:pt>
                <c:pt idx="434" formatCode="General">
                  <c:v>6.3391599999999999E-3</c:v>
                </c:pt>
                <c:pt idx="435" formatCode="General">
                  <c:v>6.31169E-3</c:v>
                </c:pt>
                <c:pt idx="436" formatCode="General">
                  <c:v>6.378E-3</c:v>
                </c:pt>
                <c:pt idx="437" formatCode="General">
                  <c:v>6.2897500000000002E-3</c:v>
                </c:pt>
                <c:pt idx="438" formatCode="General">
                  <c:v>6.3941400000000004E-3</c:v>
                </c:pt>
                <c:pt idx="439" formatCode="General">
                  <c:v>6.40954E-3</c:v>
                </c:pt>
                <c:pt idx="440" formatCode="General">
                  <c:v>6.4124000000000004E-3</c:v>
                </c:pt>
                <c:pt idx="441" formatCode="General">
                  <c:v>6.4299700000000001E-3</c:v>
                </c:pt>
                <c:pt idx="442" formatCode="General">
                  <c:v>6.5161200000000002E-3</c:v>
                </c:pt>
                <c:pt idx="443" formatCode="General">
                  <c:v>6.4057799999999998E-3</c:v>
                </c:pt>
                <c:pt idx="444" formatCode="General">
                  <c:v>6.49834E-3</c:v>
                </c:pt>
                <c:pt idx="445" formatCode="General">
                  <c:v>6.5482300000000004E-3</c:v>
                </c:pt>
                <c:pt idx="446" formatCode="General">
                  <c:v>6.5350299999999998E-3</c:v>
                </c:pt>
                <c:pt idx="447" formatCode="General">
                  <c:v>6.5383100000000003E-3</c:v>
                </c:pt>
                <c:pt idx="448" formatCode="General">
                  <c:v>6.5332000000000003E-3</c:v>
                </c:pt>
                <c:pt idx="449" formatCode="General">
                  <c:v>6.5641099999999997E-3</c:v>
                </c:pt>
                <c:pt idx="450" formatCode="General">
                  <c:v>6.5373899999999997E-3</c:v>
                </c:pt>
                <c:pt idx="451" formatCode="General">
                  <c:v>6.5704800000000001E-3</c:v>
                </c:pt>
                <c:pt idx="452" formatCode="General">
                  <c:v>6.63051E-3</c:v>
                </c:pt>
                <c:pt idx="453" formatCode="General">
                  <c:v>6.5814599999999999E-3</c:v>
                </c:pt>
              </c:numCache>
            </c:numRef>
          </c:xVal>
          <c:yVal>
            <c:numRef>
              <c:f>'L30CPTX-2'!$V$7:$V$458</c:f>
              <c:numCache>
                <c:formatCode>General</c:formatCode>
                <c:ptCount val="452"/>
                <c:pt idx="0">
                  <c:v>1.1265355603448277</c:v>
                </c:pt>
                <c:pt idx="1">
                  <c:v>1.1935237068965519</c:v>
                </c:pt>
                <c:pt idx="2">
                  <c:v>1.047365301724138</c:v>
                </c:pt>
                <c:pt idx="3">
                  <c:v>0.93775323275862066</c:v>
                </c:pt>
                <c:pt idx="4">
                  <c:v>1.0169181034482759</c:v>
                </c:pt>
                <c:pt idx="5">
                  <c:v>1.1082650862068966</c:v>
                </c:pt>
                <c:pt idx="6">
                  <c:v>1.0778178879310345</c:v>
                </c:pt>
                <c:pt idx="7">
                  <c:v>1.5223706896551725</c:v>
                </c:pt>
                <c:pt idx="8">
                  <c:v>1.9303825431034483</c:v>
                </c:pt>
                <c:pt idx="9">
                  <c:v>2.581988146551724</c:v>
                </c:pt>
                <c:pt idx="10">
                  <c:v>2.3140409482758622</c:v>
                </c:pt>
                <c:pt idx="11">
                  <c:v>2.7342349137931037</c:v>
                </c:pt>
                <c:pt idx="12">
                  <c:v>3.0691702586206899</c:v>
                </c:pt>
                <c:pt idx="13">
                  <c:v>3.2153232758620689</c:v>
                </c:pt>
                <c:pt idx="14">
                  <c:v>3.4650053879310345</c:v>
                </c:pt>
                <c:pt idx="15">
                  <c:v>3.7268642241379313</c:v>
                </c:pt>
                <c:pt idx="16">
                  <c:v>3.8364816810344831</c:v>
                </c:pt>
                <c:pt idx="17">
                  <c:v>4.3114816810344827</c:v>
                </c:pt>
                <c:pt idx="18">
                  <c:v>4.4028286637931036</c:v>
                </c:pt>
                <c:pt idx="19">
                  <c:v>4.5428933189655174</c:v>
                </c:pt>
                <c:pt idx="20">
                  <c:v>4.6768696120689661</c:v>
                </c:pt>
                <c:pt idx="21">
                  <c:v>5.0848814655172418</c:v>
                </c:pt>
                <c:pt idx="22">
                  <c:v>5.6938577586206893</c:v>
                </c:pt>
                <c:pt idx="23">
                  <c:v>5.6025323275862071</c:v>
                </c:pt>
                <c:pt idx="24">
                  <c:v>6.0836206896551719</c:v>
                </c:pt>
                <c:pt idx="25">
                  <c:v>6.1079741379310351</c:v>
                </c:pt>
                <c:pt idx="26">
                  <c:v>6.4124461206896557</c:v>
                </c:pt>
                <c:pt idx="27">
                  <c:v>6.7900323275862071</c:v>
                </c:pt>
                <c:pt idx="28">
                  <c:v>7.2589439655172416</c:v>
                </c:pt>
                <c:pt idx="29">
                  <c:v>7.2406788793103445</c:v>
                </c:pt>
                <c:pt idx="30">
                  <c:v>7.6242995689655171</c:v>
                </c:pt>
                <c:pt idx="31">
                  <c:v>7.8070043103448281</c:v>
                </c:pt>
                <c:pt idx="32">
                  <c:v>8.0505926724137939</c:v>
                </c:pt>
                <c:pt idx="33">
                  <c:v>8.3428879310344826</c:v>
                </c:pt>
                <c:pt idx="34">
                  <c:v>8.5986530172413804</c:v>
                </c:pt>
                <c:pt idx="35">
                  <c:v>8.6230603448275875</c:v>
                </c:pt>
                <c:pt idx="36">
                  <c:v>8.8483836206896562</c:v>
                </c:pt>
                <c:pt idx="37">
                  <c:v>9.0371228448275858</c:v>
                </c:pt>
                <c:pt idx="38">
                  <c:v>9.1954741379310345</c:v>
                </c:pt>
                <c:pt idx="39">
                  <c:v>9.8105603448275858</c:v>
                </c:pt>
                <c:pt idx="40">
                  <c:v>10.078502155172414</c:v>
                </c:pt>
                <c:pt idx="41">
                  <c:v>10.096767241379311</c:v>
                </c:pt>
                <c:pt idx="42">
                  <c:v>10.3890625</c:v>
                </c:pt>
                <c:pt idx="43">
                  <c:v>10.797090517241379</c:v>
                </c:pt>
                <c:pt idx="44">
                  <c:v>10.931034482758621</c:v>
                </c:pt>
                <c:pt idx="45">
                  <c:v>11.144181034482759</c:v>
                </c:pt>
                <c:pt idx="46">
                  <c:v>11.527855603448277</c:v>
                </c:pt>
                <c:pt idx="47">
                  <c:v>11.558297413793102</c:v>
                </c:pt>
                <c:pt idx="48">
                  <c:v>12.015032327586207</c:v>
                </c:pt>
                <c:pt idx="49">
                  <c:v>12.16729525862069</c:v>
                </c:pt>
                <c:pt idx="50">
                  <c:v>12.325592672413794</c:v>
                </c:pt>
                <c:pt idx="51">
                  <c:v>12.745797413793102</c:v>
                </c:pt>
                <c:pt idx="52">
                  <c:v>12.800592672413794</c:v>
                </c:pt>
                <c:pt idx="53">
                  <c:v>13.07467672413793</c:v>
                </c:pt>
                <c:pt idx="54">
                  <c:v>13.482650862068967</c:v>
                </c:pt>
                <c:pt idx="55">
                  <c:v>13.586206896551724</c:v>
                </c:pt>
                <c:pt idx="56">
                  <c:v>13.598383620689656</c:v>
                </c:pt>
                <c:pt idx="57">
                  <c:v>14.140355603448276</c:v>
                </c:pt>
                <c:pt idx="58">
                  <c:v>14.274353448275864</c:v>
                </c:pt>
                <c:pt idx="59">
                  <c:v>14.408297413793102</c:v>
                </c:pt>
                <c:pt idx="60">
                  <c:v>14.487500000000001</c:v>
                </c:pt>
                <c:pt idx="61">
                  <c:v>15.078178879310347</c:v>
                </c:pt>
                <c:pt idx="62">
                  <c:v>14.907650862068966</c:v>
                </c:pt>
                <c:pt idx="63">
                  <c:v>15.254795258620691</c:v>
                </c:pt>
                <c:pt idx="64">
                  <c:v>15.449676724137932</c:v>
                </c:pt>
                <c:pt idx="65">
                  <c:v>15.541002155172414</c:v>
                </c:pt>
                <c:pt idx="66">
                  <c:v>15.656734913793104</c:v>
                </c:pt>
                <c:pt idx="67">
                  <c:v>15.949030172413792</c:v>
                </c:pt>
                <c:pt idx="68">
                  <c:v>16.180441810344828</c:v>
                </c:pt>
                <c:pt idx="69">
                  <c:v>16.527532327586208</c:v>
                </c:pt>
                <c:pt idx="70">
                  <c:v>16.716325431034484</c:v>
                </c:pt>
                <c:pt idx="71">
                  <c:v>16.978178879310345</c:v>
                </c:pt>
                <c:pt idx="72">
                  <c:v>17.258351293103448</c:v>
                </c:pt>
                <c:pt idx="73">
                  <c:v>17.617618534482759</c:v>
                </c:pt>
                <c:pt idx="74">
                  <c:v>17.922090517241379</c:v>
                </c:pt>
                <c:pt idx="75">
                  <c:v>17.940355603448275</c:v>
                </c:pt>
                <c:pt idx="76">
                  <c:v>18.518911637931037</c:v>
                </c:pt>
                <c:pt idx="77">
                  <c:v>18.738146551724139</c:v>
                </c:pt>
                <c:pt idx="78">
                  <c:v>19.21314655172414</c:v>
                </c:pt>
                <c:pt idx="79">
                  <c:v>19.420204741379312</c:v>
                </c:pt>
                <c:pt idx="80">
                  <c:v>19.645528017241379</c:v>
                </c:pt>
                <c:pt idx="81">
                  <c:v>19.968265086206898</c:v>
                </c:pt>
                <c:pt idx="82">
                  <c:v>20.083997844827589</c:v>
                </c:pt>
                <c:pt idx="83">
                  <c:v>20.619881465517242</c:v>
                </c:pt>
                <c:pt idx="84">
                  <c:v>20.705118534482757</c:v>
                </c:pt>
                <c:pt idx="85">
                  <c:v>20.784321120689658</c:v>
                </c:pt>
                <c:pt idx="86">
                  <c:v>21.137499999999999</c:v>
                </c:pt>
                <c:pt idx="87">
                  <c:v>21.405441810344829</c:v>
                </c:pt>
                <c:pt idx="88">
                  <c:v>21.722144396551727</c:v>
                </c:pt>
                <c:pt idx="89">
                  <c:v>21.807381465517242</c:v>
                </c:pt>
                <c:pt idx="90">
                  <c:v>22.124030172413796</c:v>
                </c:pt>
                <c:pt idx="91">
                  <c:v>22.318911637931038</c:v>
                </c:pt>
                <c:pt idx="92">
                  <c:v>22.428556034482757</c:v>
                </c:pt>
                <c:pt idx="93">
                  <c:v>22.927909482758622</c:v>
                </c:pt>
                <c:pt idx="94">
                  <c:v>23.098437499999999</c:v>
                </c:pt>
                <c:pt idx="95">
                  <c:v>23.250646551724138</c:v>
                </c:pt>
                <c:pt idx="96">
                  <c:v>23.60387931034483</c:v>
                </c:pt>
                <c:pt idx="97">
                  <c:v>23.871821120689653</c:v>
                </c:pt>
                <c:pt idx="98">
                  <c:v>23.914439655172416</c:v>
                </c:pt>
                <c:pt idx="99">
                  <c:v>24.334644396551727</c:v>
                </c:pt>
                <c:pt idx="100">
                  <c:v>24.486853448275863</c:v>
                </c:pt>
                <c:pt idx="101">
                  <c:v>24.888793103448275</c:v>
                </c:pt>
                <c:pt idx="102">
                  <c:v>25.095851293103451</c:v>
                </c:pt>
                <c:pt idx="103">
                  <c:v>25.132381465517241</c:v>
                </c:pt>
                <c:pt idx="104">
                  <c:v>25.4551724137931</c:v>
                </c:pt>
                <c:pt idx="105">
                  <c:v>25.753556034482756</c:v>
                </c:pt>
                <c:pt idx="106">
                  <c:v>25.930172413793105</c:v>
                </c:pt>
                <c:pt idx="107">
                  <c:v>26.076293103448279</c:v>
                </c:pt>
                <c:pt idx="108">
                  <c:v>26.374730603448274</c:v>
                </c:pt>
                <c:pt idx="109">
                  <c:v>26.593911637931036</c:v>
                </c:pt>
                <c:pt idx="110">
                  <c:v>26.916702586206895</c:v>
                </c:pt>
                <c:pt idx="111">
                  <c:v>27.117672413793105</c:v>
                </c:pt>
                <c:pt idx="112">
                  <c:v>27.519558189655175</c:v>
                </c:pt>
                <c:pt idx="113">
                  <c:v>27.799730603448278</c:v>
                </c:pt>
                <c:pt idx="114">
                  <c:v>27.970204741379312</c:v>
                </c:pt>
                <c:pt idx="115">
                  <c:v>28.23211206896552</c:v>
                </c:pt>
                <c:pt idx="116">
                  <c:v>28.37823275862069</c:v>
                </c:pt>
                <c:pt idx="117">
                  <c:v>28.682704741379311</c:v>
                </c:pt>
                <c:pt idx="118">
                  <c:v>28.859321120689657</c:v>
                </c:pt>
                <c:pt idx="119">
                  <c:v>29.2734375</c:v>
                </c:pt>
                <c:pt idx="120">
                  <c:v>29.517025862068966</c:v>
                </c:pt>
                <c:pt idx="121">
                  <c:v>29.900700431034483</c:v>
                </c:pt>
                <c:pt idx="122">
                  <c:v>30.004202586206898</c:v>
                </c:pt>
                <c:pt idx="123">
                  <c:v>30.284321120689658</c:v>
                </c:pt>
                <c:pt idx="124">
                  <c:v>30.594935344827586</c:v>
                </c:pt>
                <c:pt idx="125">
                  <c:v>30.838523706896552</c:v>
                </c:pt>
                <c:pt idx="126">
                  <c:v>31.076023706896553</c:v>
                </c:pt>
                <c:pt idx="127">
                  <c:v>31.350053879310344</c:v>
                </c:pt>
                <c:pt idx="128">
                  <c:v>31.453556034482759</c:v>
                </c:pt>
                <c:pt idx="129">
                  <c:v>31.709321120689655</c:v>
                </c:pt>
                <c:pt idx="130">
                  <c:v>31.977316810344828</c:v>
                </c:pt>
                <c:pt idx="131">
                  <c:v>32.287877155172417</c:v>
                </c:pt>
                <c:pt idx="132">
                  <c:v>32.543642241379317</c:v>
                </c:pt>
                <c:pt idx="133">
                  <c:v>32.982112068965513</c:v>
                </c:pt>
                <c:pt idx="134">
                  <c:v>33.067349137931039</c:v>
                </c:pt>
                <c:pt idx="135">
                  <c:v>33.170905172413796</c:v>
                </c:pt>
                <c:pt idx="136">
                  <c:v>33.505818965517243</c:v>
                </c:pt>
                <c:pt idx="137">
                  <c:v>33.651993534482763</c:v>
                </c:pt>
                <c:pt idx="138">
                  <c:v>34.041702586206902</c:v>
                </c:pt>
                <c:pt idx="139">
                  <c:v>34.224407327586206</c:v>
                </c:pt>
                <c:pt idx="140">
                  <c:v>34.230495689655172</c:v>
                </c:pt>
                <c:pt idx="141">
                  <c:v>34.668965517241382</c:v>
                </c:pt>
                <c:pt idx="142">
                  <c:v>35.003933189655172</c:v>
                </c:pt>
                <c:pt idx="143">
                  <c:v>35.22316810344828</c:v>
                </c:pt>
                <c:pt idx="144">
                  <c:v>35.819935344827591</c:v>
                </c:pt>
                <c:pt idx="145">
                  <c:v>35.905172413793103</c:v>
                </c:pt>
                <c:pt idx="146">
                  <c:v>36.288846982758621</c:v>
                </c:pt>
                <c:pt idx="147">
                  <c:v>36.556788793103451</c:v>
                </c:pt>
                <c:pt idx="148">
                  <c:v>36.575053879310346</c:v>
                </c:pt>
                <c:pt idx="149">
                  <c:v>36.769935344827587</c:v>
                </c:pt>
                <c:pt idx="150">
                  <c:v>37.421551724137927</c:v>
                </c:pt>
                <c:pt idx="151">
                  <c:v>37.866109913793103</c:v>
                </c:pt>
                <c:pt idx="152">
                  <c:v>38.006196120689658</c:v>
                </c:pt>
                <c:pt idx="153">
                  <c:v>38.37155172413793</c:v>
                </c:pt>
                <c:pt idx="154">
                  <c:v>38.359375</c:v>
                </c:pt>
                <c:pt idx="155">
                  <c:v>38.925700431034485</c:v>
                </c:pt>
                <c:pt idx="156">
                  <c:v>38.937931034482759</c:v>
                </c:pt>
                <c:pt idx="157">
                  <c:v>39.41293103448276</c:v>
                </c:pt>
                <c:pt idx="158">
                  <c:v>39.601670258620686</c:v>
                </c:pt>
                <c:pt idx="159">
                  <c:v>39.778286637931039</c:v>
                </c:pt>
                <c:pt idx="160">
                  <c:v>40.314170258620692</c:v>
                </c:pt>
                <c:pt idx="161">
                  <c:v>40.697844827586209</c:v>
                </c:pt>
                <c:pt idx="162">
                  <c:v>40.716109913793105</c:v>
                </c:pt>
                <c:pt idx="163">
                  <c:v>41.111961206896552</c:v>
                </c:pt>
                <c:pt idx="164">
                  <c:v>41.166756465517246</c:v>
                </c:pt>
                <c:pt idx="165">
                  <c:v>41.672198275862065</c:v>
                </c:pt>
                <c:pt idx="166">
                  <c:v>41.751400862068969</c:v>
                </c:pt>
                <c:pt idx="167">
                  <c:v>41.93405172413793</c:v>
                </c:pt>
                <c:pt idx="168">
                  <c:v>42.03151939655173</c:v>
                </c:pt>
                <c:pt idx="169">
                  <c:v>42.208135775862068</c:v>
                </c:pt>
                <c:pt idx="170">
                  <c:v>42.165463362068969</c:v>
                </c:pt>
                <c:pt idx="171">
                  <c:v>42.549137931034487</c:v>
                </c:pt>
                <c:pt idx="172">
                  <c:v>43.042403017241384</c:v>
                </c:pt>
                <c:pt idx="173">
                  <c:v>43.249461206896555</c:v>
                </c:pt>
                <c:pt idx="174">
                  <c:v>43.419989224137929</c:v>
                </c:pt>
                <c:pt idx="175">
                  <c:v>43.803609913793103</c:v>
                </c:pt>
                <c:pt idx="176">
                  <c:v>44.150754310344823</c:v>
                </c:pt>
                <c:pt idx="177">
                  <c:v>44.181196120689663</c:v>
                </c:pt>
                <c:pt idx="178">
                  <c:v>44.41869612068966</c:v>
                </c:pt>
                <c:pt idx="179">
                  <c:v>44.503933189655179</c:v>
                </c:pt>
                <c:pt idx="180">
                  <c:v>44.978987068965523</c:v>
                </c:pt>
                <c:pt idx="181">
                  <c:v>45.088577586206902</c:v>
                </c:pt>
                <c:pt idx="182">
                  <c:v>45.405226293103446</c:v>
                </c:pt>
                <c:pt idx="183">
                  <c:v>45.715840517241382</c:v>
                </c:pt>
                <c:pt idx="184">
                  <c:v>45.886314655172413</c:v>
                </c:pt>
                <c:pt idx="185">
                  <c:v>45.959428879310344</c:v>
                </c:pt>
                <c:pt idx="186">
                  <c:v>46.379633620689653</c:v>
                </c:pt>
                <c:pt idx="187">
                  <c:v>46.550107758620697</c:v>
                </c:pt>
                <c:pt idx="188">
                  <c:v>47.019019396551727</c:v>
                </c:pt>
                <c:pt idx="189">
                  <c:v>46.976400862068964</c:v>
                </c:pt>
                <c:pt idx="190">
                  <c:v>47.396605603448272</c:v>
                </c:pt>
                <c:pt idx="191">
                  <c:v>47.71325431034483</c:v>
                </c:pt>
                <c:pt idx="192">
                  <c:v>47.889870689655176</c:v>
                </c:pt>
                <c:pt idx="193">
                  <c:v>47.83507543103449</c:v>
                </c:pt>
                <c:pt idx="194">
                  <c:v>48.267456896551728</c:v>
                </c:pt>
                <c:pt idx="195">
                  <c:v>48.565840517241377</c:v>
                </c:pt>
                <c:pt idx="196">
                  <c:v>48.772898706896555</c:v>
                </c:pt>
                <c:pt idx="197">
                  <c:v>48.961691810344831</c:v>
                </c:pt>
                <c:pt idx="198">
                  <c:v>49.095635775862071</c:v>
                </c:pt>
                <c:pt idx="199">
                  <c:v>49.442780172413791</c:v>
                </c:pt>
                <c:pt idx="200">
                  <c:v>49.534105603448282</c:v>
                </c:pt>
                <c:pt idx="201">
                  <c:v>49.765517241379307</c:v>
                </c:pt>
                <c:pt idx="202">
                  <c:v>50.23442887931035</c:v>
                </c:pt>
                <c:pt idx="203">
                  <c:v>50.368426724137926</c:v>
                </c:pt>
                <c:pt idx="204">
                  <c:v>50.630280172413791</c:v>
                </c:pt>
                <c:pt idx="205">
                  <c:v>50.758135775862065</c:v>
                </c:pt>
                <c:pt idx="206">
                  <c:v>51.196605603448276</c:v>
                </c:pt>
                <c:pt idx="207">
                  <c:v>51.470689655172407</c:v>
                </c:pt>
                <c:pt idx="208">
                  <c:v>51.714278017241384</c:v>
                </c:pt>
                <c:pt idx="209">
                  <c:v>51.775161637931035</c:v>
                </c:pt>
                <c:pt idx="210">
                  <c:v>52.17101293103449</c:v>
                </c:pt>
                <c:pt idx="211">
                  <c:v>52.512015086206894</c:v>
                </c:pt>
                <c:pt idx="212">
                  <c:v>52.719073275862073</c:v>
                </c:pt>
                <c:pt idx="213">
                  <c:v>52.84698275862069</c:v>
                </c:pt>
                <c:pt idx="214">
                  <c:v>53.163631465517241</c:v>
                </c:pt>
                <c:pt idx="215">
                  <c:v>53.443750000000001</c:v>
                </c:pt>
                <c:pt idx="216">
                  <c:v>53.553394396551724</c:v>
                </c:pt>
                <c:pt idx="217">
                  <c:v>53.845689655172414</c:v>
                </c:pt>
                <c:pt idx="218">
                  <c:v>54.052801724137936</c:v>
                </c:pt>
                <c:pt idx="219">
                  <c:v>54.473060344827594</c:v>
                </c:pt>
                <c:pt idx="220">
                  <c:v>54.722521551724142</c:v>
                </c:pt>
                <c:pt idx="221">
                  <c:v>54.850754310344826</c:v>
                </c:pt>
                <c:pt idx="222">
                  <c:v>55.045258620689658</c:v>
                </c:pt>
                <c:pt idx="223">
                  <c:v>55.422952586206897</c:v>
                </c:pt>
                <c:pt idx="224">
                  <c:v>55.325431034482762</c:v>
                </c:pt>
                <c:pt idx="225">
                  <c:v>55.830818965517246</c:v>
                </c:pt>
                <c:pt idx="226">
                  <c:v>56.092672413793103</c:v>
                </c:pt>
                <c:pt idx="227">
                  <c:v>56.40948275862069</c:v>
                </c:pt>
                <c:pt idx="228">
                  <c:v>56.57381465517242</c:v>
                </c:pt>
                <c:pt idx="229">
                  <c:v>56.76885775862069</c:v>
                </c:pt>
                <c:pt idx="230">
                  <c:v>57.109913793103452</c:v>
                </c:pt>
                <c:pt idx="231">
                  <c:v>57.036637931034484</c:v>
                </c:pt>
                <c:pt idx="232">
                  <c:v>57.487607758620697</c:v>
                </c:pt>
                <c:pt idx="233">
                  <c:v>57.797952586206897</c:v>
                </c:pt>
                <c:pt idx="234">
                  <c:v>57.99892241379311</c:v>
                </c:pt>
                <c:pt idx="235">
                  <c:v>58.218211206896548</c:v>
                </c:pt>
                <c:pt idx="236">
                  <c:v>58.461745689655174</c:v>
                </c:pt>
                <c:pt idx="237">
                  <c:v>58.91864224137931</c:v>
                </c:pt>
                <c:pt idx="238">
                  <c:v>58.796875000000007</c:v>
                </c:pt>
                <c:pt idx="239">
                  <c:v>59.162176724137936</c:v>
                </c:pt>
                <c:pt idx="240">
                  <c:v>59.381465517241388</c:v>
                </c:pt>
                <c:pt idx="241">
                  <c:v>59.74676724137931</c:v>
                </c:pt>
                <c:pt idx="242">
                  <c:v>59.874461206896555</c:v>
                </c:pt>
                <c:pt idx="243">
                  <c:v>60.258081896551722</c:v>
                </c:pt>
                <c:pt idx="244">
                  <c:v>60.428879310344833</c:v>
                </c:pt>
                <c:pt idx="245">
                  <c:v>60.68426724137931</c:v>
                </c:pt>
                <c:pt idx="246">
                  <c:v>60.860991379310342</c:v>
                </c:pt>
                <c:pt idx="247">
                  <c:v>61.08620689655173</c:v>
                </c:pt>
                <c:pt idx="248">
                  <c:v>61.427262931034484</c:v>
                </c:pt>
                <c:pt idx="249">
                  <c:v>61.445581896551722</c:v>
                </c:pt>
                <c:pt idx="250">
                  <c:v>61.841594827586206</c:v>
                </c:pt>
                <c:pt idx="251">
                  <c:v>61.969288793103452</c:v>
                </c:pt>
                <c:pt idx="252">
                  <c:v>62.261853448275858</c:v>
                </c:pt>
                <c:pt idx="253">
                  <c:v>62.304418103448285</c:v>
                </c:pt>
                <c:pt idx="254">
                  <c:v>62.663793103448278</c:v>
                </c:pt>
                <c:pt idx="255">
                  <c:v>62.693965517241381</c:v>
                </c:pt>
                <c:pt idx="256">
                  <c:v>63.199353448275858</c:v>
                </c:pt>
                <c:pt idx="257">
                  <c:v>63.187500000000007</c:v>
                </c:pt>
                <c:pt idx="258">
                  <c:v>63.370150862068968</c:v>
                </c:pt>
                <c:pt idx="259">
                  <c:v>63.485991379310349</c:v>
                </c:pt>
                <c:pt idx="260">
                  <c:v>63.436961206896555</c:v>
                </c:pt>
                <c:pt idx="261">
                  <c:v>63.644396551724135</c:v>
                </c:pt>
                <c:pt idx="262">
                  <c:v>64.028017241379317</c:v>
                </c:pt>
                <c:pt idx="263">
                  <c:v>64.094827586206904</c:v>
                </c:pt>
                <c:pt idx="264">
                  <c:v>64.423491379310349</c:v>
                </c:pt>
                <c:pt idx="265">
                  <c:v>64.721982758620683</c:v>
                </c:pt>
                <c:pt idx="266">
                  <c:v>65.050646551724142</c:v>
                </c:pt>
                <c:pt idx="267">
                  <c:v>65.215517241379317</c:v>
                </c:pt>
                <c:pt idx="268">
                  <c:v>65.525862068965523</c:v>
                </c:pt>
                <c:pt idx="269">
                  <c:v>65.580818965517238</c:v>
                </c:pt>
                <c:pt idx="270">
                  <c:v>65.964439655172413</c:v>
                </c:pt>
                <c:pt idx="271">
                  <c:v>66.250538793103459</c:v>
                </c:pt>
                <c:pt idx="272">
                  <c:v>66.342133620689665</c:v>
                </c:pt>
                <c:pt idx="273">
                  <c:v>66.628232758620697</c:v>
                </c:pt>
                <c:pt idx="274">
                  <c:v>66.962823275862064</c:v>
                </c:pt>
                <c:pt idx="275">
                  <c:v>67.474676724137936</c:v>
                </c:pt>
                <c:pt idx="276">
                  <c:v>67.541487068965523</c:v>
                </c:pt>
                <c:pt idx="277">
                  <c:v>67.559806034482762</c:v>
                </c:pt>
                <c:pt idx="278">
                  <c:v>67.864224137931032</c:v>
                </c:pt>
                <c:pt idx="279">
                  <c:v>68.168642241379317</c:v>
                </c:pt>
                <c:pt idx="280">
                  <c:v>68.400323275862078</c:v>
                </c:pt>
                <c:pt idx="281">
                  <c:v>68.467133620689651</c:v>
                </c:pt>
                <c:pt idx="282">
                  <c:v>68.997306034482762</c:v>
                </c:pt>
                <c:pt idx="283">
                  <c:v>69.167564655172413</c:v>
                </c:pt>
                <c:pt idx="284">
                  <c:v>69.338362068965523</c:v>
                </c:pt>
                <c:pt idx="285">
                  <c:v>69.569504310344826</c:v>
                </c:pt>
                <c:pt idx="286">
                  <c:v>69.904633620689651</c:v>
                </c:pt>
                <c:pt idx="287">
                  <c:v>69.947198275862078</c:v>
                </c:pt>
                <c:pt idx="288">
                  <c:v>70.391702586206904</c:v>
                </c:pt>
                <c:pt idx="289">
                  <c:v>70.470905172413794</c:v>
                </c:pt>
                <c:pt idx="290">
                  <c:v>70.957974137931032</c:v>
                </c:pt>
                <c:pt idx="291">
                  <c:v>71.103987068965523</c:v>
                </c:pt>
                <c:pt idx="292">
                  <c:v>71.341594827586206</c:v>
                </c:pt>
                <c:pt idx="293">
                  <c:v>71.615840517241381</c:v>
                </c:pt>
                <c:pt idx="294">
                  <c:v>71.706896551724142</c:v>
                </c:pt>
                <c:pt idx="295">
                  <c:v>72.102909482758619</c:v>
                </c:pt>
                <c:pt idx="296">
                  <c:v>72.291487068965509</c:v>
                </c:pt>
                <c:pt idx="297">
                  <c:v>72.510775862068968</c:v>
                </c:pt>
                <c:pt idx="298">
                  <c:v>72.754310344827587</c:v>
                </c:pt>
                <c:pt idx="299">
                  <c:v>73.052801724137936</c:v>
                </c:pt>
                <c:pt idx="300">
                  <c:v>73.180495689655174</c:v>
                </c:pt>
                <c:pt idx="301">
                  <c:v>73.436422413793096</c:v>
                </c:pt>
                <c:pt idx="302">
                  <c:v>73.722521551724142</c:v>
                </c:pt>
                <c:pt idx="303">
                  <c:v>73.941810344827587</c:v>
                </c:pt>
                <c:pt idx="304">
                  <c:v>74.276939655172413</c:v>
                </c:pt>
                <c:pt idx="305">
                  <c:v>74.386314655172413</c:v>
                </c:pt>
                <c:pt idx="306">
                  <c:v>74.776400862068968</c:v>
                </c:pt>
                <c:pt idx="307">
                  <c:v>74.843211206896555</c:v>
                </c:pt>
                <c:pt idx="308">
                  <c:v>75.11745689655173</c:v>
                </c:pt>
                <c:pt idx="309">
                  <c:v>75.446120689655174</c:v>
                </c:pt>
                <c:pt idx="310">
                  <c:v>75.744612068965523</c:v>
                </c:pt>
                <c:pt idx="311">
                  <c:v>75.81142241379311</c:v>
                </c:pt>
                <c:pt idx="312">
                  <c:v>76.134159482758619</c:v>
                </c:pt>
                <c:pt idx="313">
                  <c:v>76.384159482758619</c:v>
                </c:pt>
                <c:pt idx="314">
                  <c:v>76.755387931034477</c:v>
                </c:pt>
                <c:pt idx="315">
                  <c:v>76.944504310344826</c:v>
                </c:pt>
                <c:pt idx="316">
                  <c:v>77.017241379310349</c:v>
                </c:pt>
                <c:pt idx="317">
                  <c:v>77.066271551724142</c:v>
                </c:pt>
                <c:pt idx="318">
                  <c:v>77.339978448275858</c:v>
                </c:pt>
                <c:pt idx="319">
                  <c:v>77.614224137931046</c:v>
                </c:pt>
                <c:pt idx="320">
                  <c:v>77.96120689655173</c:v>
                </c:pt>
                <c:pt idx="321">
                  <c:v>78.003771551724142</c:v>
                </c:pt>
                <c:pt idx="322">
                  <c:v>78.424030172413794</c:v>
                </c:pt>
                <c:pt idx="323">
                  <c:v>78.564116379310349</c:v>
                </c:pt>
                <c:pt idx="324">
                  <c:v>78.539870689655174</c:v>
                </c:pt>
                <c:pt idx="325">
                  <c:v>78.92941810344827</c:v>
                </c:pt>
                <c:pt idx="326">
                  <c:v>79.069504310344826</c:v>
                </c:pt>
                <c:pt idx="327">
                  <c:v>78.996767241379303</c:v>
                </c:pt>
                <c:pt idx="328">
                  <c:v>79.410560344827587</c:v>
                </c:pt>
                <c:pt idx="329">
                  <c:v>79.843211206896555</c:v>
                </c:pt>
                <c:pt idx="330">
                  <c:v>80.116918103448285</c:v>
                </c:pt>
                <c:pt idx="331">
                  <c:v>80.28125</c:v>
                </c:pt>
                <c:pt idx="332">
                  <c:v>80.439655172413794</c:v>
                </c:pt>
                <c:pt idx="333">
                  <c:v>80.713900862068968</c:v>
                </c:pt>
                <c:pt idx="334">
                  <c:v>80.926724137931032</c:v>
                </c:pt>
                <c:pt idx="335">
                  <c:v>81.170797413793096</c:v>
                </c:pt>
                <c:pt idx="336">
                  <c:v>81.554418103448285</c:v>
                </c:pt>
                <c:pt idx="337">
                  <c:v>81.700431034482762</c:v>
                </c:pt>
                <c:pt idx="338">
                  <c:v>82.023168103448285</c:v>
                </c:pt>
                <c:pt idx="339">
                  <c:v>82.126616379310349</c:v>
                </c:pt>
                <c:pt idx="340">
                  <c:v>82.425107758620697</c:v>
                </c:pt>
                <c:pt idx="341">
                  <c:v>82.772090517241381</c:v>
                </c:pt>
                <c:pt idx="342">
                  <c:v>83.216594827586206</c:v>
                </c:pt>
                <c:pt idx="343">
                  <c:v>83.216594827586206</c:v>
                </c:pt>
                <c:pt idx="344">
                  <c:v>83.612607758620697</c:v>
                </c:pt>
                <c:pt idx="345">
                  <c:v>83.53933189655173</c:v>
                </c:pt>
                <c:pt idx="346">
                  <c:v>83.850215517241381</c:v>
                </c:pt>
                <c:pt idx="347">
                  <c:v>84.361530172413794</c:v>
                </c:pt>
                <c:pt idx="348">
                  <c:v>84.501616379310349</c:v>
                </c:pt>
                <c:pt idx="349">
                  <c:v>84.544181034482762</c:v>
                </c:pt>
                <c:pt idx="350">
                  <c:v>84.909482758620697</c:v>
                </c:pt>
                <c:pt idx="351">
                  <c:v>84.988685344827587</c:v>
                </c:pt>
                <c:pt idx="352">
                  <c:v>85.415409482758619</c:v>
                </c:pt>
                <c:pt idx="353">
                  <c:v>85.603987068965523</c:v>
                </c:pt>
                <c:pt idx="354">
                  <c:v>85.768318965517253</c:v>
                </c:pt>
                <c:pt idx="355">
                  <c:v>86.048491379310349</c:v>
                </c:pt>
                <c:pt idx="356">
                  <c:v>86.28017241379311</c:v>
                </c:pt>
                <c:pt idx="357">
                  <c:v>86.505387931034477</c:v>
                </c:pt>
                <c:pt idx="358">
                  <c:v>86.913254310344826</c:v>
                </c:pt>
                <c:pt idx="359">
                  <c:v>87.150862068965523</c:v>
                </c:pt>
                <c:pt idx="360">
                  <c:v>87.084051724137936</c:v>
                </c:pt>
                <c:pt idx="361">
                  <c:v>87.363685344827587</c:v>
                </c:pt>
                <c:pt idx="362">
                  <c:v>87.522090517241381</c:v>
                </c:pt>
                <c:pt idx="363">
                  <c:v>87.772090517241381</c:v>
                </c:pt>
                <c:pt idx="364">
                  <c:v>88.113146551724142</c:v>
                </c:pt>
                <c:pt idx="365">
                  <c:v>88.240840517241381</c:v>
                </c:pt>
                <c:pt idx="366">
                  <c:v>88.837823275862064</c:v>
                </c:pt>
                <c:pt idx="367">
                  <c:v>88.788793103448285</c:v>
                </c:pt>
                <c:pt idx="368">
                  <c:v>88.892241379310349</c:v>
                </c:pt>
                <c:pt idx="369">
                  <c:v>89.154094827586206</c:v>
                </c:pt>
                <c:pt idx="370">
                  <c:v>89.214978448275858</c:v>
                </c:pt>
                <c:pt idx="371">
                  <c:v>89.367456896551715</c:v>
                </c:pt>
                <c:pt idx="372">
                  <c:v>89.5625</c:v>
                </c:pt>
                <c:pt idx="373">
                  <c:v>89.660021551724142</c:v>
                </c:pt>
                <c:pt idx="374">
                  <c:v>89.957974137931046</c:v>
                </c:pt>
                <c:pt idx="375">
                  <c:v>89.957974137931046</c:v>
                </c:pt>
                <c:pt idx="376">
                  <c:v>90.293103448275872</c:v>
                </c:pt>
                <c:pt idx="377">
                  <c:v>90.597521551724142</c:v>
                </c:pt>
                <c:pt idx="378">
                  <c:v>90.774245689655174</c:v>
                </c:pt>
                <c:pt idx="379">
                  <c:v>90.908405172413794</c:v>
                </c:pt>
                <c:pt idx="380">
                  <c:v>91.267241379310349</c:v>
                </c:pt>
                <c:pt idx="381">
                  <c:v>91.596443965517238</c:v>
                </c:pt>
                <c:pt idx="382">
                  <c:v>91.66325431034484</c:v>
                </c:pt>
                <c:pt idx="383">
                  <c:v>91.998383620689665</c:v>
                </c:pt>
                <c:pt idx="384">
                  <c:v>92.114224137931046</c:v>
                </c:pt>
                <c:pt idx="385">
                  <c:v>92.351293103448285</c:v>
                </c:pt>
                <c:pt idx="386">
                  <c:v>92.680495689655174</c:v>
                </c:pt>
                <c:pt idx="387">
                  <c:v>92.911637931034491</c:v>
                </c:pt>
                <c:pt idx="388">
                  <c:v>93.191810344827601</c:v>
                </c:pt>
                <c:pt idx="389">
                  <c:v>93.471982758620697</c:v>
                </c:pt>
                <c:pt idx="390">
                  <c:v>93.599676724137922</c:v>
                </c:pt>
                <c:pt idx="391">
                  <c:v>93.837284482758633</c:v>
                </c:pt>
                <c:pt idx="392">
                  <c:v>93.989762931034491</c:v>
                </c:pt>
                <c:pt idx="393">
                  <c:v>94.251616379310335</c:v>
                </c:pt>
                <c:pt idx="394">
                  <c:v>94.568426724137936</c:v>
                </c:pt>
                <c:pt idx="395">
                  <c:v>94.823814655172413</c:v>
                </c:pt>
                <c:pt idx="396">
                  <c:v>95.037176724137936</c:v>
                </c:pt>
                <c:pt idx="397">
                  <c:v>95.433189655172427</c:v>
                </c:pt>
                <c:pt idx="398">
                  <c:v>95.5</c:v>
                </c:pt>
                <c:pt idx="399">
                  <c:v>95.846982758620697</c:v>
                </c:pt>
                <c:pt idx="400">
                  <c:v>96.13308189655173</c:v>
                </c:pt>
                <c:pt idx="401">
                  <c:v>96.394935344827601</c:v>
                </c:pt>
                <c:pt idx="402">
                  <c:v>96.413254310344826</c:v>
                </c:pt>
                <c:pt idx="403">
                  <c:v>96.681573275862064</c:v>
                </c:pt>
                <c:pt idx="404">
                  <c:v>96.991918103448285</c:v>
                </c:pt>
                <c:pt idx="405">
                  <c:v>97.065193965517238</c:v>
                </c:pt>
                <c:pt idx="406">
                  <c:v>97.515625000000014</c:v>
                </c:pt>
                <c:pt idx="407">
                  <c:v>97.716594827586221</c:v>
                </c:pt>
                <c:pt idx="408">
                  <c:v>98.088362068965523</c:v>
                </c:pt>
                <c:pt idx="409">
                  <c:v>98.197737068965523</c:v>
                </c:pt>
                <c:pt idx="410">
                  <c:v>98.42887931034484</c:v>
                </c:pt>
                <c:pt idx="411">
                  <c:v>98.672952586206904</c:v>
                </c:pt>
                <c:pt idx="412">
                  <c:v>98.885775862068968</c:v>
                </c:pt>
                <c:pt idx="413">
                  <c:v>99.184267241379303</c:v>
                </c:pt>
                <c:pt idx="414">
                  <c:v>99.512931034482747</c:v>
                </c:pt>
                <c:pt idx="415">
                  <c:v>99.939655172413794</c:v>
                </c:pt>
                <c:pt idx="416">
                  <c:v>100.21336206896551</c:v>
                </c:pt>
                <c:pt idx="417">
                  <c:v>100.42025862068965</c:v>
                </c:pt>
                <c:pt idx="418">
                  <c:v>100.70689655172414</c:v>
                </c:pt>
                <c:pt idx="419">
                  <c:v>100.69450431034484</c:v>
                </c:pt>
                <c:pt idx="420">
                  <c:v>100.88308189655173</c:v>
                </c:pt>
                <c:pt idx="421">
                  <c:v>101.4375</c:v>
                </c:pt>
                <c:pt idx="422">
                  <c:v>101.60775862068967</c:v>
                </c:pt>
                <c:pt idx="423">
                  <c:v>102.02209051724138</c:v>
                </c:pt>
                <c:pt idx="424">
                  <c:v>102.05872844827586</c:v>
                </c:pt>
                <c:pt idx="425">
                  <c:v>102.30818965517243</c:v>
                </c:pt>
                <c:pt idx="426">
                  <c:v>102.49084051724138</c:v>
                </c:pt>
                <c:pt idx="427">
                  <c:v>102.18049568965517</c:v>
                </c:pt>
                <c:pt idx="428">
                  <c:v>102.67349137931035</c:v>
                </c:pt>
                <c:pt idx="429">
                  <c:v>102.95366379310346</c:v>
                </c:pt>
                <c:pt idx="430">
                  <c:v>103.04525862068967</c:v>
                </c:pt>
                <c:pt idx="431">
                  <c:v>103.48383620689654</c:v>
                </c:pt>
                <c:pt idx="432">
                  <c:v>103.74568965517243</c:v>
                </c:pt>
                <c:pt idx="433">
                  <c:v>103.83674568965517</c:v>
                </c:pt>
                <c:pt idx="434">
                  <c:v>103.91002155172414</c:v>
                </c:pt>
                <c:pt idx="435">
                  <c:v>104.27532327586208</c:v>
                </c:pt>
                <c:pt idx="436">
                  <c:v>104.68965517241381</c:v>
                </c:pt>
                <c:pt idx="437">
                  <c:v>104.7198275862069</c:v>
                </c:pt>
                <c:pt idx="438">
                  <c:v>105.06088362068965</c:v>
                </c:pt>
                <c:pt idx="439">
                  <c:v>105.24353448275863</c:v>
                </c:pt>
                <c:pt idx="440">
                  <c:v>105.31681034482759</c:v>
                </c:pt>
                <c:pt idx="441">
                  <c:v>105.63362068965517</c:v>
                </c:pt>
                <c:pt idx="442">
                  <c:v>106.05334051724138</c:v>
                </c:pt>
                <c:pt idx="443">
                  <c:v>106.17564655172414</c:v>
                </c:pt>
                <c:pt idx="444">
                  <c:v>106.69935344827587</c:v>
                </c:pt>
                <c:pt idx="445">
                  <c:v>107.22898706896552</c:v>
                </c:pt>
                <c:pt idx="446">
                  <c:v>107.19234913793105</c:v>
                </c:pt>
                <c:pt idx="447">
                  <c:v>107.30226293103448</c:v>
                </c:pt>
                <c:pt idx="448">
                  <c:v>107.95366379310346</c:v>
                </c:pt>
                <c:pt idx="449">
                  <c:v>107.81950431034483</c:v>
                </c:pt>
                <c:pt idx="450">
                  <c:v>107.86206896551725</c:v>
                </c:pt>
                <c:pt idx="451">
                  <c:v>108.22144396551725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853-4F5D-9230-ED2A59F4EB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70498992"/>
        <c:axId val="270499552"/>
      </c:scatterChart>
      <c:valAx>
        <c:axId val="2704989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70499552"/>
        <c:crosses val="autoZero"/>
        <c:crossBetween val="midCat"/>
      </c:valAx>
      <c:valAx>
        <c:axId val="270499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704989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Stress-Strain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4.7797025371828519E-2"/>
                  <c:y val="-0.1905143627879848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</c:trendlineLbl>
          </c:trendline>
          <c:xVal>
            <c:numRef>
              <c:f>'L30CPTX-3'!$B$7:$B$469</c:f>
              <c:numCache>
                <c:formatCode>General</c:formatCode>
                <c:ptCount val="463"/>
                <c:pt idx="0">
                  <c:v>0</c:v>
                </c:pt>
                <c:pt idx="1">
                  <c:v>1.3264400000000001E-4</c:v>
                </c:pt>
                <c:pt idx="2" formatCode="0.00E+00">
                  <c:v>9.6184800000000001E-5</c:v>
                </c:pt>
                <c:pt idx="3" formatCode="0.00E+00">
                  <c:v>1.32269E-5</c:v>
                </c:pt>
                <c:pt idx="4" formatCode="0.00E+00">
                  <c:v>9.7854299999999996E-5</c:v>
                </c:pt>
                <c:pt idx="5">
                  <c:v>1.2861599999999999E-4</c:v>
                </c:pt>
                <c:pt idx="6">
                  <c:v>2.72203E-4</c:v>
                </c:pt>
                <c:pt idx="7">
                  <c:v>1.48412E-4</c:v>
                </c:pt>
                <c:pt idx="8">
                  <c:v>2.1116200000000001E-4</c:v>
                </c:pt>
                <c:pt idx="9">
                  <c:v>1.5896899999999999E-4</c:v>
                </c:pt>
                <c:pt idx="10">
                  <c:v>2.6481900000000001E-4</c:v>
                </c:pt>
                <c:pt idx="11">
                  <c:v>2.7356400000000001E-4</c:v>
                </c:pt>
                <c:pt idx="12">
                  <c:v>3.1324100000000002E-4</c:v>
                </c:pt>
                <c:pt idx="13">
                  <c:v>3.3128600000000003E-4</c:v>
                </c:pt>
                <c:pt idx="14">
                  <c:v>3.6447999999999998E-4</c:v>
                </c:pt>
                <c:pt idx="15">
                  <c:v>4.5769499999999999E-4</c:v>
                </c:pt>
                <c:pt idx="16">
                  <c:v>3.4277100000000002E-4</c:v>
                </c:pt>
                <c:pt idx="17">
                  <c:v>4.0045599999999999E-4</c:v>
                </c:pt>
                <c:pt idx="18">
                  <c:v>4.2308100000000001E-4</c:v>
                </c:pt>
                <c:pt idx="19">
                  <c:v>4.7637500000000002E-4</c:v>
                </c:pt>
                <c:pt idx="20">
                  <c:v>4.29133E-4</c:v>
                </c:pt>
                <c:pt idx="21">
                  <c:v>5.0467999999999997E-4</c:v>
                </c:pt>
                <c:pt idx="22">
                  <c:v>5.4243399999999995E-4</c:v>
                </c:pt>
                <c:pt idx="23">
                  <c:v>5.0959699999999998E-4</c:v>
                </c:pt>
                <c:pt idx="24">
                  <c:v>4.6505299999999999E-4</c:v>
                </c:pt>
                <c:pt idx="25">
                  <c:v>5.5402900000000004E-4</c:v>
                </c:pt>
                <c:pt idx="26">
                  <c:v>4.7554299999999998E-4</c:v>
                </c:pt>
                <c:pt idx="27">
                  <c:v>5.8130699999999998E-4</c:v>
                </c:pt>
                <c:pt idx="28">
                  <c:v>6.1864999999999999E-4</c:v>
                </c:pt>
                <c:pt idx="29">
                  <c:v>6.2993499999999998E-4</c:v>
                </c:pt>
                <c:pt idx="30">
                  <c:v>5.4132900000000001E-4</c:v>
                </c:pt>
                <c:pt idx="31">
                  <c:v>7.1282300000000002E-4</c:v>
                </c:pt>
                <c:pt idx="32">
                  <c:v>6.8937700000000002E-4</c:v>
                </c:pt>
                <c:pt idx="33">
                  <c:v>7.2896099999999998E-4</c:v>
                </c:pt>
                <c:pt idx="34">
                  <c:v>7.0657700000000001E-4</c:v>
                </c:pt>
                <c:pt idx="35">
                  <c:v>7.8362099999999997E-4</c:v>
                </c:pt>
                <c:pt idx="36">
                  <c:v>7.5860900000000004E-4</c:v>
                </c:pt>
                <c:pt idx="37">
                  <c:v>7.9283399999999996E-4</c:v>
                </c:pt>
                <c:pt idx="38">
                  <c:v>8.0162799999999998E-4</c:v>
                </c:pt>
                <c:pt idx="39">
                  <c:v>8.1792599999999996E-4</c:v>
                </c:pt>
                <c:pt idx="40">
                  <c:v>8.1414699999999998E-4</c:v>
                </c:pt>
                <c:pt idx="41">
                  <c:v>8.8621100000000003E-4</c:v>
                </c:pt>
                <c:pt idx="42">
                  <c:v>9.1366899999999998E-4</c:v>
                </c:pt>
                <c:pt idx="43">
                  <c:v>8.3436399999999998E-4</c:v>
                </c:pt>
                <c:pt idx="44">
                  <c:v>9.6233199999999999E-4</c:v>
                </c:pt>
                <c:pt idx="45">
                  <c:v>9.6161499999999997E-4</c:v>
                </c:pt>
                <c:pt idx="46">
                  <c:v>9.8080900000000002E-4</c:v>
                </c:pt>
                <c:pt idx="47">
                  <c:v>1.07387E-3</c:v>
                </c:pt>
                <c:pt idx="48">
                  <c:v>9.9084600000000009E-4</c:v>
                </c:pt>
                <c:pt idx="49">
                  <c:v>1.0271099999999999E-3</c:v>
                </c:pt>
                <c:pt idx="50">
                  <c:v>1.03023E-3</c:v>
                </c:pt>
                <c:pt idx="51">
                  <c:v>1.0427699999999999E-3</c:v>
                </c:pt>
                <c:pt idx="52">
                  <c:v>1.0770199999999999E-3</c:v>
                </c:pt>
                <c:pt idx="53">
                  <c:v>1.0654900000000001E-3</c:v>
                </c:pt>
                <c:pt idx="54">
                  <c:v>1.0868799999999999E-3</c:v>
                </c:pt>
                <c:pt idx="55">
                  <c:v>1.0943000000000001E-3</c:v>
                </c:pt>
                <c:pt idx="56">
                  <c:v>1.15463E-3</c:v>
                </c:pt>
                <c:pt idx="57">
                  <c:v>1.2183999999999999E-3</c:v>
                </c:pt>
                <c:pt idx="58">
                  <c:v>1.13276E-3</c:v>
                </c:pt>
                <c:pt idx="59">
                  <c:v>1.1635E-3</c:v>
                </c:pt>
                <c:pt idx="60">
                  <c:v>1.24558E-3</c:v>
                </c:pt>
                <c:pt idx="61">
                  <c:v>1.168E-3</c:v>
                </c:pt>
                <c:pt idx="62">
                  <c:v>1.2792000000000001E-3</c:v>
                </c:pt>
                <c:pt idx="63">
                  <c:v>1.2922400000000001E-3</c:v>
                </c:pt>
                <c:pt idx="64">
                  <c:v>1.26768E-3</c:v>
                </c:pt>
                <c:pt idx="65">
                  <c:v>1.3257E-3</c:v>
                </c:pt>
                <c:pt idx="66">
                  <c:v>1.36692E-3</c:v>
                </c:pt>
                <c:pt idx="67">
                  <c:v>1.3127200000000001E-3</c:v>
                </c:pt>
                <c:pt idx="68">
                  <c:v>1.3315099999999999E-3</c:v>
                </c:pt>
                <c:pt idx="69">
                  <c:v>1.38613E-3</c:v>
                </c:pt>
                <c:pt idx="70">
                  <c:v>1.3244699999999999E-3</c:v>
                </c:pt>
                <c:pt idx="71">
                  <c:v>1.43202E-3</c:v>
                </c:pt>
                <c:pt idx="72">
                  <c:v>1.5512E-3</c:v>
                </c:pt>
                <c:pt idx="73">
                  <c:v>1.48565E-3</c:v>
                </c:pt>
                <c:pt idx="74">
                  <c:v>1.5038E-3</c:v>
                </c:pt>
                <c:pt idx="75">
                  <c:v>1.4103099999999999E-3</c:v>
                </c:pt>
                <c:pt idx="76">
                  <c:v>1.49825E-3</c:v>
                </c:pt>
                <c:pt idx="77">
                  <c:v>1.4594300000000001E-3</c:v>
                </c:pt>
                <c:pt idx="78">
                  <c:v>1.5429199999999999E-3</c:v>
                </c:pt>
                <c:pt idx="79">
                  <c:v>1.48573E-3</c:v>
                </c:pt>
                <c:pt idx="80">
                  <c:v>1.49238E-3</c:v>
                </c:pt>
                <c:pt idx="81">
                  <c:v>1.5765600000000001E-3</c:v>
                </c:pt>
                <c:pt idx="82">
                  <c:v>1.49468E-3</c:v>
                </c:pt>
                <c:pt idx="83">
                  <c:v>1.5952799999999999E-3</c:v>
                </c:pt>
                <c:pt idx="84">
                  <c:v>1.5771100000000001E-3</c:v>
                </c:pt>
                <c:pt idx="85">
                  <c:v>1.5403599999999999E-3</c:v>
                </c:pt>
                <c:pt idx="86">
                  <c:v>1.6607600000000001E-3</c:v>
                </c:pt>
                <c:pt idx="87">
                  <c:v>1.76826E-3</c:v>
                </c:pt>
                <c:pt idx="88">
                  <c:v>1.59961E-3</c:v>
                </c:pt>
                <c:pt idx="89">
                  <c:v>1.65059E-3</c:v>
                </c:pt>
                <c:pt idx="90">
                  <c:v>1.7028099999999999E-3</c:v>
                </c:pt>
                <c:pt idx="91">
                  <c:v>1.74007E-3</c:v>
                </c:pt>
                <c:pt idx="92">
                  <c:v>1.7541200000000001E-3</c:v>
                </c:pt>
                <c:pt idx="93">
                  <c:v>1.7130299999999999E-3</c:v>
                </c:pt>
                <c:pt idx="94">
                  <c:v>1.7968700000000001E-3</c:v>
                </c:pt>
                <c:pt idx="95">
                  <c:v>1.7821899999999999E-3</c:v>
                </c:pt>
                <c:pt idx="96">
                  <c:v>1.76461E-3</c:v>
                </c:pt>
                <c:pt idx="97">
                  <c:v>1.79565E-3</c:v>
                </c:pt>
                <c:pt idx="98">
                  <c:v>1.9105400000000001E-3</c:v>
                </c:pt>
                <c:pt idx="99">
                  <c:v>1.8150600000000001E-3</c:v>
                </c:pt>
                <c:pt idx="100">
                  <c:v>1.8595700000000001E-3</c:v>
                </c:pt>
                <c:pt idx="101">
                  <c:v>1.83252E-3</c:v>
                </c:pt>
                <c:pt idx="102">
                  <c:v>1.9292599999999999E-3</c:v>
                </c:pt>
                <c:pt idx="103">
                  <c:v>1.9236399999999999E-3</c:v>
                </c:pt>
                <c:pt idx="104">
                  <c:v>1.89044E-3</c:v>
                </c:pt>
                <c:pt idx="105">
                  <c:v>1.8790499999999999E-3</c:v>
                </c:pt>
                <c:pt idx="106">
                  <c:v>1.93516E-3</c:v>
                </c:pt>
                <c:pt idx="107">
                  <c:v>2.0088599999999999E-3</c:v>
                </c:pt>
                <c:pt idx="108">
                  <c:v>1.9565400000000001E-3</c:v>
                </c:pt>
                <c:pt idx="109">
                  <c:v>2.03871E-3</c:v>
                </c:pt>
                <c:pt idx="110">
                  <c:v>1.9888800000000002E-3</c:v>
                </c:pt>
                <c:pt idx="111">
                  <c:v>2.0217199999999999E-3</c:v>
                </c:pt>
                <c:pt idx="112">
                  <c:v>2.05982E-3</c:v>
                </c:pt>
                <c:pt idx="113">
                  <c:v>2.0679399999999999E-3</c:v>
                </c:pt>
                <c:pt idx="114">
                  <c:v>2.1071699999999998E-3</c:v>
                </c:pt>
                <c:pt idx="115">
                  <c:v>2.0886699999999999E-3</c:v>
                </c:pt>
                <c:pt idx="116">
                  <c:v>2.1099199999999999E-3</c:v>
                </c:pt>
                <c:pt idx="117">
                  <c:v>2.0684200000000001E-3</c:v>
                </c:pt>
                <c:pt idx="118">
                  <c:v>2.1737200000000001E-3</c:v>
                </c:pt>
                <c:pt idx="119">
                  <c:v>2.1675499999999999E-3</c:v>
                </c:pt>
                <c:pt idx="120">
                  <c:v>2.1985400000000001E-3</c:v>
                </c:pt>
                <c:pt idx="121">
                  <c:v>2.2126400000000001E-3</c:v>
                </c:pt>
                <c:pt idx="122">
                  <c:v>2.23266E-3</c:v>
                </c:pt>
                <c:pt idx="123">
                  <c:v>2.2849200000000002E-3</c:v>
                </c:pt>
                <c:pt idx="124">
                  <c:v>2.2051499999999999E-3</c:v>
                </c:pt>
                <c:pt idx="125">
                  <c:v>2.2530800000000002E-3</c:v>
                </c:pt>
                <c:pt idx="126">
                  <c:v>2.2551799999999999E-3</c:v>
                </c:pt>
                <c:pt idx="127">
                  <c:v>2.3030300000000002E-3</c:v>
                </c:pt>
                <c:pt idx="128">
                  <c:v>2.2882200000000001E-3</c:v>
                </c:pt>
                <c:pt idx="129">
                  <c:v>2.3325899999999998E-3</c:v>
                </c:pt>
                <c:pt idx="130">
                  <c:v>2.3533999999999998E-3</c:v>
                </c:pt>
                <c:pt idx="131">
                  <c:v>2.4230599999999999E-3</c:v>
                </c:pt>
                <c:pt idx="132">
                  <c:v>2.4007099999999999E-3</c:v>
                </c:pt>
                <c:pt idx="133">
                  <c:v>2.3463199999999998E-3</c:v>
                </c:pt>
                <c:pt idx="134">
                  <c:v>2.3998700000000001E-3</c:v>
                </c:pt>
                <c:pt idx="135">
                  <c:v>2.3557500000000002E-3</c:v>
                </c:pt>
                <c:pt idx="136">
                  <c:v>2.46342E-3</c:v>
                </c:pt>
                <c:pt idx="137">
                  <c:v>2.4660400000000001E-3</c:v>
                </c:pt>
                <c:pt idx="138">
                  <c:v>2.4627899999999999E-3</c:v>
                </c:pt>
                <c:pt idx="139">
                  <c:v>2.48008E-3</c:v>
                </c:pt>
                <c:pt idx="140">
                  <c:v>2.49475E-3</c:v>
                </c:pt>
                <c:pt idx="141">
                  <c:v>2.5490500000000002E-3</c:v>
                </c:pt>
                <c:pt idx="142">
                  <c:v>2.4308400000000001E-3</c:v>
                </c:pt>
                <c:pt idx="143">
                  <c:v>2.5258300000000002E-3</c:v>
                </c:pt>
                <c:pt idx="144">
                  <c:v>2.5412099999999999E-3</c:v>
                </c:pt>
                <c:pt idx="145">
                  <c:v>2.6261499999999998E-3</c:v>
                </c:pt>
                <c:pt idx="146">
                  <c:v>2.6440000000000001E-3</c:v>
                </c:pt>
                <c:pt idx="147">
                  <c:v>2.6210000000000001E-3</c:v>
                </c:pt>
                <c:pt idx="148">
                  <c:v>2.7037599999999999E-3</c:v>
                </c:pt>
                <c:pt idx="149">
                  <c:v>2.6561599999999999E-3</c:v>
                </c:pt>
                <c:pt idx="150">
                  <c:v>2.6895500000000002E-3</c:v>
                </c:pt>
                <c:pt idx="151">
                  <c:v>2.6649199999999999E-3</c:v>
                </c:pt>
                <c:pt idx="152">
                  <c:v>2.68192E-3</c:v>
                </c:pt>
                <c:pt idx="153">
                  <c:v>2.6901099999999999E-3</c:v>
                </c:pt>
                <c:pt idx="154">
                  <c:v>2.6889100000000001E-3</c:v>
                </c:pt>
                <c:pt idx="155">
                  <c:v>2.6982500000000001E-3</c:v>
                </c:pt>
                <c:pt idx="156">
                  <c:v>2.7632300000000002E-3</c:v>
                </c:pt>
                <c:pt idx="157">
                  <c:v>2.7867999999999999E-3</c:v>
                </c:pt>
                <c:pt idx="158">
                  <c:v>2.7607500000000002E-3</c:v>
                </c:pt>
                <c:pt idx="159">
                  <c:v>2.8093100000000002E-3</c:v>
                </c:pt>
                <c:pt idx="160">
                  <c:v>2.8341299999999998E-3</c:v>
                </c:pt>
                <c:pt idx="161">
                  <c:v>2.80832E-3</c:v>
                </c:pt>
                <c:pt idx="162">
                  <c:v>2.8901E-3</c:v>
                </c:pt>
                <c:pt idx="163">
                  <c:v>2.8640599999999999E-3</c:v>
                </c:pt>
                <c:pt idx="164">
                  <c:v>2.94246E-3</c:v>
                </c:pt>
                <c:pt idx="165">
                  <c:v>2.9005599999999999E-3</c:v>
                </c:pt>
                <c:pt idx="166">
                  <c:v>2.9188899999999999E-3</c:v>
                </c:pt>
                <c:pt idx="167">
                  <c:v>2.94137E-3</c:v>
                </c:pt>
                <c:pt idx="168">
                  <c:v>2.9390900000000001E-3</c:v>
                </c:pt>
                <c:pt idx="169">
                  <c:v>2.9557400000000001E-3</c:v>
                </c:pt>
                <c:pt idx="170">
                  <c:v>2.97985E-3</c:v>
                </c:pt>
                <c:pt idx="171">
                  <c:v>3.02959E-3</c:v>
                </c:pt>
                <c:pt idx="172">
                  <c:v>3.0135700000000001E-3</c:v>
                </c:pt>
                <c:pt idx="173">
                  <c:v>3.0266E-3</c:v>
                </c:pt>
                <c:pt idx="174">
                  <c:v>3.0793299999999999E-3</c:v>
                </c:pt>
                <c:pt idx="175">
                  <c:v>3.0654499999999999E-3</c:v>
                </c:pt>
                <c:pt idx="176">
                  <c:v>3.11188E-3</c:v>
                </c:pt>
                <c:pt idx="177">
                  <c:v>3.1437800000000001E-3</c:v>
                </c:pt>
                <c:pt idx="178">
                  <c:v>2.9873E-3</c:v>
                </c:pt>
                <c:pt idx="179">
                  <c:v>3.07998E-3</c:v>
                </c:pt>
                <c:pt idx="180">
                  <c:v>3.1860299999999999E-3</c:v>
                </c:pt>
                <c:pt idx="181">
                  <c:v>3.1208E-3</c:v>
                </c:pt>
                <c:pt idx="182">
                  <c:v>3.1986100000000002E-3</c:v>
                </c:pt>
                <c:pt idx="183">
                  <c:v>3.1846399999999999E-3</c:v>
                </c:pt>
                <c:pt idx="184">
                  <c:v>3.2371499999999998E-3</c:v>
                </c:pt>
                <c:pt idx="185">
                  <c:v>3.20441E-3</c:v>
                </c:pt>
                <c:pt idx="186">
                  <c:v>3.2107799999999999E-3</c:v>
                </c:pt>
                <c:pt idx="187">
                  <c:v>3.3014199999999998E-3</c:v>
                </c:pt>
                <c:pt idx="188">
                  <c:v>3.2674399999999999E-3</c:v>
                </c:pt>
                <c:pt idx="189">
                  <c:v>3.2523600000000001E-3</c:v>
                </c:pt>
                <c:pt idx="190">
                  <c:v>3.2680299999999999E-3</c:v>
                </c:pt>
                <c:pt idx="191">
                  <c:v>3.3176099999999999E-3</c:v>
                </c:pt>
                <c:pt idx="192">
                  <c:v>3.3481600000000002E-3</c:v>
                </c:pt>
                <c:pt idx="193">
                  <c:v>3.3539099999999999E-3</c:v>
                </c:pt>
                <c:pt idx="194">
                  <c:v>3.34608E-3</c:v>
                </c:pt>
                <c:pt idx="195">
                  <c:v>3.3767699999999999E-3</c:v>
                </c:pt>
                <c:pt idx="196">
                  <c:v>3.38273E-3</c:v>
                </c:pt>
                <c:pt idx="197">
                  <c:v>3.4516799999999999E-3</c:v>
                </c:pt>
                <c:pt idx="198">
                  <c:v>3.4276699999999998E-3</c:v>
                </c:pt>
                <c:pt idx="199">
                  <c:v>3.4359500000000001E-3</c:v>
                </c:pt>
                <c:pt idx="200">
                  <c:v>3.4513399999999998E-3</c:v>
                </c:pt>
                <c:pt idx="201">
                  <c:v>3.48819E-3</c:v>
                </c:pt>
                <c:pt idx="202">
                  <c:v>3.5058699999999999E-3</c:v>
                </c:pt>
                <c:pt idx="203">
                  <c:v>3.4628699999999998E-3</c:v>
                </c:pt>
                <c:pt idx="204">
                  <c:v>3.4555900000000001E-3</c:v>
                </c:pt>
                <c:pt idx="205">
                  <c:v>3.5931800000000001E-3</c:v>
                </c:pt>
                <c:pt idx="206">
                  <c:v>3.5641399999999999E-3</c:v>
                </c:pt>
                <c:pt idx="207">
                  <c:v>3.56764E-3</c:v>
                </c:pt>
                <c:pt idx="208">
                  <c:v>3.57961E-3</c:v>
                </c:pt>
                <c:pt idx="209">
                  <c:v>3.6054799999999999E-3</c:v>
                </c:pt>
                <c:pt idx="210">
                  <c:v>3.59181E-3</c:v>
                </c:pt>
                <c:pt idx="211">
                  <c:v>3.64899E-3</c:v>
                </c:pt>
                <c:pt idx="212">
                  <c:v>3.6353700000000002E-3</c:v>
                </c:pt>
                <c:pt idx="213">
                  <c:v>3.6762600000000002E-3</c:v>
                </c:pt>
                <c:pt idx="214">
                  <c:v>3.6934200000000002E-3</c:v>
                </c:pt>
                <c:pt idx="215">
                  <c:v>3.7153199999999998E-3</c:v>
                </c:pt>
                <c:pt idx="216">
                  <c:v>3.7413899999999998E-3</c:v>
                </c:pt>
                <c:pt idx="217">
                  <c:v>3.7801000000000002E-3</c:v>
                </c:pt>
                <c:pt idx="218">
                  <c:v>3.74114E-3</c:v>
                </c:pt>
                <c:pt idx="219">
                  <c:v>3.8230600000000001E-3</c:v>
                </c:pt>
                <c:pt idx="220">
                  <c:v>3.7425100000000001E-3</c:v>
                </c:pt>
                <c:pt idx="221">
                  <c:v>3.7833900000000002E-3</c:v>
                </c:pt>
                <c:pt idx="222">
                  <c:v>3.8888600000000001E-3</c:v>
                </c:pt>
                <c:pt idx="223">
                  <c:v>3.7434199999999999E-3</c:v>
                </c:pt>
                <c:pt idx="224">
                  <c:v>3.8993999999999999E-3</c:v>
                </c:pt>
                <c:pt idx="225">
                  <c:v>3.8566E-3</c:v>
                </c:pt>
                <c:pt idx="226">
                  <c:v>3.9738600000000001E-3</c:v>
                </c:pt>
                <c:pt idx="227">
                  <c:v>3.8372300000000001E-3</c:v>
                </c:pt>
                <c:pt idx="228">
                  <c:v>3.9011200000000001E-3</c:v>
                </c:pt>
                <c:pt idx="229">
                  <c:v>3.9638700000000004E-3</c:v>
                </c:pt>
                <c:pt idx="230">
                  <c:v>3.8850400000000002E-3</c:v>
                </c:pt>
                <c:pt idx="231">
                  <c:v>4.0018199999999997E-3</c:v>
                </c:pt>
                <c:pt idx="232">
                  <c:v>3.9615099999999997E-3</c:v>
                </c:pt>
                <c:pt idx="233">
                  <c:v>4.0003699999999996E-3</c:v>
                </c:pt>
                <c:pt idx="234">
                  <c:v>3.9709699999999999E-3</c:v>
                </c:pt>
                <c:pt idx="235">
                  <c:v>4.0480000000000004E-3</c:v>
                </c:pt>
                <c:pt idx="236">
                  <c:v>4.0697199999999998E-3</c:v>
                </c:pt>
                <c:pt idx="237">
                  <c:v>4.0863899999999996E-3</c:v>
                </c:pt>
                <c:pt idx="238">
                  <c:v>4.0403899999999996E-3</c:v>
                </c:pt>
                <c:pt idx="239">
                  <c:v>4.11349E-3</c:v>
                </c:pt>
                <c:pt idx="240">
                  <c:v>4.1021900000000004E-3</c:v>
                </c:pt>
                <c:pt idx="241">
                  <c:v>4.12649E-3</c:v>
                </c:pt>
                <c:pt idx="242">
                  <c:v>4.15264E-3</c:v>
                </c:pt>
                <c:pt idx="243">
                  <c:v>4.1141499999999996E-3</c:v>
                </c:pt>
                <c:pt idx="244">
                  <c:v>4.1096199999999996E-3</c:v>
                </c:pt>
                <c:pt idx="245">
                  <c:v>4.1610800000000002E-3</c:v>
                </c:pt>
                <c:pt idx="246">
                  <c:v>4.1250899999999997E-3</c:v>
                </c:pt>
                <c:pt idx="247">
                  <c:v>4.2051099999999998E-3</c:v>
                </c:pt>
                <c:pt idx="248">
                  <c:v>4.2454099999999998E-3</c:v>
                </c:pt>
                <c:pt idx="249">
                  <c:v>4.1470600000000002E-3</c:v>
                </c:pt>
                <c:pt idx="250">
                  <c:v>4.2031100000000004E-3</c:v>
                </c:pt>
                <c:pt idx="251">
                  <c:v>4.25327E-3</c:v>
                </c:pt>
                <c:pt idx="252">
                  <c:v>4.2393500000000002E-3</c:v>
                </c:pt>
                <c:pt idx="253">
                  <c:v>4.3146499999999997E-3</c:v>
                </c:pt>
                <c:pt idx="254">
                  <c:v>4.3469600000000004E-3</c:v>
                </c:pt>
                <c:pt idx="255">
                  <c:v>4.3348700000000002E-3</c:v>
                </c:pt>
                <c:pt idx="256">
                  <c:v>4.3633700000000001E-3</c:v>
                </c:pt>
                <c:pt idx="257">
                  <c:v>4.3383099999999997E-3</c:v>
                </c:pt>
                <c:pt idx="258">
                  <c:v>4.3943899999999998E-3</c:v>
                </c:pt>
                <c:pt idx="259">
                  <c:v>4.43933E-3</c:v>
                </c:pt>
                <c:pt idx="260">
                  <c:v>4.4545699999999997E-3</c:v>
                </c:pt>
                <c:pt idx="261">
                  <c:v>4.4281399999999997E-3</c:v>
                </c:pt>
                <c:pt idx="262">
                  <c:v>4.41144E-3</c:v>
                </c:pt>
                <c:pt idx="263">
                  <c:v>4.4487099999999998E-3</c:v>
                </c:pt>
                <c:pt idx="264">
                  <c:v>4.4762999999999999E-3</c:v>
                </c:pt>
                <c:pt idx="265">
                  <c:v>4.4557800000000003E-3</c:v>
                </c:pt>
                <c:pt idx="266">
                  <c:v>4.4728299999999997E-3</c:v>
                </c:pt>
                <c:pt idx="267">
                  <c:v>4.5205100000000002E-3</c:v>
                </c:pt>
                <c:pt idx="268">
                  <c:v>4.5384300000000004E-3</c:v>
                </c:pt>
                <c:pt idx="269">
                  <c:v>4.4881499999999998E-3</c:v>
                </c:pt>
                <c:pt idx="270">
                  <c:v>4.59941E-3</c:v>
                </c:pt>
                <c:pt idx="271">
                  <c:v>4.6109899999999997E-3</c:v>
                </c:pt>
                <c:pt idx="272">
                  <c:v>4.5765099999999998E-3</c:v>
                </c:pt>
                <c:pt idx="273">
                  <c:v>4.6215900000000001E-3</c:v>
                </c:pt>
                <c:pt idx="274">
                  <c:v>4.6510700000000002E-3</c:v>
                </c:pt>
                <c:pt idx="275">
                  <c:v>4.5898400000000004E-3</c:v>
                </c:pt>
                <c:pt idx="276">
                  <c:v>4.6464399999999999E-3</c:v>
                </c:pt>
                <c:pt idx="277">
                  <c:v>4.6679E-3</c:v>
                </c:pt>
                <c:pt idx="278">
                  <c:v>4.6677999999999997E-3</c:v>
                </c:pt>
                <c:pt idx="279">
                  <c:v>4.7440299999999998E-3</c:v>
                </c:pt>
                <c:pt idx="280">
                  <c:v>4.7229699999999999E-3</c:v>
                </c:pt>
                <c:pt idx="281">
                  <c:v>4.7572999999999999E-3</c:v>
                </c:pt>
                <c:pt idx="282">
                  <c:v>4.7374799999999996E-3</c:v>
                </c:pt>
                <c:pt idx="283">
                  <c:v>4.7712199999999996E-3</c:v>
                </c:pt>
                <c:pt idx="284">
                  <c:v>4.8192399999999998E-3</c:v>
                </c:pt>
                <c:pt idx="285">
                  <c:v>4.8051500000000002E-3</c:v>
                </c:pt>
                <c:pt idx="286">
                  <c:v>4.76385E-3</c:v>
                </c:pt>
                <c:pt idx="287">
                  <c:v>4.7871900000000002E-3</c:v>
                </c:pt>
                <c:pt idx="288">
                  <c:v>4.81717E-3</c:v>
                </c:pt>
                <c:pt idx="289">
                  <c:v>4.8406200000000003E-3</c:v>
                </c:pt>
                <c:pt idx="290">
                  <c:v>4.8995999999999996E-3</c:v>
                </c:pt>
                <c:pt idx="291">
                  <c:v>4.89691E-3</c:v>
                </c:pt>
                <c:pt idx="292">
                  <c:v>4.8553900000000002E-3</c:v>
                </c:pt>
                <c:pt idx="293">
                  <c:v>4.9242399999999999E-3</c:v>
                </c:pt>
                <c:pt idx="294">
                  <c:v>4.9204899999999996E-3</c:v>
                </c:pt>
                <c:pt idx="295">
                  <c:v>4.9214200000000001E-3</c:v>
                </c:pt>
                <c:pt idx="296">
                  <c:v>4.9666099999999998E-3</c:v>
                </c:pt>
                <c:pt idx="297">
                  <c:v>4.9129300000000002E-3</c:v>
                </c:pt>
                <c:pt idx="298">
                  <c:v>4.9783600000000003E-3</c:v>
                </c:pt>
                <c:pt idx="299">
                  <c:v>4.9652400000000001E-3</c:v>
                </c:pt>
                <c:pt idx="300">
                  <c:v>4.9488199999999996E-3</c:v>
                </c:pt>
                <c:pt idx="301">
                  <c:v>4.9918799999999998E-3</c:v>
                </c:pt>
                <c:pt idx="302">
                  <c:v>5.0481600000000003E-3</c:v>
                </c:pt>
                <c:pt idx="303">
                  <c:v>5.03492E-3</c:v>
                </c:pt>
                <c:pt idx="304">
                  <c:v>5.0369200000000003E-3</c:v>
                </c:pt>
                <c:pt idx="305">
                  <c:v>5.2223800000000004E-3</c:v>
                </c:pt>
                <c:pt idx="306">
                  <c:v>5.0494700000000003E-3</c:v>
                </c:pt>
                <c:pt idx="307">
                  <c:v>5.1255500000000004E-3</c:v>
                </c:pt>
                <c:pt idx="308">
                  <c:v>5.1371100000000003E-3</c:v>
                </c:pt>
                <c:pt idx="309">
                  <c:v>5.1942400000000001E-3</c:v>
                </c:pt>
                <c:pt idx="310">
                  <c:v>5.2163799999999996E-3</c:v>
                </c:pt>
                <c:pt idx="311">
                  <c:v>5.20201E-3</c:v>
                </c:pt>
                <c:pt idx="312">
                  <c:v>5.2060500000000003E-3</c:v>
                </c:pt>
                <c:pt idx="313">
                  <c:v>5.2102800000000003E-3</c:v>
                </c:pt>
                <c:pt idx="314">
                  <c:v>5.24509E-3</c:v>
                </c:pt>
                <c:pt idx="315">
                  <c:v>5.2610499999999998E-3</c:v>
                </c:pt>
                <c:pt idx="316">
                  <c:v>5.2204399999999998E-3</c:v>
                </c:pt>
                <c:pt idx="317">
                  <c:v>5.2707199999999996E-3</c:v>
                </c:pt>
                <c:pt idx="318">
                  <c:v>5.2953399999999999E-3</c:v>
                </c:pt>
                <c:pt idx="319">
                  <c:v>5.3294400000000004E-3</c:v>
                </c:pt>
                <c:pt idx="320">
                  <c:v>5.3046200000000003E-3</c:v>
                </c:pt>
                <c:pt idx="321">
                  <c:v>5.35214E-3</c:v>
                </c:pt>
                <c:pt idx="322">
                  <c:v>5.3339700000000004E-3</c:v>
                </c:pt>
                <c:pt idx="323">
                  <c:v>5.3883100000000003E-3</c:v>
                </c:pt>
                <c:pt idx="324">
                  <c:v>5.4058800000000001E-3</c:v>
                </c:pt>
                <c:pt idx="325">
                  <c:v>5.3963400000000003E-3</c:v>
                </c:pt>
                <c:pt idx="326">
                  <c:v>5.4398199999999997E-3</c:v>
                </c:pt>
                <c:pt idx="327">
                  <c:v>5.4660899999999998E-3</c:v>
                </c:pt>
                <c:pt idx="328">
                  <c:v>5.4331199999999996E-3</c:v>
                </c:pt>
                <c:pt idx="329">
                  <c:v>5.46943E-3</c:v>
                </c:pt>
                <c:pt idx="330">
                  <c:v>5.4949400000000002E-3</c:v>
                </c:pt>
                <c:pt idx="331">
                  <c:v>5.5004700000000004E-3</c:v>
                </c:pt>
                <c:pt idx="332">
                  <c:v>5.4621399999999999E-3</c:v>
                </c:pt>
                <c:pt idx="333">
                  <c:v>5.6073099999999999E-3</c:v>
                </c:pt>
                <c:pt idx="334">
                  <c:v>5.5689099999999998E-3</c:v>
                </c:pt>
                <c:pt idx="335">
                  <c:v>5.5485300000000003E-3</c:v>
                </c:pt>
                <c:pt idx="336">
                  <c:v>5.5252399999999998E-3</c:v>
                </c:pt>
                <c:pt idx="337">
                  <c:v>5.6245100000000001E-3</c:v>
                </c:pt>
                <c:pt idx="338">
                  <c:v>5.6578399999999999E-3</c:v>
                </c:pt>
                <c:pt idx="339">
                  <c:v>5.5712100000000001E-3</c:v>
                </c:pt>
                <c:pt idx="340">
                  <c:v>5.6041700000000003E-3</c:v>
                </c:pt>
                <c:pt idx="341">
                  <c:v>5.5973200000000002E-3</c:v>
                </c:pt>
                <c:pt idx="342">
                  <c:v>5.7290600000000002E-3</c:v>
                </c:pt>
                <c:pt idx="343">
                  <c:v>5.7498000000000002E-3</c:v>
                </c:pt>
                <c:pt idx="344">
                  <c:v>5.7531700000000002E-3</c:v>
                </c:pt>
                <c:pt idx="345">
                  <c:v>5.8187899999999999E-3</c:v>
                </c:pt>
                <c:pt idx="346">
                  <c:v>5.83411E-3</c:v>
                </c:pt>
                <c:pt idx="347">
                  <c:v>5.7335399999999996E-3</c:v>
                </c:pt>
                <c:pt idx="348">
                  <c:v>5.8283700000000003E-3</c:v>
                </c:pt>
                <c:pt idx="349">
                  <c:v>5.8005699999999997E-3</c:v>
                </c:pt>
                <c:pt idx="350">
                  <c:v>5.7631999999999996E-3</c:v>
                </c:pt>
                <c:pt idx="351">
                  <c:v>5.8843400000000001E-3</c:v>
                </c:pt>
                <c:pt idx="352">
                  <c:v>5.8491000000000003E-3</c:v>
                </c:pt>
                <c:pt idx="353">
                  <c:v>5.8186499999999999E-3</c:v>
                </c:pt>
                <c:pt idx="354">
                  <c:v>5.9462400000000002E-3</c:v>
                </c:pt>
                <c:pt idx="355">
                  <c:v>5.9117500000000003E-3</c:v>
                </c:pt>
                <c:pt idx="356">
                  <c:v>5.9157400000000001E-3</c:v>
                </c:pt>
                <c:pt idx="357">
                  <c:v>5.93971E-3</c:v>
                </c:pt>
                <c:pt idx="358">
                  <c:v>6.0186399999999996E-3</c:v>
                </c:pt>
                <c:pt idx="359">
                  <c:v>5.9677599999999999E-3</c:v>
                </c:pt>
                <c:pt idx="360">
                  <c:v>6.0062800000000001E-3</c:v>
                </c:pt>
                <c:pt idx="361">
                  <c:v>6.0742399999999998E-3</c:v>
                </c:pt>
                <c:pt idx="362">
                  <c:v>6.02281E-3</c:v>
                </c:pt>
                <c:pt idx="363">
                  <c:v>5.9846700000000001E-3</c:v>
                </c:pt>
                <c:pt idx="364">
                  <c:v>6.0922299999999997E-3</c:v>
                </c:pt>
                <c:pt idx="365">
                  <c:v>6.0254200000000001E-3</c:v>
                </c:pt>
                <c:pt idx="366">
                  <c:v>6.0597999999999997E-3</c:v>
                </c:pt>
                <c:pt idx="367">
                  <c:v>6.0660599999999999E-3</c:v>
                </c:pt>
                <c:pt idx="368">
                  <c:v>6.0814399999999996E-3</c:v>
                </c:pt>
                <c:pt idx="369">
                  <c:v>6.16959E-3</c:v>
                </c:pt>
                <c:pt idx="370">
                  <c:v>6.1760799999999996E-3</c:v>
                </c:pt>
                <c:pt idx="371">
                  <c:v>6.0708999999999997E-3</c:v>
                </c:pt>
                <c:pt idx="372">
                  <c:v>6.1654300000000004E-3</c:v>
                </c:pt>
                <c:pt idx="373">
                  <c:v>6.2217699999999997E-3</c:v>
                </c:pt>
                <c:pt idx="374">
                  <c:v>6.2307999999999999E-3</c:v>
                </c:pt>
                <c:pt idx="375">
                  <c:v>6.2429399999999998E-3</c:v>
                </c:pt>
                <c:pt idx="376">
                  <c:v>6.2208799999999998E-3</c:v>
                </c:pt>
                <c:pt idx="377">
                  <c:v>6.3273699999999997E-3</c:v>
                </c:pt>
                <c:pt idx="378">
                  <c:v>6.34849E-3</c:v>
                </c:pt>
                <c:pt idx="379">
                  <c:v>6.3220400000000001E-3</c:v>
                </c:pt>
                <c:pt idx="380">
                  <c:v>6.3464400000000001E-3</c:v>
                </c:pt>
                <c:pt idx="381">
                  <c:v>6.3515899999999998E-3</c:v>
                </c:pt>
                <c:pt idx="382">
                  <c:v>6.3295399999999998E-3</c:v>
                </c:pt>
                <c:pt idx="383">
                  <c:v>6.3509400000000002E-3</c:v>
                </c:pt>
                <c:pt idx="384">
                  <c:v>6.3659600000000004E-3</c:v>
                </c:pt>
                <c:pt idx="385">
                  <c:v>6.4348199999999999E-3</c:v>
                </c:pt>
                <c:pt idx="386">
                  <c:v>6.3867300000000002E-3</c:v>
                </c:pt>
                <c:pt idx="387">
                  <c:v>6.4259499999999997E-3</c:v>
                </c:pt>
                <c:pt idx="388">
                  <c:v>6.4223600000000002E-3</c:v>
                </c:pt>
                <c:pt idx="389">
                  <c:v>6.4805599999999998E-3</c:v>
                </c:pt>
                <c:pt idx="390">
                  <c:v>6.5006400000000002E-3</c:v>
                </c:pt>
                <c:pt idx="391">
                  <c:v>6.5327099999999997E-3</c:v>
                </c:pt>
                <c:pt idx="392">
                  <c:v>6.5291400000000001E-3</c:v>
                </c:pt>
                <c:pt idx="393">
                  <c:v>6.6066700000000003E-3</c:v>
                </c:pt>
                <c:pt idx="394">
                  <c:v>6.6205099999999996E-3</c:v>
                </c:pt>
                <c:pt idx="395">
                  <c:v>1.0076200000000001E-3</c:v>
                </c:pt>
                <c:pt idx="396">
                  <c:v>8.8708700000000005E-4</c:v>
                </c:pt>
                <c:pt idx="397">
                  <c:v>8.4635400000000001E-4</c:v>
                </c:pt>
                <c:pt idx="398">
                  <c:v>7.9312299999999996E-4</c:v>
                </c:pt>
                <c:pt idx="399">
                  <c:v>7.6228099999999996E-4</c:v>
                </c:pt>
                <c:pt idx="400">
                  <c:v>7.7408399999999997E-4</c:v>
                </c:pt>
                <c:pt idx="401">
                  <c:v>7.3583299999999997E-4</c:v>
                </c:pt>
                <c:pt idx="402">
                  <c:v>7.2825099999999996E-4</c:v>
                </c:pt>
                <c:pt idx="403">
                  <c:v>7.1373900000000002E-4</c:v>
                </c:pt>
                <c:pt idx="404">
                  <c:v>5.0338100000000001E-4</c:v>
                </c:pt>
                <c:pt idx="405">
                  <c:v>5.4969899999999996E-4</c:v>
                </c:pt>
                <c:pt idx="406">
                  <c:v>5.2769199999999996E-4</c:v>
                </c:pt>
                <c:pt idx="407">
                  <c:v>5.6221000000000005E-4</c:v>
                </c:pt>
              </c:numCache>
            </c:numRef>
          </c:xVal>
          <c:yVal>
            <c:numRef>
              <c:f>'L30CPTX-3'!$V$7:$V$469</c:f>
              <c:numCache>
                <c:formatCode>General</c:formatCode>
                <c:ptCount val="463"/>
                <c:pt idx="0">
                  <c:v>0.30441540948275864</c:v>
                </c:pt>
                <c:pt idx="1">
                  <c:v>0.37749299568965522</c:v>
                </c:pt>
                <c:pt idx="2">
                  <c:v>0.359223599137931</c:v>
                </c:pt>
                <c:pt idx="3">
                  <c:v>0.39576185344827586</c:v>
                </c:pt>
                <c:pt idx="4">
                  <c:v>0.21306896551724139</c:v>
                </c:pt>
                <c:pt idx="5">
                  <c:v>0.8037769396551725</c:v>
                </c:pt>
                <c:pt idx="6">
                  <c:v>1.1448006465517242</c:v>
                </c:pt>
                <c:pt idx="7">
                  <c:v>1.4675592672413795</c:v>
                </c:pt>
                <c:pt idx="8">
                  <c:v>1.7355118534482759</c:v>
                </c:pt>
                <c:pt idx="9">
                  <c:v>2.3749353448275863</c:v>
                </c:pt>
                <c:pt idx="10">
                  <c:v>2.6246174568965519</c:v>
                </c:pt>
                <c:pt idx="11">
                  <c:v>3.0752586206896555</c:v>
                </c:pt>
                <c:pt idx="12">
                  <c:v>3.4162877155172415</c:v>
                </c:pt>
                <c:pt idx="13">
                  <c:v>3.513723060344828</c:v>
                </c:pt>
                <c:pt idx="14">
                  <c:v>3.8851993534482756</c:v>
                </c:pt>
                <c:pt idx="15">
                  <c:v>4.0252640086206899</c:v>
                </c:pt>
                <c:pt idx="16">
                  <c:v>4.2810344827586206</c:v>
                </c:pt>
                <c:pt idx="17">
                  <c:v>4.6281519396551722</c:v>
                </c:pt>
                <c:pt idx="18">
                  <c:v>4.841293103448276</c:v>
                </c:pt>
                <c:pt idx="19">
                  <c:v>5.090969827586207</c:v>
                </c:pt>
                <c:pt idx="20">
                  <c:v>5.2432165948275857</c:v>
                </c:pt>
                <c:pt idx="21">
                  <c:v>5.4928879310344829</c:v>
                </c:pt>
                <c:pt idx="22">
                  <c:v>5.6329741379310345</c:v>
                </c:pt>
                <c:pt idx="23">
                  <c:v>6.0592672413793096</c:v>
                </c:pt>
                <c:pt idx="24">
                  <c:v>6.2114762931034484</c:v>
                </c:pt>
                <c:pt idx="25">
                  <c:v>6.5829741379310347</c:v>
                </c:pt>
                <c:pt idx="26">
                  <c:v>6.7351831896551726</c:v>
                </c:pt>
                <c:pt idx="27">
                  <c:v>7.1310344827586212</c:v>
                </c:pt>
                <c:pt idx="28">
                  <c:v>7.1797413793103448</c:v>
                </c:pt>
                <c:pt idx="29">
                  <c:v>7.3807112068965512</c:v>
                </c:pt>
                <c:pt idx="30">
                  <c:v>7.7095905172413799</c:v>
                </c:pt>
                <c:pt idx="31">
                  <c:v>8.0566810344827591</c:v>
                </c:pt>
                <c:pt idx="32">
                  <c:v>8.2637392241379306</c:v>
                </c:pt>
                <c:pt idx="33">
                  <c:v>8.4951508620689662</c:v>
                </c:pt>
                <c:pt idx="34">
                  <c:v>8.5499461206896541</c:v>
                </c:pt>
                <c:pt idx="35">
                  <c:v>8.909267241379311</c:v>
                </c:pt>
                <c:pt idx="36">
                  <c:v>9.3903556034482758</c:v>
                </c:pt>
                <c:pt idx="37">
                  <c:v>9.7496228448275861</c:v>
                </c:pt>
                <c:pt idx="38">
                  <c:v>9.993211206896552</c:v>
                </c:pt>
                <c:pt idx="39">
                  <c:v>10.011530172413794</c:v>
                </c:pt>
                <c:pt idx="40">
                  <c:v>10.303825431034484</c:v>
                </c:pt>
                <c:pt idx="41">
                  <c:v>10.590032327586208</c:v>
                </c:pt>
                <c:pt idx="42">
                  <c:v>10.827532327586207</c:v>
                </c:pt>
                <c:pt idx="43">
                  <c:v>11.138092672413794</c:v>
                </c:pt>
                <c:pt idx="44">
                  <c:v>11.235560344827588</c:v>
                </c:pt>
                <c:pt idx="45">
                  <c:v>11.667941810344828</c:v>
                </c:pt>
                <c:pt idx="46">
                  <c:v>12.045474137931034</c:v>
                </c:pt>
                <c:pt idx="47">
                  <c:v>12.051562500000001</c:v>
                </c:pt>
                <c:pt idx="48">
                  <c:v>12.374353448275862</c:v>
                </c:pt>
                <c:pt idx="49">
                  <c:v>12.563092672413793</c:v>
                </c:pt>
                <c:pt idx="50">
                  <c:v>12.764062500000001</c:v>
                </c:pt>
                <c:pt idx="51">
                  <c:v>12.995474137931035</c:v>
                </c:pt>
                <c:pt idx="52">
                  <c:v>13.373060344827586</c:v>
                </c:pt>
                <c:pt idx="53">
                  <c:v>13.513092672413794</c:v>
                </c:pt>
                <c:pt idx="54">
                  <c:v>13.671443965517243</c:v>
                </c:pt>
                <c:pt idx="55">
                  <c:v>14.05511853448276</c:v>
                </c:pt>
                <c:pt idx="56">
                  <c:v>14.049030172413794</c:v>
                </c:pt>
                <c:pt idx="57">
                  <c:v>14.487500000000001</c:v>
                </c:pt>
                <c:pt idx="58">
                  <c:v>14.725000000000001</c:v>
                </c:pt>
                <c:pt idx="59">
                  <c:v>14.913739224137931</c:v>
                </c:pt>
                <c:pt idx="60">
                  <c:v>15.078178879310347</c:v>
                </c:pt>
                <c:pt idx="61">
                  <c:v>15.443588362068965</c:v>
                </c:pt>
                <c:pt idx="62">
                  <c:v>15.571443965517242</c:v>
                </c:pt>
                <c:pt idx="63">
                  <c:v>15.851562500000002</c:v>
                </c:pt>
                <c:pt idx="64">
                  <c:v>16.06470905172414</c:v>
                </c:pt>
                <c:pt idx="65">
                  <c:v>16.357058189655174</c:v>
                </c:pt>
                <c:pt idx="66">
                  <c:v>16.491002155172414</c:v>
                </c:pt>
                <c:pt idx="67">
                  <c:v>16.923383620689656</c:v>
                </c:pt>
                <c:pt idx="68">
                  <c:v>17.307058189655173</c:v>
                </c:pt>
                <c:pt idx="69">
                  <c:v>17.294881465517243</c:v>
                </c:pt>
                <c:pt idx="70">
                  <c:v>17.74552801724138</c:v>
                </c:pt>
                <c:pt idx="71">
                  <c:v>17.897737068965519</c:v>
                </c:pt>
                <c:pt idx="72">
                  <c:v>17.946443965517243</c:v>
                </c:pt>
                <c:pt idx="73">
                  <c:v>18.342295258620691</c:v>
                </c:pt>
                <c:pt idx="74">
                  <c:v>18.366648706896552</c:v>
                </c:pt>
                <c:pt idx="75">
                  <c:v>18.811206896551724</c:v>
                </c:pt>
                <c:pt idx="76">
                  <c:v>19.103502155172414</c:v>
                </c:pt>
                <c:pt idx="77">
                  <c:v>19.29229525862069</c:v>
                </c:pt>
                <c:pt idx="78">
                  <c:v>19.462823275862071</c:v>
                </c:pt>
                <c:pt idx="79">
                  <c:v>19.742941810344828</c:v>
                </c:pt>
                <c:pt idx="80">
                  <c:v>19.907381465517243</c:v>
                </c:pt>
                <c:pt idx="81">
                  <c:v>19.913469827586209</c:v>
                </c:pt>
                <c:pt idx="82">
                  <c:v>20.26664870689655</c:v>
                </c:pt>
                <c:pt idx="83">
                  <c:v>20.217941810344826</c:v>
                </c:pt>
                <c:pt idx="84">
                  <c:v>20.528556034482758</c:v>
                </c:pt>
                <c:pt idx="85">
                  <c:v>20.802586206896553</c:v>
                </c:pt>
                <c:pt idx="86">
                  <c:v>20.918265086206898</c:v>
                </c:pt>
                <c:pt idx="87">
                  <c:v>21.326293103448275</c:v>
                </c:pt>
                <c:pt idx="88">
                  <c:v>21.417618534482759</c:v>
                </c:pt>
                <c:pt idx="89">
                  <c:v>21.746497844827587</c:v>
                </c:pt>
                <c:pt idx="90">
                  <c:v>22.032704741379312</c:v>
                </c:pt>
                <c:pt idx="91">
                  <c:v>22.184967672413791</c:v>
                </c:pt>
                <c:pt idx="92">
                  <c:v>22.410290948275865</c:v>
                </c:pt>
                <c:pt idx="93">
                  <c:v>22.678232758620691</c:v>
                </c:pt>
                <c:pt idx="94">
                  <c:v>23.086206896551726</c:v>
                </c:pt>
                <c:pt idx="95">
                  <c:v>23.183674568965518</c:v>
                </c:pt>
                <c:pt idx="96">
                  <c:v>23.354202586206895</c:v>
                </c:pt>
                <c:pt idx="97">
                  <c:v>23.524676724137933</c:v>
                </c:pt>
                <c:pt idx="98">
                  <c:v>23.981411637931036</c:v>
                </c:pt>
                <c:pt idx="99">
                  <c:v>24.188469827586207</c:v>
                </c:pt>
                <c:pt idx="100">
                  <c:v>24.419881465517243</c:v>
                </c:pt>
                <c:pt idx="101">
                  <c:v>24.419881465517243</c:v>
                </c:pt>
                <c:pt idx="102">
                  <c:v>24.742672413793102</c:v>
                </c:pt>
                <c:pt idx="103">
                  <c:v>25.181088362068966</c:v>
                </c:pt>
                <c:pt idx="104">
                  <c:v>25.442995689655174</c:v>
                </c:pt>
                <c:pt idx="105">
                  <c:v>25.534321120689658</c:v>
                </c:pt>
                <c:pt idx="106">
                  <c:v>25.820528017241379</c:v>
                </c:pt>
                <c:pt idx="107">
                  <c:v>26.155495689655172</c:v>
                </c:pt>
                <c:pt idx="108">
                  <c:v>26.423437499999999</c:v>
                </c:pt>
                <c:pt idx="109">
                  <c:v>26.447790948275863</c:v>
                </c:pt>
                <c:pt idx="110">
                  <c:v>26.800969827586208</c:v>
                </c:pt>
                <c:pt idx="111">
                  <c:v>26.861907327586206</c:v>
                </c:pt>
                <c:pt idx="112">
                  <c:v>27.318642241379312</c:v>
                </c:pt>
                <c:pt idx="113">
                  <c:v>27.550053879310344</c:v>
                </c:pt>
                <c:pt idx="114">
                  <c:v>27.909321120689658</c:v>
                </c:pt>
                <c:pt idx="115">
                  <c:v>28.00678879310345</c:v>
                </c:pt>
                <c:pt idx="116">
                  <c:v>28.37823275862069</c:v>
                </c:pt>
                <c:pt idx="117">
                  <c:v>28.554849137931033</c:v>
                </c:pt>
                <c:pt idx="118">
                  <c:v>28.834967672413796</c:v>
                </c:pt>
                <c:pt idx="119">
                  <c:v>28.968965517241383</c:v>
                </c:pt>
                <c:pt idx="120">
                  <c:v>29.151616379310344</c:v>
                </c:pt>
                <c:pt idx="121">
                  <c:v>29.510937499999997</c:v>
                </c:pt>
                <c:pt idx="122">
                  <c:v>29.766702586206897</c:v>
                </c:pt>
                <c:pt idx="123">
                  <c:v>29.943318965517239</c:v>
                </c:pt>
                <c:pt idx="124">
                  <c:v>30.13820043103448</c:v>
                </c:pt>
                <c:pt idx="125">
                  <c:v>30.442672413793105</c:v>
                </c:pt>
                <c:pt idx="126">
                  <c:v>30.68626077586207</c:v>
                </c:pt>
                <c:pt idx="127">
                  <c:v>30.978556034482757</c:v>
                </c:pt>
                <c:pt idx="128">
                  <c:v>31.246497844827591</c:v>
                </c:pt>
                <c:pt idx="129">
                  <c:v>31.471821120689658</c:v>
                </c:pt>
                <c:pt idx="130">
                  <c:v>31.624084051724139</c:v>
                </c:pt>
                <c:pt idx="131">
                  <c:v>31.989493534482758</c:v>
                </c:pt>
                <c:pt idx="132">
                  <c:v>32.099084051724141</c:v>
                </c:pt>
                <c:pt idx="133">
                  <c:v>32.233081896551724</c:v>
                </c:pt>
                <c:pt idx="134">
                  <c:v>32.82376077586207</c:v>
                </c:pt>
                <c:pt idx="135">
                  <c:v>32.976023706896555</c:v>
                </c:pt>
                <c:pt idx="136">
                  <c:v>33.109967672413795</c:v>
                </c:pt>
                <c:pt idx="137">
                  <c:v>33.47537715517241</c:v>
                </c:pt>
                <c:pt idx="138">
                  <c:v>33.658081896551721</c:v>
                </c:pt>
                <c:pt idx="139">
                  <c:v>33.956465517241377</c:v>
                </c:pt>
                <c:pt idx="140">
                  <c:v>34.352316810344831</c:v>
                </c:pt>
                <c:pt idx="141">
                  <c:v>34.327963362068971</c:v>
                </c:pt>
                <c:pt idx="142">
                  <c:v>34.401023706896552</c:v>
                </c:pt>
                <c:pt idx="143">
                  <c:v>34.711584051724138</c:v>
                </c:pt>
                <c:pt idx="144">
                  <c:v>34.997844827586206</c:v>
                </c:pt>
                <c:pt idx="145">
                  <c:v>35.314493534482757</c:v>
                </c:pt>
                <c:pt idx="146">
                  <c:v>35.521551724137936</c:v>
                </c:pt>
                <c:pt idx="147">
                  <c:v>35.850377155172417</c:v>
                </c:pt>
                <c:pt idx="148">
                  <c:v>36.10614224137931</c:v>
                </c:pt>
                <c:pt idx="149">
                  <c:v>36.173168103448276</c:v>
                </c:pt>
                <c:pt idx="150">
                  <c:v>36.380226293103448</c:v>
                </c:pt>
                <c:pt idx="151">
                  <c:v>36.465463362068967</c:v>
                </c:pt>
                <c:pt idx="152">
                  <c:v>36.763846982758622</c:v>
                </c:pt>
                <c:pt idx="153">
                  <c:v>37.043965517241382</c:v>
                </c:pt>
                <c:pt idx="154">
                  <c:v>37.251023706896554</c:v>
                </c:pt>
                <c:pt idx="155">
                  <c:v>37.488523706896551</c:v>
                </c:pt>
                <c:pt idx="156">
                  <c:v>37.634698275862071</c:v>
                </c:pt>
                <c:pt idx="157">
                  <c:v>38.042726293103449</c:v>
                </c:pt>
                <c:pt idx="158">
                  <c:v>38.298491379310342</c:v>
                </c:pt>
                <c:pt idx="159">
                  <c:v>38.46901939655173</c:v>
                </c:pt>
                <c:pt idx="160">
                  <c:v>38.694288793103446</c:v>
                </c:pt>
                <c:pt idx="161">
                  <c:v>39.017079741379312</c:v>
                </c:pt>
                <c:pt idx="162">
                  <c:v>39.157112068965517</c:v>
                </c:pt>
                <c:pt idx="163">
                  <c:v>39.406842672413795</c:v>
                </c:pt>
                <c:pt idx="164">
                  <c:v>39.778286637931039</c:v>
                </c:pt>
                <c:pt idx="165">
                  <c:v>39.857435344827586</c:v>
                </c:pt>
                <c:pt idx="166">
                  <c:v>40.222844827586208</c:v>
                </c:pt>
                <c:pt idx="167">
                  <c:v>40.429903017241379</c:v>
                </c:pt>
                <c:pt idx="168">
                  <c:v>40.758728448275861</c:v>
                </c:pt>
                <c:pt idx="169">
                  <c:v>40.898814655172416</c:v>
                </c:pt>
                <c:pt idx="170">
                  <c:v>41.093696120689657</c:v>
                </c:pt>
                <c:pt idx="171">
                  <c:v>41.416433189655173</c:v>
                </c:pt>
                <c:pt idx="172">
                  <c:v>41.660021551724142</c:v>
                </c:pt>
                <c:pt idx="173">
                  <c:v>41.982812500000001</c:v>
                </c:pt>
                <c:pt idx="174">
                  <c:v>42.019342672413792</c:v>
                </c:pt>
                <c:pt idx="175">
                  <c:v>42.409051724137932</c:v>
                </c:pt>
                <c:pt idx="176">
                  <c:v>42.573491379310347</c:v>
                </c:pt>
                <c:pt idx="177">
                  <c:v>42.871875000000003</c:v>
                </c:pt>
                <c:pt idx="178">
                  <c:v>42.993696120689656</c:v>
                </c:pt>
                <c:pt idx="179">
                  <c:v>43.353017241379312</c:v>
                </c:pt>
                <c:pt idx="180">
                  <c:v>43.505226293103448</c:v>
                </c:pt>
                <c:pt idx="181">
                  <c:v>43.657489224137933</c:v>
                </c:pt>
                <c:pt idx="182">
                  <c:v>44.108135775862074</c:v>
                </c:pt>
                <c:pt idx="183">
                  <c:v>44.357812500000001</c:v>
                </c:pt>
                <c:pt idx="184">
                  <c:v>44.546605603448278</c:v>
                </c:pt>
                <c:pt idx="185">
                  <c:v>44.991163793103453</c:v>
                </c:pt>
                <c:pt idx="186">
                  <c:v>45.045959051724139</c:v>
                </c:pt>
                <c:pt idx="187">
                  <c:v>45.417403017241377</c:v>
                </c:pt>
                <c:pt idx="188">
                  <c:v>45.435721982758629</c:v>
                </c:pt>
                <c:pt idx="189">
                  <c:v>45.758459051724145</c:v>
                </c:pt>
                <c:pt idx="190">
                  <c:v>46.093372844827591</c:v>
                </c:pt>
                <c:pt idx="191">
                  <c:v>46.209105603448279</c:v>
                </c:pt>
                <c:pt idx="192">
                  <c:v>46.507489224137935</c:v>
                </c:pt>
                <c:pt idx="193">
                  <c:v>46.866810344827584</c:v>
                </c:pt>
                <c:pt idx="194">
                  <c:v>46.836368534482759</c:v>
                </c:pt>
                <c:pt idx="195">
                  <c:v>47.201724137931031</c:v>
                </c:pt>
                <c:pt idx="196">
                  <c:v>47.439224137931035</c:v>
                </c:pt>
                <c:pt idx="197">
                  <c:v>47.731519396551725</c:v>
                </c:pt>
                <c:pt idx="198">
                  <c:v>47.902047413793106</c:v>
                </c:pt>
                <c:pt idx="199">
                  <c:v>48.151724137931033</c:v>
                </c:pt>
                <c:pt idx="200">
                  <c:v>48.212607758620692</c:v>
                </c:pt>
                <c:pt idx="201">
                  <c:v>48.657165948275868</c:v>
                </c:pt>
                <c:pt idx="202">
                  <c:v>48.876400862068962</c:v>
                </c:pt>
                <c:pt idx="203">
                  <c:v>48.955603448275866</c:v>
                </c:pt>
                <c:pt idx="204">
                  <c:v>49.394073275862077</c:v>
                </c:pt>
                <c:pt idx="205">
                  <c:v>49.503663793103442</c:v>
                </c:pt>
                <c:pt idx="206">
                  <c:v>49.856896551724141</c:v>
                </c:pt>
                <c:pt idx="207">
                  <c:v>50.100484913793103</c:v>
                </c:pt>
                <c:pt idx="208">
                  <c:v>50.417133620689654</c:v>
                </c:pt>
                <c:pt idx="209">
                  <c:v>50.618103448275861</c:v>
                </c:pt>
                <c:pt idx="210">
                  <c:v>50.837338362068969</c:v>
                </c:pt>
                <c:pt idx="211">
                  <c:v>50.977370689655174</c:v>
                </c:pt>
                <c:pt idx="212">
                  <c:v>51.348868534482762</c:v>
                </c:pt>
                <c:pt idx="213">
                  <c:v>51.43410560344828</c:v>
                </c:pt>
                <c:pt idx="214">
                  <c:v>51.970043103448276</c:v>
                </c:pt>
                <c:pt idx="215">
                  <c:v>52.055280172413788</c:v>
                </c:pt>
                <c:pt idx="216">
                  <c:v>52.164924568965517</c:v>
                </c:pt>
                <c:pt idx="217">
                  <c:v>52.451131465517243</c:v>
                </c:pt>
                <c:pt idx="218">
                  <c:v>52.725161637931038</c:v>
                </c:pt>
                <c:pt idx="219">
                  <c:v>52.712984913793107</c:v>
                </c:pt>
                <c:pt idx="220">
                  <c:v>53.194073275862067</c:v>
                </c:pt>
                <c:pt idx="221">
                  <c:v>53.681249999999999</c:v>
                </c:pt>
                <c:pt idx="222">
                  <c:v>53.790894396551728</c:v>
                </c:pt>
                <c:pt idx="223">
                  <c:v>53.985991379310342</c:v>
                </c:pt>
                <c:pt idx="224">
                  <c:v>54.351293103448278</c:v>
                </c:pt>
                <c:pt idx="225">
                  <c:v>54.625</c:v>
                </c:pt>
                <c:pt idx="226">
                  <c:v>54.71066810344827</c:v>
                </c:pt>
                <c:pt idx="227">
                  <c:v>55.130387931034491</c:v>
                </c:pt>
                <c:pt idx="228">
                  <c:v>55.319504310344826</c:v>
                </c:pt>
                <c:pt idx="229">
                  <c:v>55.471443965517246</c:v>
                </c:pt>
                <c:pt idx="230">
                  <c:v>55.690732758620697</c:v>
                </c:pt>
                <c:pt idx="231">
                  <c:v>55.867456896551722</c:v>
                </c:pt>
                <c:pt idx="232">
                  <c:v>56.269396551724142</c:v>
                </c:pt>
                <c:pt idx="233">
                  <c:v>56.433728448275865</c:v>
                </c:pt>
                <c:pt idx="234">
                  <c:v>56.665409482758626</c:v>
                </c:pt>
                <c:pt idx="235">
                  <c:v>56.859913793103452</c:v>
                </c:pt>
                <c:pt idx="236">
                  <c:v>57.170797413793103</c:v>
                </c:pt>
                <c:pt idx="237">
                  <c:v>57.523706896551722</c:v>
                </c:pt>
                <c:pt idx="238">
                  <c:v>57.554418103448278</c:v>
                </c:pt>
                <c:pt idx="239">
                  <c:v>57.91379310344827</c:v>
                </c:pt>
                <c:pt idx="240">
                  <c:v>58.279094827586214</c:v>
                </c:pt>
                <c:pt idx="241">
                  <c:v>58.419181034482762</c:v>
                </c:pt>
                <c:pt idx="242">
                  <c:v>58.583512931034484</c:v>
                </c:pt>
                <c:pt idx="243">
                  <c:v>58.480064655172413</c:v>
                </c:pt>
                <c:pt idx="244">
                  <c:v>58.760237068965516</c:v>
                </c:pt>
                <c:pt idx="245">
                  <c:v>59.228987068965516</c:v>
                </c:pt>
                <c:pt idx="246">
                  <c:v>59.241379310344833</c:v>
                </c:pt>
                <c:pt idx="247">
                  <c:v>59.67995689655173</c:v>
                </c:pt>
                <c:pt idx="248">
                  <c:v>59.911099137931039</c:v>
                </c:pt>
                <c:pt idx="249">
                  <c:v>60.106142241379317</c:v>
                </c:pt>
                <c:pt idx="250">
                  <c:v>60.172952586206904</c:v>
                </c:pt>
                <c:pt idx="251">
                  <c:v>60.544181034482762</c:v>
                </c:pt>
                <c:pt idx="252">
                  <c:v>60.745150862068961</c:v>
                </c:pt>
                <c:pt idx="253">
                  <c:v>61.110991379310349</c:v>
                </c:pt>
                <c:pt idx="254">
                  <c:v>61.147090517241381</c:v>
                </c:pt>
                <c:pt idx="255">
                  <c:v>61.293642241379317</c:v>
                </c:pt>
                <c:pt idx="256">
                  <c:v>61.762392241379317</c:v>
                </c:pt>
                <c:pt idx="257">
                  <c:v>61.98760775862069</c:v>
                </c:pt>
                <c:pt idx="258">
                  <c:v>62.28017241379311</c:v>
                </c:pt>
                <c:pt idx="259">
                  <c:v>62.523706896551722</c:v>
                </c:pt>
                <c:pt idx="260">
                  <c:v>62.81573275862069</c:v>
                </c:pt>
                <c:pt idx="261">
                  <c:v>62.955818965517246</c:v>
                </c:pt>
                <c:pt idx="262">
                  <c:v>63.315193965517238</c:v>
                </c:pt>
                <c:pt idx="263">
                  <c:v>63.491918103448278</c:v>
                </c:pt>
                <c:pt idx="264">
                  <c:v>63.58943965517242</c:v>
                </c:pt>
                <c:pt idx="265">
                  <c:v>63.973060344827587</c:v>
                </c:pt>
                <c:pt idx="266">
                  <c:v>64.314116379310349</c:v>
                </c:pt>
                <c:pt idx="267">
                  <c:v>64.356681034482762</c:v>
                </c:pt>
                <c:pt idx="268">
                  <c:v>64.703663793103445</c:v>
                </c:pt>
                <c:pt idx="269">
                  <c:v>64.917025862068968</c:v>
                </c:pt>
                <c:pt idx="270">
                  <c:v>65.17887931034484</c:v>
                </c:pt>
                <c:pt idx="271">
                  <c:v>65.446659482758619</c:v>
                </c:pt>
                <c:pt idx="272">
                  <c:v>65.459051724137936</c:v>
                </c:pt>
                <c:pt idx="273">
                  <c:v>65.550107758620697</c:v>
                </c:pt>
                <c:pt idx="274">
                  <c:v>65.84267241379311</c:v>
                </c:pt>
                <c:pt idx="275">
                  <c:v>66.147090517241381</c:v>
                </c:pt>
                <c:pt idx="276">
                  <c:v>66.372306034482762</c:v>
                </c:pt>
                <c:pt idx="277">
                  <c:v>66.683189655172413</c:v>
                </c:pt>
                <c:pt idx="278">
                  <c:v>66.847521551724142</c:v>
                </c:pt>
                <c:pt idx="279">
                  <c:v>67.066810344827587</c:v>
                </c:pt>
                <c:pt idx="280">
                  <c:v>67.206896551724142</c:v>
                </c:pt>
                <c:pt idx="281">
                  <c:v>67.626616379310349</c:v>
                </c:pt>
                <c:pt idx="282">
                  <c:v>67.724137931034491</c:v>
                </c:pt>
                <c:pt idx="283">
                  <c:v>67.834051724137936</c:v>
                </c:pt>
                <c:pt idx="284">
                  <c:v>68.211745689655174</c:v>
                </c:pt>
                <c:pt idx="285">
                  <c:v>68.473599137931046</c:v>
                </c:pt>
                <c:pt idx="286">
                  <c:v>68.771551724137936</c:v>
                </c:pt>
                <c:pt idx="287">
                  <c:v>69.009159482758619</c:v>
                </c:pt>
                <c:pt idx="288">
                  <c:v>69.276939655172413</c:v>
                </c:pt>
                <c:pt idx="289">
                  <c:v>69.575431034482762</c:v>
                </c:pt>
                <c:pt idx="290">
                  <c:v>69.831357758620697</c:v>
                </c:pt>
                <c:pt idx="291">
                  <c:v>69.977370689655174</c:v>
                </c:pt>
                <c:pt idx="292">
                  <c:v>70.239224137931032</c:v>
                </c:pt>
                <c:pt idx="293">
                  <c:v>70.580280172413794</c:v>
                </c:pt>
                <c:pt idx="294">
                  <c:v>70.793642241379303</c:v>
                </c:pt>
                <c:pt idx="295">
                  <c:v>70.963900862068968</c:v>
                </c:pt>
                <c:pt idx="296">
                  <c:v>71.256465517241381</c:v>
                </c:pt>
                <c:pt idx="297">
                  <c:v>71.323275862068968</c:v>
                </c:pt>
                <c:pt idx="298">
                  <c:v>71.713362068965523</c:v>
                </c:pt>
                <c:pt idx="299">
                  <c:v>71.992995689655174</c:v>
                </c:pt>
                <c:pt idx="300">
                  <c:v>72.224676724137936</c:v>
                </c:pt>
                <c:pt idx="301">
                  <c:v>72.535021551724142</c:v>
                </c:pt>
                <c:pt idx="302">
                  <c:v>72.730064655172427</c:v>
                </c:pt>
                <c:pt idx="303">
                  <c:v>72.833512931034477</c:v>
                </c:pt>
                <c:pt idx="304">
                  <c:v>73.168642241379317</c:v>
                </c:pt>
                <c:pt idx="305">
                  <c:v>73.369612068965523</c:v>
                </c:pt>
                <c:pt idx="306">
                  <c:v>73.643318965517253</c:v>
                </c:pt>
                <c:pt idx="307">
                  <c:v>73.862607758620683</c:v>
                </c:pt>
                <c:pt idx="308">
                  <c:v>74.240301724137936</c:v>
                </c:pt>
                <c:pt idx="309">
                  <c:v>74.307112068965523</c:v>
                </c:pt>
                <c:pt idx="310">
                  <c:v>74.51454741379311</c:v>
                </c:pt>
                <c:pt idx="311">
                  <c:v>74.831357758620697</c:v>
                </c:pt>
                <c:pt idx="312">
                  <c:v>75.178340517241381</c:v>
                </c:pt>
                <c:pt idx="313">
                  <c:v>75.263469827586206</c:v>
                </c:pt>
                <c:pt idx="314">
                  <c:v>75.61045258620689</c:v>
                </c:pt>
                <c:pt idx="315">
                  <c:v>75.903017241379317</c:v>
                </c:pt>
                <c:pt idx="316">
                  <c:v>75.951508620689665</c:v>
                </c:pt>
                <c:pt idx="317">
                  <c:v>76.268318965517238</c:v>
                </c:pt>
                <c:pt idx="318">
                  <c:v>76.475215517241381</c:v>
                </c:pt>
                <c:pt idx="319">
                  <c:v>76.700431034482762</c:v>
                </c:pt>
                <c:pt idx="320">
                  <c:v>76.938038793103459</c:v>
                </c:pt>
                <c:pt idx="321">
                  <c:v>77.297413793103445</c:v>
                </c:pt>
                <c:pt idx="322">
                  <c:v>77.504310344827587</c:v>
                </c:pt>
                <c:pt idx="323">
                  <c:v>77.802801724137936</c:v>
                </c:pt>
                <c:pt idx="324">
                  <c:v>78.064655172413794</c:v>
                </c:pt>
                <c:pt idx="325">
                  <c:v>78.204741379310349</c:v>
                </c:pt>
                <c:pt idx="326">
                  <c:v>78.527478448275872</c:v>
                </c:pt>
                <c:pt idx="327">
                  <c:v>78.728448275862078</c:v>
                </c:pt>
                <c:pt idx="328">
                  <c:v>78.78933189655173</c:v>
                </c:pt>
                <c:pt idx="329">
                  <c:v>79.227909482758633</c:v>
                </c:pt>
                <c:pt idx="330">
                  <c:v>79.258620689655174</c:v>
                </c:pt>
                <c:pt idx="331">
                  <c:v>79.611530172413794</c:v>
                </c:pt>
                <c:pt idx="332">
                  <c:v>80.129310344827587</c:v>
                </c:pt>
                <c:pt idx="333">
                  <c:v>79.97683189655173</c:v>
                </c:pt>
                <c:pt idx="334">
                  <c:v>80.275323275862078</c:v>
                </c:pt>
                <c:pt idx="335">
                  <c:v>80.647090517241381</c:v>
                </c:pt>
                <c:pt idx="336">
                  <c:v>80.853987068965523</c:v>
                </c:pt>
                <c:pt idx="337">
                  <c:v>81.134159482758619</c:v>
                </c:pt>
                <c:pt idx="338">
                  <c:v>81.377693965517253</c:v>
                </c:pt>
                <c:pt idx="339">
                  <c:v>81.767241379310349</c:v>
                </c:pt>
                <c:pt idx="340">
                  <c:v>81.938038793103459</c:v>
                </c:pt>
                <c:pt idx="341">
                  <c:v>82.230064655172413</c:v>
                </c:pt>
                <c:pt idx="342">
                  <c:v>82.205818965517238</c:v>
                </c:pt>
                <c:pt idx="343">
                  <c:v>82.668642241379303</c:v>
                </c:pt>
                <c:pt idx="344">
                  <c:v>82.96120689655173</c:v>
                </c:pt>
                <c:pt idx="345">
                  <c:v>82.985452586206904</c:v>
                </c:pt>
                <c:pt idx="346">
                  <c:v>83.308189655172413</c:v>
                </c:pt>
                <c:pt idx="347">
                  <c:v>83.710129310344826</c:v>
                </c:pt>
                <c:pt idx="348">
                  <c:v>83.53933189655173</c:v>
                </c:pt>
                <c:pt idx="349">
                  <c:v>84.233836206896555</c:v>
                </c:pt>
                <c:pt idx="350">
                  <c:v>84.215517241379317</c:v>
                </c:pt>
                <c:pt idx="351">
                  <c:v>84.471443965517238</c:v>
                </c:pt>
                <c:pt idx="352">
                  <c:v>84.800107758620683</c:v>
                </c:pt>
                <c:pt idx="353">
                  <c:v>84.921875</c:v>
                </c:pt>
                <c:pt idx="354">
                  <c:v>85.317887931034491</c:v>
                </c:pt>
                <c:pt idx="355">
                  <c:v>85.664870689655174</c:v>
                </c:pt>
                <c:pt idx="356">
                  <c:v>85.75</c:v>
                </c:pt>
                <c:pt idx="357">
                  <c:v>85.865840517241381</c:v>
                </c:pt>
                <c:pt idx="358">
                  <c:v>86.334590517241381</c:v>
                </c:pt>
                <c:pt idx="359">
                  <c:v>86.773168103448285</c:v>
                </c:pt>
                <c:pt idx="360">
                  <c:v>86.876616379310349</c:v>
                </c:pt>
                <c:pt idx="361">
                  <c:v>87.047413793103445</c:v>
                </c:pt>
                <c:pt idx="362">
                  <c:v>87.114224137931032</c:v>
                </c:pt>
                <c:pt idx="363">
                  <c:v>87.479525862068968</c:v>
                </c:pt>
                <c:pt idx="364">
                  <c:v>87.674568965517238</c:v>
                </c:pt>
                <c:pt idx="365">
                  <c:v>88.058189655172413</c:v>
                </c:pt>
                <c:pt idx="366">
                  <c:v>88.088362068965523</c:v>
                </c:pt>
                <c:pt idx="367">
                  <c:v>88.45420258620689</c:v>
                </c:pt>
                <c:pt idx="368">
                  <c:v>88.721982758620683</c:v>
                </c:pt>
                <c:pt idx="369">
                  <c:v>88.917025862068968</c:v>
                </c:pt>
                <c:pt idx="370">
                  <c:v>89.190732758620683</c:v>
                </c:pt>
                <c:pt idx="371">
                  <c:v>89.410021551724142</c:v>
                </c:pt>
                <c:pt idx="372">
                  <c:v>89.72683189655173</c:v>
                </c:pt>
                <c:pt idx="373">
                  <c:v>89.988685344827601</c:v>
                </c:pt>
                <c:pt idx="374">
                  <c:v>90.250538793103445</c:v>
                </c:pt>
                <c:pt idx="375">
                  <c:v>90.402478448275872</c:v>
                </c:pt>
                <c:pt idx="376">
                  <c:v>90.579202586206904</c:v>
                </c:pt>
                <c:pt idx="377">
                  <c:v>90.707435344827587</c:v>
                </c:pt>
                <c:pt idx="378">
                  <c:v>91.145474137931032</c:v>
                </c:pt>
                <c:pt idx="379">
                  <c:v>91.468211206896555</c:v>
                </c:pt>
                <c:pt idx="380">
                  <c:v>91.60829741379311</c:v>
                </c:pt>
                <c:pt idx="381">
                  <c:v>91.900862068965523</c:v>
                </c:pt>
                <c:pt idx="382">
                  <c:v>92.114224137931046</c:v>
                </c:pt>
                <c:pt idx="383">
                  <c:v>92.40625</c:v>
                </c:pt>
                <c:pt idx="384">
                  <c:v>92.60129310344827</c:v>
                </c:pt>
                <c:pt idx="385">
                  <c:v>92.783943965517253</c:v>
                </c:pt>
                <c:pt idx="386">
                  <c:v>93.027478448275872</c:v>
                </c:pt>
                <c:pt idx="387">
                  <c:v>93.234375</c:v>
                </c:pt>
                <c:pt idx="388">
                  <c:v>93.599676724137922</c:v>
                </c:pt>
                <c:pt idx="389">
                  <c:v>93.691271551724128</c:v>
                </c:pt>
                <c:pt idx="390">
                  <c:v>94.129849137931032</c:v>
                </c:pt>
                <c:pt idx="391">
                  <c:v>94.360991379310349</c:v>
                </c:pt>
                <c:pt idx="392">
                  <c:v>94.403556034482762</c:v>
                </c:pt>
                <c:pt idx="393">
                  <c:v>94.580280172413794</c:v>
                </c:pt>
                <c:pt idx="394">
                  <c:v>94.952047413793096</c:v>
                </c:pt>
                <c:pt idx="395">
                  <c:v>43.913254310344833</c:v>
                </c:pt>
                <c:pt idx="396">
                  <c:v>20.06573275862069</c:v>
                </c:pt>
                <c:pt idx="397">
                  <c:v>9.2259159482758619</c:v>
                </c:pt>
                <c:pt idx="398">
                  <c:v>4.1835991379310347</c:v>
                </c:pt>
                <c:pt idx="399">
                  <c:v>1.9486530172413794</c:v>
                </c:pt>
                <c:pt idx="400">
                  <c:v>0.96820043103448283</c:v>
                </c:pt>
                <c:pt idx="401">
                  <c:v>0.59063577586206895</c:v>
                </c:pt>
                <c:pt idx="402">
                  <c:v>0.44448006465517248</c:v>
                </c:pt>
                <c:pt idx="403">
                  <c:v>0.15217133620689655</c:v>
                </c:pt>
                <c:pt idx="404">
                  <c:v>6.0172413793103448E-3</c:v>
                </c:pt>
                <c:pt idx="405">
                  <c:v>0.23133836206896552</c:v>
                </c:pt>
                <c:pt idx="406">
                  <c:v>3.6466056034482761E-2</c:v>
                </c:pt>
                <c:pt idx="407">
                  <c:v>9.1273706896551732E-2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903-4350-BDB8-CD04F93E7F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70498992"/>
        <c:axId val="270499552"/>
      </c:scatterChart>
      <c:valAx>
        <c:axId val="2704989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70499552"/>
        <c:crosses val="autoZero"/>
        <c:crossBetween val="midCat"/>
      </c:valAx>
      <c:valAx>
        <c:axId val="270499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704989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Stress-Strain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>
        <c:manualLayout>
          <c:layoutTarget val="inner"/>
          <c:xMode val="edge"/>
          <c:yMode val="edge"/>
          <c:x val="8.7435202047331448E-2"/>
          <c:y val="0.14393518518518519"/>
          <c:w val="0.86197544774457269"/>
          <c:h val="0.77736111111111106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4.7797025371828519E-2"/>
                  <c:y val="-0.1905143627879848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</c:trendlineLbl>
          </c:trendline>
          <c:xVal>
            <c:numRef>
              <c:f>'L30CPTX-3'!$B$7:$B$400</c:f>
              <c:numCache>
                <c:formatCode>General</c:formatCode>
                <c:ptCount val="394"/>
                <c:pt idx="0">
                  <c:v>0</c:v>
                </c:pt>
                <c:pt idx="1">
                  <c:v>1.3264400000000001E-4</c:v>
                </c:pt>
                <c:pt idx="2" formatCode="0.00E+00">
                  <c:v>9.6184800000000001E-5</c:v>
                </c:pt>
                <c:pt idx="3" formatCode="0.00E+00">
                  <c:v>1.32269E-5</c:v>
                </c:pt>
                <c:pt idx="4" formatCode="0.00E+00">
                  <c:v>9.7854299999999996E-5</c:v>
                </c:pt>
                <c:pt idx="5">
                  <c:v>1.2861599999999999E-4</c:v>
                </c:pt>
                <c:pt idx="6">
                  <c:v>2.72203E-4</c:v>
                </c:pt>
                <c:pt idx="7">
                  <c:v>1.48412E-4</c:v>
                </c:pt>
                <c:pt idx="8">
                  <c:v>2.1116200000000001E-4</c:v>
                </c:pt>
                <c:pt idx="9">
                  <c:v>1.5896899999999999E-4</c:v>
                </c:pt>
                <c:pt idx="10">
                  <c:v>2.6481900000000001E-4</c:v>
                </c:pt>
                <c:pt idx="11">
                  <c:v>2.7356400000000001E-4</c:v>
                </c:pt>
                <c:pt idx="12">
                  <c:v>3.1324100000000002E-4</c:v>
                </c:pt>
                <c:pt idx="13">
                  <c:v>3.3128600000000003E-4</c:v>
                </c:pt>
                <c:pt idx="14">
                  <c:v>3.6447999999999998E-4</c:v>
                </c:pt>
                <c:pt idx="15">
                  <c:v>4.5769499999999999E-4</c:v>
                </c:pt>
                <c:pt idx="16">
                  <c:v>3.4277100000000002E-4</c:v>
                </c:pt>
                <c:pt idx="17">
                  <c:v>4.0045599999999999E-4</c:v>
                </c:pt>
                <c:pt idx="18">
                  <c:v>4.2308100000000001E-4</c:v>
                </c:pt>
                <c:pt idx="19">
                  <c:v>4.7637500000000002E-4</c:v>
                </c:pt>
                <c:pt idx="20">
                  <c:v>4.29133E-4</c:v>
                </c:pt>
                <c:pt idx="21">
                  <c:v>5.0467999999999997E-4</c:v>
                </c:pt>
                <c:pt idx="22">
                  <c:v>5.4243399999999995E-4</c:v>
                </c:pt>
                <c:pt idx="23">
                  <c:v>5.0959699999999998E-4</c:v>
                </c:pt>
                <c:pt idx="24">
                  <c:v>4.6505299999999999E-4</c:v>
                </c:pt>
                <c:pt idx="25">
                  <c:v>5.5402900000000004E-4</c:v>
                </c:pt>
                <c:pt idx="26">
                  <c:v>4.7554299999999998E-4</c:v>
                </c:pt>
                <c:pt idx="27">
                  <c:v>5.8130699999999998E-4</c:v>
                </c:pt>
                <c:pt idx="28">
                  <c:v>6.1864999999999999E-4</c:v>
                </c:pt>
                <c:pt idx="29">
                  <c:v>6.2993499999999998E-4</c:v>
                </c:pt>
                <c:pt idx="30">
                  <c:v>5.4132900000000001E-4</c:v>
                </c:pt>
                <c:pt idx="31">
                  <c:v>7.1282300000000002E-4</c:v>
                </c:pt>
                <c:pt idx="32">
                  <c:v>6.8937700000000002E-4</c:v>
                </c:pt>
                <c:pt idx="33">
                  <c:v>7.2896099999999998E-4</c:v>
                </c:pt>
                <c:pt idx="34">
                  <c:v>7.0657700000000001E-4</c:v>
                </c:pt>
                <c:pt idx="35">
                  <c:v>7.8362099999999997E-4</c:v>
                </c:pt>
                <c:pt idx="36">
                  <c:v>7.5860900000000004E-4</c:v>
                </c:pt>
                <c:pt idx="37">
                  <c:v>7.9283399999999996E-4</c:v>
                </c:pt>
                <c:pt idx="38">
                  <c:v>8.0162799999999998E-4</c:v>
                </c:pt>
                <c:pt idx="39">
                  <c:v>8.1792599999999996E-4</c:v>
                </c:pt>
                <c:pt idx="40">
                  <c:v>8.1414699999999998E-4</c:v>
                </c:pt>
                <c:pt idx="41">
                  <c:v>8.8621100000000003E-4</c:v>
                </c:pt>
                <c:pt idx="42">
                  <c:v>9.1366899999999998E-4</c:v>
                </c:pt>
                <c:pt idx="43">
                  <c:v>8.3436399999999998E-4</c:v>
                </c:pt>
                <c:pt idx="44">
                  <c:v>9.6233199999999999E-4</c:v>
                </c:pt>
                <c:pt idx="45">
                  <c:v>9.6161499999999997E-4</c:v>
                </c:pt>
                <c:pt idx="46">
                  <c:v>9.8080900000000002E-4</c:v>
                </c:pt>
                <c:pt idx="47">
                  <c:v>1.07387E-3</c:v>
                </c:pt>
                <c:pt idx="48">
                  <c:v>9.9084600000000009E-4</c:v>
                </c:pt>
                <c:pt idx="49">
                  <c:v>1.0271099999999999E-3</c:v>
                </c:pt>
                <c:pt idx="50">
                  <c:v>1.03023E-3</c:v>
                </c:pt>
                <c:pt idx="51">
                  <c:v>1.0427699999999999E-3</c:v>
                </c:pt>
                <c:pt idx="52">
                  <c:v>1.0770199999999999E-3</c:v>
                </c:pt>
                <c:pt idx="53">
                  <c:v>1.0654900000000001E-3</c:v>
                </c:pt>
                <c:pt idx="54">
                  <c:v>1.0868799999999999E-3</c:v>
                </c:pt>
                <c:pt idx="55">
                  <c:v>1.0943000000000001E-3</c:v>
                </c:pt>
                <c:pt idx="56">
                  <c:v>1.15463E-3</c:v>
                </c:pt>
                <c:pt idx="57">
                  <c:v>1.2183999999999999E-3</c:v>
                </c:pt>
                <c:pt idx="58">
                  <c:v>1.13276E-3</c:v>
                </c:pt>
                <c:pt idx="59">
                  <c:v>1.1635E-3</c:v>
                </c:pt>
                <c:pt idx="60">
                  <c:v>1.24558E-3</c:v>
                </c:pt>
                <c:pt idx="61">
                  <c:v>1.168E-3</c:v>
                </c:pt>
                <c:pt idx="62">
                  <c:v>1.2792000000000001E-3</c:v>
                </c:pt>
                <c:pt idx="63">
                  <c:v>1.2922400000000001E-3</c:v>
                </c:pt>
                <c:pt idx="64">
                  <c:v>1.26768E-3</c:v>
                </c:pt>
                <c:pt idx="65">
                  <c:v>1.3257E-3</c:v>
                </c:pt>
                <c:pt idx="66">
                  <c:v>1.36692E-3</c:v>
                </c:pt>
                <c:pt idx="67">
                  <c:v>1.3127200000000001E-3</c:v>
                </c:pt>
                <c:pt idx="68">
                  <c:v>1.3315099999999999E-3</c:v>
                </c:pt>
                <c:pt idx="69">
                  <c:v>1.38613E-3</c:v>
                </c:pt>
                <c:pt idx="70">
                  <c:v>1.3244699999999999E-3</c:v>
                </c:pt>
                <c:pt idx="71">
                  <c:v>1.43202E-3</c:v>
                </c:pt>
                <c:pt idx="72">
                  <c:v>1.5512E-3</c:v>
                </c:pt>
                <c:pt idx="73">
                  <c:v>1.48565E-3</c:v>
                </c:pt>
                <c:pt idx="74">
                  <c:v>1.5038E-3</c:v>
                </c:pt>
                <c:pt idx="75">
                  <c:v>1.4103099999999999E-3</c:v>
                </c:pt>
                <c:pt idx="76">
                  <c:v>1.49825E-3</c:v>
                </c:pt>
                <c:pt idx="77">
                  <c:v>1.4594300000000001E-3</c:v>
                </c:pt>
                <c:pt idx="78">
                  <c:v>1.5429199999999999E-3</c:v>
                </c:pt>
                <c:pt idx="79">
                  <c:v>1.48573E-3</c:v>
                </c:pt>
                <c:pt idx="80">
                  <c:v>1.49238E-3</c:v>
                </c:pt>
                <c:pt idx="81">
                  <c:v>1.5765600000000001E-3</c:v>
                </c:pt>
                <c:pt idx="82">
                  <c:v>1.49468E-3</c:v>
                </c:pt>
                <c:pt idx="83">
                  <c:v>1.5952799999999999E-3</c:v>
                </c:pt>
                <c:pt idx="84">
                  <c:v>1.5771100000000001E-3</c:v>
                </c:pt>
                <c:pt idx="85">
                  <c:v>1.5403599999999999E-3</c:v>
                </c:pt>
                <c:pt idx="86">
                  <c:v>1.6607600000000001E-3</c:v>
                </c:pt>
                <c:pt idx="87">
                  <c:v>1.76826E-3</c:v>
                </c:pt>
                <c:pt idx="88">
                  <c:v>1.59961E-3</c:v>
                </c:pt>
                <c:pt idx="89">
                  <c:v>1.65059E-3</c:v>
                </c:pt>
                <c:pt idx="90">
                  <c:v>1.7028099999999999E-3</c:v>
                </c:pt>
                <c:pt idx="91">
                  <c:v>1.74007E-3</c:v>
                </c:pt>
                <c:pt idx="92">
                  <c:v>1.7541200000000001E-3</c:v>
                </c:pt>
                <c:pt idx="93">
                  <c:v>1.7130299999999999E-3</c:v>
                </c:pt>
                <c:pt idx="94">
                  <c:v>1.7968700000000001E-3</c:v>
                </c:pt>
                <c:pt idx="95">
                  <c:v>1.7821899999999999E-3</c:v>
                </c:pt>
                <c:pt idx="96">
                  <c:v>1.76461E-3</c:v>
                </c:pt>
                <c:pt idx="97">
                  <c:v>1.79565E-3</c:v>
                </c:pt>
                <c:pt idx="98">
                  <c:v>1.9105400000000001E-3</c:v>
                </c:pt>
                <c:pt idx="99">
                  <c:v>1.8150600000000001E-3</c:v>
                </c:pt>
                <c:pt idx="100">
                  <c:v>1.8595700000000001E-3</c:v>
                </c:pt>
                <c:pt idx="101">
                  <c:v>1.83252E-3</c:v>
                </c:pt>
                <c:pt idx="102">
                  <c:v>1.9292599999999999E-3</c:v>
                </c:pt>
                <c:pt idx="103">
                  <c:v>1.9236399999999999E-3</c:v>
                </c:pt>
                <c:pt idx="104">
                  <c:v>1.89044E-3</c:v>
                </c:pt>
                <c:pt idx="105">
                  <c:v>1.8790499999999999E-3</c:v>
                </c:pt>
                <c:pt idx="106">
                  <c:v>1.93516E-3</c:v>
                </c:pt>
                <c:pt idx="107">
                  <c:v>2.0088599999999999E-3</c:v>
                </c:pt>
                <c:pt idx="108">
                  <c:v>1.9565400000000001E-3</c:v>
                </c:pt>
                <c:pt idx="109">
                  <c:v>2.03871E-3</c:v>
                </c:pt>
                <c:pt idx="110">
                  <c:v>1.9888800000000002E-3</c:v>
                </c:pt>
                <c:pt idx="111">
                  <c:v>2.0217199999999999E-3</c:v>
                </c:pt>
                <c:pt idx="112">
                  <c:v>2.05982E-3</c:v>
                </c:pt>
                <c:pt idx="113">
                  <c:v>2.0679399999999999E-3</c:v>
                </c:pt>
                <c:pt idx="114">
                  <c:v>2.1071699999999998E-3</c:v>
                </c:pt>
                <c:pt idx="115">
                  <c:v>2.0886699999999999E-3</c:v>
                </c:pt>
                <c:pt idx="116">
                  <c:v>2.1099199999999999E-3</c:v>
                </c:pt>
                <c:pt idx="117">
                  <c:v>2.0684200000000001E-3</c:v>
                </c:pt>
                <c:pt idx="118">
                  <c:v>2.1737200000000001E-3</c:v>
                </c:pt>
                <c:pt idx="119">
                  <c:v>2.1675499999999999E-3</c:v>
                </c:pt>
                <c:pt idx="120">
                  <c:v>2.1985400000000001E-3</c:v>
                </c:pt>
                <c:pt idx="121">
                  <c:v>2.2126400000000001E-3</c:v>
                </c:pt>
                <c:pt idx="122">
                  <c:v>2.23266E-3</c:v>
                </c:pt>
                <c:pt idx="123">
                  <c:v>2.2849200000000002E-3</c:v>
                </c:pt>
                <c:pt idx="124">
                  <c:v>2.2051499999999999E-3</c:v>
                </c:pt>
                <c:pt idx="125">
                  <c:v>2.2530800000000002E-3</c:v>
                </c:pt>
                <c:pt idx="126">
                  <c:v>2.2551799999999999E-3</c:v>
                </c:pt>
                <c:pt idx="127">
                  <c:v>2.3030300000000002E-3</c:v>
                </c:pt>
                <c:pt idx="128">
                  <c:v>2.2882200000000001E-3</c:v>
                </c:pt>
                <c:pt idx="129">
                  <c:v>2.3325899999999998E-3</c:v>
                </c:pt>
                <c:pt idx="130">
                  <c:v>2.3533999999999998E-3</c:v>
                </c:pt>
                <c:pt idx="131">
                  <c:v>2.4230599999999999E-3</c:v>
                </c:pt>
                <c:pt idx="132">
                  <c:v>2.4007099999999999E-3</c:v>
                </c:pt>
                <c:pt idx="133">
                  <c:v>2.3463199999999998E-3</c:v>
                </c:pt>
                <c:pt idx="134">
                  <c:v>2.3998700000000001E-3</c:v>
                </c:pt>
                <c:pt idx="135">
                  <c:v>2.3557500000000002E-3</c:v>
                </c:pt>
                <c:pt idx="136">
                  <c:v>2.46342E-3</c:v>
                </c:pt>
                <c:pt idx="137">
                  <c:v>2.4660400000000001E-3</c:v>
                </c:pt>
                <c:pt idx="138">
                  <c:v>2.4627899999999999E-3</c:v>
                </c:pt>
                <c:pt idx="139">
                  <c:v>2.48008E-3</c:v>
                </c:pt>
                <c:pt idx="140">
                  <c:v>2.49475E-3</c:v>
                </c:pt>
                <c:pt idx="141">
                  <c:v>2.5490500000000002E-3</c:v>
                </c:pt>
                <c:pt idx="142">
                  <c:v>2.4308400000000001E-3</c:v>
                </c:pt>
                <c:pt idx="143">
                  <c:v>2.5258300000000002E-3</c:v>
                </c:pt>
                <c:pt idx="144">
                  <c:v>2.5412099999999999E-3</c:v>
                </c:pt>
                <c:pt idx="145">
                  <c:v>2.6261499999999998E-3</c:v>
                </c:pt>
                <c:pt idx="146">
                  <c:v>2.6440000000000001E-3</c:v>
                </c:pt>
                <c:pt idx="147">
                  <c:v>2.6210000000000001E-3</c:v>
                </c:pt>
                <c:pt idx="148">
                  <c:v>2.7037599999999999E-3</c:v>
                </c:pt>
                <c:pt idx="149">
                  <c:v>2.6561599999999999E-3</c:v>
                </c:pt>
                <c:pt idx="150">
                  <c:v>2.6895500000000002E-3</c:v>
                </c:pt>
                <c:pt idx="151">
                  <c:v>2.6649199999999999E-3</c:v>
                </c:pt>
                <c:pt idx="152">
                  <c:v>2.68192E-3</c:v>
                </c:pt>
                <c:pt idx="153">
                  <c:v>2.6901099999999999E-3</c:v>
                </c:pt>
                <c:pt idx="154">
                  <c:v>2.6889100000000001E-3</c:v>
                </c:pt>
                <c:pt idx="155">
                  <c:v>2.6982500000000001E-3</c:v>
                </c:pt>
                <c:pt idx="156">
                  <c:v>2.7632300000000002E-3</c:v>
                </c:pt>
                <c:pt idx="157">
                  <c:v>2.7867999999999999E-3</c:v>
                </c:pt>
                <c:pt idx="158">
                  <c:v>2.7607500000000002E-3</c:v>
                </c:pt>
                <c:pt idx="159">
                  <c:v>2.8093100000000002E-3</c:v>
                </c:pt>
                <c:pt idx="160">
                  <c:v>2.8341299999999998E-3</c:v>
                </c:pt>
                <c:pt idx="161">
                  <c:v>2.80832E-3</c:v>
                </c:pt>
                <c:pt idx="162">
                  <c:v>2.8901E-3</c:v>
                </c:pt>
                <c:pt idx="163">
                  <c:v>2.8640599999999999E-3</c:v>
                </c:pt>
                <c:pt idx="164">
                  <c:v>2.94246E-3</c:v>
                </c:pt>
                <c:pt idx="165">
                  <c:v>2.9005599999999999E-3</c:v>
                </c:pt>
                <c:pt idx="166">
                  <c:v>2.9188899999999999E-3</c:v>
                </c:pt>
                <c:pt idx="167">
                  <c:v>2.94137E-3</c:v>
                </c:pt>
                <c:pt idx="168">
                  <c:v>2.9390900000000001E-3</c:v>
                </c:pt>
                <c:pt idx="169">
                  <c:v>2.9557400000000001E-3</c:v>
                </c:pt>
                <c:pt idx="170">
                  <c:v>2.97985E-3</c:v>
                </c:pt>
                <c:pt idx="171">
                  <c:v>3.02959E-3</c:v>
                </c:pt>
                <c:pt idx="172">
                  <c:v>3.0135700000000001E-3</c:v>
                </c:pt>
                <c:pt idx="173">
                  <c:v>3.0266E-3</c:v>
                </c:pt>
                <c:pt idx="174">
                  <c:v>3.0793299999999999E-3</c:v>
                </c:pt>
                <c:pt idx="175">
                  <c:v>3.0654499999999999E-3</c:v>
                </c:pt>
                <c:pt idx="176">
                  <c:v>3.11188E-3</c:v>
                </c:pt>
                <c:pt idx="177">
                  <c:v>3.1437800000000001E-3</c:v>
                </c:pt>
                <c:pt idx="178">
                  <c:v>2.9873E-3</c:v>
                </c:pt>
                <c:pt idx="179">
                  <c:v>3.07998E-3</c:v>
                </c:pt>
                <c:pt idx="180">
                  <c:v>3.1860299999999999E-3</c:v>
                </c:pt>
                <c:pt idx="181">
                  <c:v>3.1208E-3</c:v>
                </c:pt>
                <c:pt idx="182">
                  <c:v>3.1986100000000002E-3</c:v>
                </c:pt>
                <c:pt idx="183">
                  <c:v>3.1846399999999999E-3</c:v>
                </c:pt>
                <c:pt idx="184">
                  <c:v>3.2371499999999998E-3</c:v>
                </c:pt>
                <c:pt idx="185">
                  <c:v>3.20441E-3</c:v>
                </c:pt>
                <c:pt idx="186">
                  <c:v>3.2107799999999999E-3</c:v>
                </c:pt>
                <c:pt idx="187">
                  <c:v>3.3014199999999998E-3</c:v>
                </c:pt>
                <c:pt idx="188">
                  <c:v>3.2674399999999999E-3</c:v>
                </c:pt>
                <c:pt idx="189">
                  <c:v>3.2523600000000001E-3</c:v>
                </c:pt>
                <c:pt idx="190">
                  <c:v>3.2680299999999999E-3</c:v>
                </c:pt>
                <c:pt idx="191">
                  <c:v>3.3176099999999999E-3</c:v>
                </c:pt>
                <c:pt idx="192">
                  <c:v>3.3481600000000002E-3</c:v>
                </c:pt>
                <c:pt idx="193">
                  <c:v>3.3539099999999999E-3</c:v>
                </c:pt>
                <c:pt idx="194">
                  <c:v>3.34608E-3</c:v>
                </c:pt>
                <c:pt idx="195">
                  <c:v>3.3767699999999999E-3</c:v>
                </c:pt>
                <c:pt idx="196">
                  <c:v>3.38273E-3</c:v>
                </c:pt>
                <c:pt idx="197">
                  <c:v>3.4516799999999999E-3</c:v>
                </c:pt>
                <c:pt idx="198">
                  <c:v>3.4276699999999998E-3</c:v>
                </c:pt>
                <c:pt idx="199">
                  <c:v>3.4359500000000001E-3</c:v>
                </c:pt>
                <c:pt idx="200">
                  <c:v>3.4513399999999998E-3</c:v>
                </c:pt>
                <c:pt idx="201">
                  <c:v>3.48819E-3</c:v>
                </c:pt>
                <c:pt idx="202">
                  <c:v>3.5058699999999999E-3</c:v>
                </c:pt>
                <c:pt idx="203">
                  <c:v>3.4628699999999998E-3</c:v>
                </c:pt>
                <c:pt idx="204">
                  <c:v>3.4555900000000001E-3</c:v>
                </c:pt>
                <c:pt idx="205">
                  <c:v>3.5931800000000001E-3</c:v>
                </c:pt>
                <c:pt idx="206">
                  <c:v>3.5641399999999999E-3</c:v>
                </c:pt>
                <c:pt idx="207">
                  <c:v>3.56764E-3</c:v>
                </c:pt>
                <c:pt idx="208">
                  <c:v>3.57961E-3</c:v>
                </c:pt>
                <c:pt idx="209">
                  <c:v>3.6054799999999999E-3</c:v>
                </c:pt>
                <c:pt idx="210">
                  <c:v>3.59181E-3</c:v>
                </c:pt>
                <c:pt idx="211">
                  <c:v>3.64899E-3</c:v>
                </c:pt>
                <c:pt idx="212">
                  <c:v>3.6353700000000002E-3</c:v>
                </c:pt>
                <c:pt idx="213">
                  <c:v>3.6762600000000002E-3</c:v>
                </c:pt>
                <c:pt idx="214">
                  <c:v>3.6934200000000002E-3</c:v>
                </c:pt>
                <c:pt idx="215">
                  <c:v>3.7153199999999998E-3</c:v>
                </c:pt>
                <c:pt idx="216">
                  <c:v>3.7413899999999998E-3</c:v>
                </c:pt>
                <c:pt idx="217">
                  <c:v>3.7801000000000002E-3</c:v>
                </c:pt>
                <c:pt idx="218">
                  <c:v>3.74114E-3</c:v>
                </c:pt>
                <c:pt idx="219">
                  <c:v>3.8230600000000001E-3</c:v>
                </c:pt>
                <c:pt idx="220">
                  <c:v>3.7425100000000001E-3</c:v>
                </c:pt>
                <c:pt idx="221">
                  <c:v>3.7833900000000002E-3</c:v>
                </c:pt>
                <c:pt idx="222">
                  <c:v>3.8888600000000001E-3</c:v>
                </c:pt>
                <c:pt idx="223">
                  <c:v>3.7434199999999999E-3</c:v>
                </c:pt>
                <c:pt idx="224">
                  <c:v>3.8993999999999999E-3</c:v>
                </c:pt>
                <c:pt idx="225">
                  <c:v>3.8566E-3</c:v>
                </c:pt>
                <c:pt idx="226">
                  <c:v>3.9738600000000001E-3</c:v>
                </c:pt>
                <c:pt idx="227">
                  <c:v>3.8372300000000001E-3</c:v>
                </c:pt>
                <c:pt idx="228">
                  <c:v>3.9011200000000001E-3</c:v>
                </c:pt>
                <c:pt idx="229">
                  <c:v>3.9638700000000004E-3</c:v>
                </c:pt>
                <c:pt idx="230">
                  <c:v>3.8850400000000002E-3</c:v>
                </c:pt>
                <c:pt idx="231">
                  <c:v>4.0018199999999997E-3</c:v>
                </c:pt>
                <c:pt idx="232">
                  <c:v>3.9615099999999997E-3</c:v>
                </c:pt>
                <c:pt idx="233">
                  <c:v>4.0003699999999996E-3</c:v>
                </c:pt>
                <c:pt idx="234">
                  <c:v>3.9709699999999999E-3</c:v>
                </c:pt>
                <c:pt idx="235">
                  <c:v>4.0480000000000004E-3</c:v>
                </c:pt>
                <c:pt idx="236">
                  <c:v>4.0697199999999998E-3</c:v>
                </c:pt>
                <c:pt idx="237">
                  <c:v>4.0863899999999996E-3</c:v>
                </c:pt>
                <c:pt idx="238">
                  <c:v>4.0403899999999996E-3</c:v>
                </c:pt>
                <c:pt idx="239">
                  <c:v>4.11349E-3</c:v>
                </c:pt>
                <c:pt idx="240">
                  <c:v>4.1021900000000004E-3</c:v>
                </c:pt>
                <c:pt idx="241">
                  <c:v>4.12649E-3</c:v>
                </c:pt>
                <c:pt idx="242">
                  <c:v>4.15264E-3</c:v>
                </c:pt>
                <c:pt idx="243">
                  <c:v>4.1141499999999996E-3</c:v>
                </c:pt>
                <c:pt idx="244">
                  <c:v>4.1096199999999996E-3</c:v>
                </c:pt>
                <c:pt idx="245">
                  <c:v>4.1610800000000002E-3</c:v>
                </c:pt>
                <c:pt idx="246">
                  <c:v>4.1250899999999997E-3</c:v>
                </c:pt>
                <c:pt idx="247">
                  <c:v>4.2051099999999998E-3</c:v>
                </c:pt>
                <c:pt idx="248">
                  <c:v>4.2454099999999998E-3</c:v>
                </c:pt>
                <c:pt idx="249">
                  <c:v>4.1470600000000002E-3</c:v>
                </c:pt>
                <c:pt idx="250">
                  <c:v>4.2031100000000004E-3</c:v>
                </c:pt>
                <c:pt idx="251">
                  <c:v>4.25327E-3</c:v>
                </c:pt>
                <c:pt idx="252">
                  <c:v>4.2393500000000002E-3</c:v>
                </c:pt>
                <c:pt idx="253">
                  <c:v>4.3146499999999997E-3</c:v>
                </c:pt>
                <c:pt idx="254">
                  <c:v>4.3469600000000004E-3</c:v>
                </c:pt>
                <c:pt idx="255">
                  <c:v>4.3348700000000002E-3</c:v>
                </c:pt>
                <c:pt idx="256">
                  <c:v>4.3633700000000001E-3</c:v>
                </c:pt>
                <c:pt idx="257">
                  <c:v>4.3383099999999997E-3</c:v>
                </c:pt>
                <c:pt idx="258">
                  <c:v>4.3943899999999998E-3</c:v>
                </c:pt>
                <c:pt idx="259">
                  <c:v>4.43933E-3</c:v>
                </c:pt>
                <c:pt idx="260">
                  <c:v>4.4545699999999997E-3</c:v>
                </c:pt>
                <c:pt idx="261">
                  <c:v>4.4281399999999997E-3</c:v>
                </c:pt>
                <c:pt idx="262">
                  <c:v>4.41144E-3</c:v>
                </c:pt>
                <c:pt idx="263">
                  <c:v>4.4487099999999998E-3</c:v>
                </c:pt>
                <c:pt idx="264">
                  <c:v>4.4762999999999999E-3</c:v>
                </c:pt>
                <c:pt idx="265">
                  <c:v>4.4557800000000003E-3</c:v>
                </c:pt>
                <c:pt idx="266">
                  <c:v>4.4728299999999997E-3</c:v>
                </c:pt>
                <c:pt idx="267">
                  <c:v>4.5205100000000002E-3</c:v>
                </c:pt>
                <c:pt idx="268">
                  <c:v>4.5384300000000004E-3</c:v>
                </c:pt>
                <c:pt idx="269">
                  <c:v>4.4881499999999998E-3</c:v>
                </c:pt>
                <c:pt idx="270">
                  <c:v>4.59941E-3</c:v>
                </c:pt>
                <c:pt idx="271">
                  <c:v>4.6109899999999997E-3</c:v>
                </c:pt>
                <c:pt idx="272">
                  <c:v>4.5765099999999998E-3</c:v>
                </c:pt>
                <c:pt idx="273">
                  <c:v>4.6215900000000001E-3</c:v>
                </c:pt>
                <c:pt idx="274">
                  <c:v>4.6510700000000002E-3</c:v>
                </c:pt>
                <c:pt idx="275">
                  <c:v>4.5898400000000004E-3</c:v>
                </c:pt>
                <c:pt idx="276">
                  <c:v>4.6464399999999999E-3</c:v>
                </c:pt>
                <c:pt idx="277">
                  <c:v>4.6679E-3</c:v>
                </c:pt>
                <c:pt idx="278">
                  <c:v>4.6677999999999997E-3</c:v>
                </c:pt>
                <c:pt idx="279">
                  <c:v>4.7440299999999998E-3</c:v>
                </c:pt>
                <c:pt idx="280">
                  <c:v>4.7229699999999999E-3</c:v>
                </c:pt>
                <c:pt idx="281">
                  <c:v>4.7572999999999999E-3</c:v>
                </c:pt>
                <c:pt idx="282">
                  <c:v>4.7374799999999996E-3</c:v>
                </c:pt>
                <c:pt idx="283">
                  <c:v>4.7712199999999996E-3</c:v>
                </c:pt>
                <c:pt idx="284">
                  <c:v>4.8192399999999998E-3</c:v>
                </c:pt>
                <c:pt idx="285">
                  <c:v>4.8051500000000002E-3</c:v>
                </c:pt>
                <c:pt idx="286">
                  <c:v>4.76385E-3</c:v>
                </c:pt>
                <c:pt idx="287">
                  <c:v>4.7871900000000002E-3</c:v>
                </c:pt>
                <c:pt idx="288">
                  <c:v>4.81717E-3</c:v>
                </c:pt>
                <c:pt idx="289">
                  <c:v>4.8406200000000003E-3</c:v>
                </c:pt>
                <c:pt idx="290">
                  <c:v>4.8995999999999996E-3</c:v>
                </c:pt>
                <c:pt idx="291">
                  <c:v>4.89691E-3</c:v>
                </c:pt>
                <c:pt idx="292">
                  <c:v>4.8553900000000002E-3</c:v>
                </c:pt>
                <c:pt idx="293">
                  <c:v>4.9242399999999999E-3</c:v>
                </c:pt>
                <c:pt idx="294">
                  <c:v>4.9204899999999996E-3</c:v>
                </c:pt>
                <c:pt idx="295">
                  <c:v>4.9214200000000001E-3</c:v>
                </c:pt>
                <c:pt idx="296">
                  <c:v>4.9666099999999998E-3</c:v>
                </c:pt>
                <c:pt idx="297">
                  <c:v>4.9129300000000002E-3</c:v>
                </c:pt>
                <c:pt idx="298">
                  <c:v>4.9783600000000003E-3</c:v>
                </c:pt>
                <c:pt idx="299">
                  <c:v>4.9652400000000001E-3</c:v>
                </c:pt>
                <c:pt idx="300">
                  <c:v>4.9488199999999996E-3</c:v>
                </c:pt>
                <c:pt idx="301">
                  <c:v>4.9918799999999998E-3</c:v>
                </c:pt>
                <c:pt idx="302">
                  <c:v>5.0481600000000003E-3</c:v>
                </c:pt>
                <c:pt idx="303">
                  <c:v>5.03492E-3</c:v>
                </c:pt>
                <c:pt idx="304">
                  <c:v>5.0369200000000003E-3</c:v>
                </c:pt>
                <c:pt idx="305">
                  <c:v>5.2223800000000004E-3</c:v>
                </c:pt>
                <c:pt idx="306">
                  <c:v>5.0494700000000003E-3</c:v>
                </c:pt>
                <c:pt idx="307">
                  <c:v>5.1255500000000004E-3</c:v>
                </c:pt>
                <c:pt idx="308">
                  <c:v>5.1371100000000003E-3</c:v>
                </c:pt>
                <c:pt idx="309">
                  <c:v>5.1942400000000001E-3</c:v>
                </c:pt>
                <c:pt idx="310">
                  <c:v>5.2163799999999996E-3</c:v>
                </c:pt>
                <c:pt idx="311">
                  <c:v>5.20201E-3</c:v>
                </c:pt>
                <c:pt idx="312">
                  <c:v>5.2060500000000003E-3</c:v>
                </c:pt>
                <c:pt idx="313">
                  <c:v>5.2102800000000003E-3</c:v>
                </c:pt>
                <c:pt idx="314">
                  <c:v>5.24509E-3</c:v>
                </c:pt>
                <c:pt idx="315">
                  <c:v>5.2610499999999998E-3</c:v>
                </c:pt>
                <c:pt idx="316">
                  <c:v>5.2204399999999998E-3</c:v>
                </c:pt>
                <c:pt idx="317">
                  <c:v>5.2707199999999996E-3</c:v>
                </c:pt>
                <c:pt idx="318">
                  <c:v>5.2953399999999999E-3</c:v>
                </c:pt>
                <c:pt idx="319">
                  <c:v>5.3294400000000004E-3</c:v>
                </c:pt>
                <c:pt idx="320">
                  <c:v>5.3046200000000003E-3</c:v>
                </c:pt>
                <c:pt idx="321">
                  <c:v>5.35214E-3</c:v>
                </c:pt>
                <c:pt idx="322">
                  <c:v>5.3339700000000004E-3</c:v>
                </c:pt>
                <c:pt idx="323">
                  <c:v>5.3883100000000003E-3</c:v>
                </c:pt>
                <c:pt idx="324">
                  <c:v>5.4058800000000001E-3</c:v>
                </c:pt>
                <c:pt idx="325">
                  <c:v>5.3963400000000003E-3</c:v>
                </c:pt>
                <c:pt idx="326">
                  <c:v>5.4398199999999997E-3</c:v>
                </c:pt>
                <c:pt idx="327">
                  <c:v>5.4660899999999998E-3</c:v>
                </c:pt>
                <c:pt idx="328">
                  <c:v>5.4331199999999996E-3</c:v>
                </c:pt>
                <c:pt idx="329">
                  <c:v>5.46943E-3</c:v>
                </c:pt>
                <c:pt idx="330">
                  <c:v>5.4949400000000002E-3</c:v>
                </c:pt>
                <c:pt idx="331">
                  <c:v>5.5004700000000004E-3</c:v>
                </c:pt>
                <c:pt idx="332">
                  <c:v>5.4621399999999999E-3</c:v>
                </c:pt>
                <c:pt idx="333">
                  <c:v>5.6073099999999999E-3</c:v>
                </c:pt>
                <c:pt idx="334">
                  <c:v>5.5689099999999998E-3</c:v>
                </c:pt>
                <c:pt idx="335">
                  <c:v>5.5485300000000003E-3</c:v>
                </c:pt>
                <c:pt idx="336">
                  <c:v>5.5252399999999998E-3</c:v>
                </c:pt>
                <c:pt idx="337">
                  <c:v>5.6245100000000001E-3</c:v>
                </c:pt>
                <c:pt idx="338">
                  <c:v>5.6578399999999999E-3</c:v>
                </c:pt>
                <c:pt idx="339">
                  <c:v>5.5712100000000001E-3</c:v>
                </c:pt>
                <c:pt idx="340">
                  <c:v>5.6041700000000003E-3</c:v>
                </c:pt>
                <c:pt idx="341">
                  <c:v>5.5973200000000002E-3</c:v>
                </c:pt>
                <c:pt idx="342">
                  <c:v>5.7290600000000002E-3</c:v>
                </c:pt>
                <c:pt idx="343">
                  <c:v>5.7498000000000002E-3</c:v>
                </c:pt>
                <c:pt idx="344">
                  <c:v>5.7531700000000002E-3</c:v>
                </c:pt>
                <c:pt idx="345">
                  <c:v>5.8187899999999999E-3</c:v>
                </c:pt>
                <c:pt idx="346">
                  <c:v>5.83411E-3</c:v>
                </c:pt>
                <c:pt idx="347">
                  <c:v>5.7335399999999996E-3</c:v>
                </c:pt>
                <c:pt idx="348">
                  <c:v>5.8283700000000003E-3</c:v>
                </c:pt>
                <c:pt idx="349">
                  <c:v>5.8005699999999997E-3</c:v>
                </c:pt>
                <c:pt idx="350">
                  <c:v>5.7631999999999996E-3</c:v>
                </c:pt>
                <c:pt idx="351">
                  <c:v>5.8843400000000001E-3</c:v>
                </c:pt>
                <c:pt idx="352">
                  <c:v>5.8491000000000003E-3</c:v>
                </c:pt>
                <c:pt idx="353">
                  <c:v>5.8186499999999999E-3</c:v>
                </c:pt>
                <c:pt idx="354">
                  <c:v>5.9462400000000002E-3</c:v>
                </c:pt>
                <c:pt idx="355">
                  <c:v>5.9117500000000003E-3</c:v>
                </c:pt>
                <c:pt idx="356">
                  <c:v>5.9157400000000001E-3</c:v>
                </c:pt>
                <c:pt idx="357">
                  <c:v>5.93971E-3</c:v>
                </c:pt>
                <c:pt idx="358">
                  <c:v>6.0186399999999996E-3</c:v>
                </c:pt>
                <c:pt idx="359">
                  <c:v>5.9677599999999999E-3</c:v>
                </c:pt>
                <c:pt idx="360">
                  <c:v>6.0062800000000001E-3</c:v>
                </c:pt>
                <c:pt idx="361">
                  <c:v>6.0742399999999998E-3</c:v>
                </c:pt>
                <c:pt idx="362">
                  <c:v>6.02281E-3</c:v>
                </c:pt>
                <c:pt idx="363">
                  <c:v>5.9846700000000001E-3</c:v>
                </c:pt>
                <c:pt idx="364">
                  <c:v>6.0922299999999997E-3</c:v>
                </c:pt>
                <c:pt idx="365">
                  <c:v>6.0254200000000001E-3</c:v>
                </c:pt>
                <c:pt idx="366">
                  <c:v>6.0597999999999997E-3</c:v>
                </c:pt>
                <c:pt idx="367">
                  <c:v>6.0660599999999999E-3</c:v>
                </c:pt>
                <c:pt idx="368">
                  <c:v>6.0814399999999996E-3</c:v>
                </c:pt>
                <c:pt idx="369">
                  <c:v>6.16959E-3</c:v>
                </c:pt>
                <c:pt idx="370">
                  <c:v>6.1760799999999996E-3</c:v>
                </c:pt>
                <c:pt idx="371">
                  <c:v>6.0708999999999997E-3</c:v>
                </c:pt>
                <c:pt idx="372">
                  <c:v>6.1654300000000004E-3</c:v>
                </c:pt>
                <c:pt idx="373">
                  <c:v>6.2217699999999997E-3</c:v>
                </c:pt>
                <c:pt idx="374">
                  <c:v>6.2307999999999999E-3</c:v>
                </c:pt>
                <c:pt idx="375">
                  <c:v>6.2429399999999998E-3</c:v>
                </c:pt>
                <c:pt idx="376">
                  <c:v>6.2208799999999998E-3</c:v>
                </c:pt>
                <c:pt idx="377">
                  <c:v>6.3273699999999997E-3</c:v>
                </c:pt>
                <c:pt idx="378">
                  <c:v>6.34849E-3</c:v>
                </c:pt>
                <c:pt idx="379">
                  <c:v>6.3220400000000001E-3</c:v>
                </c:pt>
                <c:pt idx="380">
                  <c:v>6.3464400000000001E-3</c:v>
                </c:pt>
                <c:pt idx="381">
                  <c:v>6.3515899999999998E-3</c:v>
                </c:pt>
                <c:pt idx="382">
                  <c:v>6.3295399999999998E-3</c:v>
                </c:pt>
                <c:pt idx="383">
                  <c:v>6.3509400000000002E-3</c:v>
                </c:pt>
                <c:pt idx="384">
                  <c:v>6.3659600000000004E-3</c:v>
                </c:pt>
                <c:pt idx="385">
                  <c:v>6.4348199999999999E-3</c:v>
                </c:pt>
                <c:pt idx="386">
                  <c:v>6.3867300000000002E-3</c:v>
                </c:pt>
                <c:pt idx="387">
                  <c:v>6.4259499999999997E-3</c:v>
                </c:pt>
                <c:pt idx="388">
                  <c:v>6.4223600000000002E-3</c:v>
                </c:pt>
                <c:pt idx="389">
                  <c:v>6.4805599999999998E-3</c:v>
                </c:pt>
                <c:pt idx="390">
                  <c:v>6.5006400000000002E-3</c:v>
                </c:pt>
                <c:pt idx="391">
                  <c:v>6.5327099999999997E-3</c:v>
                </c:pt>
                <c:pt idx="392">
                  <c:v>6.5291400000000001E-3</c:v>
                </c:pt>
                <c:pt idx="393">
                  <c:v>6.6066700000000003E-3</c:v>
                </c:pt>
              </c:numCache>
            </c:numRef>
          </c:xVal>
          <c:yVal>
            <c:numRef>
              <c:f>'L30CPTX-3'!$V$7:$V$395</c:f>
              <c:numCache>
                <c:formatCode>General</c:formatCode>
                <c:ptCount val="389"/>
                <c:pt idx="0">
                  <c:v>0.30441540948275864</c:v>
                </c:pt>
                <c:pt idx="1">
                  <c:v>0.37749299568965522</c:v>
                </c:pt>
                <c:pt idx="2">
                  <c:v>0.359223599137931</c:v>
                </c:pt>
                <c:pt idx="3">
                  <c:v>0.39576185344827586</c:v>
                </c:pt>
                <c:pt idx="4">
                  <c:v>0.21306896551724139</c:v>
                </c:pt>
                <c:pt idx="5">
                  <c:v>0.8037769396551725</c:v>
                </c:pt>
                <c:pt idx="6">
                  <c:v>1.1448006465517242</c:v>
                </c:pt>
                <c:pt idx="7">
                  <c:v>1.4675592672413795</c:v>
                </c:pt>
                <c:pt idx="8">
                  <c:v>1.7355118534482759</c:v>
                </c:pt>
                <c:pt idx="9">
                  <c:v>2.3749353448275863</c:v>
                </c:pt>
                <c:pt idx="10">
                  <c:v>2.6246174568965519</c:v>
                </c:pt>
                <c:pt idx="11">
                  <c:v>3.0752586206896555</c:v>
                </c:pt>
                <c:pt idx="12">
                  <c:v>3.4162877155172415</c:v>
                </c:pt>
                <c:pt idx="13">
                  <c:v>3.513723060344828</c:v>
                </c:pt>
                <c:pt idx="14">
                  <c:v>3.8851993534482756</c:v>
                </c:pt>
                <c:pt idx="15">
                  <c:v>4.0252640086206899</c:v>
                </c:pt>
                <c:pt idx="16">
                  <c:v>4.2810344827586206</c:v>
                </c:pt>
                <c:pt idx="17">
                  <c:v>4.6281519396551722</c:v>
                </c:pt>
                <c:pt idx="18">
                  <c:v>4.841293103448276</c:v>
                </c:pt>
                <c:pt idx="19">
                  <c:v>5.090969827586207</c:v>
                </c:pt>
                <c:pt idx="20">
                  <c:v>5.2432165948275857</c:v>
                </c:pt>
                <c:pt idx="21">
                  <c:v>5.4928879310344829</c:v>
                </c:pt>
                <c:pt idx="22">
                  <c:v>5.6329741379310345</c:v>
                </c:pt>
                <c:pt idx="23">
                  <c:v>6.0592672413793096</c:v>
                </c:pt>
                <c:pt idx="24">
                  <c:v>6.2114762931034484</c:v>
                </c:pt>
                <c:pt idx="25">
                  <c:v>6.5829741379310347</c:v>
                </c:pt>
                <c:pt idx="26">
                  <c:v>6.7351831896551726</c:v>
                </c:pt>
                <c:pt idx="27">
                  <c:v>7.1310344827586212</c:v>
                </c:pt>
                <c:pt idx="28">
                  <c:v>7.1797413793103448</c:v>
                </c:pt>
                <c:pt idx="29">
                  <c:v>7.3807112068965512</c:v>
                </c:pt>
                <c:pt idx="30">
                  <c:v>7.7095905172413799</c:v>
                </c:pt>
                <c:pt idx="31">
                  <c:v>8.0566810344827591</c:v>
                </c:pt>
                <c:pt idx="32">
                  <c:v>8.2637392241379306</c:v>
                </c:pt>
                <c:pt idx="33">
                  <c:v>8.4951508620689662</c:v>
                </c:pt>
                <c:pt idx="34">
                  <c:v>8.5499461206896541</c:v>
                </c:pt>
                <c:pt idx="35">
                  <c:v>8.909267241379311</c:v>
                </c:pt>
                <c:pt idx="36">
                  <c:v>9.3903556034482758</c:v>
                </c:pt>
                <c:pt idx="37">
                  <c:v>9.7496228448275861</c:v>
                </c:pt>
                <c:pt idx="38">
                  <c:v>9.993211206896552</c:v>
                </c:pt>
                <c:pt idx="39">
                  <c:v>10.011530172413794</c:v>
                </c:pt>
                <c:pt idx="40">
                  <c:v>10.303825431034484</c:v>
                </c:pt>
                <c:pt idx="41">
                  <c:v>10.590032327586208</c:v>
                </c:pt>
                <c:pt idx="42">
                  <c:v>10.827532327586207</c:v>
                </c:pt>
                <c:pt idx="43">
                  <c:v>11.138092672413794</c:v>
                </c:pt>
                <c:pt idx="44">
                  <c:v>11.235560344827588</c:v>
                </c:pt>
                <c:pt idx="45">
                  <c:v>11.667941810344828</c:v>
                </c:pt>
                <c:pt idx="46">
                  <c:v>12.045474137931034</c:v>
                </c:pt>
                <c:pt idx="47">
                  <c:v>12.051562500000001</c:v>
                </c:pt>
                <c:pt idx="48">
                  <c:v>12.374353448275862</c:v>
                </c:pt>
                <c:pt idx="49">
                  <c:v>12.563092672413793</c:v>
                </c:pt>
                <c:pt idx="50">
                  <c:v>12.764062500000001</c:v>
                </c:pt>
                <c:pt idx="51">
                  <c:v>12.995474137931035</c:v>
                </c:pt>
                <c:pt idx="52">
                  <c:v>13.373060344827586</c:v>
                </c:pt>
                <c:pt idx="53">
                  <c:v>13.513092672413794</c:v>
                </c:pt>
                <c:pt idx="54">
                  <c:v>13.671443965517243</c:v>
                </c:pt>
                <c:pt idx="55">
                  <c:v>14.05511853448276</c:v>
                </c:pt>
                <c:pt idx="56">
                  <c:v>14.049030172413794</c:v>
                </c:pt>
                <c:pt idx="57">
                  <c:v>14.487500000000001</c:v>
                </c:pt>
                <c:pt idx="58">
                  <c:v>14.725000000000001</c:v>
                </c:pt>
                <c:pt idx="59">
                  <c:v>14.913739224137931</c:v>
                </c:pt>
                <c:pt idx="60">
                  <c:v>15.078178879310347</c:v>
                </c:pt>
                <c:pt idx="61">
                  <c:v>15.443588362068965</c:v>
                </c:pt>
                <c:pt idx="62">
                  <c:v>15.571443965517242</c:v>
                </c:pt>
                <c:pt idx="63">
                  <c:v>15.851562500000002</c:v>
                </c:pt>
                <c:pt idx="64">
                  <c:v>16.06470905172414</c:v>
                </c:pt>
                <c:pt idx="65">
                  <c:v>16.357058189655174</c:v>
                </c:pt>
                <c:pt idx="66">
                  <c:v>16.491002155172414</c:v>
                </c:pt>
                <c:pt idx="67">
                  <c:v>16.923383620689656</c:v>
                </c:pt>
                <c:pt idx="68">
                  <c:v>17.307058189655173</c:v>
                </c:pt>
                <c:pt idx="69">
                  <c:v>17.294881465517243</c:v>
                </c:pt>
                <c:pt idx="70">
                  <c:v>17.74552801724138</c:v>
                </c:pt>
                <c:pt idx="71">
                  <c:v>17.897737068965519</c:v>
                </c:pt>
                <c:pt idx="72">
                  <c:v>17.946443965517243</c:v>
                </c:pt>
                <c:pt idx="73">
                  <c:v>18.342295258620691</c:v>
                </c:pt>
                <c:pt idx="74">
                  <c:v>18.366648706896552</c:v>
                </c:pt>
                <c:pt idx="75">
                  <c:v>18.811206896551724</c:v>
                </c:pt>
                <c:pt idx="76">
                  <c:v>19.103502155172414</c:v>
                </c:pt>
                <c:pt idx="77">
                  <c:v>19.29229525862069</c:v>
                </c:pt>
                <c:pt idx="78">
                  <c:v>19.462823275862071</c:v>
                </c:pt>
                <c:pt idx="79">
                  <c:v>19.742941810344828</c:v>
                </c:pt>
                <c:pt idx="80">
                  <c:v>19.907381465517243</c:v>
                </c:pt>
                <c:pt idx="81">
                  <c:v>19.913469827586209</c:v>
                </c:pt>
                <c:pt idx="82">
                  <c:v>20.26664870689655</c:v>
                </c:pt>
                <c:pt idx="83">
                  <c:v>20.217941810344826</c:v>
                </c:pt>
                <c:pt idx="84">
                  <c:v>20.528556034482758</c:v>
                </c:pt>
                <c:pt idx="85">
                  <c:v>20.802586206896553</c:v>
                </c:pt>
                <c:pt idx="86">
                  <c:v>20.918265086206898</c:v>
                </c:pt>
                <c:pt idx="87">
                  <c:v>21.326293103448275</c:v>
                </c:pt>
                <c:pt idx="88">
                  <c:v>21.417618534482759</c:v>
                </c:pt>
                <c:pt idx="89">
                  <c:v>21.746497844827587</c:v>
                </c:pt>
                <c:pt idx="90">
                  <c:v>22.032704741379312</c:v>
                </c:pt>
                <c:pt idx="91">
                  <c:v>22.184967672413791</c:v>
                </c:pt>
                <c:pt idx="92">
                  <c:v>22.410290948275865</c:v>
                </c:pt>
                <c:pt idx="93">
                  <c:v>22.678232758620691</c:v>
                </c:pt>
                <c:pt idx="94">
                  <c:v>23.086206896551726</c:v>
                </c:pt>
                <c:pt idx="95">
                  <c:v>23.183674568965518</c:v>
                </c:pt>
                <c:pt idx="96">
                  <c:v>23.354202586206895</c:v>
                </c:pt>
                <c:pt idx="97">
                  <c:v>23.524676724137933</c:v>
                </c:pt>
                <c:pt idx="98">
                  <c:v>23.981411637931036</c:v>
                </c:pt>
                <c:pt idx="99">
                  <c:v>24.188469827586207</c:v>
                </c:pt>
                <c:pt idx="100">
                  <c:v>24.419881465517243</c:v>
                </c:pt>
                <c:pt idx="101">
                  <c:v>24.419881465517243</c:v>
                </c:pt>
                <c:pt idx="102">
                  <c:v>24.742672413793102</c:v>
                </c:pt>
                <c:pt idx="103">
                  <c:v>25.181088362068966</c:v>
                </c:pt>
                <c:pt idx="104">
                  <c:v>25.442995689655174</c:v>
                </c:pt>
                <c:pt idx="105">
                  <c:v>25.534321120689658</c:v>
                </c:pt>
                <c:pt idx="106">
                  <c:v>25.820528017241379</c:v>
                </c:pt>
                <c:pt idx="107">
                  <c:v>26.155495689655172</c:v>
                </c:pt>
                <c:pt idx="108">
                  <c:v>26.423437499999999</c:v>
                </c:pt>
                <c:pt idx="109">
                  <c:v>26.447790948275863</c:v>
                </c:pt>
                <c:pt idx="110">
                  <c:v>26.800969827586208</c:v>
                </c:pt>
                <c:pt idx="111">
                  <c:v>26.861907327586206</c:v>
                </c:pt>
                <c:pt idx="112">
                  <c:v>27.318642241379312</c:v>
                </c:pt>
                <c:pt idx="113">
                  <c:v>27.550053879310344</c:v>
                </c:pt>
                <c:pt idx="114">
                  <c:v>27.909321120689658</c:v>
                </c:pt>
                <c:pt idx="115">
                  <c:v>28.00678879310345</c:v>
                </c:pt>
                <c:pt idx="116">
                  <c:v>28.37823275862069</c:v>
                </c:pt>
                <c:pt idx="117">
                  <c:v>28.554849137931033</c:v>
                </c:pt>
                <c:pt idx="118">
                  <c:v>28.834967672413796</c:v>
                </c:pt>
                <c:pt idx="119">
                  <c:v>28.968965517241383</c:v>
                </c:pt>
                <c:pt idx="120">
                  <c:v>29.151616379310344</c:v>
                </c:pt>
                <c:pt idx="121">
                  <c:v>29.510937499999997</c:v>
                </c:pt>
                <c:pt idx="122">
                  <c:v>29.766702586206897</c:v>
                </c:pt>
                <c:pt idx="123">
                  <c:v>29.943318965517239</c:v>
                </c:pt>
                <c:pt idx="124">
                  <c:v>30.13820043103448</c:v>
                </c:pt>
                <c:pt idx="125">
                  <c:v>30.442672413793105</c:v>
                </c:pt>
                <c:pt idx="126">
                  <c:v>30.68626077586207</c:v>
                </c:pt>
                <c:pt idx="127">
                  <c:v>30.978556034482757</c:v>
                </c:pt>
                <c:pt idx="128">
                  <c:v>31.246497844827591</c:v>
                </c:pt>
                <c:pt idx="129">
                  <c:v>31.471821120689658</c:v>
                </c:pt>
                <c:pt idx="130">
                  <c:v>31.624084051724139</c:v>
                </c:pt>
                <c:pt idx="131">
                  <c:v>31.989493534482758</c:v>
                </c:pt>
                <c:pt idx="132">
                  <c:v>32.099084051724141</c:v>
                </c:pt>
                <c:pt idx="133">
                  <c:v>32.233081896551724</c:v>
                </c:pt>
                <c:pt idx="134">
                  <c:v>32.82376077586207</c:v>
                </c:pt>
                <c:pt idx="135">
                  <c:v>32.976023706896555</c:v>
                </c:pt>
                <c:pt idx="136">
                  <c:v>33.109967672413795</c:v>
                </c:pt>
                <c:pt idx="137">
                  <c:v>33.47537715517241</c:v>
                </c:pt>
                <c:pt idx="138">
                  <c:v>33.658081896551721</c:v>
                </c:pt>
                <c:pt idx="139">
                  <c:v>33.956465517241377</c:v>
                </c:pt>
                <c:pt idx="140">
                  <c:v>34.352316810344831</c:v>
                </c:pt>
                <c:pt idx="141">
                  <c:v>34.327963362068971</c:v>
                </c:pt>
                <c:pt idx="142">
                  <c:v>34.401023706896552</c:v>
                </c:pt>
                <c:pt idx="143">
                  <c:v>34.711584051724138</c:v>
                </c:pt>
                <c:pt idx="144">
                  <c:v>34.997844827586206</c:v>
                </c:pt>
                <c:pt idx="145">
                  <c:v>35.314493534482757</c:v>
                </c:pt>
                <c:pt idx="146">
                  <c:v>35.521551724137936</c:v>
                </c:pt>
                <c:pt idx="147">
                  <c:v>35.850377155172417</c:v>
                </c:pt>
                <c:pt idx="148">
                  <c:v>36.10614224137931</c:v>
                </c:pt>
                <c:pt idx="149">
                  <c:v>36.173168103448276</c:v>
                </c:pt>
                <c:pt idx="150">
                  <c:v>36.380226293103448</c:v>
                </c:pt>
                <c:pt idx="151">
                  <c:v>36.465463362068967</c:v>
                </c:pt>
                <c:pt idx="152">
                  <c:v>36.763846982758622</c:v>
                </c:pt>
                <c:pt idx="153">
                  <c:v>37.043965517241382</c:v>
                </c:pt>
                <c:pt idx="154">
                  <c:v>37.251023706896554</c:v>
                </c:pt>
                <c:pt idx="155">
                  <c:v>37.488523706896551</c:v>
                </c:pt>
                <c:pt idx="156">
                  <c:v>37.634698275862071</c:v>
                </c:pt>
                <c:pt idx="157">
                  <c:v>38.042726293103449</c:v>
                </c:pt>
                <c:pt idx="158">
                  <c:v>38.298491379310342</c:v>
                </c:pt>
                <c:pt idx="159">
                  <c:v>38.46901939655173</c:v>
                </c:pt>
                <c:pt idx="160">
                  <c:v>38.694288793103446</c:v>
                </c:pt>
                <c:pt idx="161">
                  <c:v>39.017079741379312</c:v>
                </c:pt>
                <c:pt idx="162">
                  <c:v>39.157112068965517</c:v>
                </c:pt>
                <c:pt idx="163">
                  <c:v>39.406842672413795</c:v>
                </c:pt>
                <c:pt idx="164">
                  <c:v>39.778286637931039</c:v>
                </c:pt>
                <c:pt idx="165">
                  <c:v>39.857435344827586</c:v>
                </c:pt>
                <c:pt idx="166">
                  <c:v>40.222844827586208</c:v>
                </c:pt>
                <c:pt idx="167">
                  <c:v>40.429903017241379</c:v>
                </c:pt>
                <c:pt idx="168">
                  <c:v>40.758728448275861</c:v>
                </c:pt>
                <c:pt idx="169">
                  <c:v>40.898814655172416</c:v>
                </c:pt>
                <c:pt idx="170">
                  <c:v>41.093696120689657</c:v>
                </c:pt>
                <c:pt idx="171">
                  <c:v>41.416433189655173</c:v>
                </c:pt>
                <c:pt idx="172">
                  <c:v>41.660021551724142</c:v>
                </c:pt>
                <c:pt idx="173">
                  <c:v>41.982812500000001</c:v>
                </c:pt>
                <c:pt idx="174">
                  <c:v>42.019342672413792</c:v>
                </c:pt>
                <c:pt idx="175">
                  <c:v>42.409051724137932</c:v>
                </c:pt>
                <c:pt idx="176">
                  <c:v>42.573491379310347</c:v>
                </c:pt>
                <c:pt idx="177">
                  <c:v>42.871875000000003</c:v>
                </c:pt>
                <c:pt idx="178">
                  <c:v>42.993696120689656</c:v>
                </c:pt>
                <c:pt idx="179">
                  <c:v>43.353017241379312</c:v>
                </c:pt>
                <c:pt idx="180">
                  <c:v>43.505226293103448</c:v>
                </c:pt>
                <c:pt idx="181">
                  <c:v>43.657489224137933</c:v>
                </c:pt>
                <c:pt idx="182">
                  <c:v>44.108135775862074</c:v>
                </c:pt>
                <c:pt idx="183">
                  <c:v>44.357812500000001</c:v>
                </c:pt>
                <c:pt idx="184">
                  <c:v>44.546605603448278</c:v>
                </c:pt>
                <c:pt idx="185">
                  <c:v>44.991163793103453</c:v>
                </c:pt>
                <c:pt idx="186">
                  <c:v>45.045959051724139</c:v>
                </c:pt>
                <c:pt idx="187">
                  <c:v>45.417403017241377</c:v>
                </c:pt>
                <c:pt idx="188">
                  <c:v>45.435721982758629</c:v>
                </c:pt>
                <c:pt idx="189">
                  <c:v>45.758459051724145</c:v>
                </c:pt>
                <c:pt idx="190">
                  <c:v>46.093372844827591</c:v>
                </c:pt>
                <c:pt idx="191">
                  <c:v>46.209105603448279</c:v>
                </c:pt>
                <c:pt idx="192">
                  <c:v>46.507489224137935</c:v>
                </c:pt>
                <c:pt idx="193">
                  <c:v>46.866810344827584</c:v>
                </c:pt>
                <c:pt idx="194">
                  <c:v>46.836368534482759</c:v>
                </c:pt>
                <c:pt idx="195">
                  <c:v>47.201724137931031</c:v>
                </c:pt>
                <c:pt idx="196">
                  <c:v>47.439224137931035</c:v>
                </c:pt>
                <c:pt idx="197">
                  <c:v>47.731519396551725</c:v>
                </c:pt>
                <c:pt idx="198">
                  <c:v>47.902047413793106</c:v>
                </c:pt>
                <c:pt idx="199">
                  <c:v>48.151724137931033</c:v>
                </c:pt>
                <c:pt idx="200">
                  <c:v>48.212607758620692</c:v>
                </c:pt>
                <c:pt idx="201">
                  <c:v>48.657165948275868</c:v>
                </c:pt>
                <c:pt idx="202">
                  <c:v>48.876400862068962</c:v>
                </c:pt>
                <c:pt idx="203">
                  <c:v>48.955603448275866</c:v>
                </c:pt>
                <c:pt idx="204">
                  <c:v>49.394073275862077</c:v>
                </c:pt>
                <c:pt idx="205">
                  <c:v>49.503663793103442</c:v>
                </c:pt>
                <c:pt idx="206">
                  <c:v>49.856896551724141</c:v>
                </c:pt>
                <c:pt idx="207">
                  <c:v>50.100484913793103</c:v>
                </c:pt>
                <c:pt idx="208">
                  <c:v>50.417133620689654</c:v>
                </c:pt>
                <c:pt idx="209">
                  <c:v>50.618103448275861</c:v>
                </c:pt>
                <c:pt idx="210">
                  <c:v>50.837338362068969</c:v>
                </c:pt>
                <c:pt idx="211">
                  <c:v>50.977370689655174</c:v>
                </c:pt>
                <c:pt idx="212">
                  <c:v>51.348868534482762</c:v>
                </c:pt>
                <c:pt idx="213">
                  <c:v>51.43410560344828</c:v>
                </c:pt>
                <c:pt idx="214">
                  <c:v>51.970043103448276</c:v>
                </c:pt>
                <c:pt idx="215">
                  <c:v>52.055280172413788</c:v>
                </c:pt>
                <c:pt idx="216">
                  <c:v>52.164924568965517</c:v>
                </c:pt>
                <c:pt idx="217">
                  <c:v>52.451131465517243</c:v>
                </c:pt>
                <c:pt idx="218">
                  <c:v>52.725161637931038</c:v>
                </c:pt>
                <c:pt idx="219">
                  <c:v>52.712984913793107</c:v>
                </c:pt>
                <c:pt idx="220">
                  <c:v>53.194073275862067</c:v>
                </c:pt>
                <c:pt idx="221">
                  <c:v>53.681249999999999</c:v>
                </c:pt>
                <c:pt idx="222">
                  <c:v>53.790894396551728</c:v>
                </c:pt>
                <c:pt idx="223">
                  <c:v>53.985991379310342</c:v>
                </c:pt>
                <c:pt idx="224">
                  <c:v>54.351293103448278</c:v>
                </c:pt>
                <c:pt idx="225">
                  <c:v>54.625</c:v>
                </c:pt>
                <c:pt idx="226">
                  <c:v>54.71066810344827</c:v>
                </c:pt>
                <c:pt idx="227">
                  <c:v>55.130387931034491</c:v>
                </c:pt>
                <c:pt idx="228">
                  <c:v>55.319504310344826</c:v>
                </c:pt>
                <c:pt idx="229">
                  <c:v>55.471443965517246</c:v>
                </c:pt>
                <c:pt idx="230">
                  <c:v>55.690732758620697</c:v>
                </c:pt>
                <c:pt idx="231">
                  <c:v>55.867456896551722</c:v>
                </c:pt>
                <c:pt idx="232">
                  <c:v>56.269396551724142</c:v>
                </c:pt>
                <c:pt idx="233">
                  <c:v>56.433728448275865</c:v>
                </c:pt>
                <c:pt idx="234">
                  <c:v>56.665409482758626</c:v>
                </c:pt>
                <c:pt idx="235">
                  <c:v>56.859913793103452</c:v>
                </c:pt>
                <c:pt idx="236">
                  <c:v>57.170797413793103</c:v>
                </c:pt>
                <c:pt idx="237">
                  <c:v>57.523706896551722</c:v>
                </c:pt>
                <c:pt idx="238">
                  <c:v>57.554418103448278</c:v>
                </c:pt>
                <c:pt idx="239">
                  <c:v>57.91379310344827</c:v>
                </c:pt>
                <c:pt idx="240">
                  <c:v>58.279094827586214</c:v>
                </c:pt>
                <c:pt idx="241">
                  <c:v>58.419181034482762</c:v>
                </c:pt>
                <c:pt idx="242">
                  <c:v>58.583512931034484</c:v>
                </c:pt>
                <c:pt idx="243">
                  <c:v>58.480064655172413</c:v>
                </c:pt>
                <c:pt idx="244">
                  <c:v>58.760237068965516</c:v>
                </c:pt>
                <c:pt idx="245">
                  <c:v>59.228987068965516</c:v>
                </c:pt>
                <c:pt idx="246">
                  <c:v>59.241379310344833</c:v>
                </c:pt>
                <c:pt idx="247">
                  <c:v>59.67995689655173</c:v>
                </c:pt>
                <c:pt idx="248">
                  <c:v>59.911099137931039</c:v>
                </c:pt>
                <c:pt idx="249">
                  <c:v>60.106142241379317</c:v>
                </c:pt>
                <c:pt idx="250">
                  <c:v>60.172952586206904</c:v>
                </c:pt>
                <c:pt idx="251">
                  <c:v>60.544181034482762</c:v>
                </c:pt>
                <c:pt idx="252">
                  <c:v>60.745150862068961</c:v>
                </c:pt>
                <c:pt idx="253">
                  <c:v>61.110991379310349</c:v>
                </c:pt>
                <c:pt idx="254">
                  <c:v>61.147090517241381</c:v>
                </c:pt>
                <c:pt idx="255">
                  <c:v>61.293642241379317</c:v>
                </c:pt>
                <c:pt idx="256">
                  <c:v>61.762392241379317</c:v>
                </c:pt>
                <c:pt idx="257">
                  <c:v>61.98760775862069</c:v>
                </c:pt>
                <c:pt idx="258">
                  <c:v>62.28017241379311</c:v>
                </c:pt>
                <c:pt idx="259">
                  <c:v>62.523706896551722</c:v>
                </c:pt>
                <c:pt idx="260">
                  <c:v>62.81573275862069</c:v>
                </c:pt>
                <c:pt idx="261">
                  <c:v>62.955818965517246</c:v>
                </c:pt>
                <c:pt idx="262">
                  <c:v>63.315193965517238</c:v>
                </c:pt>
                <c:pt idx="263">
                  <c:v>63.491918103448278</c:v>
                </c:pt>
                <c:pt idx="264">
                  <c:v>63.58943965517242</c:v>
                </c:pt>
                <c:pt idx="265">
                  <c:v>63.973060344827587</c:v>
                </c:pt>
                <c:pt idx="266">
                  <c:v>64.314116379310349</c:v>
                </c:pt>
                <c:pt idx="267">
                  <c:v>64.356681034482762</c:v>
                </c:pt>
                <c:pt idx="268">
                  <c:v>64.703663793103445</c:v>
                </c:pt>
                <c:pt idx="269">
                  <c:v>64.917025862068968</c:v>
                </c:pt>
                <c:pt idx="270">
                  <c:v>65.17887931034484</c:v>
                </c:pt>
                <c:pt idx="271">
                  <c:v>65.446659482758619</c:v>
                </c:pt>
                <c:pt idx="272">
                  <c:v>65.459051724137936</c:v>
                </c:pt>
                <c:pt idx="273">
                  <c:v>65.550107758620697</c:v>
                </c:pt>
                <c:pt idx="274">
                  <c:v>65.84267241379311</c:v>
                </c:pt>
                <c:pt idx="275">
                  <c:v>66.147090517241381</c:v>
                </c:pt>
                <c:pt idx="276">
                  <c:v>66.372306034482762</c:v>
                </c:pt>
                <c:pt idx="277">
                  <c:v>66.683189655172413</c:v>
                </c:pt>
                <c:pt idx="278">
                  <c:v>66.847521551724142</c:v>
                </c:pt>
                <c:pt idx="279">
                  <c:v>67.066810344827587</c:v>
                </c:pt>
                <c:pt idx="280">
                  <c:v>67.206896551724142</c:v>
                </c:pt>
                <c:pt idx="281">
                  <c:v>67.626616379310349</c:v>
                </c:pt>
                <c:pt idx="282">
                  <c:v>67.724137931034491</c:v>
                </c:pt>
                <c:pt idx="283">
                  <c:v>67.834051724137936</c:v>
                </c:pt>
                <c:pt idx="284">
                  <c:v>68.211745689655174</c:v>
                </c:pt>
                <c:pt idx="285">
                  <c:v>68.473599137931046</c:v>
                </c:pt>
                <c:pt idx="286">
                  <c:v>68.771551724137936</c:v>
                </c:pt>
                <c:pt idx="287">
                  <c:v>69.009159482758619</c:v>
                </c:pt>
                <c:pt idx="288">
                  <c:v>69.276939655172413</c:v>
                </c:pt>
                <c:pt idx="289">
                  <c:v>69.575431034482762</c:v>
                </c:pt>
                <c:pt idx="290">
                  <c:v>69.831357758620697</c:v>
                </c:pt>
                <c:pt idx="291">
                  <c:v>69.977370689655174</c:v>
                </c:pt>
                <c:pt idx="292">
                  <c:v>70.239224137931032</c:v>
                </c:pt>
                <c:pt idx="293">
                  <c:v>70.580280172413794</c:v>
                </c:pt>
                <c:pt idx="294">
                  <c:v>70.793642241379303</c:v>
                </c:pt>
                <c:pt idx="295">
                  <c:v>70.963900862068968</c:v>
                </c:pt>
                <c:pt idx="296">
                  <c:v>71.256465517241381</c:v>
                </c:pt>
                <c:pt idx="297">
                  <c:v>71.323275862068968</c:v>
                </c:pt>
                <c:pt idx="298">
                  <c:v>71.713362068965523</c:v>
                </c:pt>
                <c:pt idx="299">
                  <c:v>71.992995689655174</c:v>
                </c:pt>
                <c:pt idx="300">
                  <c:v>72.224676724137936</c:v>
                </c:pt>
                <c:pt idx="301">
                  <c:v>72.535021551724142</c:v>
                </c:pt>
                <c:pt idx="302">
                  <c:v>72.730064655172427</c:v>
                </c:pt>
                <c:pt idx="303">
                  <c:v>72.833512931034477</c:v>
                </c:pt>
                <c:pt idx="304">
                  <c:v>73.168642241379317</c:v>
                </c:pt>
                <c:pt idx="305">
                  <c:v>73.369612068965523</c:v>
                </c:pt>
                <c:pt idx="306">
                  <c:v>73.643318965517253</c:v>
                </c:pt>
                <c:pt idx="307">
                  <c:v>73.862607758620683</c:v>
                </c:pt>
                <c:pt idx="308">
                  <c:v>74.240301724137936</c:v>
                </c:pt>
                <c:pt idx="309">
                  <c:v>74.307112068965523</c:v>
                </c:pt>
                <c:pt idx="310">
                  <c:v>74.51454741379311</c:v>
                </c:pt>
                <c:pt idx="311">
                  <c:v>74.831357758620697</c:v>
                </c:pt>
                <c:pt idx="312">
                  <c:v>75.178340517241381</c:v>
                </c:pt>
                <c:pt idx="313">
                  <c:v>75.263469827586206</c:v>
                </c:pt>
                <c:pt idx="314">
                  <c:v>75.61045258620689</c:v>
                </c:pt>
                <c:pt idx="315">
                  <c:v>75.903017241379317</c:v>
                </c:pt>
                <c:pt idx="316">
                  <c:v>75.951508620689665</c:v>
                </c:pt>
                <c:pt idx="317">
                  <c:v>76.268318965517238</c:v>
                </c:pt>
                <c:pt idx="318">
                  <c:v>76.475215517241381</c:v>
                </c:pt>
                <c:pt idx="319">
                  <c:v>76.700431034482762</c:v>
                </c:pt>
                <c:pt idx="320">
                  <c:v>76.938038793103459</c:v>
                </c:pt>
                <c:pt idx="321">
                  <c:v>77.297413793103445</c:v>
                </c:pt>
                <c:pt idx="322">
                  <c:v>77.504310344827587</c:v>
                </c:pt>
                <c:pt idx="323">
                  <c:v>77.802801724137936</c:v>
                </c:pt>
                <c:pt idx="324">
                  <c:v>78.064655172413794</c:v>
                </c:pt>
                <c:pt idx="325">
                  <c:v>78.204741379310349</c:v>
                </c:pt>
                <c:pt idx="326">
                  <c:v>78.527478448275872</c:v>
                </c:pt>
                <c:pt idx="327">
                  <c:v>78.728448275862078</c:v>
                </c:pt>
                <c:pt idx="328">
                  <c:v>78.78933189655173</c:v>
                </c:pt>
                <c:pt idx="329">
                  <c:v>79.227909482758633</c:v>
                </c:pt>
                <c:pt idx="330">
                  <c:v>79.258620689655174</c:v>
                </c:pt>
                <c:pt idx="331">
                  <c:v>79.611530172413794</c:v>
                </c:pt>
                <c:pt idx="332">
                  <c:v>80.129310344827587</c:v>
                </c:pt>
                <c:pt idx="333">
                  <c:v>79.97683189655173</c:v>
                </c:pt>
                <c:pt idx="334">
                  <c:v>80.275323275862078</c:v>
                </c:pt>
                <c:pt idx="335">
                  <c:v>80.647090517241381</c:v>
                </c:pt>
                <c:pt idx="336">
                  <c:v>80.853987068965523</c:v>
                </c:pt>
                <c:pt idx="337">
                  <c:v>81.134159482758619</c:v>
                </c:pt>
                <c:pt idx="338">
                  <c:v>81.377693965517253</c:v>
                </c:pt>
                <c:pt idx="339">
                  <c:v>81.767241379310349</c:v>
                </c:pt>
                <c:pt idx="340">
                  <c:v>81.938038793103459</c:v>
                </c:pt>
                <c:pt idx="341">
                  <c:v>82.230064655172413</c:v>
                </c:pt>
                <c:pt idx="342">
                  <c:v>82.205818965517238</c:v>
                </c:pt>
                <c:pt idx="343">
                  <c:v>82.668642241379303</c:v>
                </c:pt>
                <c:pt idx="344">
                  <c:v>82.96120689655173</c:v>
                </c:pt>
                <c:pt idx="345">
                  <c:v>82.985452586206904</c:v>
                </c:pt>
                <c:pt idx="346">
                  <c:v>83.308189655172413</c:v>
                </c:pt>
                <c:pt idx="347">
                  <c:v>83.710129310344826</c:v>
                </c:pt>
                <c:pt idx="348">
                  <c:v>83.53933189655173</c:v>
                </c:pt>
                <c:pt idx="349">
                  <c:v>84.233836206896555</c:v>
                </c:pt>
                <c:pt idx="350">
                  <c:v>84.215517241379317</c:v>
                </c:pt>
                <c:pt idx="351">
                  <c:v>84.471443965517238</c:v>
                </c:pt>
                <c:pt idx="352">
                  <c:v>84.800107758620683</c:v>
                </c:pt>
                <c:pt idx="353">
                  <c:v>84.921875</c:v>
                </c:pt>
                <c:pt idx="354">
                  <c:v>85.317887931034491</c:v>
                </c:pt>
                <c:pt idx="355">
                  <c:v>85.664870689655174</c:v>
                </c:pt>
                <c:pt idx="356">
                  <c:v>85.75</c:v>
                </c:pt>
                <c:pt idx="357">
                  <c:v>85.865840517241381</c:v>
                </c:pt>
                <c:pt idx="358">
                  <c:v>86.334590517241381</c:v>
                </c:pt>
                <c:pt idx="359">
                  <c:v>86.773168103448285</c:v>
                </c:pt>
                <c:pt idx="360">
                  <c:v>86.876616379310349</c:v>
                </c:pt>
                <c:pt idx="361">
                  <c:v>87.047413793103445</c:v>
                </c:pt>
                <c:pt idx="362">
                  <c:v>87.114224137931032</c:v>
                </c:pt>
                <c:pt idx="363">
                  <c:v>87.479525862068968</c:v>
                </c:pt>
                <c:pt idx="364">
                  <c:v>87.674568965517238</c:v>
                </c:pt>
                <c:pt idx="365">
                  <c:v>88.058189655172413</c:v>
                </c:pt>
                <c:pt idx="366">
                  <c:v>88.088362068965523</c:v>
                </c:pt>
                <c:pt idx="367">
                  <c:v>88.45420258620689</c:v>
                </c:pt>
                <c:pt idx="368">
                  <c:v>88.721982758620683</c:v>
                </c:pt>
                <c:pt idx="369">
                  <c:v>88.917025862068968</c:v>
                </c:pt>
                <c:pt idx="370">
                  <c:v>89.190732758620683</c:v>
                </c:pt>
                <c:pt idx="371">
                  <c:v>89.410021551724142</c:v>
                </c:pt>
                <c:pt idx="372">
                  <c:v>89.72683189655173</c:v>
                </c:pt>
                <c:pt idx="373">
                  <c:v>89.988685344827601</c:v>
                </c:pt>
                <c:pt idx="374">
                  <c:v>90.250538793103445</c:v>
                </c:pt>
                <c:pt idx="375">
                  <c:v>90.402478448275872</c:v>
                </c:pt>
                <c:pt idx="376">
                  <c:v>90.579202586206904</c:v>
                </c:pt>
                <c:pt idx="377">
                  <c:v>90.707435344827587</c:v>
                </c:pt>
                <c:pt idx="378">
                  <c:v>91.145474137931032</c:v>
                </c:pt>
                <c:pt idx="379">
                  <c:v>91.468211206896555</c:v>
                </c:pt>
                <c:pt idx="380">
                  <c:v>91.60829741379311</c:v>
                </c:pt>
                <c:pt idx="381">
                  <c:v>91.900862068965523</c:v>
                </c:pt>
                <c:pt idx="382">
                  <c:v>92.114224137931046</c:v>
                </c:pt>
                <c:pt idx="383">
                  <c:v>92.40625</c:v>
                </c:pt>
                <c:pt idx="384">
                  <c:v>92.60129310344827</c:v>
                </c:pt>
                <c:pt idx="385">
                  <c:v>92.783943965517253</c:v>
                </c:pt>
                <c:pt idx="386">
                  <c:v>93.027478448275872</c:v>
                </c:pt>
                <c:pt idx="387">
                  <c:v>93.234375</c:v>
                </c:pt>
                <c:pt idx="388">
                  <c:v>93.599676724137922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ECD-4FC6-807E-5D7EEFCCEB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70498992"/>
        <c:axId val="270499552"/>
      </c:scatterChart>
      <c:valAx>
        <c:axId val="2704989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70499552"/>
        <c:crosses val="autoZero"/>
        <c:crossBetween val="midCat"/>
      </c:valAx>
      <c:valAx>
        <c:axId val="270499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704989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poison</a:t>
            </a:r>
            <a:r>
              <a:rPr lang="en-US" baseline="0"/>
              <a:t> ratio 3</a:t>
            </a:r>
            <a:endParaRPr lang="en-US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1"/>
          <c:order val="0"/>
          <c:spPr>
            <a:ln>
              <a:noFill/>
            </a:ln>
          </c:spPr>
          <c:xVal>
            <c:numRef>
              <c:f>'L30CPTX-3'!$B$80:$B$400</c:f>
              <c:numCache>
                <c:formatCode>General</c:formatCode>
                <c:ptCount val="321"/>
                <c:pt idx="0">
                  <c:v>1.48565E-3</c:v>
                </c:pt>
                <c:pt idx="1">
                  <c:v>1.5038E-3</c:v>
                </c:pt>
                <c:pt idx="2">
                  <c:v>1.4103099999999999E-3</c:v>
                </c:pt>
                <c:pt idx="3">
                  <c:v>1.49825E-3</c:v>
                </c:pt>
                <c:pt idx="4">
                  <c:v>1.4594300000000001E-3</c:v>
                </c:pt>
                <c:pt idx="5">
                  <c:v>1.5429199999999999E-3</c:v>
                </c:pt>
                <c:pt idx="6">
                  <c:v>1.48573E-3</c:v>
                </c:pt>
                <c:pt idx="7">
                  <c:v>1.49238E-3</c:v>
                </c:pt>
                <c:pt idx="8">
                  <c:v>1.5765600000000001E-3</c:v>
                </c:pt>
                <c:pt idx="9">
                  <c:v>1.49468E-3</c:v>
                </c:pt>
                <c:pt idx="10">
                  <c:v>1.5952799999999999E-3</c:v>
                </c:pt>
                <c:pt idx="11">
                  <c:v>1.5771100000000001E-3</c:v>
                </c:pt>
                <c:pt idx="12">
                  <c:v>1.5403599999999999E-3</c:v>
                </c:pt>
                <c:pt idx="13">
                  <c:v>1.6607600000000001E-3</c:v>
                </c:pt>
                <c:pt idx="14">
                  <c:v>1.76826E-3</c:v>
                </c:pt>
                <c:pt idx="15">
                  <c:v>1.59961E-3</c:v>
                </c:pt>
                <c:pt idx="16">
                  <c:v>1.65059E-3</c:v>
                </c:pt>
                <c:pt idx="17">
                  <c:v>1.7028099999999999E-3</c:v>
                </c:pt>
                <c:pt idx="18">
                  <c:v>1.74007E-3</c:v>
                </c:pt>
                <c:pt idx="19">
                  <c:v>1.7541200000000001E-3</c:v>
                </c:pt>
                <c:pt idx="20">
                  <c:v>1.7130299999999999E-3</c:v>
                </c:pt>
                <c:pt idx="21">
                  <c:v>1.7968700000000001E-3</c:v>
                </c:pt>
                <c:pt idx="22">
                  <c:v>1.7821899999999999E-3</c:v>
                </c:pt>
                <c:pt idx="23">
                  <c:v>1.76461E-3</c:v>
                </c:pt>
                <c:pt idx="24">
                  <c:v>1.79565E-3</c:v>
                </c:pt>
                <c:pt idx="25">
                  <c:v>1.9105400000000001E-3</c:v>
                </c:pt>
                <c:pt idx="26">
                  <c:v>1.8150600000000001E-3</c:v>
                </c:pt>
                <c:pt idx="27">
                  <c:v>1.8595700000000001E-3</c:v>
                </c:pt>
                <c:pt idx="28">
                  <c:v>1.83252E-3</c:v>
                </c:pt>
                <c:pt idx="29">
                  <c:v>1.9292599999999999E-3</c:v>
                </c:pt>
                <c:pt idx="30">
                  <c:v>1.9236399999999999E-3</c:v>
                </c:pt>
                <c:pt idx="31">
                  <c:v>1.89044E-3</c:v>
                </c:pt>
                <c:pt idx="32">
                  <c:v>1.8790499999999999E-3</c:v>
                </c:pt>
                <c:pt idx="33">
                  <c:v>1.93516E-3</c:v>
                </c:pt>
                <c:pt idx="34">
                  <c:v>2.0088599999999999E-3</c:v>
                </c:pt>
                <c:pt idx="35">
                  <c:v>1.9565400000000001E-3</c:v>
                </c:pt>
                <c:pt idx="36">
                  <c:v>2.03871E-3</c:v>
                </c:pt>
                <c:pt idx="37">
                  <c:v>1.9888800000000002E-3</c:v>
                </c:pt>
                <c:pt idx="38">
                  <c:v>2.0217199999999999E-3</c:v>
                </c:pt>
                <c:pt idx="39">
                  <c:v>2.05982E-3</c:v>
                </c:pt>
                <c:pt idx="40">
                  <c:v>2.0679399999999999E-3</c:v>
                </c:pt>
                <c:pt idx="41">
                  <c:v>2.1071699999999998E-3</c:v>
                </c:pt>
                <c:pt idx="42">
                  <c:v>2.0886699999999999E-3</c:v>
                </c:pt>
                <c:pt idx="43">
                  <c:v>2.1099199999999999E-3</c:v>
                </c:pt>
                <c:pt idx="44">
                  <c:v>2.0684200000000001E-3</c:v>
                </c:pt>
                <c:pt idx="45">
                  <c:v>2.1737200000000001E-3</c:v>
                </c:pt>
                <c:pt idx="46">
                  <c:v>2.1675499999999999E-3</c:v>
                </c:pt>
                <c:pt idx="47">
                  <c:v>2.1985400000000001E-3</c:v>
                </c:pt>
                <c:pt idx="48">
                  <c:v>2.2126400000000001E-3</c:v>
                </c:pt>
                <c:pt idx="49">
                  <c:v>2.23266E-3</c:v>
                </c:pt>
                <c:pt idx="50">
                  <c:v>2.2849200000000002E-3</c:v>
                </c:pt>
                <c:pt idx="51">
                  <c:v>2.2051499999999999E-3</c:v>
                </c:pt>
                <c:pt idx="52">
                  <c:v>2.2530800000000002E-3</c:v>
                </c:pt>
                <c:pt idx="53">
                  <c:v>2.2551799999999999E-3</c:v>
                </c:pt>
                <c:pt idx="54">
                  <c:v>2.3030300000000002E-3</c:v>
                </c:pt>
                <c:pt idx="55">
                  <c:v>2.2882200000000001E-3</c:v>
                </c:pt>
                <c:pt idx="56">
                  <c:v>2.3325899999999998E-3</c:v>
                </c:pt>
                <c:pt idx="57">
                  <c:v>2.3533999999999998E-3</c:v>
                </c:pt>
                <c:pt idx="58">
                  <c:v>2.4230599999999999E-3</c:v>
                </c:pt>
                <c:pt idx="59">
                  <c:v>2.4007099999999999E-3</c:v>
                </c:pt>
                <c:pt idx="60">
                  <c:v>2.3463199999999998E-3</c:v>
                </c:pt>
                <c:pt idx="61">
                  <c:v>2.3998700000000001E-3</c:v>
                </c:pt>
                <c:pt idx="62">
                  <c:v>2.3557500000000002E-3</c:v>
                </c:pt>
                <c:pt idx="63">
                  <c:v>2.46342E-3</c:v>
                </c:pt>
                <c:pt idx="64">
                  <c:v>2.4660400000000001E-3</c:v>
                </c:pt>
                <c:pt idx="65">
                  <c:v>2.4627899999999999E-3</c:v>
                </c:pt>
                <c:pt idx="66">
                  <c:v>2.48008E-3</c:v>
                </c:pt>
                <c:pt idx="67">
                  <c:v>2.49475E-3</c:v>
                </c:pt>
                <c:pt idx="68">
                  <c:v>2.5490500000000002E-3</c:v>
                </c:pt>
                <c:pt idx="69">
                  <c:v>2.4308400000000001E-3</c:v>
                </c:pt>
                <c:pt idx="70">
                  <c:v>2.5258300000000002E-3</c:v>
                </c:pt>
                <c:pt idx="71">
                  <c:v>2.5412099999999999E-3</c:v>
                </c:pt>
                <c:pt idx="72">
                  <c:v>2.6261499999999998E-3</c:v>
                </c:pt>
                <c:pt idx="73">
                  <c:v>2.6440000000000001E-3</c:v>
                </c:pt>
                <c:pt idx="74">
                  <c:v>2.6210000000000001E-3</c:v>
                </c:pt>
                <c:pt idx="75">
                  <c:v>2.7037599999999999E-3</c:v>
                </c:pt>
                <c:pt idx="76">
                  <c:v>2.6561599999999999E-3</c:v>
                </c:pt>
                <c:pt idx="77">
                  <c:v>2.6895500000000002E-3</c:v>
                </c:pt>
                <c:pt idx="78">
                  <c:v>2.6649199999999999E-3</c:v>
                </c:pt>
                <c:pt idx="79">
                  <c:v>2.68192E-3</c:v>
                </c:pt>
                <c:pt idx="80">
                  <c:v>2.6901099999999999E-3</c:v>
                </c:pt>
                <c:pt idx="81">
                  <c:v>2.6889100000000001E-3</c:v>
                </c:pt>
                <c:pt idx="82">
                  <c:v>2.6982500000000001E-3</c:v>
                </c:pt>
                <c:pt idx="83">
                  <c:v>2.7632300000000002E-3</c:v>
                </c:pt>
                <c:pt idx="84">
                  <c:v>2.7867999999999999E-3</c:v>
                </c:pt>
                <c:pt idx="85">
                  <c:v>2.7607500000000002E-3</c:v>
                </c:pt>
                <c:pt idx="86">
                  <c:v>2.8093100000000002E-3</c:v>
                </c:pt>
                <c:pt idx="87">
                  <c:v>2.8341299999999998E-3</c:v>
                </c:pt>
                <c:pt idx="88">
                  <c:v>2.80832E-3</c:v>
                </c:pt>
                <c:pt idx="89">
                  <c:v>2.8901E-3</c:v>
                </c:pt>
                <c:pt idx="90">
                  <c:v>2.8640599999999999E-3</c:v>
                </c:pt>
                <c:pt idx="91">
                  <c:v>2.94246E-3</c:v>
                </c:pt>
                <c:pt idx="92">
                  <c:v>2.9005599999999999E-3</c:v>
                </c:pt>
                <c:pt idx="93">
                  <c:v>2.9188899999999999E-3</c:v>
                </c:pt>
                <c:pt idx="94">
                  <c:v>2.94137E-3</c:v>
                </c:pt>
                <c:pt idx="95">
                  <c:v>2.9390900000000001E-3</c:v>
                </c:pt>
                <c:pt idx="96">
                  <c:v>2.9557400000000001E-3</c:v>
                </c:pt>
                <c:pt idx="97">
                  <c:v>2.97985E-3</c:v>
                </c:pt>
                <c:pt idx="98">
                  <c:v>3.02959E-3</c:v>
                </c:pt>
                <c:pt idx="99">
                  <c:v>3.0135700000000001E-3</c:v>
                </c:pt>
                <c:pt idx="100">
                  <c:v>3.0266E-3</c:v>
                </c:pt>
                <c:pt idx="101">
                  <c:v>3.0793299999999999E-3</c:v>
                </c:pt>
                <c:pt idx="102">
                  <c:v>3.0654499999999999E-3</c:v>
                </c:pt>
                <c:pt idx="103">
                  <c:v>3.11188E-3</c:v>
                </c:pt>
                <c:pt idx="104">
                  <c:v>3.1437800000000001E-3</c:v>
                </c:pt>
                <c:pt idx="105">
                  <c:v>2.9873E-3</c:v>
                </c:pt>
                <c:pt idx="106">
                  <c:v>3.07998E-3</c:v>
                </c:pt>
                <c:pt idx="107">
                  <c:v>3.1860299999999999E-3</c:v>
                </c:pt>
                <c:pt idx="108">
                  <c:v>3.1208E-3</c:v>
                </c:pt>
                <c:pt idx="109">
                  <c:v>3.1986100000000002E-3</c:v>
                </c:pt>
                <c:pt idx="110">
                  <c:v>3.1846399999999999E-3</c:v>
                </c:pt>
                <c:pt idx="111">
                  <c:v>3.2371499999999998E-3</c:v>
                </c:pt>
                <c:pt idx="112">
                  <c:v>3.20441E-3</c:v>
                </c:pt>
                <c:pt idx="113">
                  <c:v>3.2107799999999999E-3</c:v>
                </c:pt>
                <c:pt idx="114">
                  <c:v>3.3014199999999998E-3</c:v>
                </c:pt>
                <c:pt idx="115">
                  <c:v>3.2674399999999999E-3</c:v>
                </c:pt>
                <c:pt idx="116">
                  <c:v>3.2523600000000001E-3</c:v>
                </c:pt>
                <c:pt idx="117">
                  <c:v>3.2680299999999999E-3</c:v>
                </c:pt>
                <c:pt idx="118">
                  <c:v>3.3176099999999999E-3</c:v>
                </c:pt>
                <c:pt idx="119">
                  <c:v>3.3481600000000002E-3</c:v>
                </c:pt>
                <c:pt idx="120">
                  <c:v>3.3539099999999999E-3</c:v>
                </c:pt>
                <c:pt idx="121">
                  <c:v>3.34608E-3</c:v>
                </c:pt>
                <c:pt idx="122">
                  <c:v>3.3767699999999999E-3</c:v>
                </c:pt>
                <c:pt idx="123">
                  <c:v>3.38273E-3</c:v>
                </c:pt>
                <c:pt idx="124">
                  <c:v>3.4516799999999999E-3</c:v>
                </c:pt>
                <c:pt idx="125">
                  <c:v>3.4276699999999998E-3</c:v>
                </c:pt>
                <c:pt idx="126">
                  <c:v>3.4359500000000001E-3</c:v>
                </c:pt>
                <c:pt idx="127">
                  <c:v>3.4513399999999998E-3</c:v>
                </c:pt>
                <c:pt idx="128">
                  <c:v>3.48819E-3</c:v>
                </c:pt>
                <c:pt idx="129">
                  <c:v>3.5058699999999999E-3</c:v>
                </c:pt>
                <c:pt idx="130">
                  <c:v>3.4628699999999998E-3</c:v>
                </c:pt>
                <c:pt idx="131">
                  <c:v>3.4555900000000001E-3</c:v>
                </c:pt>
                <c:pt idx="132">
                  <c:v>3.5931800000000001E-3</c:v>
                </c:pt>
                <c:pt idx="133">
                  <c:v>3.5641399999999999E-3</c:v>
                </c:pt>
                <c:pt idx="134">
                  <c:v>3.56764E-3</c:v>
                </c:pt>
                <c:pt idx="135">
                  <c:v>3.57961E-3</c:v>
                </c:pt>
                <c:pt idx="136">
                  <c:v>3.6054799999999999E-3</c:v>
                </c:pt>
                <c:pt idx="137">
                  <c:v>3.59181E-3</c:v>
                </c:pt>
                <c:pt idx="138">
                  <c:v>3.64899E-3</c:v>
                </c:pt>
                <c:pt idx="139">
                  <c:v>3.6353700000000002E-3</c:v>
                </c:pt>
                <c:pt idx="140">
                  <c:v>3.6762600000000002E-3</c:v>
                </c:pt>
                <c:pt idx="141">
                  <c:v>3.6934200000000002E-3</c:v>
                </c:pt>
                <c:pt idx="142">
                  <c:v>3.7153199999999998E-3</c:v>
                </c:pt>
                <c:pt idx="143">
                  <c:v>3.7413899999999998E-3</c:v>
                </c:pt>
                <c:pt idx="144">
                  <c:v>3.7801000000000002E-3</c:v>
                </c:pt>
                <c:pt idx="145">
                  <c:v>3.74114E-3</c:v>
                </c:pt>
                <c:pt idx="146">
                  <c:v>3.8230600000000001E-3</c:v>
                </c:pt>
                <c:pt idx="147">
                  <c:v>3.7425100000000001E-3</c:v>
                </c:pt>
                <c:pt idx="148">
                  <c:v>3.7833900000000002E-3</c:v>
                </c:pt>
                <c:pt idx="149">
                  <c:v>3.8888600000000001E-3</c:v>
                </c:pt>
                <c:pt idx="150">
                  <c:v>3.7434199999999999E-3</c:v>
                </c:pt>
                <c:pt idx="151">
                  <c:v>3.8993999999999999E-3</c:v>
                </c:pt>
                <c:pt idx="152">
                  <c:v>3.8566E-3</c:v>
                </c:pt>
                <c:pt idx="153">
                  <c:v>3.9738600000000001E-3</c:v>
                </c:pt>
                <c:pt idx="154">
                  <c:v>3.8372300000000001E-3</c:v>
                </c:pt>
                <c:pt idx="155">
                  <c:v>3.9011200000000001E-3</c:v>
                </c:pt>
                <c:pt idx="156">
                  <c:v>3.9638700000000004E-3</c:v>
                </c:pt>
                <c:pt idx="157">
                  <c:v>3.8850400000000002E-3</c:v>
                </c:pt>
                <c:pt idx="158">
                  <c:v>4.0018199999999997E-3</c:v>
                </c:pt>
                <c:pt idx="159">
                  <c:v>3.9615099999999997E-3</c:v>
                </c:pt>
                <c:pt idx="160">
                  <c:v>4.0003699999999996E-3</c:v>
                </c:pt>
                <c:pt idx="161">
                  <c:v>3.9709699999999999E-3</c:v>
                </c:pt>
                <c:pt idx="162">
                  <c:v>4.0480000000000004E-3</c:v>
                </c:pt>
                <c:pt idx="163">
                  <c:v>4.0697199999999998E-3</c:v>
                </c:pt>
                <c:pt idx="164">
                  <c:v>4.0863899999999996E-3</c:v>
                </c:pt>
                <c:pt idx="165">
                  <c:v>4.0403899999999996E-3</c:v>
                </c:pt>
                <c:pt idx="166">
                  <c:v>4.11349E-3</c:v>
                </c:pt>
                <c:pt idx="167">
                  <c:v>4.1021900000000004E-3</c:v>
                </c:pt>
                <c:pt idx="168">
                  <c:v>4.12649E-3</c:v>
                </c:pt>
                <c:pt idx="169">
                  <c:v>4.15264E-3</c:v>
                </c:pt>
                <c:pt idx="170">
                  <c:v>4.1141499999999996E-3</c:v>
                </c:pt>
                <c:pt idx="171">
                  <c:v>4.1096199999999996E-3</c:v>
                </c:pt>
                <c:pt idx="172">
                  <c:v>4.1610800000000002E-3</c:v>
                </c:pt>
                <c:pt idx="173">
                  <c:v>4.1250899999999997E-3</c:v>
                </c:pt>
                <c:pt idx="174">
                  <c:v>4.2051099999999998E-3</c:v>
                </c:pt>
                <c:pt idx="175">
                  <c:v>4.2454099999999998E-3</c:v>
                </c:pt>
                <c:pt idx="176">
                  <c:v>4.1470600000000002E-3</c:v>
                </c:pt>
                <c:pt idx="177">
                  <c:v>4.2031100000000004E-3</c:v>
                </c:pt>
                <c:pt idx="178">
                  <c:v>4.25327E-3</c:v>
                </c:pt>
                <c:pt idx="179">
                  <c:v>4.2393500000000002E-3</c:v>
                </c:pt>
                <c:pt idx="180">
                  <c:v>4.3146499999999997E-3</c:v>
                </c:pt>
                <c:pt idx="181">
                  <c:v>4.3469600000000004E-3</c:v>
                </c:pt>
                <c:pt idx="182">
                  <c:v>4.3348700000000002E-3</c:v>
                </c:pt>
                <c:pt idx="183">
                  <c:v>4.3633700000000001E-3</c:v>
                </c:pt>
                <c:pt idx="184">
                  <c:v>4.3383099999999997E-3</c:v>
                </c:pt>
                <c:pt idx="185">
                  <c:v>4.3943899999999998E-3</c:v>
                </c:pt>
                <c:pt idx="186">
                  <c:v>4.43933E-3</c:v>
                </c:pt>
                <c:pt idx="187">
                  <c:v>4.4545699999999997E-3</c:v>
                </c:pt>
                <c:pt idx="188">
                  <c:v>4.4281399999999997E-3</c:v>
                </c:pt>
                <c:pt idx="189">
                  <c:v>4.41144E-3</c:v>
                </c:pt>
                <c:pt idx="190">
                  <c:v>4.4487099999999998E-3</c:v>
                </c:pt>
                <c:pt idx="191">
                  <c:v>4.4762999999999999E-3</c:v>
                </c:pt>
                <c:pt idx="192">
                  <c:v>4.4557800000000003E-3</c:v>
                </c:pt>
                <c:pt idx="193">
                  <c:v>4.4728299999999997E-3</c:v>
                </c:pt>
                <c:pt idx="194">
                  <c:v>4.5205100000000002E-3</c:v>
                </c:pt>
                <c:pt idx="195">
                  <c:v>4.5384300000000004E-3</c:v>
                </c:pt>
                <c:pt idx="196">
                  <c:v>4.4881499999999998E-3</c:v>
                </c:pt>
                <c:pt idx="197">
                  <c:v>4.59941E-3</c:v>
                </c:pt>
                <c:pt idx="198">
                  <c:v>4.6109899999999997E-3</c:v>
                </c:pt>
                <c:pt idx="199">
                  <c:v>4.5765099999999998E-3</c:v>
                </c:pt>
                <c:pt idx="200">
                  <c:v>4.6215900000000001E-3</c:v>
                </c:pt>
                <c:pt idx="201">
                  <c:v>4.6510700000000002E-3</c:v>
                </c:pt>
                <c:pt idx="202">
                  <c:v>4.5898400000000004E-3</c:v>
                </c:pt>
                <c:pt idx="203">
                  <c:v>4.6464399999999999E-3</c:v>
                </c:pt>
                <c:pt idx="204">
                  <c:v>4.6679E-3</c:v>
                </c:pt>
                <c:pt idx="205">
                  <c:v>4.6677999999999997E-3</c:v>
                </c:pt>
                <c:pt idx="206">
                  <c:v>4.7440299999999998E-3</c:v>
                </c:pt>
                <c:pt idx="207">
                  <c:v>4.7229699999999999E-3</c:v>
                </c:pt>
                <c:pt idx="208">
                  <c:v>4.7572999999999999E-3</c:v>
                </c:pt>
                <c:pt idx="209">
                  <c:v>4.7374799999999996E-3</c:v>
                </c:pt>
                <c:pt idx="210">
                  <c:v>4.7712199999999996E-3</c:v>
                </c:pt>
                <c:pt idx="211">
                  <c:v>4.8192399999999998E-3</c:v>
                </c:pt>
                <c:pt idx="212">
                  <c:v>4.8051500000000002E-3</c:v>
                </c:pt>
                <c:pt idx="213">
                  <c:v>4.76385E-3</c:v>
                </c:pt>
                <c:pt idx="214">
                  <c:v>4.7871900000000002E-3</c:v>
                </c:pt>
                <c:pt idx="215">
                  <c:v>4.81717E-3</c:v>
                </c:pt>
                <c:pt idx="216">
                  <c:v>4.8406200000000003E-3</c:v>
                </c:pt>
                <c:pt idx="217">
                  <c:v>4.8995999999999996E-3</c:v>
                </c:pt>
                <c:pt idx="218">
                  <c:v>4.89691E-3</c:v>
                </c:pt>
                <c:pt idx="219">
                  <c:v>4.8553900000000002E-3</c:v>
                </c:pt>
                <c:pt idx="220">
                  <c:v>4.9242399999999999E-3</c:v>
                </c:pt>
                <c:pt idx="221">
                  <c:v>4.9204899999999996E-3</c:v>
                </c:pt>
                <c:pt idx="222">
                  <c:v>4.9214200000000001E-3</c:v>
                </c:pt>
                <c:pt idx="223">
                  <c:v>4.9666099999999998E-3</c:v>
                </c:pt>
                <c:pt idx="224">
                  <c:v>4.9129300000000002E-3</c:v>
                </c:pt>
                <c:pt idx="225">
                  <c:v>4.9783600000000003E-3</c:v>
                </c:pt>
                <c:pt idx="226">
                  <c:v>4.9652400000000001E-3</c:v>
                </c:pt>
                <c:pt idx="227">
                  <c:v>4.9488199999999996E-3</c:v>
                </c:pt>
                <c:pt idx="228">
                  <c:v>4.9918799999999998E-3</c:v>
                </c:pt>
                <c:pt idx="229">
                  <c:v>5.0481600000000003E-3</c:v>
                </c:pt>
                <c:pt idx="230">
                  <c:v>5.03492E-3</c:v>
                </c:pt>
                <c:pt idx="231">
                  <c:v>5.0369200000000003E-3</c:v>
                </c:pt>
                <c:pt idx="232">
                  <c:v>5.2223800000000004E-3</c:v>
                </c:pt>
                <c:pt idx="233">
                  <c:v>5.0494700000000003E-3</c:v>
                </c:pt>
                <c:pt idx="234">
                  <c:v>5.1255500000000004E-3</c:v>
                </c:pt>
                <c:pt idx="235">
                  <c:v>5.1371100000000003E-3</c:v>
                </c:pt>
                <c:pt idx="236">
                  <c:v>5.1942400000000001E-3</c:v>
                </c:pt>
                <c:pt idx="237">
                  <c:v>5.2163799999999996E-3</c:v>
                </c:pt>
                <c:pt idx="238">
                  <c:v>5.20201E-3</c:v>
                </c:pt>
                <c:pt idx="239">
                  <c:v>5.2060500000000003E-3</c:v>
                </c:pt>
                <c:pt idx="240">
                  <c:v>5.2102800000000003E-3</c:v>
                </c:pt>
                <c:pt idx="241">
                  <c:v>5.24509E-3</c:v>
                </c:pt>
                <c:pt idx="242">
                  <c:v>5.2610499999999998E-3</c:v>
                </c:pt>
                <c:pt idx="243">
                  <c:v>5.2204399999999998E-3</c:v>
                </c:pt>
                <c:pt idx="244">
                  <c:v>5.2707199999999996E-3</c:v>
                </c:pt>
                <c:pt idx="245">
                  <c:v>5.2953399999999999E-3</c:v>
                </c:pt>
                <c:pt idx="246">
                  <c:v>5.3294400000000004E-3</c:v>
                </c:pt>
                <c:pt idx="247">
                  <c:v>5.3046200000000003E-3</c:v>
                </c:pt>
                <c:pt idx="248">
                  <c:v>5.35214E-3</c:v>
                </c:pt>
                <c:pt idx="249">
                  <c:v>5.3339700000000004E-3</c:v>
                </c:pt>
                <c:pt idx="250">
                  <c:v>5.3883100000000003E-3</c:v>
                </c:pt>
                <c:pt idx="251">
                  <c:v>5.4058800000000001E-3</c:v>
                </c:pt>
                <c:pt idx="252">
                  <c:v>5.3963400000000003E-3</c:v>
                </c:pt>
                <c:pt idx="253">
                  <c:v>5.4398199999999997E-3</c:v>
                </c:pt>
                <c:pt idx="254">
                  <c:v>5.4660899999999998E-3</c:v>
                </c:pt>
                <c:pt idx="255">
                  <c:v>5.4331199999999996E-3</c:v>
                </c:pt>
                <c:pt idx="256">
                  <c:v>5.46943E-3</c:v>
                </c:pt>
                <c:pt idx="257">
                  <c:v>5.4949400000000002E-3</c:v>
                </c:pt>
                <c:pt idx="258">
                  <c:v>5.5004700000000004E-3</c:v>
                </c:pt>
                <c:pt idx="259">
                  <c:v>5.4621399999999999E-3</c:v>
                </c:pt>
                <c:pt idx="260">
                  <c:v>5.6073099999999999E-3</c:v>
                </c:pt>
                <c:pt idx="261">
                  <c:v>5.5689099999999998E-3</c:v>
                </c:pt>
                <c:pt idx="262">
                  <c:v>5.5485300000000003E-3</c:v>
                </c:pt>
                <c:pt idx="263">
                  <c:v>5.5252399999999998E-3</c:v>
                </c:pt>
                <c:pt idx="264">
                  <c:v>5.6245100000000001E-3</c:v>
                </c:pt>
                <c:pt idx="265">
                  <c:v>5.6578399999999999E-3</c:v>
                </c:pt>
                <c:pt idx="266">
                  <c:v>5.5712100000000001E-3</c:v>
                </c:pt>
                <c:pt idx="267">
                  <c:v>5.6041700000000003E-3</c:v>
                </c:pt>
                <c:pt idx="268">
                  <c:v>5.5973200000000002E-3</c:v>
                </c:pt>
                <c:pt idx="269">
                  <c:v>5.7290600000000002E-3</c:v>
                </c:pt>
                <c:pt idx="270">
                  <c:v>5.7498000000000002E-3</c:v>
                </c:pt>
                <c:pt idx="271">
                  <c:v>5.7531700000000002E-3</c:v>
                </c:pt>
                <c:pt idx="272">
                  <c:v>5.8187899999999999E-3</c:v>
                </c:pt>
                <c:pt idx="273">
                  <c:v>5.83411E-3</c:v>
                </c:pt>
                <c:pt idx="274">
                  <c:v>5.7335399999999996E-3</c:v>
                </c:pt>
                <c:pt idx="275">
                  <c:v>5.8283700000000003E-3</c:v>
                </c:pt>
                <c:pt idx="276">
                  <c:v>5.8005699999999997E-3</c:v>
                </c:pt>
                <c:pt idx="277">
                  <c:v>5.7631999999999996E-3</c:v>
                </c:pt>
                <c:pt idx="278">
                  <c:v>5.8843400000000001E-3</c:v>
                </c:pt>
                <c:pt idx="279">
                  <c:v>5.8491000000000003E-3</c:v>
                </c:pt>
                <c:pt idx="280">
                  <c:v>5.8186499999999999E-3</c:v>
                </c:pt>
                <c:pt idx="281">
                  <c:v>5.9462400000000002E-3</c:v>
                </c:pt>
                <c:pt idx="282">
                  <c:v>5.9117500000000003E-3</c:v>
                </c:pt>
                <c:pt idx="283">
                  <c:v>5.9157400000000001E-3</c:v>
                </c:pt>
                <c:pt idx="284">
                  <c:v>5.93971E-3</c:v>
                </c:pt>
                <c:pt idx="285">
                  <c:v>6.0186399999999996E-3</c:v>
                </c:pt>
                <c:pt idx="286">
                  <c:v>5.9677599999999999E-3</c:v>
                </c:pt>
                <c:pt idx="287">
                  <c:v>6.0062800000000001E-3</c:v>
                </c:pt>
                <c:pt idx="288">
                  <c:v>6.0742399999999998E-3</c:v>
                </c:pt>
                <c:pt idx="289">
                  <c:v>6.02281E-3</c:v>
                </c:pt>
                <c:pt idx="290">
                  <c:v>5.9846700000000001E-3</c:v>
                </c:pt>
                <c:pt idx="291">
                  <c:v>6.0922299999999997E-3</c:v>
                </c:pt>
                <c:pt idx="292">
                  <c:v>6.0254200000000001E-3</c:v>
                </c:pt>
                <c:pt idx="293">
                  <c:v>6.0597999999999997E-3</c:v>
                </c:pt>
                <c:pt idx="294">
                  <c:v>6.0660599999999999E-3</c:v>
                </c:pt>
                <c:pt idx="295">
                  <c:v>6.0814399999999996E-3</c:v>
                </c:pt>
                <c:pt idx="296">
                  <c:v>6.16959E-3</c:v>
                </c:pt>
                <c:pt idx="297">
                  <c:v>6.1760799999999996E-3</c:v>
                </c:pt>
                <c:pt idx="298">
                  <c:v>6.0708999999999997E-3</c:v>
                </c:pt>
                <c:pt idx="299">
                  <c:v>6.1654300000000004E-3</c:v>
                </c:pt>
                <c:pt idx="300">
                  <c:v>6.2217699999999997E-3</c:v>
                </c:pt>
                <c:pt idx="301">
                  <c:v>6.2307999999999999E-3</c:v>
                </c:pt>
                <c:pt idx="302">
                  <c:v>6.2429399999999998E-3</c:v>
                </c:pt>
                <c:pt idx="303">
                  <c:v>6.2208799999999998E-3</c:v>
                </c:pt>
                <c:pt idx="304">
                  <c:v>6.3273699999999997E-3</c:v>
                </c:pt>
                <c:pt idx="305">
                  <c:v>6.34849E-3</c:v>
                </c:pt>
                <c:pt idx="306">
                  <c:v>6.3220400000000001E-3</c:v>
                </c:pt>
                <c:pt idx="307">
                  <c:v>6.3464400000000001E-3</c:v>
                </c:pt>
                <c:pt idx="308">
                  <c:v>6.3515899999999998E-3</c:v>
                </c:pt>
                <c:pt idx="309">
                  <c:v>6.3295399999999998E-3</c:v>
                </c:pt>
                <c:pt idx="310">
                  <c:v>6.3509400000000002E-3</c:v>
                </c:pt>
                <c:pt idx="311">
                  <c:v>6.3659600000000004E-3</c:v>
                </c:pt>
                <c:pt idx="312">
                  <c:v>6.4348199999999999E-3</c:v>
                </c:pt>
                <c:pt idx="313">
                  <c:v>6.3867300000000002E-3</c:v>
                </c:pt>
                <c:pt idx="314">
                  <c:v>6.4259499999999997E-3</c:v>
                </c:pt>
                <c:pt idx="315">
                  <c:v>6.4223600000000002E-3</c:v>
                </c:pt>
                <c:pt idx="316">
                  <c:v>6.4805599999999998E-3</c:v>
                </c:pt>
                <c:pt idx="317">
                  <c:v>6.5006400000000002E-3</c:v>
                </c:pt>
                <c:pt idx="318">
                  <c:v>6.5327099999999997E-3</c:v>
                </c:pt>
                <c:pt idx="319">
                  <c:v>6.5291400000000001E-3</c:v>
                </c:pt>
                <c:pt idx="320">
                  <c:v>6.6066700000000003E-3</c:v>
                </c:pt>
              </c:numCache>
            </c:numRef>
          </c:xVal>
          <c:yVal>
            <c:numRef>
              <c:f>'L30CPTX-3'!$F$80:$F$400</c:f>
              <c:numCache>
                <c:formatCode>General</c:formatCode>
                <c:ptCount val="321"/>
                <c:pt idx="0">
                  <c:v>-1.42087E-4</c:v>
                </c:pt>
                <c:pt idx="1">
                  <c:v>-2.0366399999999999E-4</c:v>
                </c:pt>
                <c:pt idx="2">
                  <c:v>-2.07574E-4</c:v>
                </c:pt>
                <c:pt idx="3">
                  <c:v>-1.24113E-4</c:v>
                </c:pt>
                <c:pt idx="4">
                  <c:v>-1.7960900000000001E-4</c:v>
                </c:pt>
                <c:pt idx="5">
                  <c:v>-1.7949799999999999E-4</c:v>
                </c:pt>
                <c:pt idx="6">
                  <c:v>-1.21414E-4</c:v>
                </c:pt>
                <c:pt idx="7">
                  <c:v>-1.7679300000000001E-4</c:v>
                </c:pt>
                <c:pt idx="8">
                  <c:v>-1.4724900000000001E-4</c:v>
                </c:pt>
                <c:pt idx="9">
                  <c:v>-1.65069E-4</c:v>
                </c:pt>
                <c:pt idx="10">
                  <c:v>-1.9165999999999999E-4</c:v>
                </c:pt>
                <c:pt idx="11">
                  <c:v>-2.8405299999999999E-4</c:v>
                </c:pt>
                <c:pt idx="12">
                  <c:v>-1.8731600000000001E-4</c:v>
                </c:pt>
                <c:pt idx="13">
                  <c:v>-3.0282200000000001E-4</c:v>
                </c:pt>
                <c:pt idx="14">
                  <c:v>-1.8214199999999999E-4</c:v>
                </c:pt>
                <c:pt idx="15">
                  <c:v>-1.7542799999999999E-4</c:v>
                </c:pt>
                <c:pt idx="16">
                  <c:v>-1.3303800000000001E-4</c:v>
                </c:pt>
                <c:pt idx="17">
                  <c:v>-2.2202999999999999E-4</c:v>
                </c:pt>
                <c:pt idx="18" formatCode="0.00E+00">
                  <c:v>-4.57929E-5</c:v>
                </c:pt>
                <c:pt idx="19">
                  <c:v>-1.8674499999999999E-4</c:v>
                </c:pt>
                <c:pt idx="20">
                  <c:v>-2.72052E-4</c:v>
                </c:pt>
                <c:pt idx="21">
                  <c:v>-2.03091E-4</c:v>
                </c:pt>
                <c:pt idx="22">
                  <c:v>-1.5899299999999999E-4</c:v>
                </c:pt>
                <c:pt idx="23">
                  <c:v>-2.5224999999999998E-4</c:v>
                </c:pt>
                <c:pt idx="24">
                  <c:v>-2.9961300000000001E-4</c:v>
                </c:pt>
                <c:pt idx="25">
                  <c:v>-2.2305900000000001E-4</c:v>
                </c:pt>
                <c:pt idx="26">
                  <c:v>-3.6557099999999997E-4</c:v>
                </c:pt>
                <c:pt idx="27">
                  <c:v>-2.4285800000000001E-4</c:v>
                </c:pt>
                <c:pt idx="28">
                  <c:v>-1.1258499999999999E-4</c:v>
                </c:pt>
                <c:pt idx="29">
                  <c:v>-2.3137200000000001E-4</c:v>
                </c:pt>
                <c:pt idx="30">
                  <c:v>-1.7587700000000001E-4</c:v>
                </c:pt>
                <c:pt idx="31">
                  <c:v>-2.7514800000000002E-4</c:v>
                </c:pt>
                <c:pt idx="32">
                  <c:v>-1.61361E-4</c:v>
                </c:pt>
                <c:pt idx="33">
                  <c:v>-3.1038300000000001E-4</c:v>
                </c:pt>
                <c:pt idx="34">
                  <c:v>-2.6091999999999999E-4</c:v>
                </c:pt>
                <c:pt idx="35">
                  <c:v>-3.3130799999999999E-4</c:v>
                </c:pt>
                <c:pt idx="36">
                  <c:v>-1.8160299999999999E-4</c:v>
                </c:pt>
                <c:pt idx="37">
                  <c:v>-2.3912400000000001E-4</c:v>
                </c:pt>
                <c:pt idx="38">
                  <c:v>-1.5807500000000001E-4</c:v>
                </c:pt>
                <c:pt idx="39">
                  <c:v>-1.44241E-4</c:v>
                </c:pt>
                <c:pt idx="40">
                  <c:v>-3.2471300000000002E-4</c:v>
                </c:pt>
                <c:pt idx="41">
                  <c:v>-3.1493200000000003E-4</c:v>
                </c:pt>
                <c:pt idx="42">
                  <c:v>-1.8374400000000001E-4</c:v>
                </c:pt>
                <c:pt idx="43">
                  <c:v>-2.6674000000000001E-4</c:v>
                </c:pt>
                <c:pt idx="44">
                  <c:v>-2.49335E-4</c:v>
                </c:pt>
                <c:pt idx="45">
                  <c:v>-2.73763E-4</c:v>
                </c:pt>
                <c:pt idx="46">
                  <c:v>-3.1190699999999999E-4</c:v>
                </c:pt>
                <c:pt idx="47">
                  <c:v>-4.1671900000000002E-4</c:v>
                </c:pt>
                <c:pt idx="48">
                  <c:v>-3.3803099999999998E-4</c:v>
                </c:pt>
                <c:pt idx="49">
                  <c:v>-2.5681599999999999E-4</c:v>
                </c:pt>
                <c:pt idx="50">
                  <c:v>-1.1116300000000001E-4</c:v>
                </c:pt>
                <c:pt idx="51">
                  <c:v>-1.2770199999999999E-4</c:v>
                </c:pt>
                <c:pt idx="52">
                  <c:v>-2.0718099999999999E-4</c:v>
                </c:pt>
                <c:pt idx="53">
                  <c:v>-1.4165900000000001E-4</c:v>
                </c:pt>
                <c:pt idx="54">
                  <c:v>-2.0037700000000001E-4</c:v>
                </c:pt>
                <c:pt idx="55">
                  <c:v>-1.9517199999999999E-4</c:v>
                </c:pt>
                <c:pt idx="56">
                  <c:v>-3.0718400000000001E-4</c:v>
                </c:pt>
                <c:pt idx="57">
                  <c:v>-2.9870999999999999E-4</c:v>
                </c:pt>
                <c:pt idx="58">
                  <c:v>-1.7893E-4</c:v>
                </c:pt>
                <c:pt idx="59">
                  <c:v>-3.5787999999999998E-4</c:v>
                </c:pt>
                <c:pt idx="60">
                  <c:v>-2.4623700000000001E-4</c:v>
                </c:pt>
                <c:pt idx="61">
                  <c:v>-2.9899599999999999E-4</c:v>
                </c:pt>
                <c:pt idx="62">
                  <c:v>-1.7477500000000001E-4</c:v>
                </c:pt>
                <c:pt idx="63">
                  <c:v>-2.6404599999999999E-4</c:v>
                </c:pt>
                <c:pt idx="64">
                  <c:v>-3.6740399999999999E-4</c:v>
                </c:pt>
                <c:pt idx="65">
                  <c:v>-4.3538300000000002E-4</c:v>
                </c:pt>
                <c:pt idx="66">
                  <c:v>-3.3768399999999999E-4</c:v>
                </c:pt>
                <c:pt idx="67">
                  <c:v>-3.1706200000000001E-4</c:v>
                </c:pt>
                <c:pt idx="68">
                  <c:v>-3.41799E-4</c:v>
                </c:pt>
                <c:pt idx="69">
                  <c:v>-3.8823800000000001E-4</c:v>
                </c:pt>
                <c:pt idx="70">
                  <c:v>-2.74768E-4</c:v>
                </c:pt>
                <c:pt idx="71">
                  <c:v>-2.4021700000000001E-4</c:v>
                </c:pt>
                <c:pt idx="72">
                  <c:v>-2.2295799999999999E-4</c:v>
                </c:pt>
                <c:pt idx="73">
                  <c:v>-2.0591199999999999E-4</c:v>
                </c:pt>
                <c:pt idx="74">
                  <c:v>-2.9511499999999998E-4</c:v>
                </c:pt>
                <c:pt idx="75">
                  <c:v>-3.6079299999999999E-4</c:v>
                </c:pt>
                <c:pt idx="76">
                  <c:v>-2.98077E-4</c:v>
                </c:pt>
                <c:pt idx="77">
                  <c:v>-4.5368399999999999E-4</c:v>
                </c:pt>
                <c:pt idx="78">
                  <c:v>-4.4554000000000002E-4</c:v>
                </c:pt>
                <c:pt idx="79">
                  <c:v>-3.65435E-4</c:v>
                </c:pt>
                <c:pt idx="80">
                  <c:v>-3.3112000000000001E-4</c:v>
                </c:pt>
                <c:pt idx="81">
                  <c:v>-4.3019299999999999E-4</c:v>
                </c:pt>
                <c:pt idx="82">
                  <c:v>-4.37637E-4</c:v>
                </c:pt>
                <c:pt idx="83">
                  <c:v>-4.4666299999999998E-4</c:v>
                </c:pt>
                <c:pt idx="84">
                  <c:v>-2.8246100000000002E-4</c:v>
                </c:pt>
                <c:pt idx="85">
                  <c:v>-3.8476800000000001E-4</c:v>
                </c:pt>
                <c:pt idx="86">
                  <c:v>-4.1132000000000001E-4</c:v>
                </c:pt>
                <c:pt idx="87">
                  <c:v>-3.8811E-4</c:v>
                </c:pt>
                <c:pt idx="88">
                  <c:v>-2.3663499999999999E-4</c:v>
                </c:pt>
                <c:pt idx="89">
                  <c:v>-3.9683699999999998E-4</c:v>
                </c:pt>
                <c:pt idx="90">
                  <c:v>-2.99809E-4</c:v>
                </c:pt>
                <c:pt idx="91">
                  <c:v>-3.4721200000000001E-4</c:v>
                </c:pt>
                <c:pt idx="92">
                  <c:v>-3.99627E-4</c:v>
                </c:pt>
                <c:pt idx="93">
                  <c:v>-4.3548000000000003E-4</c:v>
                </c:pt>
                <c:pt idx="94">
                  <c:v>-3.7940499999999998E-4</c:v>
                </c:pt>
                <c:pt idx="95">
                  <c:v>-3.97148E-4</c:v>
                </c:pt>
                <c:pt idx="96">
                  <c:v>-4.5720599999999999E-4</c:v>
                </c:pt>
                <c:pt idx="97">
                  <c:v>-3.8850400000000002E-4</c:v>
                </c:pt>
                <c:pt idx="98">
                  <c:v>-3.5897199999999999E-4</c:v>
                </c:pt>
                <c:pt idx="99">
                  <c:v>-4.9979500000000004E-4</c:v>
                </c:pt>
                <c:pt idx="100">
                  <c:v>-3.0746099999999998E-4</c:v>
                </c:pt>
                <c:pt idx="101">
                  <c:v>-4.09181E-4</c:v>
                </c:pt>
                <c:pt idx="102">
                  <c:v>-4.8697600000000002E-4</c:v>
                </c:pt>
                <c:pt idx="103">
                  <c:v>-4.5688800000000002E-4</c:v>
                </c:pt>
                <c:pt idx="104">
                  <c:v>-3.4092399999999999E-4</c:v>
                </c:pt>
                <c:pt idx="105">
                  <c:v>-4.7395800000000002E-4</c:v>
                </c:pt>
                <c:pt idx="106">
                  <c:v>-5.1519499999999998E-4</c:v>
                </c:pt>
                <c:pt idx="107">
                  <c:v>-4.4831800000000001E-4</c:v>
                </c:pt>
                <c:pt idx="108">
                  <c:v>-4.5541000000000001E-4</c:v>
                </c:pt>
                <c:pt idx="109">
                  <c:v>-2.4616299999999998E-4</c:v>
                </c:pt>
                <c:pt idx="110">
                  <c:v>-4.1522500000000002E-4</c:v>
                </c:pt>
                <c:pt idx="111">
                  <c:v>-4.8700700000000002E-4</c:v>
                </c:pt>
                <c:pt idx="112">
                  <c:v>-6.4864399999999998E-4</c:v>
                </c:pt>
                <c:pt idx="113">
                  <c:v>-4.1253200000000001E-4</c:v>
                </c:pt>
                <c:pt idx="114">
                  <c:v>-3.9823199999999999E-4</c:v>
                </c:pt>
                <c:pt idx="115">
                  <c:v>-3.9907199999999999E-4</c:v>
                </c:pt>
                <c:pt idx="116">
                  <c:v>-3.6391700000000001E-4</c:v>
                </c:pt>
                <c:pt idx="117">
                  <c:v>-4.4936900000000003E-4</c:v>
                </c:pt>
                <c:pt idx="118">
                  <c:v>-4.42037E-4</c:v>
                </c:pt>
                <c:pt idx="119">
                  <c:v>-4.5868100000000001E-4</c:v>
                </c:pt>
                <c:pt idx="120">
                  <c:v>-4.38305E-4</c:v>
                </c:pt>
                <c:pt idx="121">
                  <c:v>-5.0893200000000003E-4</c:v>
                </c:pt>
                <c:pt idx="122">
                  <c:v>-4.64964E-4</c:v>
                </c:pt>
                <c:pt idx="123">
                  <c:v>-4.7951899999999997E-4</c:v>
                </c:pt>
                <c:pt idx="124">
                  <c:v>-6.0870399999999995E-4</c:v>
                </c:pt>
                <c:pt idx="125">
                  <c:v>-5.4565799999999997E-4</c:v>
                </c:pt>
                <c:pt idx="126">
                  <c:v>-4.11099E-4</c:v>
                </c:pt>
                <c:pt idx="127">
                  <c:v>-4.4347899999999999E-4</c:v>
                </c:pt>
                <c:pt idx="128">
                  <c:v>-4.9396900000000003E-4</c:v>
                </c:pt>
                <c:pt idx="129">
                  <c:v>-4.9918599999999999E-4</c:v>
                </c:pt>
                <c:pt idx="130">
                  <c:v>-4.87987E-4</c:v>
                </c:pt>
                <c:pt idx="131">
                  <c:v>-4.8789800000000001E-4</c:v>
                </c:pt>
                <c:pt idx="132">
                  <c:v>-4.9303699999999999E-4</c:v>
                </c:pt>
                <c:pt idx="133">
                  <c:v>-5.6938300000000002E-4</c:v>
                </c:pt>
                <c:pt idx="134">
                  <c:v>-5.0349499999999996E-4</c:v>
                </c:pt>
                <c:pt idx="135">
                  <c:v>-5.4553800000000003E-4</c:v>
                </c:pt>
                <c:pt idx="136">
                  <c:v>-3.8206399999999999E-4</c:v>
                </c:pt>
                <c:pt idx="137">
                  <c:v>-4.9967299999999996E-4</c:v>
                </c:pt>
                <c:pt idx="138">
                  <c:v>-5.4277600000000002E-4</c:v>
                </c:pt>
                <c:pt idx="139">
                  <c:v>-4.8237699999999998E-4</c:v>
                </c:pt>
                <c:pt idx="140">
                  <c:v>-4.9037099999999997E-4</c:v>
                </c:pt>
                <c:pt idx="141">
                  <c:v>-4.3967399999999998E-4</c:v>
                </c:pt>
                <c:pt idx="142">
                  <c:v>-5.9640400000000003E-4</c:v>
                </c:pt>
                <c:pt idx="143">
                  <c:v>-4.4412800000000001E-4</c:v>
                </c:pt>
                <c:pt idx="144">
                  <c:v>-4.8383200000000001E-4</c:v>
                </c:pt>
                <c:pt idx="145">
                  <c:v>-5.2616399999999997E-4</c:v>
                </c:pt>
                <c:pt idx="146">
                  <c:v>-5.2232299999999999E-4</c:v>
                </c:pt>
                <c:pt idx="147">
                  <c:v>-5.8076899999999997E-4</c:v>
                </c:pt>
                <c:pt idx="148">
                  <c:v>-4.6091900000000001E-4</c:v>
                </c:pt>
                <c:pt idx="149">
                  <c:v>-4.4285100000000002E-4</c:v>
                </c:pt>
                <c:pt idx="150">
                  <c:v>-6.6569600000000002E-4</c:v>
                </c:pt>
                <c:pt idx="151">
                  <c:v>-5.3807099999999999E-4</c:v>
                </c:pt>
                <c:pt idx="152">
                  <c:v>-5.3709000000000005E-4</c:v>
                </c:pt>
                <c:pt idx="153">
                  <c:v>-5.9027999999999999E-4</c:v>
                </c:pt>
                <c:pt idx="154">
                  <c:v>-6.0081499999999999E-4</c:v>
                </c:pt>
                <c:pt idx="155">
                  <c:v>-7.2813499999999998E-4</c:v>
                </c:pt>
                <c:pt idx="156">
                  <c:v>-6.74082E-4</c:v>
                </c:pt>
                <c:pt idx="157">
                  <c:v>-5.8497699999999998E-4</c:v>
                </c:pt>
                <c:pt idx="158">
                  <c:v>-7.57064E-4</c:v>
                </c:pt>
                <c:pt idx="159">
                  <c:v>-6.18354E-4</c:v>
                </c:pt>
                <c:pt idx="160">
                  <c:v>-5.8678099999999998E-4</c:v>
                </c:pt>
                <c:pt idx="161">
                  <c:v>-6.5106799999999998E-4</c:v>
                </c:pt>
                <c:pt idx="162">
                  <c:v>-6.4274700000000004E-4</c:v>
                </c:pt>
                <c:pt idx="163">
                  <c:v>-6.7643599999999999E-4</c:v>
                </c:pt>
                <c:pt idx="164">
                  <c:v>-5.5013600000000001E-4</c:v>
                </c:pt>
                <c:pt idx="165">
                  <c:v>-6.8025300000000002E-4</c:v>
                </c:pt>
                <c:pt idx="166">
                  <c:v>-5.6850399999999995E-4</c:v>
                </c:pt>
                <c:pt idx="167">
                  <c:v>-5.9341500000000002E-4</c:v>
                </c:pt>
                <c:pt idx="168">
                  <c:v>-6.2083699999999995E-4</c:v>
                </c:pt>
                <c:pt idx="169">
                  <c:v>-5.85653E-4</c:v>
                </c:pt>
                <c:pt idx="170">
                  <c:v>-6.57108E-4</c:v>
                </c:pt>
                <c:pt idx="171">
                  <c:v>-6.4025099999999999E-4</c:v>
                </c:pt>
                <c:pt idx="172">
                  <c:v>-6.1360199999999998E-4</c:v>
                </c:pt>
                <c:pt idx="173">
                  <c:v>-6.6469200000000004E-4</c:v>
                </c:pt>
                <c:pt idx="174">
                  <c:v>-7.3438699999999997E-4</c:v>
                </c:pt>
                <c:pt idx="175">
                  <c:v>-6.7743299999999996E-4</c:v>
                </c:pt>
                <c:pt idx="176">
                  <c:v>-7.8870999999999998E-4</c:v>
                </c:pt>
                <c:pt idx="177">
                  <c:v>-6.7983099999999999E-4</c:v>
                </c:pt>
                <c:pt idx="178">
                  <c:v>-6.5417000000000003E-4</c:v>
                </c:pt>
                <c:pt idx="179">
                  <c:v>-6.0957800000000005E-4</c:v>
                </c:pt>
                <c:pt idx="180">
                  <c:v>-7.1878899999999995E-4</c:v>
                </c:pt>
                <c:pt idx="181">
                  <c:v>-6.9367799999999998E-4</c:v>
                </c:pt>
                <c:pt idx="182">
                  <c:v>-6.3493999999999996E-4</c:v>
                </c:pt>
                <c:pt idx="183">
                  <c:v>-6.2501199999999999E-4</c:v>
                </c:pt>
                <c:pt idx="184">
                  <c:v>-7.3499800000000005E-4</c:v>
                </c:pt>
                <c:pt idx="185">
                  <c:v>-7.5571199999999996E-4</c:v>
                </c:pt>
                <c:pt idx="186">
                  <c:v>-6.1729999999999999E-4</c:v>
                </c:pt>
                <c:pt idx="187">
                  <c:v>-6.8467199999999999E-4</c:v>
                </c:pt>
                <c:pt idx="188">
                  <c:v>-6.3435E-4</c:v>
                </c:pt>
                <c:pt idx="189">
                  <c:v>-6.5191499999999998E-4</c:v>
                </c:pt>
                <c:pt idx="190">
                  <c:v>-6.5561999999999999E-4</c:v>
                </c:pt>
                <c:pt idx="191">
                  <c:v>-6.7327800000000003E-4</c:v>
                </c:pt>
                <c:pt idx="192">
                  <c:v>-7.4726899999999995E-4</c:v>
                </c:pt>
                <c:pt idx="193">
                  <c:v>-8.3926499999999995E-4</c:v>
                </c:pt>
                <c:pt idx="194">
                  <c:v>-6.7531600000000002E-4</c:v>
                </c:pt>
                <c:pt idx="195">
                  <c:v>-6.1501899999999996E-4</c:v>
                </c:pt>
                <c:pt idx="196">
                  <c:v>-7.1909199999999995E-4</c:v>
                </c:pt>
                <c:pt idx="197">
                  <c:v>-7.2412900000000001E-4</c:v>
                </c:pt>
                <c:pt idx="198">
                  <c:v>-7.2377800000000001E-4</c:v>
                </c:pt>
                <c:pt idx="199">
                  <c:v>-7.9412799999999996E-4</c:v>
                </c:pt>
                <c:pt idx="200">
                  <c:v>-6.7049799999999995E-4</c:v>
                </c:pt>
                <c:pt idx="201">
                  <c:v>-7.7229600000000001E-4</c:v>
                </c:pt>
                <c:pt idx="202">
                  <c:v>-8.0557299999999997E-4</c:v>
                </c:pt>
                <c:pt idx="203">
                  <c:v>-8.0135600000000003E-4</c:v>
                </c:pt>
                <c:pt idx="204">
                  <c:v>-8.0810599999999995E-4</c:v>
                </c:pt>
                <c:pt idx="205">
                  <c:v>-6.9392499999999997E-4</c:v>
                </c:pt>
                <c:pt idx="206">
                  <c:v>-7.2742300000000005E-4</c:v>
                </c:pt>
                <c:pt idx="207">
                  <c:v>-7.0080700000000001E-4</c:v>
                </c:pt>
                <c:pt idx="208">
                  <c:v>-5.4672900000000003E-4</c:v>
                </c:pt>
                <c:pt idx="209">
                  <c:v>-6.4019399999999996E-4</c:v>
                </c:pt>
                <c:pt idx="210">
                  <c:v>-7.6010900000000002E-4</c:v>
                </c:pt>
                <c:pt idx="211">
                  <c:v>-7.1231199999999999E-4</c:v>
                </c:pt>
                <c:pt idx="212">
                  <c:v>-7.3434699999999999E-4</c:v>
                </c:pt>
                <c:pt idx="213">
                  <c:v>-7.8751400000000001E-4</c:v>
                </c:pt>
                <c:pt idx="214">
                  <c:v>-8.7588100000000001E-4</c:v>
                </c:pt>
                <c:pt idx="215">
                  <c:v>-8.7401299999999998E-4</c:v>
                </c:pt>
                <c:pt idx="216">
                  <c:v>-8.58328E-4</c:v>
                </c:pt>
                <c:pt idx="217">
                  <c:v>-8.5551900000000001E-4</c:v>
                </c:pt>
                <c:pt idx="218">
                  <c:v>-7.77157E-4</c:v>
                </c:pt>
                <c:pt idx="219">
                  <c:v>-8.8921699999999998E-4</c:v>
                </c:pt>
                <c:pt idx="220">
                  <c:v>-9.3287800000000005E-4</c:v>
                </c:pt>
                <c:pt idx="221">
                  <c:v>-8.1816099999999998E-4</c:v>
                </c:pt>
                <c:pt idx="222">
                  <c:v>-9.2529500000000002E-4</c:v>
                </c:pt>
                <c:pt idx="223">
                  <c:v>-8.0519599999999999E-4</c:v>
                </c:pt>
                <c:pt idx="224">
                  <c:v>-8.0323700000000005E-4</c:v>
                </c:pt>
                <c:pt idx="225">
                  <c:v>-9.1431399999999995E-4</c:v>
                </c:pt>
                <c:pt idx="226">
                  <c:v>-7.9666199999999996E-4</c:v>
                </c:pt>
                <c:pt idx="227">
                  <c:v>-9.3178200000000003E-4</c:v>
                </c:pt>
                <c:pt idx="228">
                  <c:v>-8.8901599999999996E-4</c:v>
                </c:pt>
                <c:pt idx="229">
                  <c:v>-8.6962300000000003E-4</c:v>
                </c:pt>
                <c:pt idx="230">
                  <c:v>-8.1590199999999997E-4</c:v>
                </c:pt>
                <c:pt idx="231">
                  <c:v>-1.0237600000000001E-3</c:v>
                </c:pt>
                <c:pt idx="232">
                  <c:v>-8.1382299999999998E-4</c:v>
                </c:pt>
                <c:pt idx="233">
                  <c:v>-8.7104700000000001E-4</c:v>
                </c:pt>
                <c:pt idx="234">
                  <c:v>-9.2568200000000005E-4</c:v>
                </c:pt>
                <c:pt idx="235">
                  <c:v>-8.7574799999999998E-4</c:v>
                </c:pt>
                <c:pt idx="236">
                  <c:v>-8.8916699999999995E-4</c:v>
                </c:pt>
                <c:pt idx="237">
                  <c:v>-8.1641500000000002E-4</c:v>
                </c:pt>
                <c:pt idx="238">
                  <c:v>-8.6652500000000004E-4</c:v>
                </c:pt>
                <c:pt idx="239">
                  <c:v>-8.9361599999999996E-4</c:v>
                </c:pt>
                <c:pt idx="240">
                  <c:v>-9.4345300000000002E-4</c:v>
                </c:pt>
                <c:pt idx="241">
                  <c:v>-9.0628300000000002E-4</c:v>
                </c:pt>
                <c:pt idx="242">
                  <c:v>-8.7766500000000002E-4</c:v>
                </c:pt>
                <c:pt idx="243">
                  <c:v>-9.0260500000000001E-4</c:v>
                </c:pt>
                <c:pt idx="244">
                  <c:v>-9.3029799999999998E-4</c:v>
                </c:pt>
                <c:pt idx="245">
                  <c:v>-9.6373900000000002E-4</c:v>
                </c:pt>
                <c:pt idx="246">
                  <c:v>-8.4033000000000003E-4</c:v>
                </c:pt>
                <c:pt idx="247">
                  <c:v>-9.6351800000000001E-4</c:v>
                </c:pt>
                <c:pt idx="248">
                  <c:v>-9.0388999999999997E-4</c:v>
                </c:pt>
                <c:pt idx="249">
                  <c:v>-9.4012900000000005E-4</c:v>
                </c:pt>
                <c:pt idx="250">
                  <c:v>-9.3949300000000001E-4</c:v>
                </c:pt>
                <c:pt idx="251">
                  <c:v>-9.5372199999999995E-4</c:v>
                </c:pt>
                <c:pt idx="252">
                  <c:v>-8.9225800000000005E-4</c:v>
                </c:pt>
                <c:pt idx="253">
                  <c:v>-9.0965999999999996E-4</c:v>
                </c:pt>
                <c:pt idx="254">
                  <c:v>-1.0260099999999999E-3</c:v>
                </c:pt>
                <c:pt idx="255">
                  <c:v>-9.3970700000000002E-4</c:v>
                </c:pt>
                <c:pt idx="256">
                  <c:v>-9.0551E-4</c:v>
                </c:pt>
                <c:pt idx="257">
                  <c:v>-9.4864999999999999E-4</c:v>
                </c:pt>
                <c:pt idx="258">
                  <c:v>-8.0102999999999999E-4</c:v>
                </c:pt>
                <c:pt idx="259">
                  <c:v>-9.3500899999999999E-4</c:v>
                </c:pt>
                <c:pt idx="260">
                  <c:v>-7.9098500000000002E-4</c:v>
                </c:pt>
                <c:pt idx="261">
                  <c:v>-9.4357299999999996E-4</c:v>
                </c:pt>
                <c:pt idx="262">
                  <c:v>-9.8062999999999991E-4</c:v>
                </c:pt>
                <c:pt idx="263">
                  <c:v>-9.7315800000000001E-4</c:v>
                </c:pt>
                <c:pt idx="264">
                  <c:v>-9.5678899999999999E-4</c:v>
                </c:pt>
                <c:pt idx="265">
                  <c:v>-1.0215300000000001E-3</c:v>
                </c:pt>
                <c:pt idx="266">
                  <c:v>-1.03904E-3</c:v>
                </c:pt>
                <c:pt idx="267">
                  <c:v>-1.0914799999999999E-3</c:v>
                </c:pt>
                <c:pt idx="268">
                  <c:v>-9.8439600000000001E-4</c:v>
                </c:pt>
                <c:pt idx="269">
                  <c:v>-1.0380700000000001E-3</c:v>
                </c:pt>
                <c:pt idx="270">
                  <c:v>-1.1103599999999999E-3</c:v>
                </c:pt>
                <c:pt idx="271">
                  <c:v>-1.05514E-3</c:v>
                </c:pt>
                <c:pt idx="272">
                  <c:v>-1.10498E-3</c:v>
                </c:pt>
                <c:pt idx="273">
                  <c:v>-9.8216699999999994E-4</c:v>
                </c:pt>
                <c:pt idx="274">
                  <c:v>-1.09073E-3</c:v>
                </c:pt>
                <c:pt idx="275">
                  <c:v>-9.67766E-4</c:v>
                </c:pt>
                <c:pt idx="276">
                  <c:v>-9.9628999999999994E-4</c:v>
                </c:pt>
                <c:pt idx="277">
                  <c:v>-1.0291300000000001E-3</c:v>
                </c:pt>
                <c:pt idx="278">
                  <c:v>-1.0007E-3</c:v>
                </c:pt>
                <c:pt idx="279">
                  <c:v>-1.0018099999999999E-3</c:v>
                </c:pt>
                <c:pt idx="280">
                  <c:v>-1.0273299999999999E-3</c:v>
                </c:pt>
                <c:pt idx="281">
                  <c:v>-1.0588800000000001E-3</c:v>
                </c:pt>
                <c:pt idx="282">
                  <c:v>-1.0961199999999999E-3</c:v>
                </c:pt>
                <c:pt idx="283">
                  <c:v>-1.1632299999999999E-3</c:v>
                </c:pt>
                <c:pt idx="284">
                  <c:v>-1.0716600000000001E-3</c:v>
                </c:pt>
                <c:pt idx="285">
                  <c:v>-1.05872E-3</c:v>
                </c:pt>
                <c:pt idx="286">
                  <c:v>-1.08077E-3</c:v>
                </c:pt>
                <c:pt idx="287">
                  <c:v>-1.0637999999999999E-3</c:v>
                </c:pt>
                <c:pt idx="288">
                  <c:v>-9.8604300000000003E-4</c:v>
                </c:pt>
                <c:pt idx="289">
                  <c:v>-1.0820000000000001E-3</c:v>
                </c:pt>
                <c:pt idx="290">
                  <c:v>-1.1079200000000001E-3</c:v>
                </c:pt>
                <c:pt idx="291">
                  <c:v>-1.17745E-3</c:v>
                </c:pt>
                <c:pt idx="292">
                  <c:v>-1.1422100000000001E-3</c:v>
                </c:pt>
                <c:pt idx="293">
                  <c:v>-1.0696900000000001E-3</c:v>
                </c:pt>
                <c:pt idx="294">
                  <c:v>-1.12952E-3</c:v>
                </c:pt>
                <c:pt idx="295">
                  <c:v>-1.1896400000000001E-3</c:v>
                </c:pt>
                <c:pt idx="296">
                  <c:v>-1.0625999999999999E-3</c:v>
                </c:pt>
                <c:pt idx="297">
                  <c:v>-1.1742499999999999E-3</c:v>
                </c:pt>
                <c:pt idx="298">
                  <c:v>-1.1554600000000001E-3</c:v>
                </c:pt>
                <c:pt idx="299">
                  <c:v>-1.13638E-3</c:v>
                </c:pt>
                <c:pt idx="300">
                  <c:v>-1.1868600000000001E-3</c:v>
                </c:pt>
                <c:pt idx="301">
                  <c:v>-1.14843E-3</c:v>
                </c:pt>
                <c:pt idx="302">
                  <c:v>-1.1706399999999999E-3</c:v>
                </c:pt>
                <c:pt idx="303">
                  <c:v>-1.17E-3</c:v>
                </c:pt>
                <c:pt idx="304">
                  <c:v>-1.1972300000000001E-3</c:v>
                </c:pt>
                <c:pt idx="305">
                  <c:v>-1.2175E-3</c:v>
                </c:pt>
                <c:pt idx="306">
                  <c:v>-1.23672E-3</c:v>
                </c:pt>
                <c:pt idx="307">
                  <c:v>-1.2495799999999999E-3</c:v>
                </c:pt>
                <c:pt idx="308">
                  <c:v>-1.2727000000000001E-3</c:v>
                </c:pt>
                <c:pt idx="309">
                  <c:v>-1.2347300000000001E-3</c:v>
                </c:pt>
                <c:pt idx="310">
                  <c:v>-1.18805E-3</c:v>
                </c:pt>
                <c:pt idx="311">
                  <c:v>-1.2276399999999999E-3</c:v>
                </c:pt>
                <c:pt idx="312">
                  <c:v>-1.24351E-3</c:v>
                </c:pt>
                <c:pt idx="313">
                  <c:v>-1.2690399999999999E-3</c:v>
                </c:pt>
                <c:pt idx="314">
                  <c:v>-1.2351700000000001E-3</c:v>
                </c:pt>
                <c:pt idx="315">
                  <c:v>-1.3782899999999999E-3</c:v>
                </c:pt>
                <c:pt idx="316">
                  <c:v>-1.22736E-3</c:v>
                </c:pt>
                <c:pt idx="317">
                  <c:v>-1.20389E-3</c:v>
                </c:pt>
                <c:pt idx="318">
                  <c:v>-1.1941600000000001E-3</c:v>
                </c:pt>
                <c:pt idx="319">
                  <c:v>-1.26625E-3</c:v>
                </c:pt>
                <c:pt idx="320">
                  <c:v>-1.2543599999999999E-3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53B-4CBB-80FC-1AEF90CC3FDB}"/>
            </c:ext>
          </c:extLst>
        </c:ser>
        <c:ser>
          <c:idx val="2"/>
          <c:order val="1"/>
          <c:spPr>
            <a:ln w="19050" cap="rnd">
              <a:noFill/>
              <a:round/>
            </a:ln>
            <a:effectLst/>
          </c:spPr>
          <c:xVal>
            <c:numRef>
              <c:f>'L30CPTX-3'!$B$80:$B$400</c:f>
              <c:numCache>
                <c:formatCode>General</c:formatCode>
                <c:ptCount val="321"/>
                <c:pt idx="0">
                  <c:v>1.48565E-3</c:v>
                </c:pt>
                <c:pt idx="1">
                  <c:v>1.5038E-3</c:v>
                </c:pt>
                <c:pt idx="2">
                  <c:v>1.4103099999999999E-3</c:v>
                </c:pt>
                <c:pt idx="3">
                  <c:v>1.49825E-3</c:v>
                </c:pt>
                <c:pt idx="4">
                  <c:v>1.4594300000000001E-3</c:v>
                </c:pt>
                <c:pt idx="5">
                  <c:v>1.5429199999999999E-3</c:v>
                </c:pt>
                <c:pt idx="6">
                  <c:v>1.48573E-3</c:v>
                </c:pt>
                <c:pt idx="7">
                  <c:v>1.49238E-3</c:v>
                </c:pt>
                <c:pt idx="8">
                  <c:v>1.5765600000000001E-3</c:v>
                </c:pt>
                <c:pt idx="9">
                  <c:v>1.49468E-3</c:v>
                </c:pt>
                <c:pt idx="10">
                  <c:v>1.5952799999999999E-3</c:v>
                </c:pt>
                <c:pt idx="11">
                  <c:v>1.5771100000000001E-3</c:v>
                </c:pt>
                <c:pt idx="12">
                  <c:v>1.5403599999999999E-3</c:v>
                </c:pt>
                <c:pt idx="13">
                  <c:v>1.6607600000000001E-3</c:v>
                </c:pt>
                <c:pt idx="14">
                  <c:v>1.76826E-3</c:v>
                </c:pt>
                <c:pt idx="15">
                  <c:v>1.59961E-3</c:v>
                </c:pt>
                <c:pt idx="16">
                  <c:v>1.65059E-3</c:v>
                </c:pt>
                <c:pt idx="17">
                  <c:v>1.7028099999999999E-3</c:v>
                </c:pt>
                <c:pt idx="18">
                  <c:v>1.74007E-3</c:v>
                </c:pt>
                <c:pt idx="19">
                  <c:v>1.7541200000000001E-3</c:v>
                </c:pt>
                <c:pt idx="20">
                  <c:v>1.7130299999999999E-3</c:v>
                </c:pt>
                <c:pt idx="21">
                  <c:v>1.7968700000000001E-3</c:v>
                </c:pt>
                <c:pt idx="22">
                  <c:v>1.7821899999999999E-3</c:v>
                </c:pt>
                <c:pt idx="23">
                  <c:v>1.76461E-3</c:v>
                </c:pt>
                <c:pt idx="24">
                  <c:v>1.79565E-3</c:v>
                </c:pt>
                <c:pt idx="25">
                  <c:v>1.9105400000000001E-3</c:v>
                </c:pt>
                <c:pt idx="26">
                  <c:v>1.8150600000000001E-3</c:v>
                </c:pt>
                <c:pt idx="27">
                  <c:v>1.8595700000000001E-3</c:v>
                </c:pt>
                <c:pt idx="28">
                  <c:v>1.83252E-3</c:v>
                </c:pt>
                <c:pt idx="29">
                  <c:v>1.9292599999999999E-3</c:v>
                </c:pt>
                <c:pt idx="30">
                  <c:v>1.9236399999999999E-3</c:v>
                </c:pt>
                <c:pt idx="31">
                  <c:v>1.89044E-3</c:v>
                </c:pt>
                <c:pt idx="32">
                  <c:v>1.8790499999999999E-3</c:v>
                </c:pt>
                <c:pt idx="33">
                  <c:v>1.93516E-3</c:v>
                </c:pt>
                <c:pt idx="34">
                  <c:v>2.0088599999999999E-3</c:v>
                </c:pt>
                <c:pt idx="35">
                  <c:v>1.9565400000000001E-3</c:v>
                </c:pt>
                <c:pt idx="36">
                  <c:v>2.03871E-3</c:v>
                </c:pt>
                <c:pt idx="37">
                  <c:v>1.9888800000000002E-3</c:v>
                </c:pt>
                <c:pt idx="38">
                  <c:v>2.0217199999999999E-3</c:v>
                </c:pt>
                <c:pt idx="39">
                  <c:v>2.05982E-3</c:v>
                </c:pt>
                <c:pt idx="40">
                  <c:v>2.0679399999999999E-3</c:v>
                </c:pt>
                <c:pt idx="41">
                  <c:v>2.1071699999999998E-3</c:v>
                </c:pt>
                <c:pt idx="42">
                  <c:v>2.0886699999999999E-3</c:v>
                </c:pt>
                <c:pt idx="43">
                  <c:v>2.1099199999999999E-3</c:v>
                </c:pt>
                <c:pt idx="44">
                  <c:v>2.0684200000000001E-3</c:v>
                </c:pt>
                <c:pt idx="45">
                  <c:v>2.1737200000000001E-3</c:v>
                </c:pt>
                <c:pt idx="46">
                  <c:v>2.1675499999999999E-3</c:v>
                </c:pt>
                <c:pt idx="47">
                  <c:v>2.1985400000000001E-3</c:v>
                </c:pt>
                <c:pt idx="48">
                  <c:v>2.2126400000000001E-3</c:v>
                </c:pt>
                <c:pt idx="49">
                  <c:v>2.23266E-3</c:v>
                </c:pt>
                <c:pt idx="50">
                  <c:v>2.2849200000000002E-3</c:v>
                </c:pt>
                <c:pt idx="51">
                  <c:v>2.2051499999999999E-3</c:v>
                </c:pt>
                <c:pt idx="52">
                  <c:v>2.2530800000000002E-3</c:v>
                </c:pt>
                <c:pt idx="53">
                  <c:v>2.2551799999999999E-3</c:v>
                </c:pt>
                <c:pt idx="54">
                  <c:v>2.3030300000000002E-3</c:v>
                </c:pt>
                <c:pt idx="55">
                  <c:v>2.2882200000000001E-3</c:v>
                </c:pt>
                <c:pt idx="56">
                  <c:v>2.3325899999999998E-3</c:v>
                </c:pt>
                <c:pt idx="57">
                  <c:v>2.3533999999999998E-3</c:v>
                </c:pt>
                <c:pt idx="58">
                  <c:v>2.4230599999999999E-3</c:v>
                </c:pt>
                <c:pt idx="59">
                  <c:v>2.4007099999999999E-3</c:v>
                </c:pt>
                <c:pt idx="60">
                  <c:v>2.3463199999999998E-3</c:v>
                </c:pt>
                <c:pt idx="61">
                  <c:v>2.3998700000000001E-3</c:v>
                </c:pt>
                <c:pt idx="62">
                  <c:v>2.3557500000000002E-3</c:v>
                </c:pt>
                <c:pt idx="63">
                  <c:v>2.46342E-3</c:v>
                </c:pt>
                <c:pt idx="64">
                  <c:v>2.4660400000000001E-3</c:v>
                </c:pt>
                <c:pt idx="65">
                  <c:v>2.4627899999999999E-3</c:v>
                </c:pt>
                <c:pt idx="66">
                  <c:v>2.48008E-3</c:v>
                </c:pt>
                <c:pt idx="67">
                  <c:v>2.49475E-3</c:v>
                </c:pt>
                <c:pt idx="68">
                  <c:v>2.5490500000000002E-3</c:v>
                </c:pt>
                <c:pt idx="69">
                  <c:v>2.4308400000000001E-3</c:v>
                </c:pt>
                <c:pt idx="70">
                  <c:v>2.5258300000000002E-3</c:v>
                </c:pt>
                <c:pt idx="71">
                  <c:v>2.5412099999999999E-3</c:v>
                </c:pt>
                <c:pt idx="72">
                  <c:v>2.6261499999999998E-3</c:v>
                </c:pt>
                <c:pt idx="73">
                  <c:v>2.6440000000000001E-3</c:v>
                </c:pt>
                <c:pt idx="74">
                  <c:v>2.6210000000000001E-3</c:v>
                </c:pt>
                <c:pt idx="75">
                  <c:v>2.7037599999999999E-3</c:v>
                </c:pt>
                <c:pt idx="76">
                  <c:v>2.6561599999999999E-3</c:v>
                </c:pt>
                <c:pt idx="77">
                  <c:v>2.6895500000000002E-3</c:v>
                </c:pt>
                <c:pt idx="78">
                  <c:v>2.6649199999999999E-3</c:v>
                </c:pt>
                <c:pt idx="79">
                  <c:v>2.68192E-3</c:v>
                </c:pt>
                <c:pt idx="80">
                  <c:v>2.6901099999999999E-3</c:v>
                </c:pt>
                <c:pt idx="81">
                  <c:v>2.6889100000000001E-3</c:v>
                </c:pt>
                <c:pt idx="82">
                  <c:v>2.6982500000000001E-3</c:v>
                </c:pt>
                <c:pt idx="83">
                  <c:v>2.7632300000000002E-3</c:v>
                </c:pt>
                <c:pt idx="84">
                  <c:v>2.7867999999999999E-3</c:v>
                </c:pt>
                <c:pt idx="85">
                  <c:v>2.7607500000000002E-3</c:v>
                </c:pt>
                <c:pt idx="86">
                  <c:v>2.8093100000000002E-3</c:v>
                </c:pt>
                <c:pt idx="87">
                  <c:v>2.8341299999999998E-3</c:v>
                </c:pt>
                <c:pt idx="88">
                  <c:v>2.80832E-3</c:v>
                </c:pt>
                <c:pt idx="89">
                  <c:v>2.8901E-3</c:v>
                </c:pt>
                <c:pt idx="90">
                  <c:v>2.8640599999999999E-3</c:v>
                </c:pt>
                <c:pt idx="91">
                  <c:v>2.94246E-3</c:v>
                </c:pt>
                <c:pt idx="92">
                  <c:v>2.9005599999999999E-3</c:v>
                </c:pt>
                <c:pt idx="93">
                  <c:v>2.9188899999999999E-3</c:v>
                </c:pt>
                <c:pt idx="94">
                  <c:v>2.94137E-3</c:v>
                </c:pt>
                <c:pt idx="95">
                  <c:v>2.9390900000000001E-3</c:v>
                </c:pt>
                <c:pt idx="96">
                  <c:v>2.9557400000000001E-3</c:v>
                </c:pt>
                <c:pt idx="97">
                  <c:v>2.97985E-3</c:v>
                </c:pt>
                <c:pt idx="98">
                  <c:v>3.02959E-3</c:v>
                </c:pt>
                <c:pt idx="99">
                  <c:v>3.0135700000000001E-3</c:v>
                </c:pt>
                <c:pt idx="100">
                  <c:v>3.0266E-3</c:v>
                </c:pt>
                <c:pt idx="101">
                  <c:v>3.0793299999999999E-3</c:v>
                </c:pt>
                <c:pt idx="102">
                  <c:v>3.0654499999999999E-3</c:v>
                </c:pt>
                <c:pt idx="103">
                  <c:v>3.11188E-3</c:v>
                </c:pt>
                <c:pt idx="104">
                  <c:v>3.1437800000000001E-3</c:v>
                </c:pt>
                <c:pt idx="105">
                  <c:v>2.9873E-3</c:v>
                </c:pt>
                <c:pt idx="106">
                  <c:v>3.07998E-3</c:v>
                </c:pt>
                <c:pt idx="107">
                  <c:v>3.1860299999999999E-3</c:v>
                </c:pt>
                <c:pt idx="108">
                  <c:v>3.1208E-3</c:v>
                </c:pt>
                <c:pt idx="109">
                  <c:v>3.1986100000000002E-3</c:v>
                </c:pt>
                <c:pt idx="110">
                  <c:v>3.1846399999999999E-3</c:v>
                </c:pt>
                <c:pt idx="111">
                  <c:v>3.2371499999999998E-3</c:v>
                </c:pt>
                <c:pt idx="112">
                  <c:v>3.20441E-3</c:v>
                </c:pt>
                <c:pt idx="113">
                  <c:v>3.2107799999999999E-3</c:v>
                </c:pt>
                <c:pt idx="114">
                  <c:v>3.3014199999999998E-3</c:v>
                </c:pt>
                <c:pt idx="115">
                  <c:v>3.2674399999999999E-3</c:v>
                </c:pt>
                <c:pt idx="116">
                  <c:v>3.2523600000000001E-3</c:v>
                </c:pt>
                <c:pt idx="117">
                  <c:v>3.2680299999999999E-3</c:v>
                </c:pt>
                <c:pt idx="118">
                  <c:v>3.3176099999999999E-3</c:v>
                </c:pt>
                <c:pt idx="119">
                  <c:v>3.3481600000000002E-3</c:v>
                </c:pt>
                <c:pt idx="120">
                  <c:v>3.3539099999999999E-3</c:v>
                </c:pt>
                <c:pt idx="121">
                  <c:v>3.34608E-3</c:v>
                </c:pt>
                <c:pt idx="122">
                  <c:v>3.3767699999999999E-3</c:v>
                </c:pt>
                <c:pt idx="123">
                  <c:v>3.38273E-3</c:v>
                </c:pt>
                <c:pt idx="124">
                  <c:v>3.4516799999999999E-3</c:v>
                </c:pt>
                <c:pt idx="125">
                  <c:v>3.4276699999999998E-3</c:v>
                </c:pt>
                <c:pt idx="126">
                  <c:v>3.4359500000000001E-3</c:v>
                </c:pt>
                <c:pt idx="127">
                  <c:v>3.4513399999999998E-3</c:v>
                </c:pt>
                <c:pt idx="128">
                  <c:v>3.48819E-3</c:v>
                </c:pt>
                <c:pt idx="129">
                  <c:v>3.5058699999999999E-3</c:v>
                </c:pt>
                <c:pt idx="130">
                  <c:v>3.4628699999999998E-3</c:v>
                </c:pt>
                <c:pt idx="131">
                  <c:v>3.4555900000000001E-3</c:v>
                </c:pt>
                <c:pt idx="132">
                  <c:v>3.5931800000000001E-3</c:v>
                </c:pt>
                <c:pt idx="133">
                  <c:v>3.5641399999999999E-3</c:v>
                </c:pt>
                <c:pt idx="134">
                  <c:v>3.56764E-3</c:v>
                </c:pt>
                <c:pt idx="135">
                  <c:v>3.57961E-3</c:v>
                </c:pt>
                <c:pt idx="136">
                  <c:v>3.6054799999999999E-3</c:v>
                </c:pt>
                <c:pt idx="137">
                  <c:v>3.59181E-3</c:v>
                </c:pt>
                <c:pt idx="138">
                  <c:v>3.64899E-3</c:v>
                </c:pt>
                <c:pt idx="139">
                  <c:v>3.6353700000000002E-3</c:v>
                </c:pt>
                <c:pt idx="140">
                  <c:v>3.6762600000000002E-3</c:v>
                </c:pt>
                <c:pt idx="141">
                  <c:v>3.6934200000000002E-3</c:v>
                </c:pt>
                <c:pt idx="142">
                  <c:v>3.7153199999999998E-3</c:v>
                </c:pt>
                <c:pt idx="143">
                  <c:v>3.7413899999999998E-3</c:v>
                </c:pt>
                <c:pt idx="144">
                  <c:v>3.7801000000000002E-3</c:v>
                </c:pt>
                <c:pt idx="145">
                  <c:v>3.74114E-3</c:v>
                </c:pt>
                <c:pt idx="146">
                  <c:v>3.8230600000000001E-3</c:v>
                </c:pt>
                <c:pt idx="147">
                  <c:v>3.7425100000000001E-3</c:v>
                </c:pt>
                <c:pt idx="148">
                  <c:v>3.7833900000000002E-3</c:v>
                </c:pt>
                <c:pt idx="149">
                  <c:v>3.8888600000000001E-3</c:v>
                </c:pt>
                <c:pt idx="150">
                  <c:v>3.7434199999999999E-3</c:v>
                </c:pt>
                <c:pt idx="151">
                  <c:v>3.8993999999999999E-3</c:v>
                </c:pt>
                <c:pt idx="152">
                  <c:v>3.8566E-3</c:v>
                </c:pt>
                <c:pt idx="153">
                  <c:v>3.9738600000000001E-3</c:v>
                </c:pt>
                <c:pt idx="154">
                  <c:v>3.8372300000000001E-3</c:v>
                </c:pt>
                <c:pt idx="155">
                  <c:v>3.9011200000000001E-3</c:v>
                </c:pt>
                <c:pt idx="156">
                  <c:v>3.9638700000000004E-3</c:v>
                </c:pt>
                <c:pt idx="157">
                  <c:v>3.8850400000000002E-3</c:v>
                </c:pt>
                <c:pt idx="158">
                  <c:v>4.0018199999999997E-3</c:v>
                </c:pt>
                <c:pt idx="159">
                  <c:v>3.9615099999999997E-3</c:v>
                </c:pt>
                <c:pt idx="160">
                  <c:v>4.0003699999999996E-3</c:v>
                </c:pt>
                <c:pt idx="161">
                  <c:v>3.9709699999999999E-3</c:v>
                </c:pt>
                <c:pt idx="162">
                  <c:v>4.0480000000000004E-3</c:v>
                </c:pt>
                <c:pt idx="163">
                  <c:v>4.0697199999999998E-3</c:v>
                </c:pt>
                <c:pt idx="164">
                  <c:v>4.0863899999999996E-3</c:v>
                </c:pt>
                <c:pt idx="165">
                  <c:v>4.0403899999999996E-3</c:v>
                </c:pt>
                <c:pt idx="166">
                  <c:v>4.11349E-3</c:v>
                </c:pt>
                <c:pt idx="167">
                  <c:v>4.1021900000000004E-3</c:v>
                </c:pt>
                <c:pt idx="168">
                  <c:v>4.12649E-3</c:v>
                </c:pt>
                <c:pt idx="169">
                  <c:v>4.15264E-3</c:v>
                </c:pt>
                <c:pt idx="170">
                  <c:v>4.1141499999999996E-3</c:v>
                </c:pt>
                <c:pt idx="171">
                  <c:v>4.1096199999999996E-3</c:v>
                </c:pt>
                <c:pt idx="172">
                  <c:v>4.1610800000000002E-3</c:v>
                </c:pt>
                <c:pt idx="173">
                  <c:v>4.1250899999999997E-3</c:v>
                </c:pt>
                <c:pt idx="174">
                  <c:v>4.2051099999999998E-3</c:v>
                </c:pt>
                <c:pt idx="175">
                  <c:v>4.2454099999999998E-3</c:v>
                </c:pt>
                <c:pt idx="176">
                  <c:v>4.1470600000000002E-3</c:v>
                </c:pt>
                <c:pt idx="177">
                  <c:v>4.2031100000000004E-3</c:v>
                </c:pt>
                <c:pt idx="178">
                  <c:v>4.25327E-3</c:v>
                </c:pt>
                <c:pt idx="179">
                  <c:v>4.2393500000000002E-3</c:v>
                </c:pt>
                <c:pt idx="180">
                  <c:v>4.3146499999999997E-3</c:v>
                </c:pt>
                <c:pt idx="181">
                  <c:v>4.3469600000000004E-3</c:v>
                </c:pt>
                <c:pt idx="182">
                  <c:v>4.3348700000000002E-3</c:v>
                </c:pt>
                <c:pt idx="183">
                  <c:v>4.3633700000000001E-3</c:v>
                </c:pt>
                <c:pt idx="184">
                  <c:v>4.3383099999999997E-3</c:v>
                </c:pt>
                <c:pt idx="185">
                  <c:v>4.3943899999999998E-3</c:v>
                </c:pt>
                <c:pt idx="186">
                  <c:v>4.43933E-3</c:v>
                </c:pt>
                <c:pt idx="187">
                  <c:v>4.4545699999999997E-3</c:v>
                </c:pt>
                <c:pt idx="188">
                  <c:v>4.4281399999999997E-3</c:v>
                </c:pt>
                <c:pt idx="189">
                  <c:v>4.41144E-3</c:v>
                </c:pt>
                <c:pt idx="190">
                  <c:v>4.4487099999999998E-3</c:v>
                </c:pt>
                <c:pt idx="191">
                  <c:v>4.4762999999999999E-3</c:v>
                </c:pt>
                <c:pt idx="192">
                  <c:v>4.4557800000000003E-3</c:v>
                </c:pt>
                <c:pt idx="193">
                  <c:v>4.4728299999999997E-3</c:v>
                </c:pt>
                <c:pt idx="194">
                  <c:v>4.5205100000000002E-3</c:v>
                </c:pt>
                <c:pt idx="195">
                  <c:v>4.5384300000000004E-3</c:v>
                </c:pt>
                <c:pt idx="196">
                  <c:v>4.4881499999999998E-3</c:v>
                </c:pt>
                <c:pt idx="197">
                  <c:v>4.59941E-3</c:v>
                </c:pt>
                <c:pt idx="198">
                  <c:v>4.6109899999999997E-3</c:v>
                </c:pt>
                <c:pt idx="199">
                  <c:v>4.5765099999999998E-3</c:v>
                </c:pt>
                <c:pt idx="200">
                  <c:v>4.6215900000000001E-3</c:v>
                </c:pt>
                <c:pt idx="201">
                  <c:v>4.6510700000000002E-3</c:v>
                </c:pt>
                <c:pt idx="202">
                  <c:v>4.5898400000000004E-3</c:v>
                </c:pt>
                <c:pt idx="203">
                  <c:v>4.6464399999999999E-3</c:v>
                </c:pt>
                <c:pt idx="204">
                  <c:v>4.6679E-3</c:v>
                </c:pt>
                <c:pt idx="205">
                  <c:v>4.6677999999999997E-3</c:v>
                </c:pt>
                <c:pt idx="206">
                  <c:v>4.7440299999999998E-3</c:v>
                </c:pt>
                <c:pt idx="207">
                  <c:v>4.7229699999999999E-3</c:v>
                </c:pt>
                <c:pt idx="208">
                  <c:v>4.7572999999999999E-3</c:v>
                </c:pt>
                <c:pt idx="209">
                  <c:v>4.7374799999999996E-3</c:v>
                </c:pt>
                <c:pt idx="210">
                  <c:v>4.7712199999999996E-3</c:v>
                </c:pt>
                <c:pt idx="211">
                  <c:v>4.8192399999999998E-3</c:v>
                </c:pt>
                <c:pt idx="212">
                  <c:v>4.8051500000000002E-3</c:v>
                </c:pt>
                <c:pt idx="213">
                  <c:v>4.76385E-3</c:v>
                </c:pt>
                <c:pt idx="214">
                  <c:v>4.7871900000000002E-3</c:v>
                </c:pt>
                <c:pt idx="215">
                  <c:v>4.81717E-3</c:v>
                </c:pt>
                <c:pt idx="216">
                  <c:v>4.8406200000000003E-3</c:v>
                </c:pt>
                <c:pt idx="217">
                  <c:v>4.8995999999999996E-3</c:v>
                </c:pt>
                <c:pt idx="218">
                  <c:v>4.89691E-3</c:v>
                </c:pt>
                <c:pt idx="219">
                  <c:v>4.8553900000000002E-3</c:v>
                </c:pt>
                <c:pt idx="220">
                  <c:v>4.9242399999999999E-3</c:v>
                </c:pt>
                <c:pt idx="221">
                  <c:v>4.9204899999999996E-3</c:v>
                </c:pt>
                <c:pt idx="222">
                  <c:v>4.9214200000000001E-3</c:v>
                </c:pt>
                <c:pt idx="223">
                  <c:v>4.9666099999999998E-3</c:v>
                </c:pt>
                <c:pt idx="224">
                  <c:v>4.9129300000000002E-3</c:v>
                </c:pt>
                <c:pt idx="225">
                  <c:v>4.9783600000000003E-3</c:v>
                </c:pt>
                <c:pt idx="226">
                  <c:v>4.9652400000000001E-3</c:v>
                </c:pt>
                <c:pt idx="227">
                  <c:v>4.9488199999999996E-3</c:v>
                </c:pt>
                <c:pt idx="228">
                  <c:v>4.9918799999999998E-3</c:v>
                </c:pt>
                <c:pt idx="229">
                  <c:v>5.0481600000000003E-3</c:v>
                </c:pt>
                <c:pt idx="230">
                  <c:v>5.03492E-3</c:v>
                </c:pt>
                <c:pt idx="231">
                  <c:v>5.0369200000000003E-3</c:v>
                </c:pt>
                <c:pt idx="232">
                  <c:v>5.2223800000000004E-3</c:v>
                </c:pt>
                <c:pt idx="233">
                  <c:v>5.0494700000000003E-3</c:v>
                </c:pt>
                <c:pt idx="234">
                  <c:v>5.1255500000000004E-3</c:v>
                </c:pt>
                <c:pt idx="235">
                  <c:v>5.1371100000000003E-3</c:v>
                </c:pt>
                <c:pt idx="236">
                  <c:v>5.1942400000000001E-3</c:v>
                </c:pt>
                <c:pt idx="237">
                  <c:v>5.2163799999999996E-3</c:v>
                </c:pt>
                <c:pt idx="238">
                  <c:v>5.20201E-3</c:v>
                </c:pt>
                <c:pt idx="239">
                  <c:v>5.2060500000000003E-3</c:v>
                </c:pt>
                <c:pt idx="240">
                  <c:v>5.2102800000000003E-3</c:v>
                </c:pt>
                <c:pt idx="241">
                  <c:v>5.24509E-3</c:v>
                </c:pt>
                <c:pt idx="242">
                  <c:v>5.2610499999999998E-3</c:v>
                </c:pt>
                <c:pt idx="243">
                  <c:v>5.2204399999999998E-3</c:v>
                </c:pt>
                <c:pt idx="244">
                  <c:v>5.2707199999999996E-3</c:v>
                </c:pt>
                <c:pt idx="245">
                  <c:v>5.2953399999999999E-3</c:v>
                </c:pt>
                <c:pt idx="246">
                  <c:v>5.3294400000000004E-3</c:v>
                </c:pt>
                <c:pt idx="247">
                  <c:v>5.3046200000000003E-3</c:v>
                </c:pt>
                <c:pt idx="248">
                  <c:v>5.35214E-3</c:v>
                </c:pt>
                <c:pt idx="249">
                  <c:v>5.3339700000000004E-3</c:v>
                </c:pt>
                <c:pt idx="250">
                  <c:v>5.3883100000000003E-3</c:v>
                </c:pt>
                <c:pt idx="251">
                  <c:v>5.4058800000000001E-3</c:v>
                </c:pt>
                <c:pt idx="252">
                  <c:v>5.3963400000000003E-3</c:v>
                </c:pt>
                <c:pt idx="253">
                  <c:v>5.4398199999999997E-3</c:v>
                </c:pt>
                <c:pt idx="254">
                  <c:v>5.4660899999999998E-3</c:v>
                </c:pt>
                <c:pt idx="255">
                  <c:v>5.4331199999999996E-3</c:v>
                </c:pt>
                <c:pt idx="256">
                  <c:v>5.46943E-3</c:v>
                </c:pt>
                <c:pt idx="257">
                  <c:v>5.4949400000000002E-3</c:v>
                </c:pt>
                <c:pt idx="258">
                  <c:v>5.5004700000000004E-3</c:v>
                </c:pt>
                <c:pt idx="259">
                  <c:v>5.4621399999999999E-3</c:v>
                </c:pt>
                <c:pt idx="260">
                  <c:v>5.6073099999999999E-3</c:v>
                </c:pt>
                <c:pt idx="261">
                  <c:v>5.5689099999999998E-3</c:v>
                </c:pt>
                <c:pt idx="262">
                  <c:v>5.5485300000000003E-3</c:v>
                </c:pt>
                <c:pt idx="263">
                  <c:v>5.5252399999999998E-3</c:v>
                </c:pt>
                <c:pt idx="264">
                  <c:v>5.6245100000000001E-3</c:v>
                </c:pt>
                <c:pt idx="265">
                  <c:v>5.6578399999999999E-3</c:v>
                </c:pt>
                <c:pt idx="266">
                  <c:v>5.5712100000000001E-3</c:v>
                </c:pt>
                <c:pt idx="267">
                  <c:v>5.6041700000000003E-3</c:v>
                </c:pt>
                <c:pt idx="268">
                  <c:v>5.5973200000000002E-3</c:v>
                </c:pt>
                <c:pt idx="269">
                  <c:v>5.7290600000000002E-3</c:v>
                </c:pt>
                <c:pt idx="270">
                  <c:v>5.7498000000000002E-3</c:v>
                </c:pt>
                <c:pt idx="271">
                  <c:v>5.7531700000000002E-3</c:v>
                </c:pt>
                <c:pt idx="272">
                  <c:v>5.8187899999999999E-3</c:v>
                </c:pt>
                <c:pt idx="273">
                  <c:v>5.83411E-3</c:v>
                </c:pt>
                <c:pt idx="274">
                  <c:v>5.7335399999999996E-3</c:v>
                </c:pt>
                <c:pt idx="275">
                  <c:v>5.8283700000000003E-3</c:v>
                </c:pt>
                <c:pt idx="276">
                  <c:v>5.8005699999999997E-3</c:v>
                </c:pt>
                <c:pt idx="277">
                  <c:v>5.7631999999999996E-3</c:v>
                </c:pt>
                <c:pt idx="278">
                  <c:v>5.8843400000000001E-3</c:v>
                </c:pt>
                <c:pt idx="279">
                  <c:v>5.8491000000000003E-3</c:v>
                </c:pt>
                <c:pt idx="280">
                  <c:v>5.8186499999999999E-3</c:v>
                </c:pt>
                <c:pt idx="281">
                  <c:v>5.9462400000000002E-3</c:v>
                </c:pt>
                <c:pt idx="282">
                  <c:v>5.9117500000000003E-3</c:v>
                </c:pt>
                <c:pt idx="283">
                  <c:v>5.9157400000000001E-3</c:v>
                </c:pt>
                <c:pt idx="284">
                  <c:v>5.93971E-3</c:v>
                </c:pt>
                <c:pt idx="285">
                  <c:v>6.0186399999999996E-3</c:v>
                </c:pt>
                <c:pt idx="286">
                  <c:v>5.9677599999999999E-3</c:v>
                </c:pt>
                <c:pt idx="287">
                  <c:v>6.0062800000000001E-3</c:v>
                </c:pt>
                <c:pt idx="288">
                  <c:v>6.0742399999999998E-3</c:v>
                </c:pt>
                <c:pt idx="289">
                  <c:v>6.02281E-3</c:v>
                </c:pt>
                <c:pt idx="290">
                  <c:v>5.9846700000000001E-3</c:v>
                </c:pt>
                <c:pt idx="291">
                  <c:v>6.0922299999999997E-3</c:v>
                </c:pt>
                <c:pt idx="292">
                  <c:v>6.0254200000000001E-3</c:v>
                </c:pt>
                <c:pt idx="293">
                  <c:v>6.0597999999999997E-3</c:v>
                </c:pt>
                <c:pt idx="294">
                  <c:v>6.0660599999999999E-3</c:v>
                </c:pt>
                <c:pt idx="295">
                  <c:v>6.0814399999999996E-3</c:v>
                </c:pt>
                <c:pt idx="296">
                  <c:v>6.16959E-3</c:v>
                </c:pt>
                <c:pt idx="297">
                  <c:v>6.1760799999999996E-3</c:v>
                </c:pt>
                <c:pt idx="298">
                  <c:v>6.0708999999999997E-3</c:v>
                </c:pt>
                <c:pt idx="299">
                  <c:v>6.1654300000000004E-3</c:v>
                </c:pt>
                <c:pt idx="300">
                  <c:v>6.2217699999999997E-3</c:v>
                </c:pt>
                <c:pt idx="301">
                  <c:v>6.2307999999999999E-3</c:v>
                </c:pt>
                <c:pt idx="302">
                  <c:v>6.2429399999999998E-3</c:v>
                </c:pt>
                <c:pt idx="303">
                  <c:v>6.2208799999999998E-3</c:v>
                </c:pt>
                <c:pt idx="304">
                  <c:v>6.3273699999999997E-3</c:v>
                </c:pt>
                <c:pt idx="305">
                  <c:v>6.34849E-3</c:v>
                </c:pt>
                <c:pt idx="306">
                  <c:v>6.3220400000000001E-3</c:v>
                </c:pt>
                <c:pt idx="307">
                  <c:v>6.3464400000000001E-3</c:v>
                </c:pt>
                <c:pt idx="308">
                  <c:v>6.3515899999999998E-3</c:v>
                </c:pt>
                <c:pt idx="309">
                  <c:v>6.3295399999999998E-3</c:v>
                </c:pt>
                <c:pt idx="310">
                  <c:v>6.3509400000000002E-3</c:v>
                </c:pt>
                <c:pt idx="311">
                  <c:v>6.3659600000000004E-3</c:v>
                </c:pt>
                <c:pt idx="312">
                  <c:v>6.4348199999999999E-3</c:v>
                </c:pt>
                <c:pt idx="313">
                  <c:v>6.3867300000000002E-3</c:v>
                </c:pt>
                <c:pt idx="314">
                  <c:v>6.4259499999999997E-3</c:v>
                </c:pt>
                <c:pt idx="315">
                  <c:v>6.4223600000000002E-3</c:v>
                </c:pt>
                <c:pt idx="316">
                  <c:v>6.4805599999999998E-3</c:v>
                </c:pt>
                <c:pt idx="317">
                  <c:v>6.5006400000000002E-3</c:v>
                </c:pt>
                <c:pt idx="318">
                  <c:v>6.5327099999999997E-3</c:v>
                </c:pt>
                <c:pt idx="319">
                  <c:v>6.5291400000000001E-3</c:v>
                </c:pt>
                <c:pt idx="320">
                  <c:v>6.6066700000000003E-3</c:v>
                </c:pt>
              </c:numCache>
            </c:numRef>
          </c:xVal>
          <c:yVal>
            <c:numRef>
              <c:f>'L30CPTX-3'!$J$80:$J$400</c:f>
              <c:numCache>
                <c:formatCode>General</c:formatCode>
                <c:ptCount val="321"/>
                <c:pt idx="0">
                  <c:v>-6.6093900000000004E-4</c:v>
                </c:pt>
                <c:pt idx="1">
                  <c:v>-6.5238899999999996E-4</c:v>
                </c:pt>
                <c:pt idx="2">
                  <c:v>-7.6657699999999995E-4</c:v>
                </c:pt>
                <c:pt idx="3">
                  <c:v>-6.7151899999999998E-4</c:v>
                </c:pt>
                <c:pt idx="4">
                  <c:v>-7.3724100000000002E-4</c:v>
                </c:pt>
                <c:pt idx="5">
                  <c:v>-7.00613E-4</c:v>
                </c:pt>
                <c:pt idx="6">
                  <c:v>-6.9964099999999998E-4</c:v>
                </c:pt>
                <c:pt idx="7">
                  <c:v>-7.04676E-4</c:v>
                </c:pt>
                <c:pt idx="8">
                  <c:v>-6.6637100000000002E-4</c:v>
                </c:pt>
                <c:pt idx="9">
                  <c:v>-6.8511500000000003E-4</c:v>
                </c:pt>
                <c:pt idx="10">
                  <c:v>-7.6860999999999997E-4</c:v>
                </c:pt>
                <c:pt idx="11">
                  <c:v>-8.8551099999999996E-4</c:v>
                </c:pt>
                <c:pt idx="12">
                  <c:v>-7.8242399999999999E-4</c:v>
                </c:pt>
                <c:pt idx="13">
                  <c:v>-8.7942399999999996E-4</c:v>
                </c:pt>
                <c:pt idx="14">
                  <c:v>-6.9346200000000005E-4</c:v>
                </c:pt>
                <c:pt idx="15">
                  <c:v>-8.4863400000000002E-4</c:v>
                </c:pt>
                <c:pt idx="16">
                  <c:v>-7.7030700000000002E-4</c:v>
                </c:pt>
                <c:pt idx="17">
                  <c:v>-8.4720699999999999E-4</c:v>
                </c:pt>
                <c:pt idx="18">
                  <c:v>-6.7484299999999995E-4</c:v>
                </c:pt>
                <c:pt idx="19">
                  <c:v>-7.4359299999999997E-4</c:v>
                </c:pt>
                <c:pt idx="20">
                  <c:v>-9.0565100000000005E-4</c:v>
                </c:pt>
                <c:pt idx="21">
                  <c:v>-7.2124999999999999E-4</c:v>
                </c:pt>
                <c:pt idx="22">
                  <c:v>-7.6083699999999999E-4</c:v>
                </c:pt>
                <c:pt idx="23">
                  <c:v>-8.3369200000000003E-4</c:v>
                </c:pt>
                <c:pt idx="24">
                  <c:v>-9.2402000000000001E-4</c:v>
                </c:pt>
                <c:pt idx="25">
                  <c:v>-7.2955100000000005E-4</c:v>
                </c:pt>
                <c:pt idx="26">
                  <c:v>-9.6169799999999998E-4</c:v>
                </c:pt>
                <c:pt idx="27">
                  <c:v>-9.2776899999999995E-4</c:v>
                </c:pt>
                <c:pt idx="28">
                  <c:v>-8.8917599999999999E-4</c:v>
                </c:pt>
                <c:pt idx="29">
                  <c:v>-8.3928500000000005E-4</c:v>
                </c:pt>
                <c:pt idx="30">
                  <c:v>-8.34248E-4</c:v>
                </c:pt>
                <c:pt idx="31">
                  <c:v>-9.1982100000000003E-4</c:v>
                </c:pt>
                <c:pt idx="32">
                  <c:v>-8.7253500000000002E-4</c:v>
                </c:pt>
                <c:pt idx="33">
                  <c:v>-1.0203899999999999E-3</c:v>
                </c:pt>
                <c:pt idx="34">
                  <c:v>-8.9103800000000003E-4</c:v>
                </c:pt>
                <c:pt idx="35">
                  <c:v>-1.01767E-3</c:v>
                </c:pt>
                <c:pt idx="36">
                  <c:v>-8.9506500000000001E-4</c:v>
                </c:pt>
                <c:pt idx="37">
                  <c:v>-9.3624400000000003E-4</c:v>
                </c:pt>
                <c:pt idx="38">
                  <c:v>-8.6124200000000002E-4</c:v>
                </c:pt>
                <c:pt idx="39">
                  <c:v>-7.8302600000000003E-4</c:v>
                </c:pt>
                <c:pt idx="40">
                  <c:v>-9.4824000000000004E-4</c:v>
                </c:pt>
                <c:pt idx="41">
                  <c:v>-1.01859E-3</c:v>
                </c:pt>
                <c:pt idx="42">
                  <c:v>-8.86946E-4</c:v>
                </c:pt>
                <c:pt idx="43">
                  <c:v>-1.03185E-3</c:v>
                </c:pt>
                <c:pt idx="44">
                  <c:v>-1.0550900000000001E-3</c:v>
                </c:pt>
                <c:pt idx="45">
                  <c:v>-9.8224399999999996E-4</c:v>
                </c:pt>
                <c:pt idx="46">
                  <c:v>-1.05057E-3</c:v>
                </c:pt>
                <c:pt idx="47">
                  <c:v>-1.0521700000000001E-3</c:v>
                </c:pt>
                <c:pt idx="48">
                  <c:v>-1.0876799999999999E-3</c:v>
                </c:pt>
                <c:pt idx="49">
                  <c:v>-1.02264E-3</c:v>
                </c:pt>
                <c:pt idx="50">
                  <c:v>-9.2398999999999997E-4</c:v>
                </c:pt>
                <c:pt idx="51">
                  <c:v>-8.8744300000000002E-4</c:v>
                </c:pt>
                <c:pt idx="52">
                  <c:v>-1.0340799999999999E-3</c:v>
                </c:pt>
                <c:pt idx="53">
                  <c:v>-9.8152900000000008E-4</c:v>
                </c:pt>
                <c:pt idx="54">
                  <c:v>-9.5244000000000004E-4</c:v>
                </c:pt>
                <c:pt idx="55">
                  <c:v>-9.9149999999999998E-4</c:v>
                </c:pt>
                <c:pt idx="56">
                  <c:v>-1.1045899999999999E-3</c:v>
                </c:pt>
                <c:pt idx="57">
                  <c:v>-1.127E-3</c:v>
                </c:pt>
                <c:pt idx="58">
                  <c:v>-1.05047E-3</c:v>
                </c:pt>
                <c:pt idx="59">
                  <c:v>-1.10739E-3</c:v>
                </c:pt>
                <c:pt idx="60">
                  <c:v>-1.0285400000000001E-3</c:v>
                </c:pt>
                <c:pt idx="61">
                  <c:v>-1.1351600000000001E-3</c:v>
                </c:pt>
                <c:pt idx="62">
                  <c:v>-1.00242E-3</c:v>
                </c:pt>
                <c:pt idx="63">
                  <c:v>-1.1536999999999999E-3</c:v>
                </c:pt>
                <c:pt idx="64">
                  <c:v>-1.27143E-3</c:v>
                </c:pt>
                <c:pt idx="65">
                  <c:v>-1.2996699999999999E-3</c:v>
                </c:pt>
                <c:pt idx="66">
                  <c:v>-1.1865000000000001E-3</c:v>
                </c:pt>
                <c:pt idx="67">
                  <c:v>-1.19517E-3</c:v>
                </c:pt>
                <c:pt idx="68">
                  <c:v>-1.1902600000000001E-3</c:v>
                </c:pt>
                <c:pt idx="69">
                  <c:v>-1.2744200000000001E-3</c:v>
                </c:pt>
                <c:pt idx="70">
                  <c:v>-1.1721800000000001E-3</c:v>
                </c:pt>
                <c:pt idx="71">
                  <c:v>-1.2665899999999999E-3</c:v>
                </c:pt>
                <c:pt idx="72">
                  <c:v>-1.1839999999999999E-3</c:v>
                </c:pt>
                <c:pt idx="73">
                  <c:v>-1.1250800000000001E-3</c:v>
                </c:pt>
                <c:pt idx="74">
                  <c:v>-1.1935100000000001E-3</c:v>
                </c:pt>
                <c:pt idx="75">
                  <c:v>-1.20936E-3</c:v>
                </c:pt>
                <c:pt idx="76">
                  <c:v>-1.2063E-3</c:v>
                </c:pt>
                <c:pt idx="77">
                  <c:v>-1.2983199999999999E-3</c:v>
                </c:pt>
                <c:pt idx="78">
                  <c:v>-1.37623E-3</c:v>
                </c:pt>
                <c:pt idx="79">
                  <c:v>-1.2742700000000001E-3</c:v>
                </c:pt>
                <c:pt idx="80">
                  <c:v>-1.2324899999999999E-3</c:v>
                </c:pt>
                <c:pt idx="81">
                  <c:v>-1.4465299999999999E-3</c:v>
                </c:pt>
                <c:pt idx="82">
                  <c:v>-1.42636E-3</c:v>
                </c:pt>
                <c:pt idx="83">
                  <c:v>-1.32807E-3</c:v>
                </c:pt>
                <c:pt idx="84">
                  <c:v>-1.3149399999999999E-3</c:v>
                </c:pt>
                <c:pt idx="85">
                  <c:v>-1.3444100000000001E-3</c:v>
                </c:pt>
                <c:pt idx="86">
                  <c:v>-1.3727699999999999E-3</c:v>
                </c:pt>
                <c:pt idx="87">
                  <c:v>-1.3869500000000001E-3</c:v>
                </c:pt>
                <c:pt idx="88">
                  <c:v>-1.23189E-3</c:v>
                </c:pt>
                <c:pt idx="89">
                  <c:v>-1.3972800000000001E-3</c:v>
                </c:pt>
                <c:pt idx="90">
                  <c:v>-1.2535300000000001E-3</c:v>
                </c:pt>
                <c:pt idx="91">
                  <c:v>-1.3395799999999999E-3</c:v>
                </c:pt>
                <c:pt idx="92">
                  <c:v>-1.36702E-3</c:v>
                </c:pt>
                <c:pt idx="93">
                  <c:v>-1.44389E-3</c:v>
                </c:pt>
                <c:pt idx="94">
                  <c:v>-1.4338300000000001E-3</c:v>
                </c:pt>
                <c:pt idx="95">
                  <c:v>-1.4425200000000001E-3</c:v>
                </c:pt>
                <c:pt idx="96">
                  <c:v>-1.48256E-3</c:v>
                </c:pt>
                <c:pt idx="97">
                  <c:v>-1.40799E-3</c:v>
                </c:pt>
                <c:pt idx="98">
                  <c:v>-1.4201800000000001E-3</c:v>
                </c:pt>
                <c:pt idx="99">
                  <c:v>-1.52349E-3</c:v>
                </c:pt>
                <c:pt idx="100">
                  <c:v>-1.36064E-3</c:v>
                </c:pt>
                <c:pt idx="101">
                  <c:v>-1.42289E-3</c:v>
                </c:pt>
                <c:pt idx="102">
                  <c:v>-1.5341300000000001E-3</c:v>
                </c:pt>
                <c:pt idx="103">
                  <c:v>-1.5336600000000001E-3</c:v>
                </c:pt>
                <c:pt idx="104">
                  <c:v>-1.3751099999999999E-3</c:v>
                </c:pt>
                <c:pt idx="105">
                  <c:v>-1.52035E-3</c:v>
                </c:pt>
                <c:pt idx="106">
                  <c:v>-1.6270799999999999E-3</c:v>
                </c:pt>
                <c:pt idx="107">
                  <c:v>-1.44899E-3</c:v>
                </c:pt>
                <c:pt idx="108">
                  <c:v>-1.5708600000000001E-3</c:v>
                </c:pt>
                <c:pt idx="109">
                  <c:v>-1.3891400000000001E-3</c:v>
                </c:pt>
                <c:pt idx="110">
                  <c:v>-1.5111600000000001E-3</c:v>
                </c:pt>
                <c:pt idx="111">
                  <c:v>-1.5922600000000001E-3</c:v>
                </c:pt>
                <c:pt idx="112">
                  <c:v>-1.77125E-3</c:v>
                </c:pt>
                <c:pt idx="113">
                  <c:v>-1.4026399999999999E-3</c:v>
                </c:pt>
                <c:pt idx="114">
                  <c:v>-1.55663E-3</c:v>
                </c:pt>
                <c:pt idx="115">
                  <c:v>-1.4704799999999999E-3</c:v>
                </c:pt>
                <c:pt idx="116">
                  <c:v>-1.4801599999999999E-3</c:v>
                </c:pt>
                <c:pt idx="117">
                  <c:v>-1.6044799999999999E-3</c:v>
                </c:pt>
                <c:pt idx="118">
                  <c:v>-1.4910699999999999E-3</c:v>
                </c:pt>
                <c:pt idx="119">
                  <c:v>-1.52612E-3</c:v>
                </c:pt>
                <c:pt idx="120">
                  <c:v>-1.61013E-3</c:v>
                </c:pt>
                <c:pt idx="121">
                  <c:v>-1.6867799999999999E-3</c:v>
                </c:pt>
                <c:pt idx="122">
                  <c:v>-1.6421599999999999E-3</c:v>
                </c:pt>
                <c:pt idx="123">
                  <c:v>-1.6042999999999999E-3</c:v>
                </c:pt>
                <c:pt idx="124">
                  <c:v>-1.7700400000000001E-3</c:v>
                </c:pt>
                <c:pt idx="125">
                  <c:v>-1.7114599999999999E-3</c:v>
                </c:pt>
                <c:pt idx="126">
                  <c:v>-1.5336200000000001E-3</c:v>
                </c:pt>
                <c:pt idx="127">
                  <c:v>-1.63444E-3</c:v>
                </c:pt>
                <c:pt idx="128">
                  <c:v>-1.6523600000000001E-3</c:v>
                </c:pt>
                <c:pt idx="129">
                  <c:v>-1.66599E-3</c:v>
                </c:pt>
                <c:pt idx="130">
                  <c:v>-1.7098199999999999E-3</c:v>
                </c:pt>
                <c:pt idx="131">
                  <c:v>-1.6927299999999999E-3</c:v>
                </c:pt>
                <c:pt idx="132">
                  <c:v>-1.61399E-3</c:v>
                </c:pt>
                <c:pt idx="133">
                  <c:v>-1.68304E-3</c:v>
                </c:pt>
                <c:pt idx="134">
                  <c:v>-1.7135500000000001E-3</c:v>
                </c:pt>
                <c:pt idx="135">
                  <c:v>-1.85809E-3</c:v>
                </c:pt>
                <c:pt idx="136">
                  <c:v>-1.64795E-3</c:v>
                </c:pt>
                <c:pt idx="137">
                  <c:v>-1.7246399999999999E-3</c:v>
                </c:pt>
                <c:pt idx="138">
                  <c:v>-1.78505E-3</c:v>
                </c:pt>
                <c:pt idx="139">
                  <c:v>-1.73386E-3</c:v>
                </c:pt>
                <c:pt idx="140">
                  <c:v>-1.6868499999999999E-3</c:v>
                </c:pt>
                <c:pt idx="141">
                  <c:v>-1.6848E-3</c:v>
                </c:pt>
                <c:pt idx="142">
                  <c:v>-1.80741E-3</c:v>
                </c:pt>
                <c:pt idx="143">
                  <c:v>-1.70703E-3</c:v>
                </c:pt>
                <c:pt idx="144">
                  <c:v>-1.6802200000000001E-3</c:v>
                </c:pt>
                <c:pt idx="145">
                  <c:v>-1.82858E-3</c:v>
                </c:pt>
                <c:pt idx="146">
                  <c:v>-1.7338799999999999E-3</c:v>
                </c:pt>
                <c:pt idx="147">
                  <c:v>-1.8535100000000001E-3</c:v>
                </c:pt>
                <c:pt idx="148">
                  <c:v>-1.7260400000000001E-3</c:v>
                </c:pt>
                <c:pt idx="149">
                  <c:v>-1.7046400000000001E-3</c:v>
                </c:pt>
                <c:pt idx="150">
                  <c:v>-1.9661800000000001E-3</c:v>
                </c:pt>
                <c:pt idx="151">
                  <c:v>-1.7509100000000001E-3</c:v>
                </c:pt>
                <c:pt idx="152">
                  <c:v>-1.84005E-3</c:v>
                </c:pt>
                <c:pt idx="153">
                  <c:v>-1.8836199999999999E-3</c:v>
                </c:pt>
                <c:pt idx="154">
                  <c:v>-1.8696699999999999E-3</c:v>
                </c:pt>
                <c:pt idx="155">
                  <c:v>-1.8863700000000001E-3</c:v>
                </c:pt>
                <c:pt idx="156">
                  <c:v>-1.9286800000000001E-3</c:v>
                </c:pt>
                <c:pt idx="157">
                  <c:v>-1.85961E-3</c:v>
                </c:pt>
                <c:pt idx="158">
                  <c:v>-1.9176200000000001E-3</c:v>
                </c:pt>
                <c:pt idx="159">
                  <c:v>-1.95934E-3</c:v>
                </c:pt>
                <c:pt idx="160">
                  <c:v>-1.9167800000000001E-3</c:v>
                </c:pt>
                <c:pt idx="161">
                  <c:v>-1.9982200000000002E-3</c:v>
                </c:pt>
                <c:pt idx="162">
                  <c:v>-1.89135E-3</c:v>
                </c:pt>
                <c:pt idx="163">
                  <c:v>-1.9625599999999999E-3</c:v>
                </c:pt>
                <c:pt idx="164">
                  <c:v>-1.8427700000000001E-3</c:v>
                </c:pt>
                <c:pt idx="165">
                  <c:v>-2.05317E-3</c:v>
                </c:pt>
                <c:pt idx="166">
                  <c:v>-1.9634800000000001E-3</c:v>
                </c:pt>
                <c:pt idx="167">
                  <c:v>-1.9506300000000001E-3</c:v>
                </c:pt>
                <c:pt idx="168">
                  <c:v>-1.9104199999999999E-3</c:v>
                </c:pt>
                <c:pt idx="169">
                  <c:v>-1.9165499999999999E-3</c:v>
                </c:pt>
                <c:pt idx="170">
                  <c:v>-2.00285E-3</c:v>
                </c:pt>
                <c:pt idx="171">
                  <c:v>-1.98964E-3</c:v>
                </c:pt>
                <c:pt idx="172">
                  <c:v>-1.9911799999999999E-3</c:v>
                </c:pt>
                <c:pt idx="173">
                  <c:v>-2.0397000000000002E-3</c:v>
                </c:pt>
                <c:pt idx="174">
                  <c:v>-2.12429E-3</c:v>
                </c:pt>
                <c:pt idx="175">
                  <c:v>-2.0749700000000002E-3</c:v>
                </c:pt>
                <c:pt idx="176">
                  <c:v>-2.1267399999999998E-3</c:v>
                </c:pt>
                <c:pt idx="177">
                  <c:v>-2.05135E-3</c:v>
                </c:pt>
                <c:pt idx="178">
                  <c:v>-2.0397700000000002E-3</c:v>
                </c:pt>
                <c:pt idx="179">
                  <c:v>-2.0975999999999998E-3</c:v>
                </c:pt>
                <c:pt idx="180">
                  <c:v>-2.1128399999999999E-3</c:v>
                </c:pt>
                <c:pt idx="181">
                  <c:v>-2.0531799999999999E-3</c:v>
                </c:pt>
                <c:pt idx="182">
                  <c:v>-2.0489000000000002E-3</c:v>
                </c:pt>
                <c:pt idx="183">
                  <c:v>-2.06676E-3</c:v>
                </c:pt>
                <c:pt idx="184">
                  <c:v>-2.1334700000000002E-3</c:v>
                </c:pt>
                <c:pt idx="185">
                  <c:v>-2.1440000000000001E-3</c:v>
                </c:pt>
                <c:pt idx="186">
                  <c:v>-2.0130199999999999E-3</c:v>
                </c:pt>
                <c:pt idx="187">
                  <c:v>-2.0830100000000002E-3</c:v>
                </c:pt>
                <c:pt idx="188">
                  <c:v>-2.1011300000000001E-3</c:v>
                </c:pt>
                <c:pt idx="189">
                  <c:v>-2.09917E-3</c:v>
                </c:pt>
                <c:pt idx="190">
                  <c:v>-2.09962E-3</c:v>
                </c:pt>
                <c:pt idx="191">
                  <c:v>-2.0528500000000002E-3</c:v>
                </c:pt>
                <c:pt idx="192">
                  <c:v>-2.18695E-3</c:v>
                </c:pt>
                <c:pt idx="193">
                  <c:v>-2.2932299999999998E-3</c:v>
                </c:pt>
                <c:pt idx="194">
                  <c:v>-2.19045E-3</c:v>
                </c:pt>
                <c:pt idx="195">
                  <c:v>-2.0901299999999999E-3</c:v>
                </c:pt>
                <c:pt idx="196">
                  <c:v>-2.2098E-3</c:v>
                </c:pt>
                <c:pt idx="197">
                  <c:v>-2.18988E-3</c:v>
                </c:pt>
                <c:pt idx="198">
                  <c:v>-2.1897499999999999E-3</c:v>
                </c:pt>
                <c:pt idx="199">
                  <c:v>-2.2108700000000002E-3</c:v>
                </c:pt>
                <c:pt idx="200">
                  <c:v>-2.1970499999999999E-3</c:v>
                </c:pt>
                <c:pt idx="201">
                  <c:v>-2.25785E-3</c:v>
                </c:pt>
                <c:pt idx="202">
                  <c:v>-2.2434500000000001E-3</c:v>
                </c:pt>
                <c:pt idx="203">
                  <c:v>-2.3000400000000002E-3</c:v>
                </c:pt>
                <c:pt idx="204">
                  <c:v>-2.3162500000000002E-3</c:v>
                </c:pt>
                <c:pt idx="205">
                  <c:v>-2.1344900000000002E-3</c:v>
                </c:pt>
                <c:pt idx="206">
                  <c:v>-2.1996400000000001E-3</c:v>
                </c:pt>
                <c:pt idx="207">
                  <c:v>-2.2506499999999999E-3</c:v>
                </c:pt>
                <c:pt idx="208">
                  <c:v>-2.0828399999999999E-3</c:v>
                </c:pt>
                <c:pt idx="209">
                  <c:v>-2.1739400000000001E-3</c:v>
                </c:pt>
                <c:pt idx="210">
                  <c:v>-2.2394799999999999E-3</c:v>
                </c:pt>
                <c:pt idx="211">
                  <c:v>-2.2473200000000001E-3</c:v>
                </c:pt>
                <c:pt idx="212">
                  <c:v>-2.28152E-3</c:v>
                </c:pt>
                <c:pt idx="213">
                  <c:v>-2.3667599999999999E-3</c:v>
                </c:pt>
                <c:pt idx="214">
                  <c:v>-2.3620199999999998E-3</c:v>
                </c:pt>
                <c:pt idx="215">
                  <c:v>-2.4708999999999998E-3</c:v>
                </c:pt>
                <c:pt idx="216">
                  <c:v>-2.3875400000000001E-3</c:v>
                </c:pt>
                <c:pt idx="217">
                  <c:v>-2.2954799999999999E-3</c:v>
                </c:pt>
                <c:pt idx="218">
                  <c:v>-2.3681599999999998E-3</c:v>
                </c:pt>
                <c:pt idx="219">
                  <c:v>-2.3986599999999999E-3</c:v>
                </c:pt>
                <c:pt idx="220">
                  <c:v>-2.5462699999999998E-3</c:v>
                </c:pt>
                <c:pt idx="221">
                  <c:v>-2.4243899999999998E-3</c:v>
                </c:pt>
                <c:pt idx="222">
                  <c:v>-2.3974700000000001E-3</c:v>
                </c:pt>
                <c:pt idx="223">
                  <c:v>-2.3512699999999999E-3</c:v>
                </c:pt>
                <c:pt idx="224">
                  <c:v>-2.39193E-3</c:v>
                </c:pt>
                <c:pt idx="225">
                  <c:v>-2.4964399999999999E-3</c:v>
                </c:pt>
                <c:pt idx="226">
                  <c:v>-2.3999199999999998E-3</c:v>
                </c:pt>
                <c:pt idx="227">
                  <c:v>-2.5362200000000001E-3</c:v>
                </c:pt>
                <c:pt idx="228">
                  <c:v>-2.5157000000000001E-3</c:v>
                </c:pt>
                <c:pt idx="229">
                  <c:v>-2.4964000000000002E-3</c:v>
                </c:pt>
                <c:pt idx="230">
                  <c:v>-2.4183299999999998E-3</c:v>
                </c:pt>
                <c:pt idx="231">
                  <c:v>-2.6405299999999999E-3</c:v>
                </c:pt>
                <c:pt idx="232">
                  <c:v>-2.37397E-3</c:v>
                </c:pt>
                <c:pt idx="233">
                  <c:v>-2.5649499999999999E-3</c:v>
                </c:pt>
                <c:pt idx="234">
                  <c:v>-2.4643899999999999E-3</c:v>
                </c:pt>
                <c:pt idx="235">
                  <c:v>-2.4691000000000001E-3</c:v>
                </c:pt>
                <c:pt idx="236">
                  <c:v>-2.5460000000000001E-3</c:v>
                </c:pt>
                <c:pt idx="237">
                  <c:v>-2.45401E-3</c:v>
                </c:pt>
                <c:pt idx="238">
                  <c:v>-2.5339799999999999E-3</c:v>
                </c:pt>
                <c:pt idx="239">
                  <c:v>-2.57494E-3</c:v>
                </c:pt>
                <c:pt idx="240">
                  <c:v>-2.54901E-3</c:v>
                </c:pt>
                <c:pt idx="241">
                  <c:v>-2.6093399999999999E-3</c:v>
                </c:pt>
                <c:pt idx="242">
                  <c:v>-2.4685100000000001E-3</c:v>
                </c:pt>
                <c:pt idx="243">
                  <c:v>-2.5656699999999999E-3</c:v>
                </c:pt>
                <c:pt idx="244">
                  <c:v>-2.5422000000000001E-3</c:v>
                </c:pt>
                <c:pt idx="245">
                  <c:v>-2.58377E-3</c:v>
                </c:pt>
                <c:pt idx="246">
                  <c:v>-2.5120799999999999E-3</c:v>
                </c:pt>
                <c:pt idx="247">
                  <c:v>-2.6435E-3</c:v>
                </c:pt>
                <c:pt idx="248">
                  <c:v>-2.6068200000000001E-3</c:v>
                </c:pt>
                <c:pt idx="249">
                  <c:v>-2.6373199999999999E-3</c:v>
                </c:pt>
                <c:pt idx="250">
                  <c:v>-2.64788E-3</c:v>
                </c:pt>
                <c:pt idx="251">
                  <c:v>-2.6497299999999999E-3</c:v>
                </c:pt>
                <c:pt idx="252">
                  <c:v>-2.6303400000000001E-3</c:v>
                </c:pt>
                <c:pt idx="253">
                  <c:v>-2.5681900000000001E-3</c:v>
                </c:pt>
                <c:pt idx="254">
                  <c:v>-2.6540000000000001E-3</c:v>
                </c:pt>
                <c:pt idx="255">
                  <c:v>-2.6980200000000002E-3</c:v>
                </c:pt>
                <c:pt idx="256">
                  <c:v>-2.67907E-3</c:v>
                </c:pt>
                <c:pt idx="257">
                  <c:v>-2.6985400000000001E-3</c:v>
                </c:pt>
                <c:pt idx="258">
                  <c:v>-2.59764E-3</c:v>
                </c:pt>
                <c:pt idx="259">
                  <c:v>-2.7191199999999998E-3</c:v>
                </c:pt>
                <c:pt idx="260">
                  <c:v>-2.61291E-3</c:v>
                </c:pt>
                <c:pt idx="261">
                  <c:v>-2.6709099999999999E-3</c:v>
                </c:pt>
                <c:pt idx="262">
                  <c:v>-2.7135499999999999E-3</c:v>
                </c:pt>
                <c:pt idx="263">
                  <c:v>-2.6535899999999999E-3</c:v>
                </c:pt>
                <c:pt idx="264">
                  <c:v>-2.7278799999999998E-3</c:v>
                </c:pt>
                <c:pt idx="265">
                  <c:v>-2.7625000000000002E-3</c:v>
                </c:pt>
                <c:pt idx="266">
                  <c:v>-2.8357199999999999E-3</c:v>
                </c:pt>
                <c:pt idx="267">
                  <c:v>-2.8573399999999999E-3</c:v>
                </c:pt>
                <c:pt idx="268">
                  <c:v>-2.6879E-3</c:v>
                </c:pt>
                <c:pt idx="269">
                  <c:v>-2.8576299999999999E-3</c:v>
                </c:pt>
                <c:pt idx="270">
                  <c:v>-2.87448E-3</c:v>
                </c:pt>
                <c:pt idx="271">
                  <c:v>-2.87163E-3</c:v>
                </c:pt>
                <c:pt idx="272">
                  <c:v>-2.9225599999999998E-3</c:v>
                </c:pt>
                <c:pt idx="273">
                  <c:v>-2.7581799999999998E-3</c:v>
                </c:pt>
                <c:pt idx="274">
                  <c:v>-2.9364600000000001E-3</c:v>
                </c:pt>
                <c:pt idx="275">
                  <c:v>-2.7586300000000002E-3</c:v>
                </c:pt>
                <c:pt idx="276">
                  <c:v>-2.8226800000000002E-3</c:v>
                </c:pt>
                <c:pt idx="277">
                  <c:v>-2.8497700000000002E-3</c:v>
                </c:pt>
                <c:pt idx="278">
                  <c:v>-2.8203600000000001E-3</c:v>
                </c:pt>
                <c:pt idx="279">
                  <c:v>-2.84622E-3</c:v>
                </c:pt>
                <c:pt idx="280">
                  <c:v>-2.87697E-3</c:v>
                </c:pt>
                <c:pt idx="281">
                  <c:v>-2.9103599999999999E-3</c:v>
                </c:pt>
                <c:pt idx="282">
                  <c:v>-2.9274399999999999E-3</c:v>
                </c:pt>
                <c:pt idx="283">
                  <c:v>-3.01944E-3</c:v>
                </c:pt>
                <c:pt idx="284">
                  <c:v>-2.8878599999999999E-3</c:v>
                </c:pt>
                <c:pt idx="285">
                  <c:v>-2.9035300000000001E-3</c:v>
                </c:pt>
                <c:pt idx="286">
                  <c:v>-2.8734400000000001E-3</c:v>
                </c:pt>
                <c:pt idx="287">
                  <c:v>-2.89238E-3</c:v>
                </c:pt>
                <c:pt idx="288">
                  <c:v>-2.8288499999999999E-3</c:v>
                </c:pt>
                <c:pt idx="289">
                  <c:v>-3.00593E-3</c:v>
                </c:pt>
                <c:pt idx="290">
                  <c:v>-3.0069599999999999E-3</c:v>
                </c:pt>
                <c:pt idx="291">
                  <c:v>-3.0085099999999998E-3</c:v>
                </c:pt>
                <c:pt idx="292">
                  <c:v>-3.02017E-3</c:v>
                </c:pt>
                <c:pt idx="293">
                  <c:v>-2.96211E-3</c:v>
                </c:pt>
                <c:pt idx="294">
                  <c:v>-3.0160899999999999E-3</c:v>
                </c:pt>
                <c:pt idx="295">
                  <c:v>-3.0886099999999999E-3</c:v>
                </c:pt>
                <c:pt idx="296">
                  <c:v>-2.9871400000000001E-3</c:v>
                </c:pt>
                <c:pt idx="297">
                  <c:v>-3.03323E-3</c:v>
                </c:pt>
                <c:pt idx="298">
                  <c:v>-3.0141299999999998E-3</c:v>
                </c:pt>
                <c:pt idx="299">
                  <c:v>-3.0499500000000001E-3</c:v>
                </c:pt>
                <c:pt idx="300">
                  <c:v>-3.12481E-3</c:v>
                </c:pt>
                <c:pt idx="301">
                  <c:v>-3.03506E-3</c:v>
                </c:pt>
                <c:pt idx="302">
                  <c:v>-3.1470000000000001E-3</c:v>
                </c:pt>
                <c:pt idx="303">
                  <c:v>-3.0885399999999999E-3</c:v>
                </c:pt>
                <c:pt idx="304">
                  <c:v>-3.13248E-3</c:v>
                </c:pt>
                <c:pt idx="305">
                  <c:v>-3.1387400000000001E-3</c:v>
                </c:pt>
                <c:pt idx="306">
                  <c:v>-3.17359E-3</c:v>
                </c:pt>
                <c:pt idx="307">
                  <c:v>-3.19498E-3</c:v>
                </c:pt>
                <c:pt idx="308">
                  <c:v>-3.2323400000000002E-3</c:v>
                </c:pt>
                <c:pt idx="309">
                  <c:v>-3.1930600000000002E-3</c:v>
                </c:pt>
                <c:pt idx="310">
                  <c:v>-3.10926E-3</c:v>
                </c:pt>
                <c:pt idx="311">
                  <c:v>-3.1593900000000002E-3</c:v>
                </c:pt>
                <c:pt idx="312">
                  <c:v>-3.2242600000000001E-3</c:v>
                </c:pt>
                <c:pt idx="313">
                  <c:v>-3.1729499999999999E-3</c:v>
                </c:pt>
                <c:pt idx="314">
                  <c:v>-3.2091400000000001E-3</c:v>
                </c:pt>
                <c:pt idx="315">
                  <c:v>-3.2861800000000001E-3</c:v>
                </c:pt>
                <c:pt idx="316">
                  <c:v>-3.1424399999999998E-3</c:v>
                </c:pt>
                <c:pt idx="317">
                  <c:v>-3.2357699999999998E-3</c:v>
                </c:pt>
                <c:pt idx="318">
                  <c:v>-3.18455E-3</c:v>
                </c:pt>
                <c:pt idx="319">
                  <c:v>-3.3020300000000001E-3</c:v>
                </c:pt>
                <c:pt idx="320">
                  <c:v>-3.21894E-3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53B-4CBB-80FC-1AEF90CC3FDB}"/>
            </c:ext>
          </c:extLst>
        </c:ser>
        <c:ser>
          <c:idx val="0"/>
          <c:order val="2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0.1107576611159878"/>
                  <c:y val="-0.5065523853054090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</c:trendlineLbl>
          </c:trendline>
          <c:xVal>
            <c:numRef>
              <c:f>'L30CPTX-3'!$B$80:$B$400</c:f>
              <c:numCache>
                <c:formatCode>General</c:formatCode>
                <c:ptCount val="321"/>
                <c:pt idx="0">
                  <c:v>1.48565E-3</c:v>
                </c:pt>
                <c:pt idx="1">
                  <c:v>1.5038E-3</c:v>
                </c:pt>
                <c:pt idx="2">
                  <c:v>1.4103099999999999E-3</c:v>
                </c:pt>
                <c:pt idx="3">
                  <c:v>1.49825E-3</c:v>
                </c:pt>
                <c:pt idx="4">
                  <c:v>1.4594300000000001E-3</c:v>
                </c:pt>
                <c:pt idx="5">
                  <c:v>1.5429199999999999E-3</c:v>
                </c:pt>
                <c:pt idx="6">
                  <c:v>1.48573E-3</c:v>
                </c:pt>
                <c:pt idx="7">
                  <c:v>1.49238E-3</c:v>
                </c:pt>
                <c:pt idx="8">
                  <c:v>1.5765600000000001E-3</c:v>
                </c:pt>
                <c:pt idx="9">
                  <c:v>1.49468E-3</c:v>
                </c:pt>
                <c:pt idx="10">
                  <c:v>1.5952799999999999E-3</c:v>
                </c:pt>
                <c:pt idx="11">
                  <c:v>1.5771100000000001E-3</c:v>
                </c:pt>
                <c:pt idx="12">
                  <c:v>1.5403599999999999E-3</c:v>
                </c:pt>
                <c:pt idx="13">
                  <c:v>1.6607600000000001E-3</c:v>
                </c:pt>
                <c:pt idx="14">
                  <c:v>1.76826E-3</c:v>
                </c:pt>
                <c:pt idx="15">
                  <c:v>1.59961E-3</c:v>
                </c:pt>
                <c:pt idx="16">
                  <c:v>1.65059E-3</c:v>
                </c:pt>
                <c:pt idx="17">
                  <c:v>1.7028099999999999E-3</c:v>
                </c:pt>
                <c:pt idx="18">
                  <c:v>1.74007E-3</c:v>
                </c:pt>
                <c:pt idx="19">
                  <c:v>1.7541200000000001E-3</c:v>
                </c:pt>
                <c:pt idx="20">
                  <c:v>1.7130299999999999E-3</c:v>
                </c:pt>
                <c:pt idx="21">
                  <c:v>1.7968700000000001E-3</c:v>
                </c:pt>
                <c:pt idx="22">
                  <c:v>1.7821899999999999E-3</c:v>
                </c:pt>
                <c:pt idx="23">
                  <c:v>1.76461E-3</c:v>
                </c:pt>
                <c:pt idx="24">
                  <c:v>1.79565E-3</c:v>
                </c:pt>
                <c:pt idx="25">
                  <c:v>1.9105400000000001E-3</c:v>
                </c:pt>
                <c:pt idx="26">
                  <c:v>1.8150600000000001E-3</c:v>
                </c:pt>
                <c:pt idx="27">
                  <c:v>1.8595700000000001E-3</c:v>
                </c:pt>
                <c:pt idx="28">
                  <c:v>1.83252E-3</c:v>
                </c:pt>
                <c:pt idx="29">
                  <c:v>1.9292599999999999E-3</c:v>
                </c:pt>
                <c:pt idx="30">
                  <c:v>1.9236399999999999E-3</c:v>
                </c:pt>
                <c:pt idx="31">
                  <c:v>1.89044E-3</c:v>
                </c:pt>
                <c:pt idx="32">
                  <c:v>1.8790499999999999E-3</c:v>
                </c:pt>
                <c:pt idx="33">
                  <c:v>1.93516E-3</c:v>
                </c:pt>
                <c:pt idx="34">
                  <c:v>2.0088599999999999E-3</c:v>
                </c:pt>
                <c:pt idx="35">
                  <c:v>1.9565400000000001E-3</c:v>
                </c:pt>
                <c:pt idx="36">
                  <c:v>2.03871E-3</c:v>
                </c:pt>
                <c:pt idx="37">
                  <c:v>1.9888800000000002E-3</c:v>
                </c:pt>
                <c:pt idx="38">
                  <c:v>2.0217199999999999E-3</c:v>
                </c:pt>
                <c:pt idx="39">
                  <c:v>2.05982E-3</c:v>
                </c:pt>
                <c:pt idx="40">
                  <c:v>2.0679399999999999E-3</c:v>
                </c:pt>
                <c:pt idx="41">
                  <c:v>2.1071699999999998E-3</c:v>
                </c:pt>
                <c:pt idx="42">
                  <c:v>2.0886699999999999E-3</c:v>
                </c:pt>
                <c:pt idx="43">
                  <c:v>2.1099199999999999E-3</c:v>
                </c:pt>
                <c:pt idx="44">
                  <c:v>2.0684200000000001E-3</c:v>
                </c:pt>
                <c:pt idx="45">
                  <c:v>2.1737200000000001E-3</c:v>
                </c:pt>
                <c:pt idx="46">
                  <c:v>2.1675499999999999E-3</c:v>
                </c:pt>
                <c:pt idx="47">
                  <c:v>2.1985400000000001E-3</c:v>
                </c:pt>
                <c:pt idx="48">
                  <c:v>2.2126400000000001E-3</c:v>
                </c:pt>
                <c:pt idx="49">
                  <c:v>2.23266E-3</c:v>
                </c:pt>
                <c:pt idx="50">
                  <c:v>2.2849200000000002E-3</c:v>
                </c:pt>
                <c:pt idx="51">
                  <c:v>2.2051499999999999E-3</c:v>
                </c:pt>
                <c:pt idx="52">
                  <c:v>2.2530800000000002E-3</c:v>
                </c:pt>
                <c:pt idx="53">
                  <c:v>2.2551799999999999E-3</c:v>
                </c:pt>
                <c:pt idx="54">
                  <c:v>2.3030300000000002E-3</c:v>
                </c:pt>
                <c:pt idx="55">
                  <c:v>2.2882200000000001E-3</c:v>
                </c:pt>
                <c:pt idx="56">
                  <c:v>2.3325899999999998E-3</c:v>
                </c:pt>
                <c:pt idx="57">
                  <c:v>2.3533999999999998E-3</c:v>
                </c:pt>
                <c:pt idx="58">
                  <c:v>2.4230599999999999E-3</c:v>
                </c:pt>
                <c:pt idx="59">
                  <c:v>2.4007099999999999E-3</c:v>
                </c:pt>
                <c:pt idx="60">
                  <c:v>2.3463199999999998E-3</c:v>
                </c:pt>
                <c:pt idx="61">
                  <c:v>2.3998700000000001E-3</c:v>
                </c:pt>
                <c:pt idx="62">
                  <c:v>2.3557500000000002E-3</c:v>
                </c:pt>
                <c:pt idx="63">
                  <c:v>2.46342E-3</c:v>
                </c:pt>
                <c:pt idx="64">
                  <c:v>2.4660400000000001E-3</c:v>
                </c:pt>
                <c:pt idx="65">
                  <c:v>2.4627899999999999E-3</c:v>
                </c:pt>
                <c:pt idx="66">
                  <c:v>2.48008E-3</c:v>
                </c:pt>
                <c:pt idx="67">
                  <c:v>2.49475E-3</c:v>
                </c:pt>
                <c:pt idx="68">
                  <c:v>2.5490500000000002E-3</c:v>
                </c:pt>
                <c:pt idx="69">
                  <c:v>2.4308400000000001E-3</c:v>
                </c:pt>
                <c:pt idx="70">
                  <c:v>2.5258300000000002E-3</c:v>
                </c:pt>
                <c:pt idx="71">
                  <c:v>2.5412099999999999E-3</c:v>
                </c:pt>
                <c:pt idx="72">
                  <c:v>2.6261499999999998E-3</c:v>
                </c:pt>
                <c:pt idx="73">
                  <c:v>2.6440000000000001E-3</c:v>
                </c:pt>
                <c:pt idx="74">
                  <c:v>2.6210000000000001E-3</c:v>
                </c:pt>
                <c:pt idx="75">
                  <c:v>2.7037599999999999E-3</c:v>
                </c:pt>
                <c:pt idx="76">
                  <c:v>2.6561599999999999E-3</c:v>
                </c:pt>
                <c:pt idx="77">
                  <c:v>2.6895500000000002E-3</c:v>
                </c:pt>
                <c:pt idx="78">
                  <c:v>2.6649199999999999E-3</c:v>
                </c:pt>
                <c:pt idx="79">
                  <c:v>2.68192E-3</c:v>
                </c:pt>
                <c:pt idx="80">
                  <c:v>2.6901099999999999E-3</c:v>
                </c:pt>
                <c:pt idx="81">
                  <c:v>2.6889100000000001E-3</c:v>
                </c:pt>
                <c:pt idx="82">
                  <c:v>2.6982500000000001E-3</c:v>
                </c:pt>
                <c:pt idx="83">
                  <c:v>2.7632300000000002E-3</c:v>
                </c:pt>
                <c:pt idx="84">
                  <c:v>2.7867999999999999E-3</c:v>
                </c:pt>
                <c:pt idx="85">
                  <c:v>2.7607500000000002E-3</c:v>
                </c:pt>
                <c:pt idx="86">
                  <c:v>2.8093100000000002E-3</c:v>
                </c:pt>
                <c:pt idx="87">
                  <c:v>2.8341299999999998E-3</c:v>
                </c:pt>
                <c:pt idx="88">
                  <c:v>2.80832E-3</c:v>
                </c:pt>
                <c:pt idx="89">
                  <c:v>2.8901E-3</c:v>
                </c:pt>
                <c:pt idx="90">
                  <c:v>2.8640599999999999E-3</c:v>
                </c:pt>
                <c:pt idx="91">
                  <c:v>2.94246E-3</c:v>
                </c:pt>
                <c:pt idx="92">
                  <c:v>2.9005599999999999E-3</c:v>
                </c:pt>
                <c:pt idx="93">
                  <c:v>2.9188899999999999E-3</c:v>
                </c:pt>
                <c:pt idx="94">
                  <c:v>2.94137E-3</c:v>
                </c:pt>
                <c:pt idx="95">
                  <c:v>2.9390900000000001E-3</c:v>
                </c:pt>
                <c:pt idx="96">
                  <c:v>2.9557400000000001E-3</c:v>
                </c:pt>
                <c:pt idx="97">
                  <c:v>2.97985E-3</c:v>
                </c:pt>
                <c:pt idx="98">
                  <c:v>3.02959E-3</c:v>
                </c:pt>
                <c:pt idx="99">
                  <c:v>3.0135700000000001E-3</c:v>
                </c:pt>
                <c:pt idx="100">
                  <c:v>3.0266E-3</c:v>
                </c:pt>
                <c:pt idx="101">
                  <c:v>3.0793299999999999E-3</c:v>
                </c:pt>
                <c:pt idx="102">
                  <c:v>3.0654499999999999E-3</c:v>
                </c:pt>
                <c:pt idx="103">
                  <c:v>3.11188E-3</c:v>
                </c:pt>
                <c:pt idx="104">
                  <c:v>3.1437800000000001E-3</c:v>
                </c:pt>
                <c:pt idx="105">
                  <c:v>2.9873E-3</c:v>
                </c:pt>
                <c:pt idx="106">
                  <c:v>3.07998E-3</c:v>
                </c:pt>
                <c:pt idx="107">
                  <c:v>3.1860299999999999E-3</c:v>
                </c:pt>
                <c:pt idx="108">
                  <c:v>3.1208E-3</c:v>
                </c:pt>
                <c:pt idx="109">
                  <c:v>3.1986100000000002E-3</c:v>
                </c:pt>
                <c:pt idx="110">
                  <c:v>3.1846399999999999E-3</c:v>
                </c:pt>
                <c:pt idx="111">
                  <c:v>3.2371499999999998E-3</c:v>
                </c:pt>
                <c:pt idx="112">
                  <c:v>3.20441E-3</c:v>
                </c:pt>
                <c:pt idx="113">
                  <c:v>3.2107799999999999E-3</c:v>
                </c:pt>
                <c:pt idx="114">
                  <c:v>3.3014199999999998E-3</c:v>
                </c:pt>
                <c:pt idx="115">
                  <c:v>3.2674399999999999E-3</c:v>
                </c:pt>
                <c:pt idx="116">
                  <c:v>3.2523600000000001E-3</c:v>
                </c:pt>
                <c:pt idx="117">
                  <c:v>3.2680299999999999E-3</c:v>
                </c:pt>
                <c:pt idx="118">
                  <c:v>3.3176099999999999E-3</c:v>
                </c:pt>
                <c:pt idx="119">
                  <c:v>3.3481600000000002E-3</c:v>
                </c:pt>
                <c:pt idx="120">
                  <c:v>3.3539099999999999E-3</c:v>
                </c:pt>
                <c:pt idx="121">
                  <c:v>3.34608E-3</c:v>
                </c:pt>
                <c:pt idx="122">
                  <c:v>3.3767699999999999E-3</c:v>
                </c:pt>
                <c:pt idx="123">
                  <c:v>3.38273E-3</c:v>
                </c:pt>
                <c:pt idx="124">
                  <c:v>3.4516799999999999E-3</c:v>
                </c:pt>
                <c:pt idx="125">
                  <c:v>3.4276699999999998E-3</c:v>
                </c:pt>
                <c:pt idx="126">
                  <c:v>3.4359500000000001E-3</c:v>
                </c:pt>
                <c:pt idx="127">
                  <c:v>3.4513399999999998E-3</c:v>
                </c:pt>
                <c:pt idx="128">
                  <c:v>3.48819E-3</c:v>
                </c:pt>
                <c:pt idx="129">
                  <c:v>3.5058699999999999E-3</c:v>
                </c:pt>
                <c:pt idx="130">
                  <c:v>3.4628699999999998E-3</c:v>
                </c:pt>
                <c:pt idx="131">
                  <c:v>3.4555900000000001E-3</c:v>
                </c:pt>
                <c:pt idx="132">
                  <c:v>3.5931800000000001E-3</c:v>
                </c:pt>
                <c:pt idx="133">
                  <c:v>3.5641399999999999E-3</c:v>
                </c:pt>
                <c:pt idx="134">
                  <c:v>3.56764E-3</c:v>
                </c:pt>
                <c:pt idx="135">
                  <c:v>3.57961E-3</c:v>
                </c:pt>
                <c:pt idx="136">
                  <c:v>3.6054799999999999E-3</c:v>
                </c:pt>
                <c:pt idx="137">
                  <c:v>3.59181E-3</c:v>
                </c:pt>
                <c:pt idx="138">
                  <c:v>3.64899E-3</c:v>
                </c:pt>
                <c:pt idx="139">
                  <c:v>3.6353700000000002E-3</c:v>
                </c:pt>
                <c:pt idx="140">
                  <c:v>3.6762600000000002E-3</c:v>
                </c:pt>
                <c:pt idx="141">
                  <c:v>3.6934200000000002E-3</c:v>
                </c:pt>
                <c:pt idx="142">
                  <c:v>3.7153199999999998E-3</c:v>
                </c:pt>
                <c:pt idx="143">
                  <c:v>3.7413899999999998E-3</c:v>
                </c:pt>
                <c:pt idx="144">
                  <c:v>3.7801000000000002E-3</c:v>
                </c:pt>
                <c:pt idx="145">
                  <c:v>3.74114E-3</c:v>
                </c:pt>
                <c:pt idx="146">
                  <c:v>3.8230600000000001E-3</c:v>
                </c:pt>
                <c:pt idx="147">
                  <c:v>3.7425100000000001E-3</c:v>
                </c:pt>
                <c:pt idx="148">
                  <c:v>3.7833900000000002E-3</c:v>
                </c:pt>
                <c:pt idx="149">
                  <c:v>3.8888600000000001E-3</c:v>
                </c:pt>
                <c:pt idx="150">
                  <c:v>3.7434199999999999E-3</c:v>
                </c:pt>
                <c:pt idx="151">
                  <c:v>3.8993999999999999E-3</c:v>
                </c:pt>
                <c:pt idx="152">
                  <c:v>3.8566E-3</c:v>
                </c:pt>
                <c:pt idx="153">
                  <c:v>3.9738600000000001E-3</c:v>
                </c:pt>
                <c:pt idx="154">
                  <c:v>3.8372300000000001E-3</c:v>
                </c:pt>
                <c:pt idx="155">
                  <c:v>3.9011200000000001E-3</c:v>
                </c:pt>
                <c:pt idx="156">
                  <c:v>3.9638700000000004E-3</c:v>
                </c:pt>
                <c:pt idx="157">
                  <c:v>3.8850400000000002E-3</c:v>
                </c:pt>
                <c:pt idx="158">
                  <c:v>4.0018199999999997E-3</c:v>
                </c:pt>
                <c:pt idx="159">
                  <c:v>3.9615099999999997E-3</c:v>
                </c:pt>
                <c:pt idx="160">
                  <c:v>4.0003699999999996E-3</c:v>
                </c:pt>
                <c:pt idx="161">
                  <c:v>3.9709699999999999E-3</c:v>
                </c:pt>
                <c:pt idx="162">
                  <c:v>4.0480000000000004E-3</c:v>
                </c:pt>
                <c:pt idx="163">
                  <c:v>4.0697199999999998E-3</c:v>
                </c:pt>
                <c:pt idx="164">
                  <c:v>4.0863899999999996E-3</c:v>
                </c:pt>
                <c:pt idx="165">
                  <c:v>4.0403899999999996E-3</c:v>
                </c:pt>
                <c:pt idx="166">
                  <c:v>4.11349E-3</c:v>
                </c:pt>
                <c:pt idx="167">
                  <c:v>4.1021900000000004E-3</c:v>
                </c:pt>
                <c:pt idx="168">
                  <c:v>4.12649E-3</c:v>
                </c:pt>
                <c:pt idx="169">
                  <c:v>4.15264E-3</c:v>
                </c:pt>
                <c:pt idx="170">
                  <c:v>4.1141499999999996E-3</c:v>
                </c:pt>
                <c:pt idx="171">
                  <c:v>4.1096199999999996E-3</c:v>
                </c:pt>
                <c:pt idx="172">
                  <c:v>4.1610800000000002E-3</c:v>
                </c:pt>
                <c:pt idx="173">
                  <c:v>4.1250899999999997E-3</c:v>
                </c:pt>
                <c:pt idx="174">
                  <c:v>4.2051099999999998E-3</c:v>
                </c:pt>
                <c:pt idx="175">
                  <c:v>4.2454099999999998E-3</c:v>
                </c:pt>
                <c:pt idx="176">
                  <c:v>4.1470600000000002E-3</c:v>
                </c:pt>
                <c:pt idx="177">
                  <c:v>4.2031100000000004E-3</c:v>
                </c:pt>
                <c:pt idx="178">
                  <c:v>4.25327E-3</c:v>
                </c:pt>
                <c:pt idx="179">
                  <c:v>4.2393500000000002E-3</c:v>
                </c:pt>
                <c:pt idx="180">
                  <c:v>4.3146499999999997E-3</c:v>
                </c:pt>
                <c:pt idx="181">
                  <c:v>4.3469600000000004E-3</c:v>
                </c:pt>
                <c:pt idx="182">
                  <c:v>4.3348700000000002E-3</c:v>
                </c:pt>
                <c:pt idx="183">
                  <c:v>4.3633700000000001E-3</c:v>
                </c:pt>
                <c:pt idx="184">
                  <c:v>4.3383099999999997E-3</c:v>
                </c:pt>
                <c:pt idx="185">
                  <c:v>4.3943899999999998E-3</c:v>
                </c:pt>
                <c:pt idx="186">
                  <c:v>4.43933E-3</c:v>
                </c:pt>
                <c:pt idx="187">
                  <c:v>4.4545699999999997E-3</c:v>
                </c:pt>
                <c:pt idx="188">
                  <c:v>4.4281399999999997E-3</c:v>
                </c:pt>
                <c:pt idx="189">
                  <c:v>4.41144E-3</c:v>
                </c:pt>
                <c:pt idx="190">
                  <c:v>4.4487099999999998E-3</c:v>
                </c:pt>
                <c:pt idx="191">
                  <c:v>4.4762999999999999E-3</c:v>
                </c:pt>
                <c:pt idx="192">
                  <c:v>4.4557800000000003E-3</c:v>
                </c:pt>
                <c:pt idx="193">
                  <c:v>4.4728299999999997E-3</c:v>
                </c:pt>
                <c:pt idx="194">
                  <c:v>4.5205100000000002E-3</c:v>
                </c:pt>
                <c:pt idx="195">
                  <c:v>4.5384300000000004E-3</c:v>
                </c:pt>
                <c:pt idx="196">
                  <c:v>4.4881499999999998E-3</c:v>
                </c:pt>
                <c:pt idx="197">
                  <c:v>4.59941E-3</c:v>
                </c:pt>
                <c:pt idx="198">
                  <c:v>4.6109899999999997E-3</c:v>
                </c:pt>
                <c:pt idx="199">
                  <c:v>4.5765099999999998E-3</c:v>
                </c:pt>
                <c:pt idx="200">
                  <c:v>4.6215900000000001E-3</c:v>
                </c:pt>
                <c:pt idx="201">
                  <c:v>4.6510700000000002E-3</c:v>
                </c:pt>
                <c:pt idx="202">
                  <c:v>4.5898400000000004E-3</c:v>
                </c:pt>
                <c:pt idx="203">
                  <c:v>4.6464399999999999E-3</c:v>
                </c:pt>
                <c:pt idx="204">
                  <c:v>4.6679E-3</c:v>
                </c:pt>
                <c:pt idx="205">
                  <c:v>4.6677999999999997E-3</c:v>
                </c:pt>
                <c:pt idx="206">
                  <c:v>4.7440299999999998E-3</c:v>
                </c:pt>
                <c:pt idx="207">
                  <c:v>4.7229699999999999E-3</c:v>
                </c:pt>
                <c:pt idx="208">
                  <c:v>4.7572999999999999E-3</c:v>
                </c:pt>
                <c:pt idx="209">
                  <c:v>4.7374799999999996E-3</c:v>
                </c:pt>
                <c:pt idx="210">
                  <c:v>4.7712199999999996E-3</c:v>
                </c:pt>
                <c:pt idx="211">
                  <c:v>4.8192399999999998E-3</c:v>
                </c:pt>
                <c:pt idx="212">
                  <c:v>4.8051500000000002E-3</c:v>
                </c:pt>
                <c:pt idx="213">
                  <c:v>4.76385E-3</c:v>
                </c:pt>
                <c:pt idx="214">
                  <c:v>4.7871900000000002E-3</c:v>
                </c:pt>
                <c:pt idx="215">
                  <c:v>4.81717E-3</c:v>
                </c:pt>
                <c:pt idx="216">
                  <c:v>4.8406200000000003E-3</c:v>
                </c:pt>
                <c:pt idx="217">
                  <c:v>4.8995999999999996E-3</c:v>
                </c:pt>
                <c:pt idx="218">
                  <c:v>4.89691E-3</c:v>
                </c:pt>
                <c:pt idx="219">
                  <c:v>4.8553900000000002E-3</c:v>
                </c:pt>
                <c:pt idx="220">
                  <c:v>4.9242399999999999E-3</c:v>
                </c:pt>
                <c:pt idx="221">
                  <c:v>4.9204899999999996E-3</c:v>
                </c:pt>
                <c:pt idx="222">
                  <c:v>4.9214200000000001E-3</c:v>
                </c:pt>
                <c:pt idx="223">
                  <c:v>4.9666099999999998E-3</c:v>
                </c:pt>
                <c:pt idx="224">
                  <c:v>4.9129300000000002E-3</c:v>
                </c:pt>
                <c:pt idx="225">
                  <c:v>4.9783600000000003E-3</c:v>
                </c:pt>
                <c:pt idx="226">
                  <c:v>4.9652400000000001E-3</c:v>
                </c:pt>
                <c:pt idx="227">
                  <c:v>4.9488199999999996E-3</c:v>
                </c:pt>
                <c:pt idx="228">
                  <c:v>4.9918799999999998E-3</c:v>
                </c:pt>
                <c:pt idx="229">
                  <c:v>5.0481600000000003E-3</c:v>
                </c:pt>
                <c:pt idx="230">
                  <c:v>5.03492E-3</c:v>
                </c:pt>
                <c:pt idx="231">
                  <c:v>5.0369200000000003E-3</c:v>
                </c:pt>
                <c:pt idx="232">
                  <c:v>5.2223800000000004E-3</c:v>
                </c:pt>
                <c:pt idx="233">
                  <c:v>5.0494700000000003E-3</c:v>
                </c:pt>
                <c:pt idx="234">
                  <c:v>5.1255500000000004E-3</c:v>
                </c:pt>
                <c:pt idx="235">
                  <c:v>5.1371100000000003E-3</c:v>
                </c:pt>
                <c:pt idx="236">
                  <c:v>5.1942400000000001E-3</c:v>
                </c:pt>
                <c:pt idx="237">
                  <c:v>5.2163799999999996E-3</c:v>
                </c:pt>
                <c:pt idx="238">
                  <c:v>5.20201E-3</c:v>
                </c:pt>
                <c:pt idx="239">
                  <c:v>5.2060500000000003E-3</c:v>
                </c:pt>
                <c:pt idx="240">
                  <c:v>5.2102800000000003E-3</c:v>
                </c:pt>
                <c:pt idx="241">
                  <c:v>5.24509E-3</c:v>
                </c:pt>
                <c:pt idx="242">
                  <c:v>5.2610499999999998E-3</c:v>
                </c:pt>
                <c:pt idx="243">
                  <c:v>5.2204399999999998E-3</c:v>
                </c:pt>
                <c:pt idx="244">
                  <c:v>5.2707199999999996E-3</c:v>
                </c:pt>
                <c:pt idx="245">
                  <c:v>5.2953399999999999E-3</c:v>
                </c:pt>
                <c:pt idx="246">
                  <c:v>5.3294400000000004E-3</c:v>
                </c:pt>
                <c:pt idx="247">
                  <c:v>5.3046200000000003E-3</c:v>
                </c:pt>
                <c:pt idx="248">
                  <c:v>5.35214E-3</c:v>
                </c:pt>
                <c:pt idx="249">
                  <c:v>5.3339700000000004E-3</c:v>
                </c:pt>
                <c:pt idx="250">
                  <c:v>5.3883100000000003E-3</c:v>
                </c:pt>
                <c:pt idx="251">
                  <c:v>5.4058800000000001E-3</c:v>
                </c:pt>
                <c:pt idx="252">
                  <c:v>5.3963400000000003E-3</c:v>
                </c:pt>
                <c:pt idx="253">
                  <c:v>5.4398199999999997E-3</c:v>
                </c:pt>
                <c:pt idx="254">
                  <c:v>5.4660899999999998E-3</c:v>
                </c:pt>
                <c:pt idx="255">
                  <c:v>5.4331199999999996E-3</c:v>
                </c:pt>
                <c:pt idx="256">
                  <c:v>5.46943E-3</c:v>
                </c:pt>
                <c:pt idx="257">
                  <c:v>5.4949400000000002E-3</c:v>
                </c:pt>
                <c:pt idx="258">
                  <c:v>5.5004700000000004E-3</c:v>
                </c:pt>
                <c:pt idx="259">
                  <c:v>5.4621399999999999E-3</c:v>
                </c:pt>
                <c:pt idx="260">
                  <c:v>5.6073099999999999E-3</c:v>
                </c:pt>
                <c:pt idx="261">
                  <c:v>5.5689099999999998E-3</c:v>
                </c:pt>
                <c:pt idx="262">
                  <c:v>5.5485300000000003E-3</c:v>
                </c:pt>
                <c:pt idx="263">
                  <c:v>5.5252399999999998E-3</c:v>
                </c:pt>
                <c:pt idx="264">
                  <c:v>5.6245100000000001E-3</c:v>
                </c:pt>
                <c:pt idx="265">
                  <c:v>5.6578399999999999E-3</c:v>
                </c:pt>
                <c:pt idx="266">
                  <c:v>5.5712100000000001E-3</c:v>
                </c:pt>
                <c:pt idx="267">
                  <c:v>5.6041700000000003E-3</c:v>
                </c:pt>
                <c:pt idx="268">
                  <c:v>5.5973200000000002E-3</c:v>
                </c:pt>
                <c:pt idx="269">
                  <c:v>5.7290600000000002E-3</c:v>
                </c:pt>
                <c:pt idx="270">
                  <c:v>5.7498000000000002E-3</c:v>
                </c:pt>
                <c:pt idx="271">
                  <c:v>5.7531700000000002E-3</c:v>
                </c:pt>
                <c:pt idx="272">
                  <c:v>5.8187899999999999E-3</c:v>
                </c:pt>
                <c:pt idx="273">
                  <c:v>5.83411E-3</c:v>
                </c:pt>
                <c:pt idx="274">
                  <c:v>5.7335399999999996E-3</c:v>
                </c:pt>
                <c:pt idx="275">
                  <c:v>5.8283700000000003E-3</c:v>
                </c:pt>
                <c:pt idx="276">
                  <c:v>5.8005699999999997E-3</c:v>
                </c:pt>
                <c:pt idx="277">
                  <c:v>5.7631999999999996E-3</c:v>
                </c:pt>
                <c:pt idx="278">
                  <c:v>5.8843400000000001E-3</c:v>
                </c:pt>
                <c:pt idx="279">
                  <c:v>5.8491000000000003E-3</c:v>
                </c:pt>
                <c:pt idx="280">
                  <c:v>5.8186499999999999E-3</c:v>
                </c:pt>
                <c:pt idx="281">
                  <c:v>5.9462400000000002E-3</c:v>
                </c:pt>
                <c:pt idx="282">
                  <c:v>5.9117500000000003E-3</c:v>
                </c:pt>
                <c:pt idx="283">
                  <c:v>5.9157400000000001E-3</c:v>
                </c:pt>
                <c:pt idx="284">
                  <c:v>5.93971E-3</c:v>
                </c:pt>
                <c:pt idx="285">
                  <c:v>6.0186399999999996E-3</c:v>
                </c:pt>
                <c:pt idx="286">
                  <c:v>5.9677599999999999E-3</c:v>
                </c:pt>
                <c:pt idx="287">
                  <c:v>6.0062800000000001E-3</c:v>
                </c:pt>
                <c:pt idx="288">
                  <c:v>6.0742399999999998E-3</c:v>
                </c:pt>
                <c:pt idx="289">
                  <c:v>6.02281E-3</c:v>
                </c:pt>
                <c:pt idx="290">
                  <c:v>5.9846700000000001E-3</c:v>
                </c:pt>
                <c:pt idx="291">
                  <c:v>6.0922299999999997E-3</c:v>
                </c:pt>
                <c:pt idx="292">
                  <c:v>6.0254200000000001E-3</c:v>
                </c:pt>
                <c:pt idx="293">
                  <c:v>6.0597999999999997E-3</c:v>
                </c:pt>
                <c:pt idx="294">
                  <c:v>6.0660599999999999E-3</c:v>
                </c:pt>
                <c:pt idx="295">
                  <c:v>6.0814399999999996E-3</c:v>
                </c:pt>
                <c:pt idx="296">
                  <c:v>6.16959E-3</c:v>
                </c:pt>
                <c:pt idx="297">
                  <c:v>6.1760799999999996E-3</c:v>
                </c:pt>
                <c:pt idx="298">
                  <c:v>6.0708999999999997E-3</c:v>
                </c:pt>
                <c:pt idx="299">
                  <c:v>6.1654300000000004E-3</c:v>
                </c:pt>
                <c:pt idx="300">
                  <c:v>6.2217699999999997E-3</c:v>
                </c:pt>
                <c:pt idx="301">
                  <c:v>6.2307999999999999E-3</c:v>
                </c:pt>
                <c:pt idx="302">
                  <c:v>6.2429399999999998E-3</c:v>
                </c:pt>
                <c:pt idx="303">
                  <c:v>6.2208799999999998E-3</c:v>
                </c:pt>
                <c:pt idx="304">
                  <c:v>6.3273699999999997E-3</c:v>
                </c:pt>
                <c:pt idx="305">
                  <c:v>6.34849E-3</c:v>
                </c:pt>
                <c:pt idx="306">
                  <c:v>6.3220400000000001E-3</c:v>
                </c:pt>
                <c:pt idx="307">
                  <c:v>6.3464400000000001E-3</c:v>
                </c:pt>
                <c:pt idx="308">
                  <c:v>6.3515899999999998E-3</c:v>
                </c:pt>
                <c:pt idx="309">
                  <c:v>6.3295399999999998E-3</c:v>
                </c:pt>
                <c:pt idx="310">
                  <c:v>6.3509400000000002E-3</c:v>
                </c:pt>
                <c:pt idx="311">
                  <c:v>6.3659600000000004E-3</c:v>
                </c:pt>
                <c:pt idx="312">
                  <c:v>6.4348199999999999E-3</c:v>
                </c:pt>
                <c:pt idx="313">
                  <c:v>6.3867300000000002E-3</c:v>
                </c:pt>
                <c:pt idx="314">
                  <c:v>6.4259499999999997E-3</c:v>
                </c:pt>
                <c:pt idx="315">
                  <c:v>6.4223600000000002E-3</c:v>
                </c:pt>
                <c:pt idx="316">
                  <c:v>6.4805599999999998E-3</c:v>
                </c:pt>
                <c:pt idx="317">
                  <c:v>6.5006400000000002E-3</c:v>
                </c:pt>
                <c:pt idx="318">
                  <c:v>6.5327099999999997E-3</c:v>
                </c:pt>
                <c:pt idx="319">
                  <c:v>6.5291400000000001E-3</c:v>
                </c:pt>
                <c:pt idx="320">
                  <c:v>6.6066700000000003E-3</c:v>
                </c:pt>
              </c:numCache>
            </c:numRef>
          </c:xVal>
          <c:yVal>
            <c:numRef>
              <c:f>'L30CPTX-3'!$N$80:$N$400</c:f>
              <c:numCache>
                <c:formatCode>General</c:formatCode>
                <c:ptCount val="321"/>
                <c:pt idx="0">
                  <c:v>-5.3729199999999998E-4</c:v>
                </c:pt>
                <c:pt idx="1">
                  <c:v>-5.3862300000000001E-4</c:v>
                </c:pt>
                <c:pt idx="2">
                  <c:v>-6.4806E-4</c:v>
                </c:pt>
                <c:pt idx="3">
                  <c:v>-5.7770399999999996E-4</c:v>
                </c:pt>
                <c:pt idx="4">
                  <c:v>-7.2829299999999997E-4</c:v>
                </c:pt>
                <c:pt idx="5">
                  <c:v>-5.0468799999999999E-4</c:v>
                </c:pt>
                <c:pt idx="6">
                  <c:v>-6.4810699999999998E-4</c:v>
                </c:pt>
                <c:pt idx="7">
                  <c:v>-6.1123999999999998E-4</c:v>
                </c:pt>
                <c:pt idx="8">
                  <c:v>-5.8157599999999999E-4</c:v>
                </c:pt>
                <c:pt idx="9">
                  <c:v>-5.6192999999999998E-4</c:v>
                </c:pt>
                <c:pt idx="10">
                  <c:v>-6.7350400000000001E-4</c:v>
                </c:pt>
                <c:pt idx="11">
                  <c:v>-7.8750800000000002E-4</c:v>
                </c:pt>
                <c:pt idx="12">
                  <c:v>-6.8943499999999996E-4</c:v>
                </c:pt>
                <c:pt idx="13">
                  <c:v>-6.8865400000000002E-4</c:v>
                </c:pt>
                <c:pt idx="14">
                  <c:v>-5.7438499999999996E-4</c:v>
                </c:pt>
                <c:pt idx="15">
                  <c:v>-7.3110999999999998E-4</c:v>
                </c:pt>
                <c:pt idx="16">
                  <c:v>-7.3562699999999998E-4</c:v>
                </c:pt>
                <c:pt idx="17">
                  <c:v>-6.9666200000000002E-4</c:v>
                </c:pt>
                <c:pt idx="18">
                  <c:v>-6.5634700000000005E-4</c:v>
                </c:pt>
                <c:pt idx="19">
                  <c:v>-6.91159E-4</c:v>
                </c:pt>
                <c:pt idx="20">
                  <c:v>-7.7581000000000004E-4</c:v>
                </c:pt>
                <c:pt idx="21">
                  <c:v>-5.6815800000000003E-4</c:v>
                </c:pt>
                <c:pt idx="22">
                  <c:v>-6.75397E-4</c:v>
                </c:pt>
                <c:pt idx="23">
                  <c:v>-7.3332400000000004E-4</c:v>
                </c:pt>
                <c:pt idx="24">
                  <c:v>-7.9764799999999998E-4</c:v>
                </c:pt>
                <c:pt idx="25">
                  <c:v>-6.2739000000000002E-4</c:v>
                </c:pt>
                <c:pt idx="26">
                  <c:v>-8.8108499999999998E-4</c:v>
                </c:pt>
                <c:pt idx="27">
                  <c:v>-8.1088099999999995E-4</c:v>
                </c:pt>
                <c:pt idx="28">
                  <c:v>-8.1702800000000003E-4</c:v>
                </c:pt>
                <c:pt idx="29">
                  <c:v>-6.2410500000000002E-4</c:v>
                </c:pt>
                <c:pt idx="30">
                  <c:v>-7.0750200000000004E-4</c:v>
                </c:pt>
                <c:pt idx="31">
                  <c:v>-7.8346299999999998E-4</c:v>
                </c:pt>
                <c:pt idx="32">
                  <c:v>-7.9558600000000004E-4</c:v>
                </c:pt>
                <c:pt idx="33">
                  <c:v>-9.1011800000000002E-4</c:v>
                </c:pt>
                <c:pt idx="34">
                  <c:v>-7.4098299999999996E-4</c:v>
                </c:pt>
                <c:pt idx="35">
                  <c:v>-8.4911700000000004E-4</c:v>
                </c:pt>
                <c:pt idx="36">
                  <c:v>-7.9940800000000004E-4</c:v>
                </c:pt>
                <c:pt idx="37">
                  <c:v>-8.3145099999999998E-4</c:v>
                </c:pt>
                <c:pt idx="38">
                  <c:v>-7.97801E-4</c:v>
                </c:pt>
                <c:pt idx="39">
                  <c:v>-7.2288599999999995E-4</c:v>
                </c:pt>
                <c:pt idx="40">
                  <c:v>-8.1719699999999998E-4</c:v>
                </c:pt>
                <c:pt idx="41">
                  <c:v>-8.5673200000000002E-4</c:v>
                </c:pt>
                <c:pt idx="42">
                  <c:v>-8.2542599999999998E-4</c:v>
                </c:pt>
                <c:pt idx="43">
                  <c:v>-8.7626999999999996E-4</c:v>
                </c:pt>
                <c:pt idx="44">
                  <c:v>-1.0070299999999999E-3</c:v>
                </c:pt>
                <c:pt idx="45">
                  <c:v>-8.8204500000000003E-4</c:v>
                </c:pt>
                <c:pt idx="46">
                  <c:v>-9.3604599999999995E-4</c:v>
                </c:pt>
                <c:pt idx="47">
                  <c:v>-7.8996600000000002E-4</c:v>
                </c:pt>
                <c:pt idx="48">
                  <c:v>-9.6619700000000002E-4</c:v>
                </c:pt>
                <c:pt idx="49">
                  <c:v>-9.0503700000000003E-4</c:v>
                </c:pt>
                <c:pt idx="50">
                  <c:v>-8.5353299999999996E-4</c:v>
                </c:pt>
                <c:pt idx="51">
                  <c:v>-7.9915200000000002E-4</c:v>
                </c:pt>
                <c:pt idx="52">
                  <c:v>-9.3817E-4</c:v>
                </c:pt>
                <c:pt idx="53">
                  <c:v>-9.7372799999999999E-4</c:v>
                </c:pt>
                <c:pt idx="54">
                  <c:v>-8.3723399999999996E-4</c:v>
                </c:pt>
                <c:pt idx="55">
                  <c:v>-9.1611800000000005E-4</c:v>
                </c:pt>
                <c:pt idx="56">
                  <c:v>-9.5708700000000002E-4</c:v>
                </c:pt>
                <c:pt idx="57">
                  <c:v>-9.8691399999999998E-4</c:v>
                </c:pt>
                <c:pt idx="58">
                  <c:v>-9.9992099999999997E-4</c:v>
                </c:pt>
                <c:pt idx="59">
                  <c:v>-1.0077300000000001E-3</c:v>
                </c:pt>
                <c:pt idx="60">
                  <c:v>-9.4175400000000005E-4</c:v>
                </c:pt>
                <c:pt idx="61">
                  <c:v>-9.9643699999999997E-4</c:v>
                </c:pt>
                <c:pt idx="62">
                  <c:v>-9.4205500000000002E-4</c:v>
                </c:pt>
                <c:pt idx="63">
                  <c:v>-1.02289E-3</c:v>
                </c:pt>
                <c:pt idx="64">
                  <c:v>-1.02469E-3</c:v>
                </c:pt>
                <c:pt idx="65">
                  <c:v>-1.1794900000000001E-3</c:v>
                </c:pt>
                <c:pt idx="66">
                  <c:v>-1.16592E-3</c:v>
                </c:pt>
                <c:pt idx="67">
                  <c:v>-1.07131E-3</c:v>
                </c:pt>
                <c:pt idx="68">
                  <c:v>-1.03152E-3</c:v>
                </c:pt>
                <c:pt idx="69">
                  <c:v>-1.11728E-3</c:v>
                </c:pt>
                <c:pt idx="70">
                  <c:v>-1.07204E-3</c:v>
                </c:pt>
                <c:pt idx="71">
                  <c:v>-1.16478E-3</c:v>
                </c:pt>
                <c:pt idx="72">
                  <c:v>-9.4773399999999999E-4</c:v>
                </c:pt>
                <c:pt idx="73">
                  <c:v>-1.01385E-3</c:v>
                </c:pt>
                <c:pt idx="74">
                  <c:v>-1.0972E-3</c:v>
                </c:pt>
                <c:pt idx="75">
                  <c:v>-1.0881300000000001E-3</c:v>
                </c:pt>
                <c:pt idx="76">
                  <c:v>-1.01636E-3</c:v>
                </c:pt>
                <c:pt idx="77">
                  <c:v>-1.1600200000000001E-3</c:v>
                </c:pt>
                <c:pt idx="78">
                  <c:v>-1.3470999999999999E-3</c:v>
                </c:pt>
                <c:pt idx="79">
                  <c:v>-1.13879E-3</c:v>
                </c:pt>
                <c:pt idx="80">
                  <c:v>-1.0923700000000001E-3</c:v>
                </c:pt>
                <c:pt idx="81">
                  <c:v>-1.26055E-3</c:v>
                </c:pt>
                <c:pt idx="82">
                  <c:v>-1.31913E-3</c:v>
                </c:pt>
                <c:pt idx="83">
                  <c:v>-1.0701199999999999E-3</c:v>
                </c:pt>
                <c:pt idx="84">
                  <c:v>-1.26515E-3</c:v>
                </c:pt>
                <c:pt idx="85">
                  <c:v>-1.2031399999999999E-3</c:v>
                </c:pt>
                <c:pt idx="86">
                  <c:v>-1.20903E-3</c:v>
                </c:pt>
                <c:pt idx="87">
                  <c:v>-1.1670199999999999E-3</c:v>
                </c:pt>
                <c:pt idx="88">
                  <c:v>-1.2006300000000001E-3</c:v>
                </c:pt>
                <c:pt idx="89">
                  <c:v>-1.2723299999999999E-3</c:v>
                </c:pt>
                <c:pt idx="90">
                  <c:v>-1.1454200000000001E-3</c:v>
                </c:pt>
                <c:pt idx="91">
                  <c:v>-1.2739800000000001E-3</c:v>
                </c:pt>
                <c:pt idx="92">
                  <c:v>-1.2305199999999999E-3</c:v>
                </c:pt>
                <c:pt idx="93">
                  <c:v>-1.2951099999999999E-3</c:v>
                </c:pt>
                <c:pt idx="94">
                  <c:v>-1.2846000000000001E-3</c:v>
                </c:pt>
                <c:pt idx="95">
                  <c:v>-1.3350300000000001E-3</c:v>
                </c:pt>
                <c:pt idx="96">
                  <c:v>-1.3769699999999999E-3</c:v>
                </c:pt>
                <c:pt idx="97">
                  <c:v>-1.2656500000000001E-3</c:v>
                </c:pt>
                <c:pt idx="98">
                  <c:v>-1.2840099999999999E-3</c:v>
                </c:pt>
                <c:pt idx="99">
                  <c:v>-1.35593E-3</c:v>
                </c:pt>
                <c:pt idx="100">
                  <c:v>-1.21412E-3</c:v>
                </c:pt>
                <c:pt idx="101">
                  <c:v>-1.2859099999999999E-3</c:v>
                </c:pt>
                <c:pt idx="102">
                  <c:v>-1.43188E-3</c:v>
                </c:pt>
                <c:pt idx="103">
                  <c:v>-1.36085E-3</c:v>
                </c:pt>
                <c:pt idx="104">
                  <c:v>-1.2250500000000001E-3</c:v>
                </c:pt>
                <c:pt idx="105">
                  <c:v>-1.40077E-3</c:v>
                </c:pt>
                <c:pt idx="106">
                  <c:v>-1.4713199999999999E-3</c:v>
                </c:pt>
                <c:pt idx="107">
                  <c:v>-1.48207E-3</c:v>
                </c:pt>
                <c:pt idx="108">
                  <c:v>-1.475E-3</c:v>
                </c:pt>
                <c:pt idx="109">
                  <c:v>-1.2745300000000001E-3</c:v>
                </c:pt>
                <c:pt idx="110">
                  <c:v>-1.44553E-3</c:v>
                </c:pt>
                <c:pt idx="111">
                  <c:v>-1.49661E-3</c:v>
                </c:pt>
                <c:pt idx="112">
                  <c:v>-1.5866299999999999E-3</c:v>
                </c:pt>
                <c:pt idx="113">
                  <c:v>-1.2695499999999999E-3</c:v>
                </c:pt>
                <c:pt idx="114">
                  <c:v>-1.40876E-3</c:v>
                </c:pt>
                <c:pt idx="115">
                  <c:v>-1.40486E-3</c:v>
                </c:pt>
                <c:pt idx="116">
                  <c:v>-1.39482E-3</c:v>
                </c:pt>
                <c:pt idx="117">
                  <c:v>-1.4027600000000001E-3</c:v>
                </c:pt>
                <c:pt idx="118">
                  <c:v>-1.3855E-3</c:v>
                </c:pt>
                <c:pt idx="119">
                  <c:v>-1.3561300000000001E-3</c:v>
                </c:pt>
                <c:pt idx="120">
                  <c:v>-1.5719499999999999E-3</c:v>
                </c:pt>
                <c:pt idx="121">
                  <c:v>-1.4518199999999999E-3</c:v>
                </c:pt>
                <c:pt idx="122">
                  <c:v>-1.5866599999999999E-3</c:v>
                </c:pt>
                <c:pt idx="123">
                  <c:v>-1.4720899999999999E-3</c:v>
                </c:pt>
                <c:pt idx="124">
                  <c:v>-1.57679E-3</c:v>
                </c:pt>
                <c:pt idx="125">
                  <c:v>-1.5172E-3</c:v>
                </c:pt>
                <c:pt idx="126">
                  <c:v>-1.46043E-3</c:v>
                </c:pt>
                <c:pt idx="127">
                  <c:v>-1.52381E-3</c:v>
                </c:pt>
                <c:pt idx="128">
                  <c:v>-1.4193999999999999E-3</c:v>
                </c:pt>
                <c:pt idx="129">
                  <c:v>-1.50354E-3</c:v>
                </c:pt>
                <c:pt idx="130">
                  <c:v>-1.65806E-3</c:v>
                </c:pt>
                <c:pt idx="131">
                  <c:v>-1.63521E-3</c:v>
                </c:pt>
                <c:pt idx="132">
                  <c:v>-1.5492399999999999E-3</c:v>
                </c:pt>
                <c:pt idx="133">
                  <c:v>-1.5207199999999999E-3</c:v>
                </c:pt>
                <c:pt idx="134">
                  <c:v>-1.6164899999999999E-3</c:v>
                </c:pt>
                <c:pt idx="135">
                  <c:v>-1.7527300000000001E-3</c:v>
                </c:pt>
                <c:pt idx="136">
                  <c:v>-1.5953899999999999E-3</c:v>
                </c:pt>
                <c:pt idx="137">
                  <c:v>-1.6363599999999999E-3</c:v>
                </c:pt>
                <c:pt idx="138">
                  <c:v>-1.6416099999999999E-3</c:v>
                </c:pt>
                <c:pt idx="139">
                  <c:v>-1.5786699999999999E-3</c:v>
                </c:pt>
                <c:pt idx="140">
                  <c:v>-1.5648299999999999E-3</c:v>
                </c:pt>
                <c:pt idx="141">
                  <c:v>-1.60082E-3</c:v>
                </c:pt>
                <c:pt idx="142">
                  <c:v>-1.6691E-3</c:v>
                </c:pt>
                <c:pt idx="143">
                  <c:v>-1.6795600000000001E-3</c:v>
                </c:pt>
                <c:pt idx="144">
                  <c:v>-1.51629E-3</c:v>
                </c:pt>
                <c:pt idx="145">
                  <c:v>-1.7469499999999999E-3</c:v>
                </c:pt>
                <c:pt idx="146">
                  <c:v>-1.59946E-3</c:v>
                </c:pt>
                <c:pt idx="147">
                  <c:v>-1.7095299999999999E-3</c:v>
                </c:pt>
                <c:pt idx="148">
                  <c:v>-1.6973100000000001E-3</c:v>
                </c:pt>
                <c:pt idx="149">
                  <c:v>-1.61455E-3</c:v>
                </c:pt>
                <c:pt idx="150">
                  <c:v>-1.77429E-3</c:v>
                </c:pt>
                <c:pt idx="151">
                  <c:v>-1.6507500000000001E-3</c:v>
                </c:pt>
                <c:pt idx="152">
                  <c:v>-1.66219E-3</c:v>
                </c:pt>
                <c:pt idx="153">
                  <c:v>-1.7355999999999999E-3</c:v>
                </c:pt>
                <c:pt idx="154">
                  <c:v>-1.6266799999999999E-3</c:v>
                </c:pt>
                <c:pt idx="155">
                  <c:v>-1.6831000000000001E-3</c:v>
                </c:pt>
                <c:pt idx="156">
                  <c:v>-1.7232899999999999E-3</c:v>
                </c:pt>
                <c:pt idx="157">
                  <c:v>-1.6525800000000001E-3</c:v>
                </c:pt>
                <c:pt idx="158">
                  <c:v>-1.7101099999999999E-3</c:v>
                </c:pt>
                <c:pt idx="159">
                  <c:v>-1.80321E-3</c:v>
                </c:pt>
                <c:pt idx="160">
                  <c:v>-1.85955E-3</c:v>
                </c:pt>
                <c:pt idx="161">
                  <c:v>-1.84049E-3</c:v>
                </c:pt>
                <c:pt idx="162">
                  <c:v>-1.7212799999999999E-3</c:v>
                </c:pt>
                <c:pt idx="163">
                  <c:v>-1.7126000000000001E-3</c:v>
                </c:pt>
                <c:pt idx="164">
                  <c:v>-1.75234E-3</c:v>
                </c:pt>
                <c:pt idx="165">
                  <c:v>-1.9322300000000001E-3</c:v>
                </c:pt>
                <c:pt idx="166">
                  <c:v>-1.73661E-3</c:v>
                </c:pt>
                <c:pt idx="167">
                  <c:v>-1.8299499999999999E-3</c:v>
                </c:pt>
                <c:pt idx="168">
                  <c:v>-1.79637E-3</c:v>
                </c:pt>
                <c:pt idx="169">
                  <c:v>-1.74496E-3</c:v>
                </c:pt>
                <c:pt idx="170">
                  <c:v>-1.8245399999999999E-3</c:v>
                </c:pt>
                <c:pt idx="171">
                  <c:v>-1.84929E-3</c:v>
                </c:pt>
                <c:pt idx="172">
                  <c:v>-1.8913599999999999E-3</c:v>
                </c:pt>
                <c:pt idx="173">
                  <c:v>-1.9737800000000001E-3</c:v>
                </c:pt>
                <c:pt idx="174">
                  <c:v>-1.91971E-3</c:v>
                </c:pt>
                <c:pt idx="175">
                  <c:v>-1.9555900000000001E-3</c:v>
                </c:pt>
                <c:pt idx="176">
                  <c:v>-1.93254E-3</c:v>
                </c:pt>
                <c:pt idx="177">
                  <c:v>-1.89295E-3</c:v>
                </c:pt>
                <c:pt idx="178">
                  <c:v>-1.8993E-3</c:v>
                </c:pt>
                <c:pt idx="179">
                  <c:v>-1.96496E-3</c:v>
                </c:pt>
                <c:pt idx="180">
                  <c:v>-1.9865999999999998E-3</c:v>
                </c:pt>
                <c:pt idx="181">
                  <c:v>-1.88616E-3</c:v>
                </c:pt>
                <c:pt idx="182">
                  <c:v>-1.9090999999999999E-3</c:v>
                </c:pt>
                <c:pt idx="183">
                  <c:v>-1.9637700000000001E-3</c:v>
                </c:pt>
                <c:pt idx="184">
                  <c:v>-2.0332100000000001E-3</c:v>
                </c:pt>
                <c:pt idx="185">
                  <c:v>-1.9887099999999999E-3</c:v>
                </c:pt>
                <c:pt idx="186">
                  <c:v>-1.91045E-3</c:v>
                </c:pt>
                <c:pt idx="187">
                  <c:v>-1.9405399999999999E-3</c:v>
                </c:pt>
                <c:pt idx="188">
                  <c:v>-1.9680800000000001E-3</c:v>
                </c:pt>
                <c:pt idx="189">
                  <c:v>-2.0749700000000002E-3</c:v>
                </c:pt>
                <c:pt idx="190">
                  <c:v>-2.02725E-3</c:v>
                </c:pt>
                <c:pt idx="191">
                  <c:v>-1.9931800000000002E-3</c:v>
                </c:pt>
                <c:pt idx="192">
                  <c:v>-2.0266400000000001E-3</c:v>
                </c:pt>
                <c:pt idx="193">
                  <c:v>-2.1955099999999999E-3</c:v>
                </c:pt>
                <c:pt idx="194">
                  <c:v>-2.0954200000000002E-3</c:v>
                </c:pt>
                <c:pt idx="195">
                  <c:v>-2.0139899999999998E-3</c:v>
                </c:pt>
                <c:pt idx="196">
                  <c:v>-2.0349299999999999E-3</c:v>
                </c:pt>
                <c:pt idx="197">
                  <c:v>-2.03403E-3</c:v>
                </c:pt>
                <c:pt idx="198">
                  <c:v>-2.0641600000000002E-3</c:v>
                </c:pt>
                <c:pt idx="199">
                  <c:v>-2.08946E-3</c:v>
                </c:pt>
                <c:pt idx="200">
                  <c:v>-2.0883799999999999E-3</c:v>
                </c:pt>
                <c:pt idx="201">
                  <c:v>-2.20879E-3</c:v>
                </c:pt>
                <c:pt idx="202">
                  <c:v>-2.1459700000000001E-3</c:v>
                </c:pt>
                <c:pt idx="203">
                  <c:v>-2.1688900000000001E-3</c:v>
                </c:pt>
                <c:pt idx="204">
                  <c:v>-2.16753E-3</c:v>
                </c:pt>
                <c:pt idx="205">
                  <c:v>-1.9829600000000002E-3</c:v>
                </c:pt>
                <c:pt idx="206">
                  <c:v>-2.1190900000000001E-3</c:v>
                </c:pt>
                <c:pt idx="207">
                  <c:v>-2.1123700000000001E-3</c:v>
                </c:pt>
                <c:pt idx="208">
                  <c:v>-2.0383799999999998E-3</c:v>
                </c:pt>
                <c:pt idx="209">
                  <c:v>-2.0889799999999998E-3</c:v>
                </c:pt>
                <c:pt idx="210">
                  <c:v>-2.12137E-3</c:v>
                </c:pt>
                <c:pt idx="211">
                  <c:v>-2.1624600000000002E-3</c:v>
                </c:pt>
                <c:pt idx="212">
                  <c:v>-2.13985E-3</c:v>
                </c:pt>
                <c:pt idx="213">
                  <c:v>-2.1710399999999999E-3</c:v>
                </c:pt>
                <c:pt idx="214">
                  <c:v>-2.2670199999999998E-3</c:v>
                </c:pt>
                <c:pt idx="215">
                  <c:v>-2.23755E-3</c:v>
                </c:pt>
                <c:pt idx="216">
                  <c:v>-2.2265000000000002E-3</c:v>
                </c:pt>
                <c:pt idx="217">
                  <c:v>-2.1965700000000001E-3</c:v>
                </c:pt>
                <c:pt idx="218">
                  <c:v>-2.2489900000000002E-3</c:v>
                </c:pt>
                <c:pt idx="219">
                  <c:v>-2.2196899999999999E-3</c:v>
                </c:pt>
                <c:pt idx="220">
                  <c:v>-2.3644600000000001E-3</c:v>
                </c:pt>
                <c:pt idx="221">
                  <c:v>-2.36915E-3</c:v>
                </c:pt>
                <c:pt idx="222">
                  <c:v>-2.3835900000000001E-3</c:v>
                </c:pt>
                <c:pt idx="223">
                  <c:v>-2.2734500000000002E-3</c:v>
                </c:pt>
                <c:pt idx="224">
                  <c:v>-2.2536000000000001E-3</c:v>
                </c:pt>
                <c:pt idx="225">
                  <c:v>-2.3475100000000001E-3</c:v>
                </c:pt>
                <c:pt idx="226">
                  <c:v>-2.2697199999999998E-3</c:v>
                </c:pt>
                <c:pt idx="227">
                  <c:v>-2.41734E-3</c:v>
                </c:pt>
                <c:pt idx="228">
                  <c:v>-2.4163000000000001E-3</c:v>
                </c:pt>
                <c:pt idx="229">
                  <c:v>-2.3146600000000001E-3</c:v>
                </c:pt>
                <c:pt idx="230">
                  <c:v>-2.3412799999999998E-3</c:v>
                </c:pt>
                <c:pt idx="231">
                  <c:v>-2.4964399999999999E-3</c:v>
                </c:pt>
                <c:pt idx="232">
                  <c:v>-2.2006999999999999E-3</c:v>
                </c:pt>
                <c:pt idx="233">
                  <c:v>-2.44685E-3</c:v>
                </c:pt>
                <c:pt idx="234">
                  <c:v>-2.26144E-3</c:v>
                </c:pt>
                <c:pt idx="235">
                  <c:v>-2.3416000000000001E-3</c:v>
                </c:pt>
                <c:pt idx="236">
                  <c:v>-2.3752500000000002E-3</c:v>
                </c:pt>
                <c:pt idx="237">
                  <c:v>-2.36944E-3</c:v>
                </c:pt>
                <c:pt idx="238">
                  <c:v>-2.4240400000000001E-3</c:v>
                </c:pt>
                <c:pt idx="239">
                  <c:v>-2.4606099999999998E-3</c:v>
                </c:pt>
                <c:pt idx="240">
                  <c:v>-2.3385300000000001E-3</c:v>
                </c:pt>
                <c:pt idx="241">
                  <c:v>-2.4655100000000002E-3</c:v>
                </c:pt>
                <c:pt idx="242">
                  <c:v>-2.3069200000000001E-3</c:v>
                </c:pt>
                <c:pt idx="243">
                  <c:v>-2.4573199999999998E-3</c:v>
                </c:pt>
                <c:pt idx="244">
                  <c:v>-2.3635000000000001E-3</c:v>
                </c:pt>
                <c:pt idx="245">
                  <c:v>-2.4189900000000002E-3</c:v>
                </c:pt>
                <c:pt idx="246">
                  <c:v>-2.4143799999999998E-3</c:v>
                </c:pt>
                <c:pt idx="247">
                  <c:v>-2.4549699999999999E-3</c:v>
                </c:pt>
                <c:pt idx="248">
                  <c:v>-2.4309100000000001E-3</c:v>
                </c:pt>
                <c:pt idx="249">
                  <c:v>-2.55332E-3</c:v>
                </c:pt>
                <c:pt idx="250">
                  <c:v>-2.5536000000000001E-3</c:v>
                </c:pt>
                <c:pt idx="251">
                  <c:v>-2.49651E-3</c:v>
                </c:pt>
                <c:pt idx="252">
                  <c:v>-2.5265600000000002E-3</c:v>
                </c:pt>
                <c:pt idx="253">
                  <c:v>-2.4949600000000001E-3</c:v>
                </c:pt>
                <c:pt idx="254">
                  <c:v>-2.4919600000000001E-3</c:v>
                </c:pt>
                <c:pt idx="255">
                  <c:v>-2.5741100000000001E-3</c:v>
                </c:pt>
                <c:pt idx="256">
                  <c:v>-2.5886799999999999E-3</c:v>
                </c:pt>
                <c:pt idx="257">
                  <c:v>-2.5410200000000002E-3</c:v>
                </c:pt>
                <c:pt idx="258">
                  <c:v>-2.5297499999999999E-3</c:v>
                </c:pt>
                <c:pt idx="259">
                  <c:v>-2.5650500000000001E-3</c:v>
                </c:pt>
                <c:pt idx="260">
                  <c:v>-2.45094E-3</c:v>
                </c:pt>
                <c:pt idx="261">
                  <c:v>-2.52864E-3</c:v>
                </c:pt>
                <c:pt idx="262">
                  <c:v>-2.5831000000000001E-3</c:v>
                </c:pt>
                <c:pt idx="263">
                  <c:v>-2.5265399999999999E-3</c:v>
                </c:pt>
                <c:pt idx="264">
                  <c:v>-2.6284400000000001E-3</c:v>
                </c:pt>
                <c:pt idx="265">
                  <c:v>-2.5813799999999999E-3</c:v>
                </c:pt>
                <c:pt idx="266">
                  <c:v>-2.7141800000000001E-3</c:v>
                </c:pt>
                <c:pt idx="267">
                  <c:v>-2.7262300000000001E-3</c:v>
                </c:pt>
                <c:pt idx="268">
                  <c:v>-2.5957300000000001E-3</c:v>
                </c:pt>
                <c:pt idx="269">
                  <c:v>-2.69425E-3</c:v>
                </c:pt>
                <c:pt idx="270">
                  <c:v>-2.7102599999999999E-3</c:v>
                </c:pt>
                <c:pt idx="271">
                  <c:v>-2.7111599999999998E-3</c:v>
                </c:pt>
                <c:pt idx="272">
                  <c:v>-2.7497400000000001E-3</c:v>
                </c:pt>
                <c:pt idx="273">
                  <c:v>-2.6026500000000002E-3</c:v>
                </c:pt>
                <c:pt idx="274">
                  <c:v>-2.8066599999999999E-3</c:v>
                </c:pt>
                <c:pt idx="275">
                  <c:v>-2.6400400000000002E-3</c:v>
                </c:pt>
                <c:pt idx="276">
                  <c:v>-2.6802599999999998E-3</c:v>
                </c:pt>
                <c:pt idx="277">
                  <c:v>-2.7288500000000001E-3</c:v>
                </c:pt>
                <c:pt idx="278">
                  <c:v>-2.7391199999999998E-3</c:v>
                </c:pt>
                <c:pt idx="279">
                  <c:v>-2.6814999999999999E-3</c:v>
                </c:pt>
                <c:pt idx="280">
                  <c:v>-2.7735699999999999E-3</c:v>
                </c:pt>
                <c:pt idx="281">
                  <c:v>-2.69645E-3</c:v>
                </c:pt>
                <c:pt idx="282">
                  <c:v>-2.7336399999999999E-3</c:v>
                </c:pt>
                <c:pt idx="283">
                  <c:v>-2.87083E-3</c:v>
                </c:pt>
                <c:pt idx="284">
                  <c:v>-2.7918399999999999E-3</c:v>
                </c:pt>
                <c:pt idx="285">
                  <c:v>-2.7431600000000001E-3</c:v>
                </c:pt>
                <c:pt idx="286">
                  <c:v>-2.7713199999999999E-3</c:v>
                </c:pt>
                <c:pt idx="287">
                  <c:v>-2.8327399999999998E-3</c:v>
                </c:pt>
                <c:pt idx="288">
                  <c:v>-2.6756900000000001E-3</c:v>
                </c:pt>
                <c:pt idx="289">
                  <c:v>-2.87047E-3</c:v>
                </c:pt>
                <c:pt idx="290">
                  <c:v>-2.92954E-3</c:v>
                </c:pt>
                <c:pt idx="291">
                  <c:v>-2.78918E-3</c:v>
                </c:pt>
                <c:pt idx="292">
                  <c:v>-2.87769E-3</c:v>
                </c:pt>
                <c:pt idx="293">
                  <c:v>-2.81088E-3</c:v>
                </c:pt>
                <c:pt idx="294">
                  <c:v>-2.9326899999999999E-3</c:v>
                </c:pt>
                <c:pt idx="295">
                  <c:v>-2.8626400000000001E-3</c:v>
                </c:pt>
                <c:pt idx="296">
                  <c:v>-2.93852E-3</c:v>
                </c:pt>
                <c:pt idx="297">
                  <c:v>-2.90785E-3</c:v>
                </c:pt>
                <c:pt idx="298">
                  <c:v>-2.9246300000000001E-3</c:v>
                </c:pt>
                <c:pt idx="299">
                  <c:v>-2.89091E-3</c:v>
                </c:pt>
                <c:pt idx="300">
                  <c:v>-2.9661900000000001E-3</c:v>
                </c:pt>
                <c:pt idx="301">
                  <c:v>-2.9215999999999999E-3</c:v>
                </c:pt>
                <c:pt idx="302">
                  <c:v>-2.9770199999999999E-3</c:v>
                </c:pt>
                <c:pt idx="303">
                  <c:v>-2.9328599999999998E-3</c:v>
                </c:pt>
                <c:pt idx="304">
                  <c:v>-2.9410299999999999E-3</c:v>
                </c:pt>
                <c:pt idx="305">
                  <c:v>-2.9182399999999999E-3</c:v>
                </c:pt>
                <c:pt idx="306">
                  <c:v>-3.0108800000000001E-3</c:v>
                </c:pt>
                <c:pt idx="307">
                  <c:v>-3.0259100000000001E-3</c:v>
                </c:pt>
                <c:pt idx="308">
                  <c:v>-3.0933200000000001E-3</c:v>
                </c:pt>
                <c:pt idx="309">
                  <c:v>-3.0343100000000001E-3</c:v>
                </c:pt>
                <c:pt idx="310">
                  <c:v>-2.9397500000000001E-3</c:v>
                </c:pt>
                <c:pt idx="311">
                  <c:v>-2.9789199999999999E-3</c:v>
                </c:pt>
                <c:pt idx="312">
                  <c:v>-3.0393299999999998E-3</c:v>
                </c:pt>
                <c:pt idx="313">
                  <c:v>-3.01754E-3</c:v>
                </c:pt>
                <c:pt idx="314">
                  <c:v>-3.0942700000000001E-3</c:v>
                </c:pt>
                <c:pt idx="315">
                  <c:v>-3.13767E-3</c:v>
                </c:pt>
                <c:pt idx="316">
                  <c:v>-3.0089600000000002E-3</c:v>
                </c:pt>
                <c:pt idx="317">
                  <c:v>-3.1772699999999998E-3</c:v>
                </c:pt>
                <c:pt idx="318">
                  <c:v>-3.3718699999999999E-3</c:v>
                </c:pt>
                <c:pt idx="319">
                  <c:v>-3.5097499999999998E-3</c:v>
                </c:pt>
                <c:pt idx="320">
                  <c:v>-3.3672099999999998E-3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53B-4CBB-80FC-1AEF90CC3F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0716704"/>
        <c:axId val="370718944"/>
      </c:scatterChart>
      <c:valAx>
        <c:axId val="3707167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70718944"/>
        <c:crosses val="autoZero"/>
        <c:crossBetween val="midCat"/>
      </c:valAx>
      <c:valAx>
        <c:axId val="370718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70716704"/>
        <c:crosses val="autoZero"/>
        <c:crossBetween val="midCat"/>
      </c:valAx>
    </c:plotArea>
    <c:plotVisOnly val="1"/>
    <c:dispBlanksAs val="gap"/>
    <c:showDLblsOverMax val="0"/>
  </c:chart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5" Type="http://schemas.openxmlformats.org/officeDocument/2006/relationships/chart" Target="../charts/chart7.xml"/><Relationship Id="rId4" Type="http://schemas.openxmlformats.org/officeDocument/2006/relationships/chart" Target="../charts/chart6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0.xml"/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3.xml"/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564466</xdr:colOff>
      <xdr:row>2</xdr:row>
      <xdr:rowOff>60960</xdr:rowOff>
    </xdr:from>
    <xdr:to>
      <xdr:col>14</xdr:col>
      <xdr:colOff>7666</xdr:colOff>
      <xdr:row>18</xdr:row>
      <xdr:rowOff>33637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00D31D76-9E18-4CDD-89B0-01DF8D01ACD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568569</xdr:colOff>
      <xdr:row>19</xdr:row>
      <xdr:rowOff>58616</xdr:rowOff>
    </xdr:from>
    <xdr:to>
      <xdr:col>14</xdr:col>
      <xdr:colOff>11769</xdr:colOff>
      <xdr:row>35</xdr:row>
      <xdr:rowOff>31293</xdr:rowOff>
    </xdr:to>
    <xdr:graphicFrame macro="">
      <xdr:nvGraphicFramePr>
        <xdr:cNvPr id="3" name="Диаграмма 1">
          <a:extLst>
            <a:ext uri="{FF2B5EF4-FFF2-40B4-BE49-F238E27FC236}">
              <a16:creationId xmlns:a16="http://schemas.microsoft.com/office/drawing/2014/main" id="{DA2EBEAB-D9F2-4350-BDC8-0F976E8E775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182880</xdr:colOff>
      <xdr:row>6</xdr:row>
      <xdr:rowOff>0</xdr:rowOff>
    </xdr:from>
    <xdr:to>
      <xdr:col>31</xdr:col>
      <xdr:colOff>487680</xdr:colOff>
      <xdr:row>21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24</xdr:col>
      <xdr:colOff>175260</xdr:colOff>
      <xdr:row>36</xdr:row>
      <xdr:rowOff>175260</xdr:rowOff>
    </xdr:from>
    <xdr:to>
      <xdr:col>31</xdr:col>
      <xdr:colOff>480060</xdr:colOff>
      <xdr:row>51</xdr:row>
      <xdr:rowOff>175260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24</xdr:col>
      <xdr:colOff>281940</xdr:colOff>
      <xdr:row>52</xdr:row>
      <xdr:rowOff>144780</xdr:rowOff>
    </xdr:from>
    <xdr:to>
      <xdr:col>31</xdr:col>
      <xdr:colOff>586740</xdr:colOff>
      <xdr:row>67</xdr:row>
      <xdr:rowOff>144780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24</xdr:col>
      <xdr:colOff>373380</xdr:colOff>
      <xdr:row>68</xdr:row>
      <xdr:rowOff>152400</xdr:rowOff>
    </xdr:from>
    <xdr:to>
      <xdr:col>32</xdr:col>
      <xdr:colOff>68580</xdr:colOff>
      <xdr:row>83</xdr:row>
      <xdr:rowOff>152400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24</xdr:col>
      <xdr:colOff>160020</xdr:colOff>
      <xdr:row>21</xdr:row>
      <xdr:rowOff>68580</xdr:rowOff>
    </xdr:from>
    <xdr:to>
      <xdr:col>31</xdr:col>
      <xdr:colOff>464820</xdr:colOff>
      <xdr:row>36</xdr:row>
      <xdr:rowOff>68580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B6862239-A4F0-4F53-94DF-C881386EAE2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396240</xdr:colOff>
      <xdr:row>5</xdr:row>
      <xdr:rowOff>167640</xdr:rowOff>
    </xdr:from>
    <xdr:to>
      <xdr:col>31</xdr:col>
      <xdr:colOff>76200</xdr:colOff>
      <xdr:row>20</xdr:row>
      <xdr:rowOff>129540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3357E02A-B1A1-41DC-BC97-45E3C930C72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23</xdr:col>
      <xdr:colOff>594360</xdr:colOff>
      <xdr:row>37</xdr:row>
      <xdr:rowOff>0</xdr:rowOff>
    </xdr:from>
    <xdr:to>
      <xdr:col>31</xdr:col>
      <xdr:colOff>297180</xdr:colOff>
      <xdr:row>52</xdr:row>
      <xdr:rowOff>0</xdr:rowOff>
    </xdr:to>
    <xdr:graphicFrame macro="">
      <xdr:nvGraphicFramePr>
        <xdr:cNvPr id="3" name="Chart 5">
          <a:extLst>
            <a:ext uri="{FF2B5EF4-FFF2-40B4-BE49-F238E27FC236}">
              <a16:creationId xmlns:a16="http://schemas.microsoft.com/office/drawing/2014/main" id="{263E6C3C-83B8-4004-B7E2-BB947AAF0CA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23</xdr:col>
      <xdr:colOff>426720</xdr:colOff>
      <xdr:row>21</xdr:row>
      <xdr:rowOff>53340</xdr:rowOff>
    </xdr:from>
    <xdr:to>
      <xdr:col>31</xdr:col>
      <xdr:colOff>106680</xdr:colOff>
      <xdr:row>36</xdr:row>
      <xdr:rowOff>15240</xdr:rowOff>
    </xdr:to>
    <xdr:graphicFrame macro="">
      <xdr:nvGraphicFramePr>
        <xdr:cNvPr id="4" name="Chart 2">
          <a:extLst>
            <a:ext uri="{FF2B5EF4-FFF2-40B4-BE49-F238E27FC236}">
              <a16:creationId xmlns:a16="http://schemas.microsoft.com/office/drawing/2014/main" id="{903F3DC3-D6F6-4C3A-B4BE-2B0B0FCF430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411480</xdr:colOff>
      <xdr:row>5</xdr:row>
      <xdr:rowOff>175260</xdr:rowOff>
    </xdr:from>
    <xdr:to>
      <xdr:col>31</xdr:col>
      <xdr:colOff>114300</xdr:colOff>
      <xdr:row>20</xdr:row>
      <xdr:rowOff>175260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35878F26-7A5B-4636-ADAB-A1C55DFA149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23</xdr:col>
      <xdr:colOff>419100</xdr:colOff>
      <xdr:row>21</xdr:row>
      <xdr:rowOff>99060</xdr:rowOff>
    </xdr:from>
    <xdr:to>
      <xdr:col>31</xdr:col>
      <xdr:colOff>121920</xdr:colOff>
      <xdr:row>36</xdr:row>
      <xdr:rowOff>99060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4390501-E064-4693-8246-EFD8E2AA11A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23</xdr:col>
      <xdr:colOff>464820</xdr:colOff>
      <xdr:row>37</xdr:row>
      <xdr:rowOff>121920</xdr:rowOff>
    </xdr:from>
    <xdr:to>
      <xdr:col>31</xdr:col>
      <xdr:colOff>167640</xdr:colOff>
      <xdr:row>52</xdr:row>
      <xdr:rowOff>121920</xdr:rowOff>
    </xdr:to>
    <xdr:graphicFrame macro="">
      <xdr:nvGraphicFramePr>
        <xdr:cNvPr id="4" name="Chart 5">
          <a:extLst>
            <a:ext uri="{FF2B5EF4-FFF2-40B4-BE49-F238E27FC236}">
              <a16:creationId xmlns:a16="http://schemas.microsoft.com/office/drawing/2014/main" id="{615479FB-6A15-41B5-A044-ADAC20815B3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8FC50D-668B-4AD4-B767-EC343239480C}">
  <dimension ref="A2:H8"/>
  <sheetViews>
    <sheetView tabSelected="1" zoomScale="130" zoomScaleNormal="130" workbookViewId="0">
      <selection activeCell="E22" sqref="E22"/>
    </sheetView>
  </sheetViews>
  <sheetFormatPr defaultRowHeight="14.4" x14ac:dyDescent="0.3"/>
  <cols>
    <col min="1" max="1" width="7.44140625" style="6" bestFit="1" customWidth="1"/>
    <col min="2" max="2" width="10.109375" style="6" bestFit="1" customWidth="1"/>
    <col min="3" max="3" width="13.109375" style="6" customWidth="1"/>
    <col min="4" max="4" width="13.77734375" style="6" customWidth="1"/>
    <col min="5" max="16384" width="8.88671875" style="6"/>
  </cols>
  <sheetData>
    <row r="2" spans="1:8" x14ac:dyDescent="0.3">
      <c r="A2" s="12"/>
      <c r="B2" s="21" t="str">
        <f>'L30CPTX-1'!U4</f>
        <v>Ult Load, N</v>
      </c>
      <c r="C2" s="21" t="str">
        <f>'L30CPTX-1'!V4</f>
        <v>Ult Stress, MPa</v>
      </c>
      <c r="D2" s="21" t="str">
        <f>'L30CPTX-1'!B4</f>
        <v>Failure Strain, %</v>
      </c>
      <c r="E2" s="21" t="str">
        <f>'L30CPTX-1'!X4</f>
        <v>Ex, MPa</v>
      </c>
      <c r="F2" s="21" t="str">
        <f>'L30CPTX-1'!Y4</f>
        <v>νyx</v>
      </c>
    </row>
    <row r="3" spans="1:8" x14ac:dyDescent="0.3">
      <c r="A3" s="12" t="s">
        <v>20</v>
      </c>
      <c r="B3" s="14">
        <f>AVERAGE(B6:B8)</f>
        <v>18791.033333333333</v>
      </c>
      <c r="C3" s="14">
        <f>AVERAGE(C6:C8)</f>
        <v>101.53450618440779</v>
      </c>
      <c r="D3" s="13">
        <f>AVERAGE(D6:D8)</f>
        <v>6.2279866666666668E-3</v>
      </c>
      <c r="E3" s="14">
        <f>AVERAGE(E6:E8)</f>
        <v>16358.666211085983</v>
      </c>
      <c r="F3" s="15">
        <f>AVERAGE(F6:F8)</f>
        <v>0.4485147835584542</v>
      </c>
      <c r="G3" s="10"/>
    </row>
    <row r="4" spans="1:8" x14ac:dyDescent="0.3">
      <c r="A4" s="12" t="s">
        <v>21</v>
      </c>
      <c r="B4" s="18">
        <f>STDEV(B6:B8)</f>
        <v>1304.6176464134367</v>
      </c>
      <c r="C4" s="18">
        <f>STDEV(C6:C8)</f>
        <v>6.9668691395390381</v>
      </c>
      <c r="D4" s="17">
        <f>STDEV(D6:D8)</f>
        <v>6.4634703962603024E-4</v>
      </c>
      <c r="E4" s="18">
        <f>STDEV(E6:E8)</f>
        <v>1517.487216802014</v>
      </c>
      <c r="F4" s="20">
        <f>STDEV(F6:F8)</f>
        <v>5.8496496405163786E-2</v>
      </c>
      <c r="G4" s="11"/>
    </row>
    <row r="5" spans="1:8" x14ac:dyDescent="0.3">
      <c r="A5" s="12" t="s">
        <v>22</v>
      </c>
      <c r="B5" s="19">
        <f>B4/B3</f>
        <v>6.9427669211739471E-2</v>
      </c>
      <c r="C5" s="19">
        <f>C4/C3</f>
        <v>6.861577803791899E-2</v>
      </c>
      <c r="D5" s="19">
        <f>D4/D3</f>
        <v>0.10378105706060657</v>
      </c>
      <c r="E5" s="19">
        <f>E4/E3</f>
        <v>9.2763505118384243E-2</v>
      </c>
      <c r="F5" s="19">
        <f>F4/F3</f>
        <v>0.13042267178143088</v>
      </c>
      <c r="G5" s="8"/>
    </row>
    <row r="6" spans="1:8" x14ac:dyDescent="0.3">
      <c r="A6" s="12">
        <v>1</v>
      </c>
      <c r="B6" s="16">
        <f>'L30CPTX-1'!U5</f>
        <v>18551</v>
      </c>
      <c r="C6" s="16">
        <f>'L30CPTX-1'!V5</f>
        <v>100.82065217391305</v>
      </c>
      <c r="D6" s="17">
        <f>'L30CPTX-1'!B5</f>
        <v>5.48199E-3</v>
      </c>
      <c r="E6" s="18">
        <f>'L30CPTX-1'!X5</f>
        <v>17895.986109376016</v>
      </c>
      <c r="F6" s="20">
        <f>'L30CPTX-1'!AB5</f>
        <v>0.42278207047428679</v>
      </c>
      <c r="G6" s="10"/>
    </row>
    <row r="7" spans="1:8" x14ac:dyDescent="0.3">
      <c r="A7" s="12">
        <v>2</v>
      </c>
      <c r="B7" s="16">
        <f>'L30CPTX-2'!$U$5</f>
        <v>20199</v>
      </c>
      <c r="C7" s="16">
        <f>'L30CPTX-2'!$V$5</f>
        <v>108.83081896551724</v>
      </c>
      <c r="D7" s="17">
        <f>'L30CPTX-2'!$B$5</f>
        <v>6.5814599999999999E-3</v>
      </c>
      <c r="E7" s="18">
        <f>'L30CPTX-2'!$X$5</f>
        <v>16318.191060531728</v>
      </c>
      <c r="F7" s="20">
        <f>'L30CPTX-2'!$AB$5</f>
        <v>0.51546635711660638</v>
      </c>
      <c r="G7" s="10"/>
      <c r="H7" s="9"/>
    </row>
    <row r="8" spans="1:8" x14ac:dyDescent="0.3">
      <c r="A8" s="12">
        <v>3</v>
      </c>
      <c r="B8" s="16">
        <f>'L30CPTX-3'!U5</f>
        <v>17623.099999999999</v>
      </c>
      <c r="C8" s="16">
        <f>'L30CPTX-3'!V5</f>
        <v>94.952047413793096</v>
      </c>
      <c r="D8" s="17">
        <f>'L30CPTX-3'!B5</f>
        <v>6.6205099999999996E-3</v>
      </c>
      <c r="E8" s="18">
        <f>'L30CPTX-3'!X5</f>
        <v>14861.821463350207</v>
      </c>
      <c r="F8" s="20">
        <f>'L30CPTX-3'!AB5</f>
        <v>0.40729592308446949</v>
      </c>
      <c r="G8" s="10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430"/>
  <sheetViews>
    <sheetView topLeftCell="B1" workbookViewId="0">
      <selection activeCell="W6" sqref="W6:W7"/>
    </sheetView>
  </sheetViews>
  <sheetFormatPr defaultRowHeight="14.4" x14ac:dyDescent="0.3"/>
  <cols>
    <col min="28" max="28" width="9" customWidth="1"/>
  </cols>
  <sheetData>
    <row r="1" spans="1:30" x14ac:dyDescent="0.3">
      <c r="A1" t="s">
        <v>15</v>
      </c>
      <c r="B1" t="s">
        <v>16</v>
      </c>
    </row>
    <row r="2" spans="1:30" x14ac:dyDescent="0.3">
      <c r="A2">
        <v>23</v>
      </c>
      <c r="B2">
        <v>8</v>
      </c>
    </row>
    <row r="3" spans="1:30" x14ac:dyDescent="0.3">
      <c r="B3">
        <f>MATCH(V5,V7:V1048570,0)-1</f>
        <v>412</v>
      </c>
    </row>
    <row r="4" spans="1:30" ht="15.6" x14ac:dyDescent="0.35">
      <c r="B4" t="s">
        <v>18</v>
      </c>
      <c r="U4" t="s">
        <v>24</v>
      </c>
      <c r="V4" t="s">
        <v>17</v>
      </c>
      <c r="X4" t="s">
        <v>23</v>
      </c>
      <c r="Y4" s="2" t="s">
        <v>19</v>
      </c>
      <c r="Z4" s="2" t="s">
        <v>19</v>
      </c>
      <c r="AA4" s="2" t="s">
        <v>19</v>
      </c>
    </row>
    <row r="5" spans="1:30" x14ac:dyDescent="0.3">
      <c r="A5" t="s">
        <v>0</v>
      </c>
      <c r="B5">
        <f>INDEX(B7:B1048570,MATCH(V5,V7:V1048570,0))</f>
        <v>5.48199E-3</v>
      </c>
      <c r="F5" t="s">
        <v>1</v>
      </c>
      <c r="J5" t="s">
        <v>2</v>
      </c>
      <c r="N5" t="s">
        <v>3</v>
      </c>
      <c r="R5" t="s">
        <v>4</v>
      </c>
      <c r="U5">
        <f>MAX(U8:U1048571)</f>
        <v>18551</v>
      </c>
      <c r="V5">
        <f>MAX(V8:V1048571)</f>
        <v>100.82065217391305</v>
      </c>
      <c r="X5">
        <f>INDEX(LINEST(V7:V417,B7:B417),1)</f>
        <v>17895.986109376016</v>
      </c>
      <c r="Y5">
        <f>-INDEX(LINEST(F80:F400,B80:B400),1)</f>
        <v>0.23867238532464752</v>
      </c>
      <c r="Z5">
        <f>-INDEX(LINEST(J80:J400,B80:B400),1)</f>
        <v>0.44115666341148169</v>
      </c>
      <c r="AA5">
        <f>-INDEX(LINEST(N80:N400,B80:B400),1)</f>
        <v>0.58851716268673104</v>
      </c>
      <c r="AB5" s="3">
        <f>AVERAGE(Y5:AA5)</f>
        <v>0.42278207047428679</v>
      </c>
      <c r="AC5" s="5">
        <f>STDEV(Y5:AA5)</f>
        <v>0.17564470191579126</v>
      </c>
      <c r="AD5" s="4">
        <f>AC5/AB5</f>
        <v>0.41544974156247672</v>
      </c>
    </row>
    <row r="6" spans="1:30" x14ac:dyDescent="0.3">
      <c r="A6" t="s">
        <v>5</v>
      </c>
      <c r="B6" t="s">
        <v>6</v>
      </c>
      <c r="C6" t="s">
        <v>7</v>
      </c>
      <c r="D6" t="s">
        <v>8</v>
      </c>
      <c r="E6" t="s">
        <v>9</v>
      </c>
      <c r="F6" t="s">
        <v>6</v>
      </c>
      <c r="G6" t="s">
        <v>7</v>
      </c>
      <c r="H6" t="s">
        <v>8</v>
      </c>
      <c r="I6" t="s">
        <v>9</v>
      </c>
      <c r="J6" t="s">
        <v>6</v>
      </c>
      <c r="K6" t="s">
        <v>7</v>
      </c>
      <c r="L6" t="s">
        <v>8</v>
      </c>
      <c r="M6" t="s">
        <v>9</v>
      </c>
      <c r="N6" t="s">
        <v>6</v>
      </c>
      <c r="O6" t="s">
        <v>7</v>
      </c>
      <c r="P6" t="s">
        <v>8</v>
      </c>
      <c r="Q6" t="s">
        <v>9</v>
      </c>
      <c r="R6" t="s">
        <v>10</v>
      </c>
      <c r="S6" t="s">
        <v>11</v>
      </c>
      <c r="T6" t="s">
        <v>12</v>
      </c>
      <c r="U6" t="s">
        <v>13</v>
      </c>
      <c r="V6" t="s">
        <v>14</v>
      </c>
      <c r="W6" t="s">
        <v>25</v>
      </c>
    </row>
    <row r="7" spans="1:30" x14ac:dyDescent="0.3">
      <c r="A7">
        <v>0</v>
      </c>
      <c r="B7">
        <v>0</v>
      </c>
      <c r="C7">
        <v>0</v>
      </c>
      <c r="D7">
        <v>35.578200000000002</v>
      </c>
      <c r="E7">
        <v>35.578200000000002</v>
      </c>
      <c r="F7">
        <v>0</v>
      </c>
      <c r="G7">
        <v>0</v>
      </c>
      <c r="H7">
        <v>18.738199999999999</v>
      </c>
      <c r="I7">
        <v>18.738199999999999</v>
      </c>
      <c r="J7">
        <v>0</v>
      </c>
      <c r="K7">
        <v>0</v>
      </c>
      <c r="L7">
        <v>16.4009</v>
      </c>
      <c r="M7">
        <v>16.4009</v>
      </c>
      <c r="N7">
        <v>0</v>
      </c>
      <c r="O7">
        <v>0</v>
      </c>
      <c r="P7">
        <v>15.389799999999999</v>
      </c>
      <c r="Q7">
        <v>15.389799999999999</v>
      </c>
      <c r="R7">
        <v>0</v>
      </c>
      <c r="S7">
        <v>3.0000000000000001E-3</v>
      </c>
      <c r="T7">
        <v>2.29E-2</v>
      </c>
      <c r="U7">
        <v>103.97</v>
      </c>
      <c r="V7">
        <f>U7/A$2/B$2</f>
        <v>0.56505434782608699</v>
      </c>
      <c r="W7">
        <f>-AVERAGE(F7,J7,N7)</f>
        <v>0</v>
      </c>
    </row>
    <row r="8" spans="1:30" x14ac:dyDescent="0.3">
      <c r="A8">
        <v>1</v>
      </c>
      <c r="B8" s="1">
        <v>-9.6237400000000001E-6</v>
      </c>
      <c r="C8">
        <v>-3.42395E-4</v>
      </c>
      <c r="D8">
        <v>35.577800000000003</v>
      </c>
      <c r="E8">
        <v>35.578200000000002</v>
      </c>
      <c r="F8" s="1">
        <v>-4.2805000000000001E-5</v>
      </c>
      <c r="G8">
        <v>-8.0208899999999997E-4</v>
      </c>
      <c r="H8">
        <v>18.737400000000001</v>
      </c>
      <c r="I8">
        <v>18.738199999999999</v>
      </c>
      <c r="J8" s="1">
        <v>3.1350299999999997E-5</v>
      </c>
      <c r="K8">
        <v>5.1417100000000001E-4</v>
      </c>
      <c r="L8">
        <v>16.401399999999999</v>
      </c>
      <c r="M8">
        <v>16.4009</v>
      </c>
      <c r="N8" s="1">
        <v>6.3999900000000004E-5</v>
      </c>
      <c r="O8">
        <v>9.8494500000000009E-4</v>
      </c>
      <c r="P8">
        <v>15.3908</v>
      </c>
      <c r="Q8">
        <v>15.389799999999999</v>
      </c>
      <c r="R8">
        <v>2.1930000000000001</v>
      </c>
      <c r="S8">
        <v>2.194</v>
      </c>
      <c r="T8">
        <v>2.8400000000000002E-2</v>
      </c>
      <c r="U8">
        <v>123.185</v>
      </c>
      <c r="V8">
        <f t="shared" ref="V8:V71" si="0">U8/A$2/B$2</f>
        <v>0.66948369565217392</v>
      </c>
      <c r="W8">
        <f t="shared" ref="W8:W71" si="1">-AVERAGE(F8,J8,N8)</f>
        <v>-1.7515066666666668E-5</v>
      </c>
    </row>
    <row r="9" spans="1:30" x14ac:dyDescent="0.3">
      <c r="A9">
        <v>2</v>
      </c>
      <c r="B9" s="1">
        <v>2.8467400000000001E-5</v>
      </c>
      <c r="C9">
        <v>1.01282E-3</v>
      </c>
      <c r="D9">
        <v>35.5792</v>
      </c>
      <c r="E9">
        <v>35.578200000000002</v>
      </c>
      <c r="F9" s="1">
        <v>-5.85933E-5</v>
      </c>
      <c r="G9">
        <v>-1.09793E-3</v>
      </c>
      <c r="H9">
        <v>18.737100000000002</v>
      </c>
      <c r="I9">
        <v>18.738199999999999</v>
      </c>
      <c r="J9" s="1">
        <v>-1.6923E-5</v>
      </c>
      <c r="K9">
        <v>-2.7755100000000001E-4</v>
      </c>
      <c r="L9">
        <v>16.400600000000001</v>
      </c>
      <c r="M9">
        <v>16.4009</v>
      </c>
      <c r="N9" s="1">
        <v>-1.39323E-5</v>
      </c>
      <c r="O9">
        <v>-2.1441400000000001E-4</v>
      </c>
      <c r="P9">
        <v>15.3896</v>
      </c>
      <c r="Q9">
        <v>15.389799999999999</v>
      </c>
      <c r="R9">
        <v>6.4359999999999999</v>
      </c>
      <c r="S9">
        <v>6.4359999999999999</v>
      </c>
      <c r="T9">
        <v>4.7699999999999999E-2</v>
      </c>
      <c r="U9">
        <v>191.001</v>
      </c>
      <c r="V9">
        <f t="shared" si="0"/>
        <v>1.0380489130434782</v>
      </c>
      <c r="W9">
        <f t="shared" si="1"/>
        <v>2.9816199999999998E-5</v>
      </c>
    </row>
    <row r="10" spans="1:30" x14ac:dyDescent="0.3">
      <c r="A10">
        <v>3</v>
      </c>
      <c r="B10" s="1">
        <v>4.85617E-5</v>
      </c>
      <c r="C10">
        <v>1.72774E-3</v>
      </c>
      <c r="D10">
        <v>35.579900000000002</v>
      </c>
      <c r="E10">
        <v>35.578200000000002</v>
      </c>
      <c r="F10" s="1">
        <v>-1.86659E-5</v>
      </c>
      <c r="G10">
        <v>-3.49766E-4</v>
      </c>
      <c r="H10">
        <v>18.7379</v>
      </c>
      <c r="I10">
        <v>18.738199999999999</v>
      </c>
      <c r="J10" s="1">
        <v>3.3432399999999999E-6</v>
      </c>
      <c r="K10" s="1">
        <v>5.4832E-5</v>
      </c>
      <c r="L10">
        <v>16.4009</v>
      </c>
      <c r="M10">
        <v>16.4009</v>
      </c>
      <c r="N10" s="1">
        <v>-2.5377200000000002E-5</v>
      </c>
      <c r="O10">
        <v>-3.9054999999999998E-4</v>
      </c>
      <c r="P10">
        <v>15.3894</v>
      </c>
      <c r="Q10">
        <v>15.389799999999999</v>
      </c>
      <c r="R10">
        <v>6.57</v>
      </c>
      <c r="S10">
        <v>6.5709999999999997</v>
      </c>
      <c r="T10">
        <v>7.5800000000000006E-2</v>
      </c>
      <c r="U10">
        <v>289.33300000000003</v>
      </c>
      <c r="V10">
        <f t="shared" si="0"/>
        <v>1.5724619565217393</v>
      </c>
      <c r="W10">
        <f t="shared" si="1"/>
        <v>1.3566620000000001E-5</v>
      </c>
    </row>
    <row r="11" spans="1:30" x14ac:dyDescent="0.3">
      <c r="A11">
        <v>4</v>
      </c>
      <c r="B11">
        <v>1.3281E-4</v>
      </c>
      <c r="C11">
        <v>4.7251400000000001E-3</v>
      </c>
      <c r="D11">
        <v>35.582900000000002</v>
      </c>
      <c r="E11">
        <v>35.578200000000002</v>
      </c>
      <c r="F11" s="1">
        <v>-2.32257E-5</v>
      </c>
      <c r="G11">
        <v>-4.3520800000000002E-4</v>
      </c>
      <c r="H11">
        <v>18.7378</v>
      </c>
      <c r="I11">
        <v>18.738199999999999</v>
      </c>
      <c r="J11" s="1">
        <v>4.7014400000000002E-5</v>
      </c>
      <c r="K11">
        <v>7.7107599999999999E-4</v>
      </c>
      <c r="L11">
        <v>16.401599999999998</v>
      </c>
      <c r="M11">
        <v>16.4009</v>
      </c>
      <c r="N11" s="1">
        <v>5.7005100000000001E-5</v>
      </c>
      <c r="O11">
        <v>8.7729599999999996E-4</v>
      </c>
      <c r="P11">
        <v>15.390700000000001</v>
      </c>
      <c r="Q11">
        <v>15.389799999999999</v>
      </c>
      <c r="R11">
        <v>6.6870000000000003</v>
      </c>
      <c r="S11">
        <v>6.6870000000000003</v>
      </c>
      <c r="T11">
        <v>8.7400000000000005E-2</v>
      </c>
      <c r="U11">
        <v>330.02300000000002</v>
      </c>
      <c r="V11">
        <f t="shared" si="0"/>
        <v>1.7936032608695653</v>
      </c>
      <c r="W11">
        <f t="shared" si="1"/>
        <v>-2.6931266666666667E-5</v>
      </c>
    </row>
    <row r="12" spans="1:30" x14ac:dyDescent="0.3">
      <c r="A12">
        <v>5</v>
      </c>
      <c r="B12" s="1">
        <v>7.2601600000000006E-5</v>
      </c>
      <c r="C12">
        <v>2.58303E-3</v>
      </c>
      <c r="D12">
        <v>35.5807</v>
      </c>
      <c r="E12">
        <v>35.578200000000002</v>
      </c>
      <c r="F12" s="1">
        <v>3.9369500000000003E-5</v>
      </c>
      <c r="G12">
        <v>7.3771500000000001E-4</v>
      </c>
      <c r="H12">
        <v>18.739000000000001</v>
      </c>
      <c r="I12">
        <v>18.738199999999999</v>
      </c>
      <c r="J12" s="1">
        <v>8.5494899999999994E-6</v>
      </c>
      <c r="K12">
        <v>1.4021899999999999E-4</v>
      </c>
      <c r="L12">
        <v>16.401</v>
      </c>
      <c r="M12">
        <v>16.4009</v>
      </c>
      <c r="N12" s="1">
        <v>-1.50492E-5</v>
      </c>
      <c r="O12">
        <v>-2.3160300000000001E-4</v>
      </c>
      <c r="P12">
        <v>15.3895</v>
      </c>
      <c r="Q12">
        <v>15.389799999999999</v>
      </c>
      <c r="R12">
        <v>6.81</v>
      </c>
      <c r="S12">
        <v>6.8109999999999999</v>
      </c>
      <c r="T12">
        <v>0.1003</v>
      </c>
      <c r="U12">
        <v>375.233</v>
      </c>
      <c r="V12">
        <f t="shared" si="0"/>
        <v>2.0393097826086959</v>
      </c>
      <c r="W12">
        <f t="shared" si="1"/>
        <v>-1.0956596666666666E-5</v>
      </c>
    </row>
    <row r="13" spans="1:30" x14ac:dyDescent="0.3">
      <c r="A13">
        <v>6</v>
      </c>
      <c r="B13" s="1">
        <v>8.0993499999999996E-5</v>
      </c>
      <c r="C13">
        <v>2.8815999999999998E-3</v>
      </c>
      <c r="D13">
        <v>35.581000000000003</v>
      </c>
      <c r="E13">
        <v>35.578200000000002</v>
      </c>
      <c r="F13" s="1">
        <v>4.5441900000000003E-5</v>
      </c>
      <c r="G13">
        <v>8.5150099999999995E-4</v>
      </c>
      <c r="H13">
        <v>18.739100000000001</v>
      </c>
      <c r="I13">
        <v>18.738199999999999</v>
      </c>
      <c r="J13">
        <v>1.3295099999999999E-4</v>
      </c>
      <c r="K13">
        <v>2.1805100000000001E-3</v>
      </c>
      <c r="L13">
        <v>16.402999999999999</v>
      </c>
      <c r="M13">
        <v>16.4009</v>
      </c>
      <c r="N13" s="1">
        <v>9.78532E-5</v>
      </c>
      <c r="O13">
        <v>1.5059400000000001E-3</v>
      </c>
      <c r="P13">
        <v>15.391299999999999</v>
      </c>
      <c r="Q13">
        <v>15.389799999999999</v>
      </c>
      <c r="R13">
        <v>6.9370000000000003</v>
      </c>
      <c r="S13">
        <v>6.9370000000000003</v>
      </c>
      <c r="T13">
        <v>0.11799999999999999</v>
      </c>
      <c r="U13">
        <v>437.39699999999999</v>
      </c>
      <c r="V13">
        <f t="shared" si="0"/>
        <v>2.3771576086956521</v>
      </c>
      <c r="W13">
        <f t="shared" si="1"/>
        <v>-9.208203333333333E-5</v>
      </c>
    </row>
    <row r="14" spans="1:30" x14ac:dyDescent="0.3">
      <c r="A14">
        <v>7</v>
      </c>
      <c r="B14" s="1">
        <v>7.1365799999999994E-5</v>
      </c>
      <c r="C14">
        <v>2.5390600000000001E-3</v>
      </c>
      <c r="D14">
        <v>35.5807</v>
      </c>
      <c r="E14">
        <v>35.578200000000002</v>
      </c>
      <c r="F14" s="1">
        <v>-7.9560199999999994E-6</v>
      </c>
      <c r="G14">
        <v>-1.4908200000000001E-4</v>
      </c>
      <c r="H14">
        <v>18.738099999999999</v>
      </c>
      <c r="I14">
        <v>18.738199999999999</v>
      </c>
      <c r="J14" s="1">
        <v>-2.8687499999999999E-6</v>
      </c>
      <c r="K14" s="1">
        <v>-4.7049899999999998E-5</v>
      </c>
      <c r="L14">
        <v>16.4008</v>
      </c>
      <c r="M14">
        <v>16.4009</v>
      </c>
      <c r="N14" s="1">
        <v>6.3926199999999998E-5</v>
      </c>
      <c r="O14">
        <v>9.8380999999999989E-4</v>
      </c>
      <c r="P14">
        <v>15.3908</v>
      </c>
      <c r="Q14">
        <v>15.389799999999999</v>
      </c>
      <c r="R14">
        <v>7.06</v>
      </c>
      <c r="S14">
        <v>7.06</v>
      </c>
      <c r="T14">
        <v>0.1492</v>
      </c>
      <c r="U14">
        <v>547.03300000000002</v>
      </c>
      <c r="V14">
        <f t="shared" si="0"/>
        <v>2.9730054347826087</v>
      </c>
      <c r="W14">
        <f t="shared" si="1"/>
        <v>-1.7700476666666665E-5</v>
      </c>
    </row>
    <row r="15" spans="1:30" x14ac:dyDescent="0.3">
      <c r="A15">
        <v>8</v>
      </c>
      <c r="B15" s="1">
        <v>8.8585199999999993E-5</v>
      </c>
      <c r="C15">
        <v>3.1516999999999999E-3</v>
      </c>
      <c r="D15">
        <v>35.581299999999999</v>
      </c>
      <c r="E15">
        <v>35.578200000000002</v>
      </c>
      <c r="F15">
        <v>-1.52972E-4</v>
      </c>
      <c r="G15">
        <v>-2.8664099999999998E-3</v>
      </c>
      <c r="H15">
        <v>18.735399999999998</v>
      </c>
      <c r="I15">
        <v>18.738199999999999</v>
      </c>
      <c r="J15">
        <v>-1.0574299999999999E-4</v>
      </c>
      <c r="K15">
        <v>-1.7342799999999999E-3</v>
      </c>
      <c r="L15">
        <v>16.399100000000001</v>
      </c>
      <c r="M15">
        <v>16.4009</v>
      </c>
      <c r="N15" s="1">
        <v>-1.50199E-5</v>
      </c>
      <c r="O15">
        <v>-2.31153E-4</v>
      </c>
      <c r="P15">
        <v>15.3896</v>
      </c>
      <c r="Q15">
        <v>15.389799999999999</v>
      </c>
      <c r="R15">
        <v>7.1840000000000002</v>
      </c>
      <c r="S15">
        <v>7.1849999999999996</v>
      </c>
      <c r="T15">
        <v>0.16120000000000001</v>
      </c>
      <c r="U15">
        <v>588.85199999999998</v>
      </c>
      <c r="V15">
        <f t="shared" si="0"/>
        <v>3.2002826086956522</v>
      </c>
      <c r="W15">
        <f t="shared" si="1"/>
        <v>9.1244966666666658E-5</v>
      </c>
    </row>
    <row r="16" spans="1:30" x14ac:dyDescent="0.3">
      <c r="A16">
        <v>9</v>
      </c>
      <c r="B16">
        <v>1.07899E-4</v>
      </c>
      <c r="C16">
        <v>3.8388599999999999E-3</v>
      </c>
      <c r="D16">
        <v>35.582000000000001</v>
      </c>
      <c r="E16">
        <v>35.578200000000002</v>
      </c>
      <c r="F16">
        <v>-1.8419500000000001E-4</v>
      </c>
      <c r="G16">
        <v>-3.4514799999999998E-3</v>
      </c>
      <c r="H16">
        <v>18.7348</v>
      </c>
      <c r="I16">
        <v>18.738199999999999</v>
      </c>
      <c r="J16">
        <v>-2.24353E-4</v>
      </c>
      <c r="K16">
        <v>-3.6795700000000001E-3</v>
      </c>
      <c r="L16">
        <v>16.397200000000002</v>
      </c>
      <c r="M16">
        <v>16.4009</v>
      </c>
      <c r="N16">
        <v>-1.8446700000000001E-4</v>
      </c>
      <c r="O16">
        <v>-2.83891E-3</v>
      </c>
      <c r="P16">
        <v>15.386900000000001</v>
      </c>
      <c r="Q16">
        <v>15.389799999999999</v>
      </c>
      <c r="R16">
        <v>7.31</v>
      </c>
      <c r="S16">
        <v>7.31</v>
      </c>
      <c r="T16">
        <v>0.18049999999999999</v>
      </c>
      <c r="U16">
        <v>656.66800000000001</v>
      </c>
      <c r="V16">
        <f t="shared" si="0"/>
        <v>3.5688478260869565</v>
      </c>
      <c r="W16">
        <f t="shared" si="1"/>
        <v>1.9767166666666668E-4</v>
      </c>
    </row>
    <row r="17" spans="1:23" x14ac:dyDescent="0.3">
      <c r="A17">
        <v>10</v>
      </c>
      <c r="B17">
        <v>1.2531400000000001E-4</v>
      </c>
      <c r="C17">
        <v>4.45846E-3</v>
      </c>
      <c r="D17">
        <v>35.582599999999999</v>
      </c>
      <c r="E17">
        <v>35.578200000000002</v>
      </c>
      <c r="F17" s="1">
        <v>1.33227E-6</v>
      </c>
      <c r="G17" s="1">
        <v>2.4964400000000001E-5</v>
      </c>
      <c r="H17">
        <v>18.738299999999999</v>
      </c>
      <c r="I17">
        <v>18.738199999999999</v>
      </c>
      <c r="J17" s="1">
        <v>-7.4564699999999994E-5</v>
      </c>
      <c r="K17">
        <v>-1.2229299999999999E-3</v>
      </c>
      <c r="L17">
        <v>16.3996</v>
      </c>
      <c r="M17">
        <v>16.4009</v>
      </c>
      <c r="N17" s="1">
        <v>-9.7087200000000001E-5</v>
      </c>
      <c r="O17">
        <v>-1.4941500000000001E-3</v>
      </c>
      <c r="P17">
        <v>15.388299999999999</v>
      </c>
      <c r="Q17">
        <v>15.389799999999999</v>
      </c>
      <c r="R17">
        <v>7.4969999999999999</v>
      </c>
      <c r="S17">
        <v>7.4969999999999999</v>
      </c>
      <c r="T17">
        <v>0.19439999999999999</v>
      </c>
      <c r="U17">
        <v>705.26900000000001</v>
      </c>
      <c r="V17">
        <f t="shared" si="0"/>
        <v>3.8329836956521741</v>
      </c>
      <c r="W17">
        <f t="shared" si="1"/>
        <v>5.6773210000000001E-5</v>
      </c>
    </row>
    <row r="18" spans="1:23" x14ac:dyDescent="0.3">
      <c r="A18">
        <v>11</v>
      </c>
      <c r="B18">
        <v>1.6745799999999999E-4</v>
      </c>
      <c r="C18">
        <v>5.9578299999999999E-3</v>
      </c>
      <c r="D18">
        <v>35.584099999999999</v>
      </c>
      <c r="E18">
        <v>35.578200000000002</v>
      </c>
      <c r="F18" s="1">
        <v>-6.2904200000000007E-5</v>
      </c>
      <c r="G18">
        <v>-1.1787099999999999E-3</v>
      </c>
      <c r="H18">
        <v>18.736999999999998</v>
      </c>
      <c r="I18">
        <v>18.738199999999999</v>
      </c>
      <c r="J18" s="1">
        <v>-6.8596299999999999E-5</v>
      </c>
      <c r="K18">
        <v>-1.1250399999999999E-3</v>
      </c>
      <c r="L18">
        <v>16.399699999999999</v>
      </c>
      <c r="M18">
        <v>16.4009</v>
      </c>
      <c r="N18" s="1">
        <v>-6.0324400000000001E-5</v>
      </c>
      <c r="O18">
        <v>-9.2837900000000001E-4</v>
      </c>
      <c r="P18">
        <v>15.3889</v>
      </c>
      <c r="Q18">
        <v>15.389799999999999</v>
      </c>
      <c r="R18">
        <v>7.6239999999999997</v>
      </c>
      <c r="S18">
        <v>7.6239999999999997</v>
      </c>
      <c r="T18">
        <v>0.215</v>
      </c>
      <c r="U18">
        <v>777.60599999999999</v>
      </c>
      <c r="V18">
        <f t="shared" si="0"/>
        <v>4.2261195652173908</v>
      </c>
      <c r="W18">
        <f t="shared" si="1"/>
        <v>6.3941633333333331E-5</v>
      </c>
    </row>
    <row r="19" spans="1:23" x14ac:dyDescent="0.3">
      <c r="A19">
        <v>12</v>
      </c>
      <c r="B19">
        <v>1.6999699999999999E-4</v>
      </c>
      <c r="C19">
        <v>6.0481700000000003E-3</v>
      </c>
      <c r="D19">
        <v>35.584200000000003</v>
      </c>
      <c r="E19">
        <v>35.578200000000002</v>
      </c>
      <c r="F19">
        <v>-1.30703E-4</v>
      </c>
      <c r="G19">
        <v>-2.4491399999999998E-3</v>
      </c>
      <c r="H19">
        <v>18.735800000000001</v>
      </c>
      <c r="I19">
        <v>18.738199999999999</v>
      </c>
      <c r="J19">
        <v>-1.29856E-4</v>
      </c>
      <c r="K19">
        <v>-2.1297500000000001E-3</v>
      </c>
      <c r="L19">
        <v>16.398700000000002</v>
      </c>
      <c r="M19">
        <v>16.4009</v>
      </c>
      <c r="N19">
        <v>-1.01907E-4</v>
      </c>
      <c r="O19">
        <v>-1.5683299999999999E-3</v>
      </c>
      <c r="P19">
        <v>15.388199999999999</v>
      </c>
      <c r="Q19">
        <v>15.389799999999999</v>
      </c>
      <c r="R19">
        <v>7.8109999999999999</v>
      </c>
      <c r="S19">
        <v>7.8109999999999999</v>
      </c>
      <c r="T19">
        <v>0.24079999999999999</v>
      </c>
      <c r="U19">
        <v>868.02700000000004</v>
      </c>
      <c r="V19">
        <f t="shared" si="0"/>
        <v>4.7175380434782612</v>
      </c>
      <c r="W19">
        <f t="shared" si="1"/>
        <v>1.2082199999999999E-4</v>
      </c>
    </row>
    <row r="20" spans="1:23" x14ac:dyDescent="0.3">
      <c r="A20">
        <v>13</v>
      </c>
      <c r="B20">
        <v>2.2569199999999999E-4</v>
      </c>
      <c r="C20">
        <v>8.0296900000000008E-3</v>
      </c>
      <c r="D20">
        <v>35.586199999999998</v>
      </c>
      <c r="E20">
        <v>35.578200000000002</v>
      </c>
      <c r="F20" s="1">
        <v>-5.6647999999999997E-5</v>
      </c>
      <c r="G20">
        <v>-1.0614800000000001E-3</v>
      </c>
      <c r="H20">
        <v>18.737200000000001</v>
      </c>
      <c r="I20">
        <v>18.738199999999999</v>
      </c>
      <c r="J20" s="1">
        <v>-6.1109000000000001E-5</v>
      </c>
      <c r="K20">
        <v>-1.0022399999999999E-3</v>
      </c>
      <c r="L20">
        <v>16.399899999999999</v>
      </c>
      <c r="M20">
        <v>16.4009</v>
      </c>
      <c r="N20" s="1">
        <v>-5.6526500000000002E-5</v>
      </c>
      <c r="O20">
        <v>-8.69931E-4</v>
      </c>
      <c r="P20">
        <v>15.3889</v>
      </c>
      <c r="Q20">
        <v>15.389799999999999</v>
      </c>
      <c r="R20">
        <v>7.9980000000000002</v>
      </c>
      <c r="S20">
        <v>7.9980000000000002</v>
      </c>
      <c r="T20">
        <v>0.26169999999999999</v>
      </c>
      <c r="U20">
        <v>941.49400000000003</v>
      </c>
      <c r="V20">
        <f t="shared" si="0"/>
        <v>5.1168152173913048</v>
      </c>
      <c r="W20">
        <f t="shared" si="1"/>
        <v>5.8094499999999997E-5</v>
      </c>
    </row>
    <row r="21" spans="1:23" x14ac:dyDescent="0.3">
      <c r="A21">
        <v>14</v>
      </c>
      <c r="B21">
        <v>2.6232000000000002E-4</v>
      </c>
      <c r="C21">
        <v>9.3328700000000001E-3</v>
      </c>
      <c r="D21">
        <v>35.587499999999999</v>
      </c>
      <c r="E21">
        <v>35.578200000000002</v>
      </c>
      <c r="F21" s="1">
        <v>1.51853E-5</v>
      </c>
      <c r="G21">
        <v>2.8454499999999998E-4</v>
      </c>
      <c r="H21">
        <v>18.738499999999998</v>
      </c>
      <c r="I21">
        <v>18.738199999999999</v>
      </c>
      <c r="J21" s="1">
        <v>-6.1112699999999999E-6</v>
      </c>
      <c r="K21">
        <v>-1.0022999999999999E-4</v>
      </c>
      <c r="L21">
        <v>16.4008</v>
      </c>
      <c r="M21">
        <v>16.4009</v>
      </c>
      <c r="N21" s="1">
        <v>-4.99434E-5</v>
      </c>
      <c r="O21">
        <v>-7.6861799999999999E-4</v>
      </c>
      <c r="P21">
        <v>15.388999999999999</v>
      </c>
      <c r="Q21">
        <v>15.389799999999999</v>
      </c>
      <c r="R21">
        <v>8.1210000000000004</v>
      </c>
      <c r="S21">
        <v>8.1210000000000004</v>
      </c>
      <c r="T21">
        <v>0.27689999999999998</v>
      </c>
      <c r="U21">
        <v>994.61599999999999</v>
      </c>
      <c r="V21">
        <f t="shared" si="0"/>
        <v>5.4055217391304344</v>
      </c>
      <c r="W21">
        <f t="shared" si="1"/>
        <v>1.3623123333333334E-5</v>
      </c>
    </row>
    <row r="22" spans="1:23" x14ac:dyDescent="0.3">
      <c r="A22">
        <v>15</v>
      </c>
      <c r="B22">
        <v>2.4120500000000001E-4</v>
      </c>
      <c r="C22">
        <v>8.5816499999999997E-3</v>
      </c>
      <c r="D22">
        <v>35.5867</v>
      </c>
      <c r="E22">
        <v>35.578200000000002</v>
      </c>
      <c r="F22" s="1">
        <v>-5.2425700000000002E-5</v>
      </c>
      <c r="G22">
        <v>-9.8236399999999989E-4</v>
      </c>
      <c r="H22">
        <v>18.737200000000001</v>
      </c>
      <c r="I22">
        <v>18.738199999999999</v>
      </c>
      <c r="J22" s="1">
        <v>-8.8589899999999997E-5</v>
      </c>
      <c r="K22">
        <v>-1.4529499999999999E-3</v>
      </c>
      <c r="L22">
        <v>16.3994</v>
      </c>
      <c r="M22">
        <v>16.4009</v>
      </c>
      <c r="N22" s="1">
        <v>-9.1915499999999998E-5</v>
      </c>
      <c r="O22">
        <v>-1.41456E-3</v>
      </c>
      <c r="P22">
        <v>15.388400000000001</v>
      </c>
      <c r="Q22">
        <v>15.389799999999999</v>
      </c>
      <c r="R22">
        <v>8.2469999999999999</v>
      </c>
      <c r="S22">
        <v>8.2469999999999999</v>
      </c>
      <c r="T22">
        <v>0.3014</v>
      </c>
      <c r="U22">
        <v>1080.52</v>
      </c>
      <c r="V22">
        <f t="shared" si="0"/>
        <v>5.8723913043478264</v>
      </c>
      <c r="W22">
        <f t="shared" si="1"/>
        <v>7.7643699999999997E-5</v>
      </c>
    </row>
    <row r="23" spans="1:23" x14ac:dyDescent="0.3">
      <c r="A23">
        <v>16</v>
      </c>
      <c r="B23">
        <v>2.8669900000000001E-4</v>
      </c>
      <c r="C23">
        <v>1.02002E-2</v>
      </c>
      <c r="D23">
        <v>35.5884</v>
      </c>
      <c r="E23">
        <v>35.578200000000002</v>
      </c>
      <c r="F23" s="1">
        <v>-6.6121300000000007E-5</v>
      </c>
      <c r="G23">
        <v>-1.2390000000000001E-3</v>
      </c>
      <c r="H23">
        <v>18.736999999999998</v>
      </c>
      <c r="I23">
        <v>18.738199999999999</v>
      </c>
      <c r="J23">
        <v>-1.17224E-4</v>
      </c>
      <c r="K23">
        <v>-1.9225799999999999E-3</v>
      </c>
      <c r="L23">
        <v>16.398900000000001</v>
      </c>
      <c r="M23">
        <v>16.4009</v>
      </c>
      <c r="N23">
        <v>-1.23237E-4</v>
      </c>
      <c r="O23">
        <v>-1.8965900000000001E-3</v>
      </c>
      <c r="P23">
        <v>15.3879</v>
      </c>
      <c r="Q23">
        <v>15.389799999999999</v>
      </c>
      <c r="R23">
        <v>8.3699999999999992</v>
      </c>
      <c r="S23">
        <v>8.3710000000000004</v>
      </c>
      <c r="T23">
        <v>0.29070000000000001</v>
      </c>
      <c r="U23">
        <v>1043.22</v>
      </c>
      <c r="V23">
        <f t="shared" si="0"/>
        <v>5.6696739130434786</v>
      </c>
      <c r="W23">
        <f t="shared" si="1"/>
        <v>1.021941E-4</v>
      </c>
    </row>
    <row r="24" spans="1:23" x14ac:dyDescent="0.3">
      <c r="A24">
        <v>17</v>
      </c>
      <c r="B24">
        <v>3.04037E-4</v>
      </c>
      <c r="C24">
        <v>1.08171E-2</v>
      </c>
      <c r="D24">
        <v>35.588999999999999</v>
      </c>
      <c r="E24">
        <v>35.578200000000002</v>
      </c>
      <c r="F24" s="1">
        <v>1.8601399999999999E-7</v>
      </c>
      <c r="G24" s="1">
        <v>3.48558E-6</v>
      </c>
      <c r="H24">
        <v>18.738199999999999</v>
      </c>
      <c r="I24">
        <v>18.738199999999999</v>
      </c>
      <c r="J24" s="1">
        <v>-4.7295400000000001E-5</v>
      </c>
      <c r="K24">
        <v>-7.7568600000000004E-4</v>
      </c>
      <c r="L24">
        <v>16.400099999999998</v>
      </c>
      <c r="M24">
        <v>16.4009</v>
      </c>
      <c r="N24" s="1">
        <v>-3.40992E-5</v>
      </c>
      <c r="O24">
        <v>-5.2477899999999996E-4</v>
      </c>
      <c r="P24">
        <v>15.3893</v>
      </c>
      <c r="Q24">
        <v>15.389799999999999</v>
      </c>
      <c r="R24">
        <v>8.4979999999999993</v>
      </c>
      <c r="S24">
        <v>8.4979999999999993</v>
      </c>
      <c r="T24">
        <v>0.32969999999999999</v>
      </c>
      <c r="U24">
        <v>1179.98</v>
      </c>
      <c r="V24">
        <f t="shared" si="0"/>
        <v>6.412934782608696</v>
      </c>
      <c r="W24">
        <f t="shared" si="1"/>
        <v>2.7069528666666668E-5</v>
      </c>
    </row>
    <row r="25" spans="1:23" x14ac:dyDescent="0.3">
      <c r="A25">
        <v>18</v>
      </c>
      <c r="B25">
        <v>3.0203700000000001E-4</v>
      </c>
      <c r="C25">
        <v>1.0745899999999999E-2</v>
      </c>
      <c r="D25">
        <v>35.588900000000002</v>
      </c>
      <c r="E25">
        <v>35.578200000000002</v>
      </c>
      <c r="F25" s="1">
        <v>-5.91744E-5</v>
      </c>
      <c r="G25">
        <v>-1.1088199999999999E-3</v>
      </c>
      <c r="H25">
        <v>18.737100000000002</v>
      </c>
      <c r="I25">
        <v>18.738199999999999</v>
      </c>
      <c r="J25">
        <v>-1.2785699999999999E-4</v>
      </c>
      <c r="K25">
        <v>-2.0969600000000001E-3</v>
      </c>
      <c r="L25">
        <v>16.398800000000001</v>
      </c>
      <c r="M25">
        <v>16.4009</v>
      </c>
      <c r="N25" s="1">
        <v>-6.4179399999999997E-5</v>
      </c>
      <c r="O25">
        <v>-9.8770699999999999E-4</v>
      </c>
      <c r="P25">
        <v>15.3888</v>
      </c>
      <c r="Q25">
        <v>15.389799999999999</v>
      </c>
      <c r="R25">
        <v>8.6219999999999999</v>
      </c>
      <c r="S25">
        <v>8.6219999999999999</v>
      </c>
      <c r="T25">
        <v>0.3352</v>
      </c>
      <c r="U25">
        <v>1199.19</v>
      </c>
      <c r="V25">
        <f t="shared" si="0"/>
        <v>6.5173369565217394</v>
      </c>
      <c r="W25">
        <f t="shared" si="1"/>
        <v>8.3736933333333321E-5</v>
      </c>
    </row>
    <row r="26" spans="1:23" x14ac:dyDescent="0.3">
      <c r="A26">
        <v>19</v>
      </c>
      <c r="B26">
        <v>3.3367599999999998E-4</v>
      </c>
      <c r="C26">
        <v>1.18716E-2</v>
      </c>
      <c r="D26">
        <v>35.590000000000003</v>
      </c>
      <c r="E26">
        <v>35.578200000000002</v>
      </c>
      <c r="F26" s="1">
        <v>-9.7455500000000002E-5</v>
      </c>
      <c r="G26">
        <v>-1.82614E-3</v>
      </c>
      <c r="H26">
        <v>18.7364</v>
      </c>
      <c r="I26">
        <v>18.738199999999999</v>
      </c>
      <c r="J26">
        <v>-1.43275E-4</v>
      </c>
      <c r="K26">
        <v>-2.3498299999999998E-3</v>
      </c>
      <c r="L26">
        <v>16.398499999999999</v>
      </c>
      <c r="M26">
        <v>16.4009</v>
      </c>
      <c r="N26">
        <v>-1.05983E-4</v>
      </c>
      <c r="O26">
        <v>-1.6310599999999999E-3</v>
      </c>
      <c r="P26">
        <v>15.388199999999999</v>
      </c>
      <c r="Q26">
        <v>15.389799999999999</v>
      </c>
      <c r="R26">
        <v>8.7449999999999992</v>
      </c>
      <c r="S26">
        <v>8.7449999999999992</v>
      </c>
      <c r="T26">
        <v>0.35780000000000001</v>
      </c>
      <c r="U26">
        <v>1278.31</v>
      </c>
      <c r="V26">
        <f t="shared" si="0"/>
        <v>6.9473369565217391</v>
      </c>
      <c r="W26">
        <f t="shared" si="1"/>
        <v>1.1557116666666666E-4</v>
      </c>
    </row>
    <row r="27" spans="1:23" x14ac:dyDescent="0.3">
      <c r="A27">
        <v>20</v>
      </c>
      <c r="B27">
        <v>3.5913299999999998E-4</v>
      </c>
      <c r="C27">
        <v>1.27773E-2</v>
      </c>
      <c r="D27">
        <v>35.590899999999998</v>
      </c>
      <c r="E27">
        <v>35.578200000000002</v>
      </c>
      <c r="F27">
        <v>-1.35196E-4</v>
      </c>
      <c r="G27">
        <v>-2.5333299999999999E-3</v>
      </c>
      <c r="H27">
        <v>18.735700000000001</v>
      </c>
      <c r="I27">
        <v>18.738199999999999</v>
      </c>
      <c r="J27">
        <v>-2.0525200000000001E-4</v>
      </c>
      <c r="K27">
        <v>-3.3663E-3</v>
      </c>
      <c r="L27">
        <v>16.397500000000001</v>
      </c>
      <c r="M27">
        <v>16.4009</v>
      </c>
      <c r="N27">
        <v>-1.3694999999999999E-4</v>
      </c>
      <c r="O27">
        <v>-2.1076300000000001E-3</v>
      </c>
      <c r="P27">
        <v>15.387700000000001</v>
      </c>
      <c r="Q27">
        <v>15.389799999999999</v>
      </c>
      <c r="R27">
        <v>8.9320000000000004</v>
      </c>
      <c r="S27">
        <v>8.9320000000000004</v>
      </c>
      <c r="T27">
        <v>0.37359999999999999</v>
      </c>
      <c r="U27">
        <v>1333.69</v>
      </c>
      <c r="V27">
        <f t="shared" si="0"/>
        <v>7.2483152173913048</v>
      </c>
      <c r="W27">
        <f t="shared" si="1"/>
        <v>1.5913266666666668E-4</v>
      </c>
    </row>
    <row r="28" spans="1:23" x14ac:dyDescent="0.3">
      <c r="A28">
        <v>21</v>
      </c>
      <c r="B28">
        <v>3.2269999999999998E-4</v>
      </c>
      <c r="C28">
        <v>1.1481099999999999E-2</v>
      </c>
      <c r="D28">
        <v>35.589599999999997</v>
      </c>
      <c r="E28">
        <v>35.578200000000002</v>
      </c>
      <c r="F28" s="1">
        <v>-8.3615800000000007E-5</v>
      </c>
      <c r="G28">
        <v>-1.5668100000000001E-3</v>
      </c>
      <c r="H28">
        <v>18.736699999999999</v>
      </c>
      <c r="I28">
        <v>18.738199999999999</v>
      </c>
      <c r="J28">
        <v>-1.3630599999999999E-4</v>
      </c>
      <c r="K28">
        <v>-2.2355399999999998E-3</v>
      </c>
      <c r="L28">
        <v>16.398599999999998</v>
      </c>
      <c r="M28">
        <v>16.4009</v>
      </c>
      <c r="N28">
        <v>-1.43046E-4</v>
      </c>
      <c r="O28">
        <v>-2.2014500000000002E-3</v>
      </c>
      <c r="P28">
        <v>15.387600000000001</v>
      </c>
      <c r="Q28">
        <v>15.389799999999999</v>
      </c>
      <c r="R28">
        <v>9.0570000000000004</v>
      </c>
      <c r="S28">
        <v>9.0570000000000004</v>
      </c>
      <c r="T28">
        <v>0.37969999999999998</v>
      </c>
      <c r="U28">
        <v>1355.17</v>
      </c>
      <c r="V28">
        <f t="shared" si="0"/>
        <v>7.3650543478260877</v>
      </c>
      <c r="W28">
        <f t="shared" si="1"/>
        <v>1.2098926666666667E-4</v>
      </c>
    </row>
    <row r="29" spans="1:23" x14ac:dyDescent="0.3">
      <c r="A29">
        <v>22</v>
      </c>
      <c r="B29">
        <v>3.6304600000000001E-4</v>
      </c>
      <c r="C29">
        <v>1.2916499999999999E-2</v>
      </c>
      <c r="D29">
        <v>35.591099999999997</v>
      </c>
      <c r="E29">
        <v>35.578200000000002</v>
      </c>
      <c r="F29" s="1">
        <v>1.0576499999999999E-5</v>
      </c>
      <c r="G29">
        <v>1.9818400000000001E-4</v>
      </c>
      <c r="H29">
        <v>18.738399999999999</v>
      </c>
      <c r="I29">
        <v>18.738199999999999</v>
      </c>
      <c r="J29" s="1">
        <v>-8.5344600000000003E-5</v>
      </c>
      <c r="K29">
        <v>-1.3997199999999999E-3</v>
      </c>
      <c r="L29">
        <v>16.3995</v>
      </c>
      <c r="M29">
        <v>16.4009</v>
      </c>
      <c r="N29">
        <v>-1.15362E-4</v>
      </c>
      <c r="O29">
        <v>-1.7753999999999999E-3</v>
      </c>
      <c r="P29">
        <v>15.388</v>
      </c>
      <c r="Q29">
        <v>15.389799999999999</v>
      </c>
      <c r="R29">
        <v>9.1839999999999993</v>
      </c>
      <c r="S29">
        <v>9.1839999999999993</v>
      </c>
      <c r="T29">
        <v>0.39029999999999998</v>
      </c>
      <c r="U29">
        <v>1392.47</v>
      </c>
      <c r="V29">
        <f t="shared" si="0"/>
        <v>7.5677717391304347</v>
      </c>
      <c r="W29">
        <f t="shared" si="1"/>
        <v>6.3376700000000006E-5</v>
      </c>
    </row>
    <row r="30" spans="1:23" x14ac:dyDescent="0.3">
      <c r="A30">
        <v>23</v>
      </c>
      <c r="B30">
        <v>3.62092E-4</v>
      </c>
      <c r="C30">
        <v>1.2882599999999999E-2</v>
      </c>
      <c r="D30">
        <v>35.591000000000001</v>
      </c>
      <c r="E30">
        <v>35.578200000000002</v>
      </c>
      <c r="F30">
        <v>-1.24855E-4</v>
      </c>
      <c r="G30">
        <v>-2.3395500000000001E-3</v>
      </c>
      <c r="H30">
        <v>18.735900000000001</v>
      </c>
      <c r="I30">
        <v>18.738199999999999</v>
      </c>
      <c r="J30">
        <v>-2.10483E-4</v>
      </c>
      <c r="K30">
        <v>-3.4520900000000001E-3</v>
      </c>
      <c r="L30">
        <v>16.397400000000001</v>
      </c>
      <c r="M30">
        <v>16.4009</v>
      </c>
      <c r="N30">
        <v>-2.0425700000000001E-4</v>
      </c>
      <c r="O30">
        <v>-3.1434700000000002E-3</v>
      </c>
      <c r="P30">
        <v>15.3866</v>
      </c>
      <c r="Q30">
        <v>15.389799999999999</v>
      </c>
      <c r="R30">
        <v>9.3710000000000004</v>
      </c>
      <c r="S30">
        <v>9.3710000000000004</v>
      </c>
      <c r="T30">
        <v>0.42449999999999999</v>
      </c>
      <c r="U30">
        <v>1512.28</v>
      </c>
      <c r="V30">
        <f t="shared" si="0"/>
        <v>8.2189130434782616</v>
      </c>
      <c r="W30">
        <f t="shared" si="1"/>
        <v>1.79865E-4</v>
      </c>
    </row>
    <row r="31" spans="1:23" x14ac:dyDescent="0.3">
      <c r="A31">
        <v>24</v>
      </c>
      <c r="B31">
        <v>2.9358100000000001E-4</v>
      </c>
      <c r="C31">
        <v>1.0445100000000001E-2</v>
      </c>
      <c r="D31">
        <v>35.5886</v>
      </c>
      <c r="E31">
        <v>35.578200000000002</v>
      </c>
      <c r="F31">
        <v>-1.6848899999999999E-4</v>
      </c>
      <c r="G31">
        <v>-3.1571899999999998E-3</v>
      </c>
      <c r="H31">
        <v>18.735099999999999</v>
      </c>
      <c r="I31">
        <v>18.738199999999999</v>
      </c>
      <c r="J31">
        <v>-4.1779000000000002E-4</v>
      </c>
      <c r="K31">
        <v>-6.8521199999999997E-3</v>
      </c>
      <c r="L31">
        <v>16.393999999999998</v>
      </c>
      <c r="M31">
        <v>16.4009</v>
      </c>
      <c r="N31">
        <v>-3.2135099999999999E-4</v>
      </c>
      <c r="O31">
        <v>-4.9455200000000001E-3</v>
      </c>
      <c r="P31">
        <v>15.3848</v>
      </c>
      <c r="Q31">
        <v>15.389799999999999</v>
      </c>
      <c r="R31">
        <v>9.5579999999999998</v>
      </c>
      <c r="S31">
        <v>9.5579999999999998</v>
      </c>
      <c r="T31">
        <v>0.43580000000000002</v>
      </c>
      <c r="U31">
        <v>1551.83</v>
      </c>
      <c r="V31">
        <f t="shared" si="0"/>
        <v>8.4338586956521731</v>
      </c>
      <c r="W31">
        <f t="shared" si="1"/>
        <v>3.0254333333333333E-4</v>
      </c>
    </row>
    <row r="32" spans="1:23" x14ac:dyDescent="0.3">
      <c r="A32">
        <v>25</v>
      </c>
      <c r="B32">
        <v>4.7600600000000001E-4</v>
      </c>
      <c r="C32">
        <v>1.69354E-2</v>
      </c>
      <c r="D32">
        <v>35.595100000000002</v>
      </c>
      <c r="E32">
        <v>35.578200000000002</v>
      </c>
      <c r="F32" s="1">
        <v>5.6764500000000002E-5</v>
      </c>
      <c r="G32">
        <v>1.0636700000000001E-3</v>
      </c>
      <c r="H32">
        <v>18.7393</v>
      </c>
      <c r="I32">
        <v>18.738199999999999</v>
      </c>
      <c r="J32" s="1">
        <v>-1.2663700000000001E-6</v>
      </c>
      <c r="K32" s="1">
        <v>-2.0769500000000002E-5</v>
      </c>
      <c r="L32">
        <v>16.4008</v>
      </c>
      <c r="M32">
        <v>16.4009</v>
      </c>
      <c r="N32" s="1">
        <v>3.3386999999999997E-5</v>
      </c>
      <c r="O32">
        <v>5.1381799999999998E-4</v>
      </c>
      <c r="P32">
        <v>15.3903</v>
      </c>
      <c r="Q32">
        <v>15.389799999999999</v>
      </c>
      <c r="R32">
        <v>9.6829999999999998</v>
      </c>
      <c r="S32">
        <v>9.6829999999999998</v>
      </c>
      <c r="T32">
        <v>0.45379999999999998</v>
      </c>
      <c r="U32">
        <v>1615.13</v>
      </c>
      <c r="V32">
        <f t="shared" si="0"/>
        <v>8.7778804347826096</v>
      </c>
      <c r="W32">
        <f t="shared" si="1"/>
        <v>-2.9628376666666666E-5</v>
      </c>
    </row>
    <row r="33" spans="1:23" x14ac:dyDescent="0.3">
      <c r="A33">
        <v>26</v>
      </c>
      <c r="B33">
        <v>4.8424500000000001E-4</v>
      </c>
      <c r="C33">
        <v>1.7228500000000001E-2</v>
      </c>
      <c r="D33">
        <v>35.595399999999998</v>
      </c>
      <c r="E33">
        <v>35.578200000000002</v>
      </c>
      <c r="F33">
        <v>1.0372100000000001E-4</v>
      </c>
      <c r="G33">
        <v>1.9435500000000001E-3</v>
      </c>
      <c r="H33">
        <v>18.740200000000002</v>
      </c>
      <c r="I33">
        <v>18.738199999999999</v>
      </c>
      <c r="J33" s="1">
        <v>-3.0319099999999999E-5</v>
      </c>
      <c r="K33">
        <v>-4.97259E-4</v>
      </c>
      <c r="L33">
        <v>16.400400000000001</v>
      </c>
      <c r="M33">
        <v>16.4009</v>
      </c>
      <c r="N33" s="1">
        <v>-5.9808100000000001E-5</v>
      </c>
      <c r="O33">
        <v>-9.2043400000000003E-4</v>
      </c>
      <c r="P33">
        <v>15.3889</v>
      </c>
      <c r="Q33">
        <v>15.389799999999999</v>
      </c>
      <c r="R33">
        <v>9.8109999999999999</v>
      </c>
      <c r="S33">
        <v>9.8109999999999999</v>
      </c>
      <c r="T33">
        <v>0.47020000000000001</v>
      </c>
      <c r="U33">
        <v>1672.77</v>
      </c>
      <c r="V33">
        <f t="shared" si="0"/>
        <v>9.0911413043478255</v>
      </c>
      <c r="W33">
        <f t="shared" si="1"/>
        <v>-4.5312666666666684E-6</v>
      </c>
    </row>
    <row r="34" spans="1:23" x14ac:dyDescent="0.3">
      <c r="A34">
        <v>27</v>
      </c>
      <c r="B34">
        <v>4.9406299999999999E-4</v>
      </c>
      <c r="C34">
        <v>1.7577800000000001E-2</v>
      </c>
      <c r="D34">
        <v>35.595700000000001</v>
      </c>
      <c r="E34">
        <v>35.578200000000002</v>
      </c>
      <c r="F34" s="1">
        <v>4.7955000000000003E-7</v>
      </c>
      <c r="G34" s="1">
        <v>8.9859199999999995E-6</v>
      </c>
      <c r="H34">
        <v>18.738199999999999</v>
      </c>
      <c r="I34">
        <v>18.738199999999999</v>
      </c>
      <c r="J34">
        <v>-1.16505E-4</v>
      </c>
      <c r="K34">
        <v>-1.9107799999999999E-3</v>
      </c>
      <c r="L34">
        <v>16.398900000000001</v>
      </c>
      <c r="M34">
        <v>16.4009</v>
      </c>
      <c r="N34">
        <v>-1.0453100000000001E-4</v>
      </c>
      <c r="O34">
        <v>-1.60871E-3</v>
      </c>
      <c r="P34">
        <v>15.388199999999999</v>
      </c>
      <c r="Q34">
        <v>15.389799999999999</v>
      </c>
      <c r="R34">
        <v>9.9320000000000004</v>
      </c>
      <c r="S34">
        <v>9.9320000000000004</v>
      </c>
      <c r="T34">
        <v>0.48180000000000001</v>
      </c>
      <c r="U34">
        <v>1713.46</v>
      </c>
      <c r="V34">
        <f t="shared" si="0"/>
        <v>9.3122826086956518</v>
      </c>
      <c r="W34">
        <f t="shared" si="1"/>
        <v>7.3518816666666662E-5</v>
      </c>
    </row>
    <row r="35" spans="1:23" x14ac:dyDescent="0.3">
      <c r="A35">
        <v>28</v>
      </c>
      <c r="B35">
        <v>4.6192E-4</v>
      </c>
      <c r="C35">
        <v>1.6434299999999999E-2</v>
      </c>
      <c r="D35">
        <v>35.5946</v>
      </c>
      <c r="E35">
        <v>35.578200000000002</v>
      </c>
      <c r="F35" s="1">
        <v>-8.1109199999999999E-5</v>
      </c>
      <c r="G35">
        <v>-1.5198399999999999E-3</v>
      </c>
      <c r="H35">
        <v>18.736699999999999</v>
      </c>
      <c r="I35">
        <v>18.738199999999999</v>
      </c>
      <c r="J35">
        <v>-1.5462200000000001E-4</v>
      </c>
      <c r="K35">
        <v>-2.53594E-3</v>
      </c>
      <c r="L35">
        <v>16.398299999999999</v>
      </c>
      <c r="M35">
        <v>16.4009</v>
      </c>
      <c r="N35">
        <v>-1.7398399999999999E-4</v>
      </c>
      <c r="O35">
        <v>-2.6775700000000002E-3</v>
      </c>
      <c r="P35">
        <v>15.3871</v>
      </c>
      <c r="Q35">
        <v>15.389799999999999</v>
      </c>
      <c r="R35">
        <v>10.055999999999999</v>
      </c>
      <c r="S35">
        <v>10.055999999999999</v>
      </c>
      <c r="T35">
        <v>0.48830000000000001</v>
      </c>
      <c r="U35">
        <v>1736.07</v>
      </c>
      <c r="V35">
        <f t="shared" si="0"/>
        <v>9.4351630434782603</v>
      </c>
      <c r="W35">
        <f t="shared" si="1"/>
        <v>1.3657173333333334E-4</v>
      </c>
    </row>
    <row r="36" spans="1:23" x14ac:dyDescent="0.3">
      <c r="A36">
        <v>29</v>
      </c>
      <c r="B36">
        <v>4.6202299999999999E-4</v>
      </c>
      <c r="C36">
        <v>1.6437899999999998E-2</v>
      </c>
      <c r="D36">
        <v>35.5946</v>
      </c>
      <c r="E36">
        <v>35.578200000000002</v>
      </c>
      <c r="F36" s="1">
        <v>-9.1166099999999994E-5</v>
      </c>
      <c r="G36">
        <v>-1.7082899999999999E-3</v>
      </c>
      <c r="H36">
        <v>18.736499999999999</v>
      </c>
      <c r="I36">
        <v>18.738199999999999</v>
      </c>
      <c r="J36">
        <v>-1.3477000000000001E-4</v>
      </c>
      <c r="K36">
        <v>-2.2103399999999999E-3</v>
      </c>
      <c r="L36">
        <v>16.398599999999998</v>
      </c>
      <c r="M36">
        <v>16.4009</v>
      </c>
      <c r="N36">
        <v>-1.65243E-4</v>
      </c>
      <c r="O36">
        <v>-2.5430499999999998E-3</v>
      </c>
      <c r="P36">
        <v>15.3872</v>
      </c>
      <c r="Q36">
        <v>15.389799999999999</v>
      </c>
      <c r="R36">
        <v>10.244999999999999</v>
      </c>
      <c r="S36">
        <v>10.244999999999999</v>
      </c>
      <c r="T36">
        <v>0.50629999999999997</v>
      </c>
      <c r="U36">
        <v>1799.36</v>
      </c>
      <c r="V36">
        <f t="shared" si="0"/>
        <v>9.7791304347826085</v>
      </c>
      <c r="W36">
        <f t="shared" si="1"/>
        <v>1.3039303333333332E-4</v>
      </c>
    </row>
    <row r="37" spans="1:23" x14ac:dyDescent="0.3">
      <c r="A37">
        <v>30</v>
      </c>
      <c r="B37">
        <v>4.9509800000000002E-4</v>
      </c>
      <c r="C37">
        <v>1.76147E-2</v>
      </c>
      <c r="D37">
        <v>35.595799999999997</v>
      </c>
      <c r="E37">
        <v>35.578200000000002</v>
      </c>
      <c r="F37" s="1">
        <v>-7.5884500000000002E-5</v>
      </c>
      <c r="G37">
        <v>-1.42194E-3</v>
      </c>
      <c r="H37">
        <v>18.736799999999999</v>
      </c>
      <c r="I37">
        <v>18.738199999999999</v>
      </c>
      <c r="J37">
        <v>-2.34608E-4</v>
      </c>
      <c r="K37">
        <v>-3.8477699999999999E-3</v>
      </c>
      <c r="L37">
        <v>16.396999999999998</v>
      </c>
      <c r="M37">
        <v>16.4009</v>
      </c>
      <c r="N37">
        <v>-2.5184200000000001E-4</v>
      </c>
      <c r="O37">
        <v>-3.8757900000000001E-3</v>
      </c>
      <c r="P37">
        <v>15.385899999999999</v>
      </c>
      <c r="Q37">
        <v>15.389799999999999</v>
      </c>
      <c r="R37">
        <v>10.367000000000001</v>
      </c>
      <c r="S37">
        <v>10.367000000000001</v>
      </c>
      <c r="T37">
        <v>0.51570000000000005</v>
      </c>
      <c r="U37">
        <v>1832.14</v>
      </c>
      <c r="V37">
        <f t="shared" si="0"/>
        <v>9.9572826086956532</v>
      </c>
      <c r="W37">
        <f t="shared" si="1"/>
        <v>1.8744483333333335E-4</v>
      </c>
    </row>
    <row r="38" spans="1:23" x14ac:dyDescent="0.3">
      <c r="A38">
        <v>31</v>
      </c>
      <c r="B38">
        <v>4.80302E-4</v>
      </c>
      <c r="C38">
        <v>1.7088300000000001E-2</v>
      </c>
      <c r="D38">
        <v>35.595199999999998</v>
      </c>
      <c r="E38">
        <v>35.578200000000002</v>
      </c>
      <c r="F38" s="1">
        <v>-8.9207800000000003E-5</v>
      </c>
      <c r="G38">
        <v>-1.6716000000000001E-3</v>
      </c>
      <c r="H38">
        <v>18.736599999999999</v>
      </c>
      <c r="I38">
        <v>18.738199999999999</v>
      </c>
      <c r="J38">
        <v>-2.0028400000000001E-4</v>
      </c>
      <c r="K38">
        <v>-3.2848199999999999E-3</v>
      </c>
      <c r="L38">
        <v>16.397600000000001</v>
      </c>
      <c r="M38">
        <v>16.4009</v>
      </c>
      <c r="N38">
        <v>-2.1995700000000001E-4</v>
      </c>
      <c r="O38">
        <v>-3.3850899999999999E-3</v>
      </c>
      <c r="P38">
        <v>15.3864</v>
      </c>
      <c r="Q38">
        <v>15.389799999999999</v>
      </c>
      <c r="R38">
        <v>10.492000000000001</v>
      </c>
      <c r="S38">
        <v>10.492000000000001</v>
      </c>
      <c r="T38">
        <v>0.52500000000000002</v>
      </c>
      <c r="U38">
        <v>1864.92</v>
      </c>
      <c r="V38">
        <f t="shared" si="0"/>
        <v>10.135434782608696</v>
      </c>
      <c r="W38">
        <f t="shared" si="1"/>
        <v>1.6981626666666668E-4</v>
      </c>
    </row>
    <row r="39" spans="1:23" x14ac:dyDescent="0.3">
      <c r="A39">
        <v>32</v>
      </c>
      <c r="B39">
        <v>5.0887600000000001E-4</v>
      </c>
      <c r="C39">
        <v>1.81049E-2</v>
      </c>
      <c r="D39">
        <v>35.596299999999999</v>
      </c>
      <c r="E39">
        <v>35.578200000000002</v>
      </c>
      <c r="F39" s="1">
        <v>-6.6162199999999995E-5</v>
      </c>
      <c r="G39">
        <v>-1.2397599999999999E-3</v>
      </c>
      <c r="H39">
        <v>18.736999999999998</v>
      </c>
      <c r="I39">
        <v>18.738199999999999</v>
      </c>
      <c r="J39">
        <v>-1.6351199999999999E-4</v>
      </c>
      <c r="K39">
        <v>-2.6817400000000002E-3</v>
      </c>
      <c r="L39">
        <v>16.398199999999999</v>
      </c>
      <c r="M39">
        <v>16.4009</v>
      </c>
      <c r="N39">
        <v>-1.74088E-4</v>
      </c>
      <c r="O39">
        <v>-2.6791699999999998E-3</v>
      </c>
      <c r="P39">
        <v>15.3871</v>
      </c>
      <c r="Q39">
        <v>15.389799999999999</v>
      </c>
      <c r="R39">
        <v>10.679</v>
      </c>
      <c r="S39">
        <v>10.679</v>
      </c>
      <c r="T39">
        <v>0.53920000000000001</v>
      </c>
      <c r="U39">
        <v>1914.65</v>
      </c>
      <c r="V39">
        <f t="shared" si="0"/>
        <v>10.40570652173913</v>
      </c>
      <c r="W39">
        <f t="shared" si="1"/>
        <v>1.3458739999999998E-4</v>
      </c>
    </row>
    <row r="40" spans="1:23" x14ac:dyDescent="0.3">
      <c r="A40">
        <v>33</v>
      </c>
      <c r="B40">
        <v>4.92528E-4</v>
      </c>
      <c r="C40">
        <v>1.7523199999999999E-2</v>
      </c>
      <c r="D40">
        <v>35.595700000000001</v>
      </c>
      <c r="E40">
        <v>35.578200000000002</v>
      </c>
      <c r="F40" s="1">
        <v>-2.14643E-5</v>
      </c>
      <c r="G40">
        <v>-4.0220399999999997E-4</v>
      </c>
      <c r="H40">
        <v>18.7378</v>
      </c>
      <c r="I40">
        <v>18.738199999999999</v>
      </c>
      <c r="J40">
        <v>-1.7692399999999999E-4</v>
      </c>
      <c r="K40">
        <v>-2.9017100000000001E-3</v>
      </c>
      <c r="L40">
        <v>16.398</v>
      </c>
      <c r="M40">
        <v>16.4009</v>
      </c>
      <c r="N40">
        <v>-2.5865000000000003E-4</v>
      </c>
      <c r="O40">
        <v>-3.9805600000000002E-3</v>
      </c>
      <c r="P40">
        <v>15.3858</v>
      </c>
      <c r="Q40">
        <v>15.389799999999999</v>
      </c>
      <c r="R40">
        <v>10.869</v>
      </c>
      <c r="S40">
        <v>10.869</v>
      </c>
      <c r="T40">
        <v>0.5544</v>
      </c>
      <c r="U40">
        <v>1967.77</v>
      </c>
      <c r="V40">
        <f t="shared" si="0"/>
        <v>10.694402173913044</v>
      </c>
      <c r="W40">
        <f t="shared" si="1"/>
        <v>1.5234609999999999E-4</v>
      </c>
    </row>
    <row r="41" spans="1:23" x14ac:dyDescent="0.3">
      <c r="A41">
        <v>34</v>
      </c>
      <c r="B41">
        <v>5.0475300000000004E-4</v>
      </c>
      <c r="C41">
        <v>1.7958200000000001E-2</v>
      </c>
      <c r="D41">
        <v>35.5961</v>
      </c>
      <c r="E41">
        <v>35.578200000000002</v>
      </c>
      <c r="F41" s="1">
        <v>-9.0055800000000006E-5</v>
      </c>
      <c r="G41">
        <v>-1.68749E-3</v>
      </c>
      <c r="H41">
        <v>18.736499999999999</v>
      </c>
      <c r="I41">
        <v>18.738199999999999</v>
      </c>
      <c r="J41">
        <v>-2.22069E-4</v>
      </c>
      <c r="K41">
        <v>-3.6421100000000001E-3</v>
      </c>
      <c r="L41">
        <v>16.397200000000002</v>
      </c>
      <c r="M41">
        <v>16.4009</v>
      </c>
      <c r="N41">
        <v>-2.5532899999999999E-4</v>
      </c>
      <c r="O41">
        <v>-3.9294500000000001E-3</v>
      </c>
      <c r="P41">
        <v>15.385899999999999</v>
      </c>
      <c r="Q41">
        <v>15.389799999999999</v>
      </c>
      <c r="R41">
        <v>11.055</v>
      </c>
      <c r="S41">
        <v>11.055</v>
      </c>
      <c r="T41">
        <v>0.57599999999999996</v>
      </c>
      <c r="U41">
        <v>2043.5</v>
      </c>
      <c r="V41">
        <f t="shared" si="0"/>
        <v>11.105978260869565</v>
      </c>
      <c r="W41">
        <f t="shared" si="1"/>
        <v>1.8915126666666665E-4</v>
      </c>
    </row>
    <row r="42" spans="1:23" x14ac:dyDescent="0.3">
      <c r="A42">
        <v>35</v>
      </c>
      <c r="B42">
        <v>5.57669E-4</v>
      </c>
      <c r="C42">
        <v>1.9840799999999999E-2</v>
      </c>
      <c r="D42">
        <v>35.597999999999999</v>
      </c>
      <c r="E42">
        <v>35.578200000000002</v>
      </c>
      <c r="F42" s="1">
        <v>-8.5652699999999994E-5</v>
      </c>
      <c r="G42">
        <v>-1.60498E-3</v>
      </c>
      <c r="H42">
        <v>18.736599999999999</v>
      </c>
      <c r="I42">
        <v>18.738199999999999</v>
      </c>
      <c r="J42">
        <v>-1.4983299999999999E-4</v>
      </c>
      <c r="K42">
        <v>-2.4573899999999998E-3</v>
      </c>
      <c r="L42">
        <v>16.398399999999999</v>
      </c>
      <c r="M42">
        <v>16.4009</v>
      </c>
      <c r="N42">
        <v>-1.7607199999999999E-4</v>
      </c>
      <c r="O42">
        <v>-2.7097000000000002E-3</v>
      </c>
      <c r="P42">
        <v>15.3871</v>
      </c>
      <c r="Q42">
        <v>15.389799999999999</v>
      </c>
      <c r="R42">
        <v>11.241</v>
      </c>
      <c r="S42">
        <v>11.241</v>
      </c>
      <c r="T42">
        <v>0.58630000000000004</v>
      </c>
      <c r="U42">
        <v>2079.67</v>
      </c>
      <c r="V42">
        <f t="shared" si="0"/>
        <v>11.302554347826087</v>
      </c>
      <c r="W42">
        <f t="shared" si="1"/>
        <v>1.3718589999999999E-4</v>
      </c>
    </row>
    <row r="43" spans="1:23" x14ac:dyDescent="0.3">
      <c r="A43">
        <v>36</v>
      </c>
      <c r="B43">
        <v>5.2065599999999998E-4</v>
      </c>
      <c r="C43">
        <v>1.8523999999999999E-2</v>
      </c>
      <c r="D43">
        <v>35.596699999999998</v>
      </c>
      <c r="E43">
        <v>35.578200000000002</v>
      </c>
      <c r="F43">
        <v>-1.8013099999999999E-4</v>
      </c>
      <c r="G43">
        <v>-3.3753400000000001E-3</v>
      </c>
      <c r="H43">
        <v>18.7348</v>
      </c>
      <c r="I43">
        <v>18.738199999999999</v>
      </c>
      <c r="J43">
        <v>-3.3079600000000001E-4</v>
      </c>
      <c r="K43">
        <v>-5.4253299999999999E-3</v>
      </c>
      <c r="L43">
        <v>16.395399999999999</v>
      </c>
      <c r="M43">
        <v>16.4009</v>
      </c>
      <c r="N43">
        <v>-3.6348100000000003E-4</v>
      </c>
      <c r="O43">
        <v>-5.5938999999999997E-3</v>
      </c>
      <c r="P43">
        <v>15.3842</v>
      </c>
      <c r="Q43">
        <v>15.389799999999999</v>
      </c>
      <c r="R43">
        <v>11.433</v>
      </c>
      <c r="S43">
        <v>11.433</v>
      </c>
      <c r="T43">
        <v>0.5988</v>
      </c>
      <c r="U43">
        <v>2123.75</v>
      </c>
      <c r="V43">
        <f t="shared" si="0"/>
        <v>11.542119565217391</v>
      </c>
      <c r="W43">
        <f t="shared" si="1"/>
        <v>2.9146933333333336E-4</v>
      </c>
    </row>
    <row r="44" spans="1:23" x14ac:dyDescent="0.3">
      <c r="A44">
        <v>37</v>
      </c>
      <c r="B44">
        <v>5.6266200000000001E-4</v>
      </c>
      <c r="C44">
        <v>2.0018500000000002E-2</v>
      </c>
      <c r="D44">
        <v>35.598199999999999</v>
      </c>
      <c r="E44">
        <v>35.578200000000002</v>
      </c>
      <c r="F44" s="1">
        <v>-5.9304500000000001E-5</v>
      </c>
      <c r="G44">
        <v>-1.11126E-3</v>
      </c>
      <c r="H44">
        <v>18.737100000000002</v>
      </c>
      <c r="I44">
        <v>18.738199999999999</v>
      </c>
      <c r="J44">
        <v>-2.2566599999999999E-4</v>
      </c>
      <c r="K44">
        <v>-3.7011100000000001E-3</v>
      </c>
      <c r="L44">
        <v>16.397200000000002</v>
      </c>
      <c r="M44">
        <v>16.4009</v>
      </c>
      <c r="N44">
        <v>-3.26344E-4</v>
      </c>
      <c r="O44">
        <v>-5.02236E-3</v>
      </c>
      <c r="P44">
        <v>15.3848</v>
      </c>
      <c r="Q44">
        <v>15.389799999999999</v>
      </c>
      <c r="R44">
        <v>11.617000000000001</v>
      </c>
      <c r="S44">
        <v>11.617000000000001</v>
      </c>
      <c r="T44">
        <v>0.60850000000000004</v>
      </c>
      <c r="U44">
        <v>2157.65</v>
      </c>
      <c r="V44">
        <f t="shared" si="0"/>
        <v>11.726358695652175</v>
      </c>
      <c r="W44">
        <f t="shared" si="1"/>
        <v>2.0377150000000001E-4</v>
      </c>
    </row>
    <row r="45" spans="1:23" x14ac:dyDescent="0.3">
      <c r="A45">
        <v>38</v>
      </c>
      <c r="B45">
        <v>6.1326900000000005E-4</v>
      </c>
      <c r="C45">
        <v>2.1819000000000002E-2</v>
      </c>
      <c r="D45">
        <v>35.6</v>
      </c>
      <c r="E45">
        <v>35.578200000000002</v>
      </c>
      <c r="F45" s="1">
        <v>-3.94393E-5</v>
      </c>
      <c r="G45">
        <v>-7.3902199999999999E-4</v>
      </c>
      <c r="H45">
        <v>18.737500000000001</v>
      </c>
      <c r="I45">
        <v>18.738199999999999</v>
      </c>
      <c r="J45">
        <v>-1.71516E-4</v>
      </c>
      <c r="K45">
        <v>-2.8130099999999999E-3</v>
      </c>
      <c r="L45">
        <v>16.398</v>
      </c>
      <c r="M45">
        <v>16.4009</v>
      </c>
      <c r="N45">
        <v>-2.2733399999999999E-4</v>
      </c>
      <c r="O45">
        <v>-3.49862E-3</v>
      </c>
      <c r="P45">
        <v>15.3863</v>
      </c>
      <c r="Q45">
        <v>15.389799999999999</v>
      </c>
      <c r="R45">
        <v>11.803000000000001</v>
      </c>
      <c r="S45">
        <v>11.803000000000001</v>
      </c>
      <c r="T45">
        <v>0.61619999999999997</v>
      </c>
      <c r="U45">
        <v>2184.7800000000002</v>
      </c>
      <c r="V45">
        <f t="shared" si="0"/>
        <v>11.873804347826088</v>
      </c>
      <c r="W45">
        <f t="shared" si="1"/>
        <v>1.4609643333333335E-4</v>
      </c>
    </row>
    <row r="46" spans="1:23" x14ac:dyDescent="0.3">
      <c r="A46">
        <v>39</v>
      </c>
      <c r="B46">
        <v>5.8314900000000004E-4</v>
      </c>
      <c r="C46">
        <v>2.0747399999999999E-2</v>
      </c>
      <c r="D46">
        <v>35.5989</v>
      </c>
      <c r="E46">
        <v>35.578200000000002</v>
      </c>
      <c r="F46">
        <v>-1.13075E-4</v>
      </c>
      <c r="G46">
        <v>-2.11882E-3</v>
      </c>
      <c r="H46">
        <v>18.7361</v>
      </c>
      <c r="I46">
        <v>18.738199999999999</v>
      </c>
      <c r="J46">
        <v>-2.37643E-4</v>
      </c>
      <c r="K46">
        <v>-3.89756E-3</v>
      </c>
      <c r="L46">
        <v>16.396999999999998</v>
      </c>
      <c r="M46">
        <v>16.4009</v>
      </c>
      <c r="N46">
        <v>-2.2839299999999999E-4</v>
      </c>
      <c r="O46">
        <v>-3.5149299999999999E-3</v>
      </c>
      <c r="P46">
        <v>15.3863</v>
      </c>
      <c r="Q46">
        <v>15.389799999999999</v>
      </c>
      <c r="R46">
        <v>11.991</v>
      </c>
      <c r="S46">
        <v>11.991</v>
      </c>
      <c r="T46">
        <v>0.62949999999999995</v>
      </c>
      <c r="U46">
        <v>2231.12</v>
      </c>
      <c r="V46">
        <f t="shared" si="0"/>
        <v>12.125652173913043</v>
      </c>
      <c r="W46">
        <f t="shared" si="1"/>
        <v>1.9303699999999999E-4</v>
      </c>
    </row>
    <row r="47" spans="1:23" x14ac:dyDescent="0.3">
      <c r="A47">
        <v>40</v>
      </c>
      <c r="B47">
        <v>6.0293599999999999E-4</v>
      </c>
      <c r="C47">
        <v>2.1451399999999999E-2</v>
      </c>
      <c r="D47">
        <v>35.599600000000002</v>
      </c>
      <c r="E47">
        <v>35.578200000000002</v>
      </c>
      <c r="F47" s="1">
        <v>-7.7614599999999994E-5</v>
      </c>
      <c r="G47">
        <v>-1.45436E-3</v>
      </c>
      <c r="H47">
        <v>18.736799999999999</v>
      </c>
      <c r="I47">
        <v>18.738199999999999</v>
      </c>
      <c r="J47">
        <v>-2.4855800000000001E-4</v>
      </c>
      <c r="K47">
        <v>-4.0765699999999998E-3</v>
      </c>
      <c r="L47">
        <v>16.396799999999999</v>
      </c>
      <c r="M47">
        <v>16.4009</v>
      </c>
      <c r="N47">
        <v>-1.5927899999999999E-4</v>
      </c>
      <c r="O47">
        <v>-2.4512800000000001E-3</v>
      </c>
      <c r="P47">
        <v>15.3873</v>
      </c>
      <c r="Q47">
        <v>15.389799999999999</v>
      </c>
      <c r="R47">
        <v>12.244</v>
      </c>
      <c r="S47">
        <v>12.244</v>
      </c>
      <c r="T47">
        <v>0.64139999999999997</v>
      </c>
      <c r="U47">
        <v>2272.94</v>
      </c>
      <c r="V47">
        <f t="shared" si="0"/>
        <v>12.352934782608695</v>
      </c>
      <c r="W47">
        <f t="shared" si="1"/>
        <v>1.6181720000000001E-4</v>
      </c>
    </row>
    <row r="48" spans="1:23" x14ac:dyDescent="0.3">
      <c r="A48">
        <v>41</v>
      </c>
      <c r="B48">
        <v>5.9453999999999996E-4</v>
      </c>
      <c r="C48">
        <v>2.1152600000000001E-2</v>
      </c>
      <c r="D48">
        <v>35.599299999999999</v>
      </c>
      <c r="E48">
        <v>35.578200000000002</v>
      </c>
      <c r="F48">
        <v>-1.3184199999999999E-4</v>
      </c>
      <c r="G48">
        <v>-2.4704800000000002E-3</v>
      </c>
      <c r="H48">
        <v>18.735800000000001</v>
      </c>
      <c r="I48">
        <v>18.738199999999999</v>
      </c>
      <c r="J48">
        <v>-2.9287399999999999E-4</v>
      </c>
      <c r="K48">
        <v>-4.8033800000000003E-3</v>
      </c>
      <c r="L48">
        <v>16.396100000000001</v>
      </c>
      <c r="M48">
        <v>16.4009</v>
      </c>
      <c r="N48">
        <v>-3.2572900000000003E-4</v>
      </c>
      <c r="O48">
        <v>-5.0128999999999998E-3</v>
      </c>
      <c r="P48">
        <v>15.3848</v>
      </c>
      <c r="Q48">
        <v>15.389799999999999</v>
      </c>
      <c r="R48">
        <v>12.551</v>
      </c>
      <c r="S48">
        <v>12.551</v>
      </c>
      <c r="T48">
        <v>0.65559999999999996</v>
      </c>
      <c r="U48">
        <v>2322.67</v>
      </c>
      <c r="V48">
        <f t="shared" si="0"/>
        <v>12.623206521739132</v>
      </c>
      <c r="W48">
        <f t="shared" si="1"/>
        <v>2.5014833333333332E-4</v>
      </c>
    </row>
    <row r="49" spans="1:23" x14ac:dyDescent="0.3">
      <c r="A49">
        <v>42</v>
      </c>
      <c r="B49">
        <v>6.3854199999999997E-4</v>
      </c>
      <c r="C49">
        <v>2.2718200000000001E-2</v>
      </c>
      <c r="D49">
        <v>35.600900000000003</v>
      </c>
      <c r="E49">
        <v>35.578200000000002</v>
      </c>
      <c r="F49" s="1">
        <v>-8.4591499999999998E-5</v>
      </c>
      <c r="G49">
        <v>-1.5851000000000001E-3</v>
      </c>
      <c r="H49">
        <v>18.736599999999999</v>
      </c>
      <c r="I49">
        <v>18.738199999999999</v>
      </c>
      <c r="J49">
        <v>-2.12559E-4</v>
      </c>
      <c r="K49">
        <v>-3.4861499999999999E-3</v>
      </c>
      <c r="L49">
        <v>16.397400000000001</v>
      </c>
      <c r="M49">
        <v>16.4009</v>
      </c>
      <c r="N49">
        <v>-1.17958E-4</v>
      </c>
      <c r="O49">
        <v>-1.8153500000000001E-3</v>
      </c>
      <c r="P49">
        <v>15.388</v>
      </c>
      <c r="Q49">
        <v>15.389799999999999</v>
      </c>
      <c r="R49">
        <v>12.801</v>
      </c>
      <c r="S49">
        <v>12.801</v>
      </c>
      <c r="T49">
        <v>0.66969999999999996</v>
      </c>
      <c r="U49">
        <v>2372.4</v>
      </c>
      <c r="V49">
        <f t="shared" si="0"/>
        <v>12.893478260869566</v>
      </c>
      <c r="W49">
        <f t="shared" si="1"/>
        <v>1.3836949999999998E-4</v>
      </c>
    </row>
    <row r="50" spans="1:23" x14ac:dyDescent="0.3">
      <c r="A50">
        <v>43</v>
      </c>
      <c r="B50">
        <v>7.2149300000000003E-4</v>
      </c>
      <c r="C50">
        <v>2.5669399999999998E-2</v>
      </c>
      <c r="D50">
        <v>35.6038</v>
      </c>
      <c r="E50">
        <v>35.578200000000002</v>
      </c>
      <c r="F50" s="1">
        <v>-1.3586E-5</v>
      </c>
      <c r="G50">
        <v>-2.5457799999999999E-4</v>
      </c>
      <c r="H50">
        <v>18.738</v>
      </c>
      <c r="I50">
        <v>18.738199999999999</v>
      </c>
      <c r="J50">
        <v>-1.8025300000000001E-4</v>
      </c>
      <c r="K50">
        <v>-2.9563100000000002E-3</v>
      </c>
      <c r="L50">
        <v>16.3979</v>
      </c>
      <c r="M50">
        <v>16.4009</v>
      </c>
      <c r="N50">
        <v>-2.9576199999999998E-4</v>
      </c>
      <c r="O50">
        <v>-4.5517099999999996E-3</v>
      </c>
      <c r="P50">
        <v>15.385199999999999</v>
      </c>
      <c r="Q50">
        <v>15.389799999999999</v>
      </c>
      <c r="R50">
        <v>12.989000000000001</v>
      </c>
      <c r="S50">
        <v>12.989000000000001</v>
      </c>
      <c r="T50">
        <v>0.67330000000000001</v>
      </c>
      <c r="U50">
        <v>2384.84</v>
      </c>
      <c r="V50">
        <f t="shared" si="0"/>
        <v>12.96108695652174</v>
      </c>
      <c r="W50">
        <f t="shared" si="1"/>
        <v>1.6320033333333333E-4</v>
      </c>
    </row>
    <row r="51" spans="1:23" x14ac:dyDescent="0.3">
      <c r="A51">
        <v>44</v>
      </c>
      <c r="B51">
        <v>7.1943699999999996E-4</v>
      </c>
      <c r="C51">
        <v>2.55962E-2</v>
      </c>
      <c r="D51">
        <v>35.6038</v>
      </c>
      <c r="E51">
        <v>35.578200000000002</v>
      </c>
      <c r="F51" s="1">
        <v>-1.55878E-5</v>
      </c>
      <c r="G51">
        <v>-2.9208700000000001E-4</v>
      </c>
      <c r="H51">
        <v>18.7379</v>
      </c>
      <c r="I51">
        <v>18.738199999999999</v>
      </c>
      <c r="J51">
        <v>-1.5091E-4</v>
      </c>
      <c r="K51">
        <v>-2.4750599999999998E-3</v>
      </c>
      <c r="L51">
        <v>16.398399999999999</v>
      </c>
      <c r="M51">
        <v>16.4009</v>
      </c>
      <c r="N51">
        <v>-2.1538899999999999E-4</v>
      </c>
      <c r="O51">
        <v>-3.3148000000000001E-3</v>
      </c>
      <c r="P51">
        <v>15.3865</v>
      </c>
      <c r="Q51">
        <v>15.389799999999999</v>
      </c>
      <c r="R51">
        <v>13.425000000000001</v>
      </c>
      <c r="S51">
        <v>13.425000000000001</v>
      </c>
      <c r="T51">
        <v>0.69620000000000004</v>
      </c>
      <c r="U51">
        <v>2465.08</v>
      </c>
      <c r="V51">
        <f t="shared" si="0"/>
        <v>13.397173913043478</v>
      </c>
      <c r="W51">
        <f t="shared" si="1"/>
        <v>1.2729559999999999E-4</v>
      </c>
    </row>
    <row r="52" spans="1:23" x14ac:dyDescent="0.3">
      <c r="A52">
        <v>45</v>
      </c>
      <c r="B52">
        <v>6.1595200000000001E-4</v>
      </c>
      <c r="C52">
        <v>2.19145E-2</v>
      </c>
      <c r="D52">
        <v>35.600099999999998</v>
      </c>
      <c r="E52">
        <v>35.578200000000002</v>
      </c>
      <c r="F52">
        <v>-1.20708E-4</v>
      </c>
      <c r="G52">
        <v>-2.2618500000000001E-3</v>
      </c>
      <c r="H52">
        <v>18.736000000000001</v>
      </c>
      <c r="I52">
        <v>18.738199999999999</v>
      </c>
      <c r="J52">
        <v>-2.9503100000000002E-4</v>
      </c>
      <c r="K52">
        <v>-4.8387600000000001E-3</v>
      </c>
      <c r="L52">
        <v>16.396000000000001</v>
      </c>
      <c r="M52">
        <v>16.4009</v>
      </c>
      <c r="N52">
        <v>-3.3985999999999999E-4</v>
      </c>
      <c r="O52">
        <v>-5.2303699999999998E-3</v>
      </c>
      <c r="P52">
        <v>15.384600000000001</v>
      </c>
      <c r="Q52">
        <v>15.389799999999999</v>
      </c>
      <c r="R52">
        <v>13.675000000000001</v>
      </c>
      <c r="S52">
        <v>13.675000000000001</v>
      </c>
      <c r="T52">
        <v>0.70709999999999995</v>
      </c>
      <c r="U52">
        <v>2503.5100000000002</v>
      </c>
      <c r="V52">
        <f t="shared" si="0"/>
        <v>13.606032608695653</v>
      </c>
      <c r="W52">
        <f t="shared" si="1"/>
        <v>2.5186633333333332E-4</v>
      </c>
    </row>
    <row r="53" spans="1:23" x14ac:dyDescent="0.3">
      <c r="A53">
        <v>46</v>
      </c>
      <c r="B53">
        <v>6.4712199999999998E-4</v>
      </c>
      <c r="C53">
        <v>2.3023399999999999E-2</v>
      </c>
      <c r="D53">
        <v>35.601199999999999</v>
      </c>
      <c r="E53">
        <v>35.578200000000002</v>
      </c>
      <c r="F53">
        <v>-1.7902E-4</v>
      </c>
      <c r="G53">
        <v>-3.3545099999999998E-3</v>
      </c>
      <c r="H53">
        <v>18.7349</v>
      </c>
      <c r="I53">
        <v>18.738199999999999</v>
      </c>
      <c r="J53">
        <v>-3.4996700000000002E-4</v>
      </c>
      <c r="K53">
        <v>-5.73976E-3</v>
      </c>
      <c r="L53">
        <v>16.395099999999999</v>
      </c>
      <c r="M53">
        <v>16.4009</v>
      </c>
      <c r="N53">
        <v>-3.8338400000000001E-4</v>
      </c>
      <c r="O53">
        <v>-5.9001899999999996E-3</v>
      </c>
      <c r="P53">
        <v>15.383900000000001</v>
      </c>
      <c r="Q53">
        <v>15.389799999999999</v>
      </c>
      <c r="R53">
        <v>13.801</v>
      </c>
      <c r="S53">
        <v>13.801</v>
      </c>
      <c r="T53">
        <v>0.71260000000000001</v>
      </c>
      <c r="U53">
        <v>2522.73</v>
      </c>
      <c r="V53">
        <f t="shared" si="0"/>
        <v>13.710489130434782</v>
      </c>
      <c r="W53">
        <f t="shared" si="1"/>
        <v>3.041236666666667E-4</v>
      </c>
    </row>
    <row r="54" spans="1:23" x14ac:dyDescent="0.3">
      <c r="A54">
        <v>47</v>
      </c>
      <c r="B54">
        <v>7.1452500000000003E-4</v>
      </c>
      <c r="C54">
        <v>2.54215E-2</v>
      </c>
      <c r="D54">
        <v>35.6036</v>
      </c>
      <c r="E54">
        <v>35.578200000000002</v>
      </c>
      <c r="F54">
        <v>-1.0441399999999999E-4</v>
      </c>
      <c r="G54">
        <v>-1.9565400000000001E-3</v>
      </c>
      <c r="H54">
        <v>18.7363</v>
      </c>
      <c r="I54">
        <v>18.738199999999999</v>
      </c>
      <c r="J54">
        <v>-2.8367600000000001E-4</v>
      </c>
      <c r="K54">
        <v>-4.6525300000000002E-3</v>
      </c>
      <c r="L54">
        <v>16.3962</v>
      </c>
      <c r="M54">
        <v>16.4009</v>
      </c>
      <c r="N54">
        <v>-3.2033000000000002E-4</v>
      </c>
      <c r="O54">
        <v>-4.9298099999999997E-3</v>
      </c>
      <c r="P54">
        <v>15.3849</v>
      </c>
      <c r="Q54">
        <v>15.389799999999999</v>
      </c>
      <c r="R54">
        <v>14.052</v>
      </c>
      <c r="S54">
        <v>14.052</v>
      </c>
      <c r="T54">
        <v>0.71870000000000001</v>
      </c>
      <c r="U54">
        <v>2544.1999999999998</v>
      </c>
      <c r="V54">
        <f t="shared" si="0"/>
        <v>13.827173913043477</v>
      </c>
      <c r="W54">
        <f t="shared" si="1"/>
        <v>2.3614E-4</v>
      </c>
    </row>
    <row r="55" spans="1:23" x14ac:dyDescent="0.3">
      <c r="A55">
        <v>48</v>
      </c>
      <c r="B55">
        <v>7.0247300000000001E-4</v>
      </c>
      <c r="C55">
        <v>2.49927E-2</v>
      </c>
      <c r="D55">
        <v>35.603200000000001</v>
      </c>
      <c r="E55">
        <v>35.578200000000002</v>
      </c>
      <c r="F55">
        <v>-1.20221E-4</v>
      </c>
      <c r="G55">
        <v>-2.2527300000000001E-3</v>
      </c>
      <c r="H55">
        <v>18.736000000000001</v>
      </c>
      <c r="I55">
        <v>18.738199999999999</v>
      </c>
      <c r="J55">
        <v>-2.9422699999999999E-4</v>
      </c>
      <c r="K55">
        <v>-4.8255800000000003E-3</v>
      </c>
      <c r="L55">
        <v>16.396000000000001</v>
      </c>
      <c r="M55">
        <v>16.4009</v>
      </c>
      <c r="N55">
        <v>-3.3000999999999999E-4</v>
      </c>
      <c r="O55">
        <v>-5.0787799999999998E-3</v>
      </c>
      <c r="P55">
        <v>15.3847</v>
      </c>
      <c r="Q55">
        <v>15.389799999999999</v>
      </c>
      <c r="R55">
        <v>14.488</v>
      </c>
      <c r="S55">
        <v>14.488</v>
      </c>
      <c r="T55">
        <v>0.73319999999999996</v>
      </c>
      <c r="U55">
        <v>2595.06</v>
      </c>
      <c r="V55">
        <f t="shared" si="0"/>
        <v>14.103586956521738</v>
      </c>
      <c r="W55">
        <f t="shared" si="1"/>
        <v>2.4815266666666666E-4</v>
      </c>
    </row>
    <row r="56" spans="1:23" x14ac:dyDescent="0.3">
      <c r="A56">
        <v>49</v>
      </c>
      <c r="B56">
        <v>7.0178799999999996E-4</v>
      </c>
      <c r="C56">
        <v>2.4968299999999999E-2</v>
      </c>
      <c r="D56">
        <v>35.603099999999998</v>
      </c>
      <c r="E56">
        <v>35.578200000000002</v>
      </c>
      <c r="F56">
        <v>-1.5349100000000001E-4</v>
      </c>
      <c r="G56">
        <v>-2.8761400000000001E-3</v>
      </c>
      <c r="H56">
        <v>18.735299999999999</v>
      </c>
      <c r="I56">
        <v>18.738199999999999</v>
      </c>
      <c r="J56">
        <v>-2.9186000000000001E-4</v>
      </c>
      <c r="K56">
        <v>-4.7867600000000001E-3</v>
      </c>
      <c r="L56">
        <v>16.396100000000001</v>
      </c>
      <c r="M56">
        <v>16.4009</v>
      </c>
      <c r="N56">
        <v>-3.3808999999999998E-4</v>
      </c>
      <c r="O56">
        <v>-5.2031300000000003E-3</v>
      </c>
      <c r="P56">
        <v>15.384600000000001</v>
      </c>
      <c r="Q56">
        <v>15.389799999999999</v>
      </c>
      <c r="R56">
        <v>14.923</v>
      </c>
      <c r="S56">
        <v>14.923</v>
      </c>
      <c r="T56">
        <v>0.7429</v>
      </c>
      <c r="U56">
        <v>2628.97</v>
      </c>
      <c r="V56">
        <f t="shared" si="0"/>
        <v>14.287880434782608</v>
      </c>
      <c r="W56">
        <f t="shared" si="1"/>
        <v>2.6114699999999999E-4</v>
      </c>
    </row>
    <row r="57" spans="1:23" x14ac:dyDescent="0.3">
      <c r="A57">
        <v>50</v>
      </c>
      <c r="B57">
        <v>7.2503499999999996E-4</v>
      </c>
      <c r="C57">
        <v>2.57954E-2</v>
      </c>
      <c r="D57">
        <v>35.603999999999999</v>
      </c>
      <c r="E57">
        <v>35.578200000000002</v>
      </c>
      <c r="F57" s="1">
        <v>-7.9517299999999998E-5</v>
      </c>
      <c r="G57">
        <v>-1.4900099999999999E-3</v>
      </c>
      <c r="H57">
        <v>18.736699999999999</v>
      </c>
      <c r="I57">
        <v>18.738199999999999</v>
      </c>
      <c r="J57">
        <v>-2.48457E-4</v>
      </c>
      <c r="K57">
        <v>-4.0749100000000002E-3</v>
      </c>
      <c r="L57">
        <v>16.396799999999999</v>
      </c>
      <c r="M57">
        <v>16.4009</v>
      </c>
      <c r="N57">
        <v>-2.7924999999999998E-4</v>
      </c>
      <c r="O57">
        <v>-4.2975899999999996E-3</v>
      </c>
      <c r="P57">
        <v>15.3855</v>
      </c>
      <c r="Q57">
        <v>15.389799999999999</v>
      </c>
      <c r="R57">
        <v>15.423999999999999</v>
      </c>
      <c r="S57">
        <v>15.423999999999999</v>
      </c>
      <c r="T57">
        <v>0.76060000000000005</v>
      </c>
      <c r="U57">
        <v>2691.14</v>
      </c>
      <c r="V57">
        <f t="shared" si="0"/>
        <v>14.625760869565216</v>
      </c>
      <c r="W57">
        <f t="shared" si="1"/>
        <v>2.0240809999999998E-4</v>
      </c>
    </row>
    <row r="58" spans="1:23" x14ac:dyDescent="0.3">
      <c r="A58">
        <v>51</v>
      </c>
      <c r="B58">
        <v>7.4122399999999996E-4</v>
      </c>
      <c r="C58">
        <v>2.63714E-2</v>
      </c>
      <c r="D58">
        <v>35.604500000000002</v>
      </c>
      <c r="E58">
        <v>35.578200000000002</v>
      </c>
      <c r="F58">
        <v>-1.7116700000000001E-4</v>
      </c>
      <c r="G58">
        <v>-3.2073700000000002E-3</v>
      </c>
      <c r="H58">
        <v>18.734999999999999</v>
      </c>
      <c r="I58">
        <v>18.738199999999999</v>
      </c>
      <c r="J58">
        <v>-3.3531199999999999E-4</v>
      </c>
      <c r="K58">
        <v>-5.4993999999999998E-3</v>
      </c>
      <c r="L58">
        <v>16.395399999999999</v>
      </c>
      <c r="M58">
        <v>16.4009</v>
      </c>
      <c r="N58">
        <v>-3.1682999999999999E-4</v>
      </c>
      <c r="O58">
        <v>-4.8759399999999996E-3</v>
      </c>
      <c r="P58">
        <v>15.3849</v>
      </c>
      <c r="Q58">
        <v>15.389799999999999</v>
      </c>
      <c r="R58">
        <v>15.736000000000001</v>
      </c>
      <c r="S58">
        <v>15.736000000000001</v>
      </c>
      <c r="T58">
        <v>0.7732</v>
      </c>
      <c r="U58">
        <v>2735.22</v>
      </c>
      <c r="V58">
        <f t="shared" si="0"/>
        <v>14.86532608695652</v>
      </c>
      <c r="W58">
        <f t="shared" si="1"/>
        <v>2.7443633333333329E-4</v>
      </c>
    </row>
    <row r="59" spans="1:23" x14ac:dyDescent="0.3">
      <c r="A59">
        <v>52</v>
      </c>
      <c r="B59">
        <v>7.4732900000000003E-4</v>
      </c>
      <c r="C59">
        <v>2.65886E-2</v>
      </c>
      <c r="D59">
        <v>35.604799999999997</v>
      </c>
      <c r="E59">
        <v>35.578200000000002</v>
      </c>
      <c r="F59" s="1">
        <v>-9.5428799999999997E-5</v>
      </c>
      <c r="G59">
        <v>-1.78817E-3</v>
      </c>
      <c r="H59">
        <v>18.7364</v>
      </c>
      <c r="I59">
        <v>18.738199999999999</v>
      </c>
      <c r="J59">
        <v>-2.6325300000000002E-4</v>
      </c>
      <c r="K59">
        <v>-4.3175799999999997E-3</v>
      </c>
      <c r="L59">
        <v>16.3965</v>
      </c>
      <c r="M59">
        <v>16.4009</v>
      </c>
      <c r="N59">
        <v>-3.3548999999999997E-4</v>
      </c>
      <c r="O59">
        <v>-5.1631100000000003E-3</v>
      </c>
      <c r="P59">
        <v>15.384600000000001</v>
      </c>
      <c r="Q59">
        <v>15.389799999999999</v>
      </c>
      <c r="R59">
        <v>16.483000000000001</v>
      </c>
      <c r="S59">
        <v>16.484000000000002</v>
      </c>
      <c r="T59">
        <v>0.78539999999999999</v>
      </c>
      <c r="U59">
        <v>2778.17</v>
      </c>
      <c r="V59">
        <f t="shared" si="0"/>
        <v>15.098750000000001</v>
      </c>
      <c r="W59">
        <f t="shared" si="1"/>
        <v>2.3139060000000001E-4</v>
      </c>
    </row>
    <row r="60" spans="1:23" x14ac:dyDescent="0.3">
      <c r="A60">
        <v>53</v>
      </c>
      <c r="B60">
        <v>8.3342699999999997E-4</v>
      </c>
      <c r="C60">
        <v>2.9651799999999999E-2</v>
      </c>
      <c r="D60">
        <v>35.607799999999997</v>
      </c>
      <c r="E60">
        <v>35.578200000000002</v>
      </c>
      <c r="F60" s="1">
        <v>-9.8624999999999998E-5</v>
      </c>
      <c r="G60">
        <v>-1.8480599999999999E-3</v>
      </c>
      <c r="H60">
        <v>18.7364</v>
      </c>
      <c r="I60">
        <v>18.738199999999999</v>
      </c>
      <c r="J60">
        <v>-2.9206499999999999E-4</v>
      </c>
      <c r="K60">
        <v>-4.7901200000000001E-3</v>
      </c>
      <c r="L60">
        <v>16.396100000000001</v>
      </c>
      <c r="M60">
        <v>16.4009</v>
      </c>
      <c r="N60">
        <v>-3.45717E-4</v>
      </c>
      <c r="O60">
        <v>-5.3205099999999996E-3</v>
      </c>
      <c r="P60">
        <v>15.384499999999999</v>
      </c>
      <c r="Q60">
        <v>15.389799999999999</v>
      </c>
      <c r="R60">
        <v>17.169</v>
      </c>
      <c r="S60">
        <v>17.169</v>
      </c>
      <c r="T60">
        <v>0.79510000000000003</v>
      </c>
      <c r="U60">
        <v>2812.07</v>
      </c>
      <c r="V60">
        <f t="shared" si="0"/>
        <v>15.282989130434784</v>
      </c>
      <c r="W60">
        <f t="shared" si="1"/>
        <v>2.4546899999999995E-4</v>
      </c>
    </row>
    <row r="61" spans="1:23" x14ac:dyDescent="0.3">
      <c r="A61">
        <v>54</v>
      </c>
      <c r="B61">
        <v>7.7998499999999997E-4</v>
      </c>
      <c r="C61">
        <v>2.7750400000000001E-2</v>
      </c>
      <c r="D61">
        <v>35.605899999999998</v>
      </c>
      <c r="E61">
        <v>35.578200000000002</v>
      </c>
      <c r="F61">
        <v>-1.0275E-4</v>
      </c>
      <c r="G61">
        <v>-1.9253499999999999E-3</v>
      </c>
      <c r="H61">
        <v>18.7363</v>
      </c>
      <c r="I61">
        <v>18.738199999999999</v>
      </c>
      <c r="J61">
        <v>-2.9215399999999998E-4</v>
      </c>
      <c r="K61">
        <v>-4.7915800000000001E-3</v>
      </c>
      <c r="L61">
        <v>16.396100000000001</v>
      </c>
      <c r="M61">
        <v>16.4009</v>
      </c>
      <c r="N61">
        <v>-3.2573200000000002E-4</v>
      </c>
      <c r="O61">
        <v>-5.0129399999999996E-3</v>
      </c>
      <c r="P61">
        <v>15.3848</v>
      </c>
      <c r="Q61">
        <v>15.389799999999999</v>
      </c>
      <c r="R61">
        <v>17.795000000000002</v>
      </c>
      <c r="S61">
        <v>17.795000000000002</v>
      </c>
      <c r="T61">
        <v>0.80510000000000004</v>
      </c>
      <c r="U61">
        <v>2847.11</v>
      </c>
      <c r="V61">
        <f t="shared" si="0"/>
        <v>15.473423913043479</v>
      </c>
      <c r="W61">
        <f t="shared" si="1"/>
        <v>2.4021199999999998E-4</v>
      </c>
    </row>
    <row r="62" spans="1:23" x14ac:dyDescent="0.3">
      <c r="A62">
        <v>55</v>
      </c>
      <c r="B62">
        <v>7.5309699999999999E-4</v>
      </c>
      <c r="C62">
        <v>2.67938E-2</v>
      </c>
      <c r="D62">
        <v>35.604999999999997</v>
      </c>
      <c r="E62">
        <v>35.578200000000002</v>
      </c>
      <c r="F62">
        <v>-1.3924299999999999E-4</v>
      </c>
      <c r="G62">
        <v>-2.6091600000000001E-3</v>
      </c>
      <c r="H62">
        <v>18.735600000000002</v>
      </c>
      <c r="I62">
        <v>18.738199999999999</v>
      </c>
      <c r="J62">
        <v>-3.1848500000000002E-4</v>
      </c>
      <c r="K62">
        <v>-5.2234200000000003E-3</v>
      </c>
      <c r="L62">
        <v>16.395600000000002</v>
      </c>
      <c r="M62">
        <v>16.4009</v>
      </c>
      <c r="N62">
        <v>-3.0797499999999999E-4</v>
      </c>
      <c r="O62">
        <v>-4.7396699999999996E-3</v>
      </c>
      <c r="P62">
        <v>15.385</v>
      </c>
      <c r="Q62">
        <v>15.389799999999999</v>
      </c>
      <c r="R62">
        <v>18.294</v>
      </c>
      <c r="S62">
        <v>18.294</v>
      </c>
      <c r="T62">
        <v>0.82089999999999996</v>
      </c>
      <c r="U62">
        <v>2902.5</v>
      </c>
      <c r="V62">
        <f t="shared" si="0"/>
        <v>15.774456521739131</v>
      </c>
      <c r="W62">
        <f t="shared" si="1"/>
        <v>2.5523433333333334E-4</v>
      </c>
    </row>
    <row r="63" spans="1:23" x14ac:dyDescent="0.3">
      <c r="A63">
        <v>56</v>
      </c>
      <c r="B63">
        <v>7.9553399999999998E-4</v>
      </c>
      <c r="C63">
        <v>2.8303600000000002E-2</v>
      </c>
      <c r="D63">
        <v>35.606499999999997</v>
      </c>
      <c r="E63">
        <v>35.578200000000002</v>
      </c>
      <c r="F63">
        <v>-1.03693E-4</v>
      </c>
      <c r="G63">
        <v>-1.9430199999999999E-3</v>
      </c>
      <c r="H63">
        <v>18.7363</v>
      </c>
      <c r="I63">
        <v>18.738199999999999</v>
      </c>
      <c r="J63">
        <v>-2.8860700000000002E-4</v>
      </c>
      <c r="K63">
        <v>-4.7333999999999996E-3</v>
      </c>
      <c r="L63">
        <v>16.396100000000001</v>
      </c>
      <c r="M63">
        <v>16.4009</v>
      </c>
      <c r="N63">
        <v>-3.2180199999999999E-4</v>
      </c>
      <c r="O63">
        <v>-4.9524599999999997E-3</v>
      </c>
      <c r="P63">
        <v>15.3848</v>
      </c>
      <c r="Q63">
        <v>15.389799999999999</v>
      </c>
      <c r="R63">
        <v>18.916</v>
      </c>
      <c r="S63">
        <v>18.917000000000002</v>
      </c>
      <c r="T63">
        <v>0.83309999999999995</v>
      </c>
      <c r="U63">
        <v>2945.45</v>
      </c>
      <c r="V63">
        <f t="shared" si="0"/>
        <v>16.007880434782606</v>
      </c>
      <c r="W63">
        <f t="shared" si="1"/>
        <v>2.3803400000000003E-4</v>
      </c>
    </row>
    <row r="64" spans="1:23" x14ac:dyDescent="0.3">
      <c r="A64">
        <v>57</v>
      </c>
      <c r="B64">
        <v>8.3064100000000002E-4</v>
      </c>
      <c r="C64">
        <v>2.9552700000000001E-2</v>
      </c>
      <c r="D64">
        <v>35.607700000000001</v>
      </c>
      <c r="E64">
        <v>35.578200000000002</v>
      </c>
      <c r="F64">
        <v>-1.8139999999999999E-4</v>
      </c>
      <c r="G64">
        <v>-3.3991199999999998E-3</v>
      </c>
      <c r="H64">
        <v>18.7348</v>
      </c>
      <c r="I64">
        <v>18.738199999999999</v>
      </c>
      <c r="J64">
        <v>-3.80539E-4</v>
      </c>
      <c r="K64">
        <v>-6.2411599999999999E-3</v>
      </c>
      <c r="L64">
        <v>16.394600000000001</v>
      </c>
      <c r="M64">
        <v>16.4009</v>
      </c>
      <c r="N64">
        <v>-4.0293600000000001E-4</v>
      </c>
      <c r="O64">
        <v>-6.2010900000000002E-3</v>
      </c>
      <c r="P64">
        <v>15.383599999999999</v>
      </c>
      <c r="Q64">
        <v>15.389799999999999</v>
      </c>
      <c r="R64">
        <v>19.728999999999999</v>
      </c>
      <c r="S64">
        <v>19.73</v>
      </c>
      <c r="T64">
        <v>0.84470000000000001</v>
      </c>
      <c r="U64">
        <v>2986.14</v>
      </c>
      <c r="V64">
        <f t="shared" si="0"/>
        <v>16.229021739130435</v>
      </c>
      <c r="W64">
        <f t="shared" si="1"/>
        <v>3.2162500000000003E-4</v>
      </c>
    </row>
    <row r="65" spans="1:23" x14ac:dyDescent="0.3">
      <c r="A65">
        <v>58</v>
      </c>
      <c r="B65">
        <v>7.8165000000000005E-4</v>
      </c>
      <c r="C65">
        <v>2.78097E-2</v>
      </c>
      <c r="D65">
        <v>35.606000000000002</v>
      </c>
      <c r="E65">
        <v>35.578200000000002</v>
      </c>
      <c r="F65">
        <v>-1.4178500000000001E-4</v>
      </c>
      <c r="G65">
        <v>-2.6568E-3</v>
      </c>
      <c r="H65">
        <v>18.735600000000002</v>
      </c>
      <c r="I65">
        <v>18.738199999999999</v>
      </c>
      <c r="J65">
        <v>-3.7265600000000002E-4</v>
      </c>
      <c r="K65">
        <v>-6.1118700000000001E-3</v>
      </c>
      <c r="L65">
        <v>16.3947</v>
      </c>
      <c r="M65">
        <v>16.4009</v>
      </c>
      <c r="N65">
        <v>-4.69729E-4</v>
      </c>
      <c r="O65">
        <v>-7.22903E-3</v>
      </c>
      <c r="P65">
        <v>15.3826</v>
      </c>
      <c r="Q65">
        <v>15.389799999999999</v>
      </c>
      <c r="R65">
        <v>20.475999999999999</v>
      </c>
      <c r="S65">
        <v>20.477</v>
      </c>
      <c r="T65">
        <v>0.86760000000000004</v>
      </c>
      <c r="U65">
        <v>3066.38</v>
      </c>
      <c r="V65">
        <f t="shared" si="0"/>
        <v>16.665108695652176</v>
      </c>
      <c r="W65">
        <f t="shared" si="1"/>
        <v>3.2805666666666666E-4</v>
      </c>
    </row>
    <row r="66" spans="1:23" x14ac:dyDescent="0.3">
      <c r="A66">
        <v>59</v>
      </c>
      <c r="B66">
        <v>8.3753400000000002E-4</v>
      </c>
      <c r="C66">
        <v>2.9797899999999999E-2</v>
      </c>
      <c r="D66">
        <v>35.607999999999997</v>
      </c>
      <c r="E66">
        <v>35.578200000000002</v>
      </c>
      <c r="F66" s="1">
        <v>-9.1597700000000006E-5</v>
      </c>
      <c r="G66">
        <v>-1.71638E-3</v>
      </c>
      <c r="H66">
        <v>18.736499999999999</v>
      </c>
      <c r="I66">
        <v>18.738199999999999</v>
      </c>
      <c r="J66">
        <v>-2.3103699999999999E-4</v>
      </c>
      <c r="K66">
        <v>-3.7892099999999999E-3</v>
      </c>
      <c r="L66">
        <v>16.397099999999998</v>
      </c>
      <c r="M66">
        <v>16.4009</v>
      </c>
      <c r="N66">
        <v>-2.9536500000000002E-4</v>
      </c>
      <c r="O66">
        <v>-4.5456000000000003E-3</v>
      </c>
      <c r="P66">
        <v>15.385199999999999</v>
      </c>
      <c r="Q66">
        <v>15.389799999999999</v>
      </c>
      <c r="R66">
        <v>20.79</v>
      </c>
      <c r="S66">
        <v>20.791</v>
      </c>
      <c r="T66">
        <v>0.86890000000000001</v>
      </c>
      <c r="U66">
        <v>3070.9</v>
      </c>
      <c r="V66">
        <f t="shared" si="0"/>
        <v>16.689673913043478</v>
      </c>
      <c r="W66">
        <f t="shared" si="1"/>
        <v>2.0599989999999999E-4</v>
      </c>
    </row>
    <row r="67" spans="1:23" x14ac:dyDescent="0.3">
      <c r="A67">
        <v>60</v>
      </c>
      <c r="B67">
        <v>9.04863E-4</v>
      </c>
      <c r="C67">
        <v>3.2193399999999997E-2</v>
      </c>
      <c r="D67">
        <v>35.610399999999998</v>
      </c>
      <c r="E67">
        <v>35.578200000000002</v>
      </c>
      <c r="F67">
        <v>-1.00636E-4</v>
      </c>
      <c r="G67">
        <v>-1.88573E-3</v>
      </c>
      <c r="H67">
        <v>18.7363</v>
      </c>
      <c r="I67">
        <v>18.738199999999999</v>
      </c>
      <c r="J67">
        <v>-3.0094699999999998E-4</v>
      </c>
      <c r="K67">
        <v>-4.9357899999999998E-3</v>
      </c>
      <c r="L67">
        <v>16.395900000000001</v>
      </c>
      <c r="M67">
        <v>16.4009</v>
      </c>
      <c r="N67">
        <v>-3.8167499999999999E-4</v>
      </c>
      <c r="O67">
        <v>-5.8738999999999996E-3</v>
      </c>
      <c r="P67">
        <v>15.383900000000001</v>
      </c>
      <c r="Q67">
        <v>15.389799999999999</v>
      </c>
      <c r="R67">
        <v>21.414000000000001</v>
      </c>
      <c r="S67">
        <v>21.414000000000001</v>
      </c>
      <c r="T67">
        <v>0.88339999999999996</v>
      </c>
      <c r="U67">
        <v>3121.77</v>
      </c>
      <c r="V67">
        <f t="shared" si="0"/>
        <v>16.966141304347826</v>
      </c>
      <c r="W67">
        <f t="shared" si="1"/>
        <v>2.61086E-4</v>
      </c>
    </row>
    <row r="68" spans="1:23" x14ac:dyDescent="0.3">
      <c r="A68">
        <v>61</v>
      </c>
      <c r="B68">
        <v>8.5576100000000002E-4</v>
      </c>
      <c r="C68">
        <v>3.0446399999999998E-2</v>
      </c>
      <c r="D68">
        <v>35.608600000000003</v>
      </c>
      <c r="E68">
        <v>35.578200000000002</v>
      </c>
      <c r="F68">
        <v>-1.8355800000000001E-4</v>
      </c>
      <c r="G68">
        <v>-3.4395599999999999E-3</v>
      </c>
      <c r="H68">
        <v>18.7348</v>
      </c>
      <c r="I68">
        <v>18.738199999999999</v>
      </c>
      <c r="J68">
        <v>-3.8648399999999998E-4</v>
      </c>
      <c r="K68">
        <v>-6.3386600000000003E-3</v>
      </c>
      <c r="L68">
        <v>16.394500000000001</v>
      </c>
      <c r="M68">
        <v>16.4009</v>
      </c>
      <c r="N68">
        <v>-4.81273E-4</v>
      </c>
      <c r="O68">
        <v>-7.4066799999999997E-3</v>
      </c>
      <c r="P68">
        <v>15.382400000000001</v>
      </c>
      <c r="Q68">
        <v>15.389799999999999</v>
      </c>
      <c r="R68">
        <v>22.224</v>
      </c>
      <c r="S68">
        <v>22.225000000000001</v>
      </c>
      <c r="T68">
        <v>0.90629999999999999</v>
      </c>
      <c r="U68">
        <v>3202.01</v>
      </c>
      <c r="V68">
        <f t="shared" si="0"/>
        <v>17.402228260869567</v>
      </c>
      <c r="W68">
        <f t="shared" si="1"/>
        <v>3.5043833333333333E-4</v>
      </c>
    </row>
    <row r="69" spans="1:23" x14ac:dyDescent="0.3">
      <c r="A69">
        <v>62</v>
      </c>
      <c r="B69">
        <v>9.0072399999999999E-4</v>
      </c>
      <c r="C69">
        <v>3.2046100000000001E-2</v>
      </c>
      <c r="D69">
        <v>35.610199999999999</v>
      </c>
      <c r="E69">
        <v>35.578200000000002</v>
      </c>
      <c r="F69">
        <v>-1.4533699999999999E-4</v>
      </c>
      <c r="G69">
        <v>-2.7233700000000001E-3</v>
      </c>
      <c r="H69">
        <v>18.735499999999998</v>
      </c>
      <c r="I69">
        <v>18.738199999999999</v>
      </c>
      <c r="J69">
        <v>-3.7172000000000003E-4</v>
      </c>
      <c r="K69">
        <v>-6.0965300000000002E-3</v>
      </c>
      <c r="L69">
        <v>16.3948</v>
      </c>
      <c r="M69">
        <v>16.4009</v>
      </c>
      <c r="N69">
        <v>-4.6772600000000001E-4</v>
      </c>
      <c r="O69">
        <v>-7.1981900000000001E-3</v>
      </c>
      <c r="P69">
        <v>15.3826</v>
      </c>
      <c r="Q69">
        <v>15.389799999999999</v>
      </c>
      <c r="R69">
        <v>22.663</v>
      </c>
      <c r="S69">
        <v>22.663</v>
      </c>
      <c r="T69">
        <v>0.91439999999999999</v>
      </c>
      <c r="U69">
        <v>3230.27</v>
      </c>
      <c r="V69">
        <f t="shared" si="0"/>
        <v>17.555815217391306</v>
      </c>
      <c r="W69">
        <f t="shared" si="1"/>
        <v>3.2826099999999999E-4</v>
      </c>
    </row>
    <row r="70" spans="1:23" x14ac:dyDescent="0.3">
      <c r="A70">
        <v>63</v>
      </c>
      <c r="B70">
        <v>8.8862999999999995E-4</v>
      </c>
      <c r="C70">
        <v>3.1615799999999999E-2</v>
      </c>
      <c r="D70">
        <v>35.6098</v>
      </c>
      <c r="E70">
        <v>35.578200000000002</v>
      </c>
      <c r="F70">
        <v>-1.08645E-4</v>
      </c>
      <c r="G70">
        <v>-2.0358199999999998E-3</v>
      </c>
      <c r="H70">
        <v>18.7362</v>
      </c>
      <c r="I70">
        <v>18.738199999999999</v>
      </c>
      <c r="J70">
        <v>-4.0844699999999999E-4</v>
      </c>
      <c r="K70">
        <v>-6.6988899999999999E-3</v>
      </c>
      <c r="L70">
        <v>16.394200000000001</v>
      </c>
      <c r="M70">
        <v>16.4009</v>
      </c>
      <c r="N70">
        <v>-4.6040799999999999E-4</v>
      </c>
      <c r="O70">
        <v>-7.0855800000000002E-3</v>
      </c>
      <c r="P70">
        <v>15.3827</v>
      </c>
      <c r="Q70">
        <v>15.389799999999999</v>
      </c>
      <c r="R70">
        <v>23.41</v>
      </c>
      <c r="S70">
        <v>23.411000000000001</v>
      </c>
      <c r="T70">
        <v>0.92759999999999998</v>
      </c>
      <c r="U70">
        <v>3276.61</v>
      </c>
      <c r="V70">
        <f t="shared" si="0"/>
        <v>17.807663043478261</v>
      </c>
      <c r="W70">
        <f t="shared" si="1"/>
        <v>3.2583333333333336E-4</v>
      </c>
    </row>
    <row r="71" spans="1:23" x14ac:dyDescent="0.3">
      <c r="A71">
        <v>64</v>
      </c>
      <c r="B71">
        <v>8.9771999999999996E-4</v>
      </c>
      <c r="C71">
        <v>3.1939200000000001E-2</v>
      </c>
      <c r="D71">
        <v>35.610100000000003</v>
      </c>
      <c r="E71">
        <v>35.578200000000002</v>
      </c>
      <c r="F71">
        <v>-1.04894E-4</v>
      </c>
      <c r="G71">
        <v>-1.9655200000000001E-3</v>
      </c>
      <c r="H71">
        <v>18.7363</v>
      </c>
      <c r="I71">
        <v>18.738199999999999</v>
      </c>
      <c r="J71">
        <v>-3.44519E-4</v>
      </c>
      <c r="K71">
        <v>-5.6503999999999999E-3</v>
      </c>
      <c r="L71">
        <v>16.395199999999999</v>
      </c>
      <c r="M71">
        <v>16.4009</v>
      </c>
      <c r="N71">
        <v>-4.3087099999999999E-4</v>
      </c>
      <c r="O71">
        <v>-6.6310199999999996E-3</v>
      </c>
      <c r="P71">
        <v>15.3832</v>
      </c>
      <c r="Q71">
        <v>15.389799999999999</v>
      </c>
      <c r="R71">
        <v>23.97</v>
      </c>
      <c r="S71">
        <v>23.971</v>
      </c>
      <c r="T71">
        <v>0.93110000000000004</v>
      </c>
      <c r="U71">
        <v>3289.04</v>
      </c>
      <c r="V71">
        <f t="shared" si="0"/>
        <v>17.875217391304346</v>
      </c>
      <c r="W71">
        <f t="shared" si="1"/>
        <v>2.9342800000000004E-4</v>
      </c>
    </row>
    <row r="72" spans="1:23" x14ac:dyDescent="0.3">
      <c r="A72">
        <v>65</v>
      </c>
      <c r="B72">
        <v>9.1442699999999999E-4</v>
      </c>
      <c r="C72">
        <v>3.2533600000000003E-2</v>
      </c>
      <c r="D72">
        <v>35.610700000000001</v>
      </c>
      <c r="E72">
        <v>35.578200000000002</v>
      </c>
      <c r="F72">
        <v>-1.65954E-4</v>
      </c>
      <c r="G72">
        <v>-3.10969E-3</v>
      </c>
      <c r="H72">
        <v>18.735099999999999</v>
      </c>
      <c r="I72">
        <v>18.738199999999999</v>
      </c>
      <c r="J72">
        <v>-3.4884E-4</v>
      </c>
      <c r="K72">
        <v>-5.7212699999999997E-3</v>
      </c>
      <c r="L72">
        <v>16.395099999999999</v>
      </c>
      <c r="M72">
        <v>16.4009</v>
      </c>
      <c r="N72">
        <v>-3.82543E-4</v>
      </c>
      <c r="O72">
        <v>-5.8872500000000001E-3</v>
      </c>
      <c r="P72">
        <v>15.383900000000001</v>
      </c>
      <c r="Q72">
        <v>15.389799999999999</v>
      </c>
      <c r="R72">
        <v>24.780999999999999</v>
      </c>
      <c r="S72">
        <v>24.782</v>
      </c>
      <c r="T72">
        <v>0.95079999999999998</v>
      </c>
      <c r="U72">
        <v>3357.99</v>
      </c>
      <c r="V72">
        <f t="shared" ref="V72:V135" si="2">U72/A$2/B$2</f>
        <v>18.249945652173913</v>
      </c>
      <c r="W72">
        <f t="shared" ref="W72:W135" si="3">-AVERAGE(F72,J72,N72)</f>
        <v>2.9911233333333335E-4</v>
      </c>
    </row>
    <row r="73" spans="1:23" x14ac:dyDescent="0.3">
      <c r="A73">
        <v>66</v>
      </c>
      <c r="B73">
        <v>9.5847499999999997E-4</v>
      </c>
      <c r="C73">
        <v>3.4100800000000001E-2</v>
      </c>
      <c r="D73">
        <v>35.612299999999998</v>
      </c>
      <c r="E73">
        <v>35.578200000000002</v>
      </c>
      <c r="F73">
        <v>-1.9975200000000001E-4</v>
      </c>
      <c r="G73">
        <v>-3.7429899999999999E-3</v>
      </c>
      <c r="H73">
        <v>18.734500000000001</v>
      </c>
      <c r="I73">
        <v>18.738199999999999</v>
      </c>
      <c r="J73">
        <v>-4.6165799999999999E-4</v>
      </c>
      <c r="K73">
        <v>-7.5715799999999996E-3</v>
      </c>
      <c r="L73">
        <v>16.3933</v>
      </c>
      <c r="M73">
        <v>16.4009</v>
      </c>
      <c r="N73">
        <v>-4.9680500000000001E-4</v>
      </c>
      <c r="O73">
        <v>-7.6457299999999999E-3</v>
      </c>
      <c r="P73">
        <v>15.382099999999999</v>
      </c>
      <c r="Q73">
        <v>15.389799999999999</v>
      </c>
      <c r="R73">
        <v>25.157</v>
      </c>
      <c r="S73">
        <v>25.157</v>
      </c>
      <c r="T73">
        <v>0.9637</v>
      </c>
      <c r="U73">
        <v>3403.2</v>
      </c>
      <c r="V73">
        <f t="shared" si="2"/>
        <v>18.495652173913044</v>
      </c>
      <c r="W73">
        <f t="shared" si="3"/>
        <v>3.8607166666666668E-4</v>
      </c>
    </row>
    <row r="74" spans="1:23" x14ac:dyDescent="0.3">
      <c r="A74">
        <v>67</v>
      </c>
      <c r="B74">
        <v>9.6073399999999998E-4</v>
      </c>
      <c r="C74">
        <v>3.4181200000000002E-2</v>
      </c>
      <c r="D74">
        <v>35.612299999999998</v>
      </c>
      <c r="E74">
        <v>35.578200000000002</v>
      </c>
      <c r="F74">
        <v>-2.7586400000000001E-4</v>
      </c>
      <c r="G74">
        <v>-5.1691999999999997E-3</v>
      </c>
      <c r="H74">
        <v>18.7331</v>
      </c>
      <c r="I74">
        <v>18.738199999999999</v>
      </c>
      <c r="J74">
        <v>-4.7016700000000001E-4</v>
      </c>
      <c r="K74">
        <v>-7.71114E-3</v>
      </c>
      <c r="L74">
        <v>16.3931</v>
      </c>
      <c r="M74">
        <v>16.4009</v>
      </c>
      <c r="N74">
        <v>-5.0164899999999995E-4</v>
      </c>
      <c r="O74">
        <v>-7.7202700000000004E-3</v>
      </c>
      <c r="P74">
        <v>15.382099999999999</v>
      </c>
      <c r="Q74">
        <v>15.389799999999999</v>
      </c>
      <c r="R74">
        <v>25.905000000000001</v>
      </c>
      <c r="S74">
        <v>25.905000000000001</v>
      </c>
      <c r="T74">
        <v>0.97109999999999996</v>
      </c>
      <c r="U74">
        <v>3429.2</v>
      </c>
      <c r="V74">
        <f t="shared" si="2"/>
        <v>18.63695652173913</v>
      </c>
      <c r="W74">
        <f t="shared" si="3"/>
        <v>4.158933333333334E-4</v>
      </c>
    </row>
    <row r="75" spans="1:23" x14ac:dyDescent="0.3">
      <c r="A75">
        <v>68</v>
      </c>
      <c r="B75">
        <v>9.4201400000000002E-4</v>
      </c>
      <c r="C75">
        <v>3.3515099999999999E-2</v>
      </c>
      <c r="D75">
        <v>35.611699999999999</v>
      </c>
      <c r="E75">
        <v>35.578200000000002</v>
      </c>
      <c r="F75">
        <v>-2.0131399999999999E-4</v>
      </c>
      <c r="G75">
        <v>-3.7722599999999999E-3</v>
      </c>
      <c r="H75">
        <v>18.734500000000001</v>
      </c>
      <c r="I75">
        <v>18.738199999999999</v>
      </c>
      <c r="J75">
        <v>-4.72724E-4</v>
      </c>
      <c r="K75">
        <v>-7.7530799999999999E-3</v>
      </c>
      <c r="L75">
        <v>16.3931</v>
      </c>
      <c r="M75">
        <v>16.4009</v>
      </c>
      <c r="N75">
        <v>-5.1049899999999998E-4</v>
      </c>
      <c r="O75">
        <v>-7.8564700000000008E-3</v>
      </c>
      <c r="P75">
        <v>15.3819</v>
      </c>
      <c r="Q75">
        <v>15.389799999999999</v>
      </c>
      <c r="R75">
        <v>26.405999999999999</v>
      </c>
      <c r="S75">
        <v>26.405999999999999</v>
      </c>
      <c r="T75">
        <v>0.9849</v>
      </c>
      <c r="U75">
        <v>3477.8</v>
      </c>
      <c r="V75">
        <f t="shared" si="2"/>
        <v>18.901086956521741</v>
      </c>
      <c r="W75">
        <f t="shared" si="3"/>
        <v>3.9484566666666659E-4</v>
      </c>
    </row>
    <row r="76" spans="1:23" x14ac:dyDescent="0.3">
      <c r="A76">
        <v>69</v>
      </c>
      <c r="B76">
        <v>9.3498799999999999E-4</v>
      </c>
      <c r="C76">
        <v>3.3265200000000002E-2</v>
      </c>
      <c r="D76">
        <v>35.611400000000003</v>
      </c>
      <c r="E76">
        <v>35.578200000000002</v>
      </c>
      <c r="F76">
        <v>-1.30734E-4</v>
      </c>
      <c r="G76">
        <v>-2.4497199999999998E-3</v>
      </c>
      <c r="H76">
        <v>18.735800000000001</v>
      </c>
      <c r="I76">
        <v>18.738199999999999</v>
      </c>
      <c r="J76">
        <v>-3.9240800000000001E-4</v>
      </c>
      <c r="K76">
        <v>-6.4358200000000001E-3</v>
      </c>
      <c r="L76">
        <v>16.394400000000001</v>
      </c>
      <c r="M76">
        <v>16.4009</v>
      </c>
      <c r="N76">
        <v>-3.9707499999999999E-4</v>
      </c>
      <c r="O76">
        <v>-6.1108999999999998E-3</v>
      </c>
      <c r="P76">
        <v>15.383699999999999</v>
      </c>
      <c r="Q76">
        <v>15.389799999999999</v>
      </c>
      <c r="R76">
        <v>27.404</v>
      </c>
      <c r="S76">
        <v>27.404</v>
      </c>
      <c r="T76">
        <v>1.004</v>
      </c>
      <c r="U76">
        <v>3544.48</v>
      </c>
      <c r="V76">
        <f t="shared" si="2"/>
        <v>19.263478260869565</v>
      </c>
      <c r="W76">
        <f t="shared" si="3"/>
        <v>3.0673899999999999E-4</v>
      </c>
    </row>
    <row r="77" spans="1:23" x14ac:dyDescent="0.3">
      <c r="A77">
        <v>70</v>
      </c>
      <c r="B77">
        <v>9.9892699999999993E-4</v>
      </c>
      <c r="C77">
        <v>3.5540000000000002E-2</v>
      </c>
      <c r="D77">
        <v>35.613700000000001</v>
      </c>
      <c r="E77">
        <v>35.578200000000002</v>
      </c>
      <c r="F77">
        <v>-1.08607E-4</v>
      </c>
      <c r="G77">
        <v>-2.0351100000000001E-3</v>
      </c>
      <c r="H77">
        <v>18.7362</v>
      </c>
      <c r="I77">
        <v>18.738199999999999</v>
      </c>
      <c r="J77">
        <v>-4.1870500000000001E-4</v>
      </c>
      <c r="K77">
        <v>-6.8671299999999999E-3</v>
      </c>
      <c r="L77">
        <v>16.393999999999998</v>
      </c>
      <c r="M77">
        <v>16.4009</v>
      </c>
      <c r="N77">
        <v>-4.9697499999999998E-4</v>
      </c>
      <c r="O77">
        <v>-7.64834E-3</v>
      </c>
      <c r="P77">
        <v>15.382099999999999</v>
      </c>
      <c r="Q77">
        <v>15.389799999999999</v>
      </c>
      <c r="R77">
        <v>27.902000000000001</v>
      </c>
      <c r="S77">
        <v>27.902000000000001</v>
      </c>
      <c r="T77">
        <v>1.0065</v>
      </c>
      <c r="U77">
        <v>3553.53</v>
      </c>
      <c r="V77">
        <f t="shared" si="2"/>
        <v>19.312663043478263</v>
      </c>
      <c r="W77">
        <f t="shared" si="3"/>
        <v>3.4142900000000003E-4</v>
      </c>
    </row>
    <row r="78" spans="1:23" x14ac:dyDescent="0.3">
      <c r="A78">
        <v>71</v>
      </c>
      <c r="B78">
        <v>9.8148599999999995E-4</v>
      </c>
      <c r="C78">
        <v>3.4919499999999999E-2</v>
      </c>
      <c r="D78">
        <v>35.613100000000003</v>
      </c>
      <c r="E78">
        <v>35.578200000000002</v>
      </c>
      <c r="F78">
        <v>-1.18057E-4</v>
      </c>
      <c r="G78">
        <v>-2.2121799999999998E-3</v>
      </c>
      <c r="H78">
        <v>18.736000000000001</v>
      </c>
      <c r="I78">
        <v>18.738199999999999</v>
      </c>
      <c r="J78">
        <v>-3.4448900000000001E-4</v>
      </c>
      <c r="K78">
        <v>-5.6499200000000001E-3</v>
      </c>
      <c r="L78">
        <v>16.395199999999999</v>
      </c>
      <c r="M78">
        <v>16.4009</v>
      </c>
      <c r="N78">
        <v>-4.1622499999999999E-4</v>
      </c>
      <c r="O78">
        <v>-6.4056199999999999E-3</v>
      </c>
      <c r="P78">
        <v>15.3834</v>
      </c>
      <c r="Q78">
        <v>15.389799999999999</v>
      </c>
      <c r="R78">
        <v>28.527000000000001</v>
      </c>
      <c r="S78">
        <v>28.527000000000001</v>
      </c>
      <c r="T78">
        <v>1.0265</v>
      </c>
      <c r="U78">
        <v>3623.6</v>
      </c>
      <c r="V78">
        <f t="shared" si="2"/>
        <v>19.693478260869565</v>
      </c>
      <c r="W78">
        <f t="shared" si="3"/>
        <v>2.9292366666666664E-4</v>
      </c>
    </row>
    <row r="79" spans="1:23" x14ac:dyDescent="0.3">
      <c r="A79">
        <v>72</v>
      </c>
      <c r="B79">
        <v>1.0097999999999999E-3</v>
      </c>
      <c r="C79">
        <v>3.5927000000000001E-2</v>
      </c>
      <c r="D79">
        <v>35.614100000000001</v>
      </c>
      <c r="E79">
        <v>35.578200000000002</v>
      </c>
      <c r="F79">
        <v>-1.6832500000000001E-4</v>
      </c>
      <c r="G79">
        <v>-3.1541099999999999E-3</v>
      </c>
      <c r="H79">
        <v>18.735099999999999</v>
      </c>
      <c r="I79">
        <v>18.738199999999999</v>
      </c>
      <c r="J79">
        <v>-4.3897000000000001E-4</v>
      </c>
      <c r="K79">
        <v>-7.1994900000000002E-3</v>
      </c>
      <c r="L79">
        <v>16.393699999999999</v>
      </c>
      <c r="M79">
        <v>16.4009</v>
      </c>
      <c r="N79">
        <v>-4.7320700000000001E-4</v>
      </c>
      <c r="O79">
        <v>-7.2825499999999996E-3</v>
      </c>
      <c r="P79">
        <v>15.3825</v>
      </c>
      <c r="Q79">
        <v>15.389799999999999</v>
      </c>
      <c r="R79">
        <v>29.338999999999999</v>
      </c>
      <c r="S79">
        <v>29.338999999999999</v>
      </c>
      <c r="T79">
        <v>1.0439000000000001</v>
      </c>
      <c r="U79">
        <v>3684.64</v>
      </c>
      <c r="V79">
        <f t="shared" si="2"/>
        <v>20.025217391304349</v>
      </c>
      <c r="W79">
        <f t="shared" si="3"/>
        <v>3.6016733333333337E-4</v>
      </c>
    </row>
    <row r="80" spans="1:23" x14ac:dyDescent="0.3">
      <c r="A80">
        <v>73</v>
      </c>
      <c r="B80">
        <v>1.0605300000000001E-3</v>
      </c>
      <c r="C80">
        <v>3.7731800000000003E-2</v>
      </c>
      <c r="D80">
        <v>35.615900000000003</v>
      </c>
      <c r="E80">
        <v>35.578200000000002</v>
      </c>
      <c r="F80">
        <v>-1.54294E-4</v>
      </c>
      <c r="G80">
        <v>-2.8912E-3</v>
      </c>
      <c r="H80">
        <v>18.735299999999999</v>
      </c>
      <c r="I80">
        <v>18.738199999999999</v>
      </c>
      <c r="J80">
        <v>-4.7842199999999999E-4</v>
      </c>
      <c r="K80">
        <v>-7.8465300000000009E-3</v>
      </c>
      <c r="L80">
        <v>16.393000000000001</v>
      </c>
      <c r="M80">
        <v>16.4009</v>
      </c>
      <c r="N80">
        <v>-5.4759700000000004E-4</v>
      </c>
      <c r="O80">
        <v>-8.4273999999999998E-3</v>
      </c>
      <c r="P80">
        <v>15.381399999999999</v>
      </c>
      <c r="Q80">
        <v>15.389799999999999</v>
      </c>
      <c r="R80">
        <v>29.901</v>
      </c>
      <c r="S80">
        <v>29.901</v>
      </c>
      <c r="T80">
        <v>1.0451999999999999</v>
      </c>
      <c r="U80">
        <v>3689.16</v>
      </c>
      <c r="V80">
        <f t="shared" si="2"/>
        <v>20.049782608695651</v>
      </c>
      <c r="W80">
        <f t="shared" si="3"/>
        <v>3.934376666666667E-4</v>
      </c>
    </row>
    <row r="81" spans="1:23" x14ac:dyDescent="0.3">
      <c r="A81">
        <v>74</v>
      </c>
      <c r="B81">
        <v>1.0210200000000001E-3</v>
      </c>
      <c r="C81">
        <v>3.63261E-2</v>
      </c>
      <c r="D81">
        <v>35.6145</v>
      </c>
      <c r="E81">
        <v>35.578200000000002</v>
      </c>
      <c r="F81">
        <v>-1.19141E-4</v>
      </c>
      <c r="G81">
        <v>-2.2324900000000002E-3</v>
      </c>
      <c r="H81">
        <v>18.736000000000001</v>
      </c>
      <c r="I81">
        <v>18.738199999999999</v>
      </c>
      <c r="J81">
        <v>-4.4583600000000002E-4</v>
      </c>
      <c r="K81">
        <v>-7.3121000000000002E-3</v>
      </c>
      <c r="L81">
        <v>16.3935</v>
      </c>
      <c r="M81">
        <v>16.4009</v>
      </c>
      <c r="N81">
        <v>-4.7274799999999999E-4</v>
      </c>
      <c r="O81">
        <v>-7.2754899999999999E-3</v>
      </c>
      <c r="P81">
        <v>15.3825</v>
      </c>
      <c r="Q81">
        <v>15.389799999999999</v>
      </c>
      <c r="R81">
        <v>30.585999999999999</v>
      </c>
      <c r="S81">
        <v>30.585999999999999</v>
      </c>
      <c r="T81">
        <v>1.0678000000000001</v>
      </c>
      <c r="U81">
        <v>3768.28</v>
      </c>
      <c r="V81">
        <f t="shared" si="2"/>
        <v>20.479782608695654</v>
      </c>
      <c r="W81">
        <f t="shared" si="3"/>
        <v>3.4590833333333334E-4</v>
      </c>
    </row>
    <row r="82" spans="1:23" x14ac:dyDescent="0.3">
      <c r="A82">
        <v>75</v>
      </c>
      <c r="B82">
        <v>1.0422599999999999E-3</v>
      </c>
      <c r="C82">
        <v>3.7081700000000002E-2</v>
      </c>
      <c r="D82">
        <v>35.615200000000002</v>
      </c>
      <c r="E82">
        <v>35.578200000000002</v>
      </c>
      <c r="F82">
        <v>-2.1719E-4</v>
      </c>
      <c r="G82">
        <v>-4.0697600000000004E-3</v>
      </c>
      <c r="H82">
        <v>18.734200000000001</v>
      </c>
      <c r="I82">
        <v>18.738199999999999</v>
      </c>
      <c r="J82">
        <v>-5.0893599999999998E-4</v>
      </c>
      <c r="K82">
        <v>-8.3469900000000003E-3</v>
      </c>
      <c r="L82">
        <v>16.392499999999998</v>
      </c>
      <c r="M82">
        <v>16.4009</v>
      </c>
      <c r="N82">
        <v>-6.3918600000000003E-4</v>
      </c>
      <c r="O82">
        <v>-9.8369400000000006E-3</v>
      </c>
      <c r="P82">
        <v>15.379899999999999</v>
      </c>
      <c r="Q82">
        <v>15.389799999999999</v>
      </c>
      <c r="R82">
        <v>31.146999999999998</v>
      </c>
      <c r="S82">
        <v>31.146999999999998</v>
      </c>
      <c r="T82">
        <v>1.0684</v>
      </c>
      <c r="U82">
        <v>3770.54</v>
      </c>
      <c r="V82">
        <f t="shared" si="2"/>
        <v>20.492065217391303</v>
      </c>
      <c r="W82">
        <f t="shared" si="3"/>
        <v>4.5510400000000001E-4</v>
      </c>
    </row>
    <row r="83" spans="1:23" x14ac:dyDescent="0.3">
      <c r="A83">
        <v>76</v>
      </c>
      <c r="B83">
        <v>1.04126E-3</v>
      </c>
      <c r="C83">
        <v>3.7046200000000001E-2</v>
      </c>
      <c r="D83">
        <v>35.615200000000002</v>
      </c>
      <c r="E83">
        <v>35.578200000000002</v>
      </c>
      <c r="F83">
        <v>-2.24682E-4</v>
      </c>
      <c r="G83">
        <v>-4.2101500000000002E-3</v>
      </c>
      <c r="H83">
        <v>18.734000000000002</v>
      </c>
      <c r="I83">
        <v>18.738199999999999</v>
      </c>
      <c r="J83">
        <v>-4.8525800000000002E-4</v>
      </c>
      <c r="K83">
        <v>-7.9586499999999994E-3</v>
      </c>
      <c r="L83">
        <v>16.392900000000001</v>
      </c>
      <c r="M83">
        <v>16.4009</v>
      </c>
      <c r="N83">
        <v>-5.7435299999999999E-4</v>
      </c>
      <c r="O83">
        <v>-8.8391700000000004E-3</v>
      </c>
      <c r="P83">
        <v>15.3809</v>
      </c>
      <c r="Q83">
        <v>15.389799999999999</v>
      </c>
      <c r="R83">
        <v>31.771000000000001</v>
      </c>
      <c r="S83">
        <v>31.771000000000001</v>
      </c>
      <c r="T83">
        <v>1.1000000000000001</v>
      </c>
      <c r="U83">
        <v>3881.3</v>
      </c>
      <c r="V83">
        <f t="shared" si="2"/>
        <v>21.094021739130437</v>
      </c>
      <c r="W83">
        <f t="shared" si="3"/>
        <v>4.280976666666667E-4</v>
      </c>
    </row>
    <row r="84" spans="1:23" x14ac:dyDescent="0.3">
      <c r="A84">
        <v>77</v>
      </c>
      <c r="B84">
        <v>1.09249E-3</v>
      </c>
      <c r="C84">
        <v>3.8868699999999999E-2</v>
      </c>
      <c r="D84">
        <v>35.616999999999997</v>
      </c>
      <c r="E84">
        <v>35.578200000000002</v>
      </c>
      <c r="F84">
        <v>-2.13916E-4</v>
      </c>
      <c r="G84">
        <v>-4.0084099999999996E-3</v>
      </c>
      <c r="H84">
        <v>18.734200000000001</v>
      </c>
      <c r="I84">
        <v>18.738199999999999</v>
      </c>
      <c r="J84">
        <v>-5.1063400000000004E-4</v>
      </c>
      <c r="K84">
        <v>-8.3748299999999998E-3</v>
      </c>
      <c r="L84">
        <v>16.392499999999998</v>
      </c>
      <c r="M84">
        <v>16.4009</v>
      </c>
      <c r="N84">
        <v>-5.2769799999999995E-4</v>
      </c>
      <c r="O84">
        <v>-8.1211600000000005E-3</v>
      </c>
      <c r="P84">
        <v>15.3817</v>
      </c>
      <c r="Q84">
        <v>15.389799999999999</v>
      </c>
      <c r="R84">
        <v>32.459000000000003</v>
      </c>
      <c r="S84">
        <v>32.459000000000003</v>
      </c>
      <c r="T84">
        <v>1.1029</v>
      </c>
      <c r="U84">
        <v>3891.47</v>
      </c>
      <c r="V84">
        <f t="shared" si="2"/>
        <v>21.149293478260869</v>
      </c>
      <c r="W84">
        <f t="shared" si="3"/>
        <v>4.1741600000000004E-4</v>
      </c>
    </row>
    <row r="85" spans="1:23" x14ac:dyDescent="0.3">
      <c r="A85">
        <v>78</v>
      </c>
      <c r="B85">
        <v>1.0475899999999999E-3</v>
      </c>
      <c r="C85">
        <v>3.7271199999999997E-2</v>
      </c>
      <c r="D85">
        <v>35.615400000000001</v>
      </c>
      <c r="E85">
        <v>35.578200000000002</v>
      </c>
      <c r="F85">
        <v>-1.6256899999999999E-4</v>
      </c>
      <c r="G85">
        <v>-3.0462499999999999E-3</v>
      </c>
      <c r="H85">
        <v>18.735199999999999</v>
      </c>
      <c r="I85">
        <v>18.738199999999999</v>
      </c>
      <c r="J85">
        <v>-4.8852300000000004E-4</v>
      </c>
      <c r="K85">
        <v>-8.0121900000000006E-3</v>
      </c>
      <c r="L85">
        <v>16.392800000000001</v>
      </c>
      <c r="M85">
        <v>16.4009</v>
      </c>
      <c r="N85">
        <v>-5.8258699999999997E-4</v>
      </c>
      <c r="O85">
        <v>-8.9658800000000007E-3</v>
      </c>
      <c r="P85">
        <v>15.380800000000001</v>
      </c>
      <c r="Q85">
        <v>15.389799999999999</v>
      </c>
      <c r="R85">
        <v>33.020000000000003</v>
      </c>
      <c r="S85">
        <v>33.020000000000003</v>
      </c>
      <c r="T85">
        <v>1.1142000000000001</v>
      </c>
      <c r="U85">
        <v>3931.03</v>
      </c>
      <c r="V85">
        <f t="shared" si="2"/>
        <v>21.364293478260869</v>
      </c>
      <c r="W85">
        <f t="shared" si="3"/>
        <v>4.1122633333333337E-4</v>
      </c>
    </row>
    <row r="86" spans="1:23" x14ac:dyDescent="0.3">
      <c r="A86">
        <v>79</v>
      </c>
      <c r="B86">
        <v>1.1021900000000001E-3</v>
      </c>
      <c r="C86">
        <v>3.9213900000000003E-2</v>
      </c>
      <c r="D86">
        <v>35.617400000000004</v>
      </c>
      <c r="E86">
        <v>35.578200000000002</v>
      </c>
      <c r="F86">
        <v>-1.2633800000000001E-4</v>
      </c>
      <c r="G86">
        <v>-2.3673499999999998E-3</v>
      </c>
      <c r="H86">
        <v>18.735900000000001</v>
      </c>
      <c r="I86">
        <v>18.738199999999999</v>
      </c>
      <c r="J86">
        <v>-4.0377499999999999E-4</v>
      </c>
      <c r="K86">
        <v>-6.6222599999999996E-3</v>
      </c>
      <c r="L86">
        <v>16.394200000000001</v>
      </c>
      <c r="M86">
        <v>16.4009</v>
      </c>
      <c r="N86">
        <v>-5.3411500000000005E-4</v>
      </c>
      <c r="O86">
        <v>-8.2199200000000004E-3</v>
      </c>
      <c r="P86">
        <v>15.381600000000001</v>
      </c>
      <c r="Q86">
        <v>15.389799999999999</v>
      </c>
      <c r="R86">
        <v>33.767000000000003</v>
      </c>
      <c r="S86">
        <v>33.767000000000003</v>
      </c>
      <c r="T86">
        <v>1.1279999999999999</v>
      </c>
      <c r="U86">
        <v>3979.63</v>
      </c>
      <c r="V86">
        <f t="shared" si="2"/>
        <v>21.628423913043481</v>
      </c>
      <c r="W86">
        <f t="shared" si="3"/>
        <v>3.5474266666666665E-4</v>
      </c>
    </row>
    <row r="87" spans="1:23" x14ac:dyDescent="0.3">
      <c r="A87">
        <v>80</v>
      </c>
      <c r="B87">
        <v>1.1206899999999999E-3</v>
      </c>
      <c r="C87">
        <v>3.9872100000000001E-2</v>
      </c>
      <c r="D87">
        <v>35.618000000000002</v>
      </c>
      <c r="E87">
        <v>35.578200000000002</v>
      </c>
      <c r="F87">
        <v>-1.82356E-4</v>
      </c>
      <c r="G87">
        <v>-3.4170300000000002E-3</v>
      </c>
      <c r="H87">
        <v>18.7348</v>
      </c>
      <c r="I87">
        <v>18.738199999999999</v>
      </c>
      <c r="J87">
        <v>-4.7702699999999998E-4</v>
      </c>
      <c r="K87">
        <v>-7.8236499999999997E-3</v>
      </c>
      <c r="L87">
        <v>16.393000000000001</v>
      </c>
      <c r="M87">
        <v>16.4009</v>
      </c>
      <c r="N87">
        <v>-5.97566E-4</v>
      </c>
      <c r="O87">
        <v>-9.1964100000000003E-3</v>
      </c>
      <c r="P87">
        <v>15.380599999999999</v>
      </c>
      <c r="Q87">
        <v>15.389799999999999</v>
      </c>
      <c r="R87">
        <v>34.643000000000001</v>
      </c>
      <c r="S87">
        <v>34.643000000000001</v>
      </c>
      <c r="T87">
        <v>1.1403000000000001</v>
      </c>
      <c r="U87">
        <v>4022.58</v>
      </c>
      <c r="V87">
        <f t="shared" si="2"/>
        <v>21.861847826086954</v>
      </c>
      <c r="W87">
        <f t="shared" si="3"/>
        <v>4.1898299999999994E-4</v>
      </c>
    </row>
    <row r="88" spans="1:23" x14ac:dyDescent="0.3">
      <c r="A88">
        <v>81</v>
      </c>
      <c r="B88">
        <v>1.13805E-3</v>
      </c>
      <c r="C88">
        <v>4.0489600000000001E-2</v>
      </c>
      <c r="D88">
        <v>35.618699999999997</v>
      </c>
      <c r="E88">
        <v>35.578200000000002</v>
      </c>
      <c r="F88">
        <v>-1.4203999999999999E-4</v>
      </c>
      <c r="G88">
        <v>-2.6615800000000002E-3</v>
      </c>
      <c r="H88">
        <v>18.735600000000002</v>
      </c>
      <c r="I88">
        <v>18.738199999999999</v>
      </c>
      <c r="J88">
        <v>-4.5629600000000002E-4</v>
      </c>
      <c r="K88">
        <v>-7.4836499999999997E-3</v>
      </c>
      <c r="L88">
        <v>16.3934</v>
      </c>
      <c r="M88">
        <v>16.4009</v>
      </c>
      <c r="N88">
        <v>-6.0847799999999997E-4</v>
      </c>
      <c r="O88">
        <v>-9.3643400000000005E-3</v>
      </c>
      <c r="P88">
        <v>15.3804</v>
      </c>
      <c r="Q88">
        <v>15.389799999999999</v>
      </c>
      <c r="R88">
        <v>34.890999999999998</v>
      </c>
      <c r="S88">
        <v>34.890999999999998</v>
      </c>
      <c r="T88">
        <v>1.1518999999999999</v>
      </c>
      <c r="U88">
        <v>4063.27</v>
      </c>
      <c r="V88">
        <f t="shared" si="2"/>
        <v>22.082989130434783</v>
      </c>
      <c r="W88">
        <f t="shared" si="3"/>
        <v>4.0227133333333337E-4</v>
      </c>
    </row>
    <row r="89" spans="1:23" x14ac:dyDescent="0.3">
      <c r="A89">
        <v>82</v>
      </c>
      <c r="B89">
        <v>1.08946E-3</v>
      </c>
      <c r="C89">
        <v>3.87611E-2</v>
      </c>
      <c r="D89">
        <v>35.616900000000001</v>
      </c>
      <c r="E89">
        <v>35.578200000000002</v>
      </c>
      <c r="F89">
        <v>-1.52492E-4</v>
      </c>
      <c r="G89">
        <v>-2.8574300000000002E-3</v>
      </c>
      <c r="H89">
        <v>18.735399999999998</v>
      </c>
      <c r="I89">
        <v>18.738199999999999</v>
      </c>
      <c r="J89">
        <v>-4.7474700000000003E-4</v>
      </c>
      <c r="K89">
        <v>-7.7862599999999997E-3</v>
      </c>
      <c r="L89">
        <v>16.3931</v>
      </c>
      <c r="M89">
        <v>16.4009</v>
      </c>
      <c r="N89">
        <v>-5.8105899999999998E-4</v>
      </c>
      <c r="O89">
        <v>-8.9423699999999998E-3</v>
      </c>
      <c r="P89">
        <v>15.380800000000001</v>
      </c>
      <c r="Q89">
        <v>15.389799999999999</v>
      </c>
      <c r="R89">
        <v>35.704000000000001</v>
      </c>
      <c r="S89">
        <v>35.704000000000001</v>
      </c>
      <c r="T89">
        <v>1.159</v>
      </c>
      <c r="U89">
        <v>4088.14</v>
      </c>
      <c r="V89">
        <f t="shared" si="2"/>
        <v>22.218152173913044</v>
      </c>
      <c r="W89">
        <f t="shared" si="3"/>
        <v>4.0276599999999999E-4</v>
      </c>
    </row>
    <row r="90" spans="1:23" x14ac:dyDescent="0.3">
      <c r="A90">
        <v>83</v>
      </c>
      <c r="B90">
        <v>1.1366900000000001E-3</v>
      </c>
      <c r="C90">
        <v>4.0441299999999999E-2</v>
      </c>
      <c r="D90">
        <v>35.618600000000001</v>
      </c>
      <c r="E90">
        <v>35.578200000000002</v>
      </c>
      <c r="F90">
        <v>-1.8628699999999999E-4</v>
      </c>
      <c r="G90">
        <v>-3.4906799999999999E-3</v>
      </c>
      <c r="H90">
        <v>18.7347</v>
      </c>
      <c r="I90">
        <v>18.738199999999999</v>
      </c>
      <c r="J90">
        <v>-5.01211E-4</v>
      </c>
      <c r="K90">
        <v>-8.2202899999999999E-3</v>
      </c>
      <c r="L90">
        <v>16.392600000000002</v>
      </c>
      <c r="M90">
        <v>16.4009</v>
      </c>
      <c r="N90">
        <v>-4.9926599999999995E-4</v>
      </c>
      <c r="O90">
        <v>-7.6835899999999997E-3</v>
      </c>
      <c r="P90">
        <v>15.382099999999999</v>
      </c>
      <c r="Q90">
        <v>15.389799999999999</v>
      </c>
      <c r="R90">
        <v>36.201999999999998</v>
      </c>
      <c r="S90">
        <v>36.201999999999998</v>
      </c>
      <c r="T90">
        <v>1.1738</v>
      </c>
      <c r="U90">
        <v>4140.13</v>
      </c>
      <c r="V90">
        <f t="shared" si="2"/>
        <v>22.500706521739129</v>
      </c>
      <c r="W90">
        <f t="shared" si="3"/>
        <v>3.9558799999999994E-4</v>
      </c>
    </row>
    <row r="91" spans="1:23" x14ac:dyDescent="0.3">
      <c r="A91">
        <v>84</v>
      </c>
      <c r="B91">
        <v>1.16238E-3</v>
      </c>
      <c r="C91">
        <v>4.1355200000000002E-2</v>
      </c>
      <c r="D91">
        <v>35.619500000000002</v>
      </c>
      <c r="E91">
        <v>35.578200000000002</v>
      </c>
      <c r="F91">
        <v>-1.7197999999999999E-4</v>
      </c>
      <c r="G91">
        <v>-3.2225999999999999E-3</v>
      </c>
      <c r="H91">
        <v>18.734999999999999</v>
      </c>
      <c r="I91">
        <v>18.738199999999999</v>
      </c>
      <c r="J91">
        <v>-4.8388899999999999E-4</v>
      </c>
      <c r="K91">
        <v>-7.9361999999999992E-3</v>
      </c>
      <c r="L91">
        <v>16.392900000000001</v>
      </c>
      <c r="M91">
        <v>16.4009</v>
      </c>
      <c r="N91">
        <v>-5.7058399999999996E-4</v>
      </c>
      <c r="O91">
        <v>-8.7811599999999997E-3</v>
      </c>
      <c r="P91">
        <v>15.381</v>
      </c>
      <c r="Q91">
        <v>15.389799999999999</v>
      </c>
      <c r="R91">
        <v>37.012999999999998</v>
      </c>
      <c r="S91">
        <v>37.012999999999998</v>
      </c>
      <c r="T91">
        <v>1.1909000000000001</v>
      </c>
      <c r="U91">
        <v>4200.04</v>
      </c>
      <c r="V91">
        <f t="shared" si="2"/>
        <v>22.826304347826088</v>
      </c>
      <c r="W91">
        <f t="shared" si="3"/>
        <v>4.0881766666666665E-4</v>
      </c>
    </row>
    <row r="92" spans="1:23" x14ac:dyDescent="0.3">
      <c r="A92">
        <v>85</v>
      </c>
      <c r="B92">
        <v>1.1405499999999999E-3</v>
      </c>
      <c r="C92">
        <v>4.0578500000000003E-2</v>
      </c>
      <c r="D92">
        <v>35.618699999999997</v>
      </c>
      <c r="E92">
        <v>35.578200000000002</v>
      </c>
      <c r="F92">
        <v>-2.7062100000000002E-4</v>
      </c>
      <c r="G92">
        <v>-5.0709500000000003E-3</v>
      </c>
      <c r="H92">
        <v>18.7332</v>
      </c>
      <c r="I92">
        <v>18.738199999999999</v>
      </c>
      <c r="J92">
        <v>-5.9278E-4</v>
      </c>
      <c r="K92">
        <v>-9.7220899999999992E-3</v>
      </c>
      <c r="L92">
        <v>16.391100000000002</v>
      </c>
      <c r="M92">
        <v>16.4009</v>
      </c>
      <c r="N92">
        <v>-6.1214699999999995E-4</v>
      </c>
      <c r="O92">
        <v>-9.4208E-3</v>
      </c>
      <c r="P92">
        <v>15.3804</v>
      </c>
      <c r="Q92">
        <v>15.389799999999999</v>
      </c>
      <c r="R92">
        <v>37.698</v>
      </c>
      <c r="S92">
        <v>37.698</v>
      </c>
      <c r="T92">
        <v>1.2104999999999999</v>
      </c>
      <c r="U92">
        <v>4268.9799999999996</v>
      </c>
      <c r="V92">
        <f t="shared" si="2"/>
        <v>23.200978260869562</v>
      </c>
      <c r="W92">
        <f t="shared" si="3"/>
        <v>4.9184933333333331E-4</v>
      </c>
    </row>
    <row r="93" spans="1:23" x14ac:dyDescent="0.3">
      <c r="A93">
        <v>86</v>
      </c>
      <c r="B93">
        <v>1.21363E-3</v>
      </c>
      <c r="C93">
        <v>4.3178800000000003E-2</v>
      </c>
      <c r="D93">
        <v>35.621299999999998</v>
      </c>
      <c r="E93">
        <v>35.578200000000002</v>
      </c>
      <c r="F93">
        <v>-2.4496499999999998E-4</v>
      </c>
      <c r="G93">
        <v>-4.5902E-3</v>
      </c>
      <c r="H93">
        <v>18.733599999999999</v>
      </c>
      <c r="I93">
        <v>18.738199999999999</v>
      </c>
      <c r="J93">
        <v>-6.0487900000000001E-4</v>
      </c>
      <c r="K93">
        <v>-9.9205400000000003E-3</v>
      </c>
      <c r="L93">
        <v>16.390899999999998</v>
      </c>
      <c r="M93">
        <v>16.4009</v>
      </c>
      <c r="N93">
        <v>-6.4997000000000004E-4</v>
      </c>
      <c r="O93">
        <v>-1.00029E-2</v>
      </c>
      <c r="P93">
        <v>15.379799999999999</v>
      </c>
      <c r="Q93">
        <v>15.389799999999999</v>
      </c>
      <c r="R93">
        <v>38.509</v>
      </c>
      <c r="S93">
        <v>38.51</v>
      </c>
      <c r="T93">
        <v>1.2273000000000001</v>
      </c>
      <c r="U93">
        <v>4327.75</v>
      </c>
      <c r="V93">
        <f t="shared" si="2"/>
        <v>23.520380434782609</v>
      </c>
      <c r="W93">
        <f t="shared" si="3"/>
        <v>4.9993800000000001E-4</v>
      </c>
    </row>
    <row r="94" spans="1:23" x14ac:dyDescent="0.3">
      <c r="A94">
        <v>87</v>
      </c>
      <c r="B94">
        <v>1.2074E-3</v>
      </c>
      <c r="C94">
        <v>4.2957200000000001E-2</v>
      </c>
      <c r="D94">
        <v>35.621099999999998</v>
      </c>
      <c r="E94">
        <v>35.578200000000002</v>
      </c>
      <c r="F94">
        <v>-1.83876E-4</v>
      </c>
      <c r="G94">
        <v>-3.4455100000000002E-3</v>
      </c>
      <c r="H94">
        <v>18.7348</v>
      </c>
      <c r="I94">
        <v>18.738199999999999</v>
      </c>
      <c r="J94">
        <v>-5.3506699999999996E-4</v>
      </c>
      <c r="K94">
        <v>-8.77556E-3</v>
      </c>
      <c r="L94">
        <v>16.392099999999999</v>
      </c>
      <c r="M94">
        <v>16.4009</v>
      </c>
      <c r="N94">
        <v>-6.2929700000000002E-4</v>
      </c>
      <c r="O94">
        <v>-9.6847500000000006E-3</v>
      </c>
      <c r="P94">
        <v>15.380100000000001</v>
      </c>
      <c r="Q94">
        <v>15.389799999999999</v>
      </c>
      <c r="R94">
        <v>39.198</v>
      </c>
      <c r="S94">
        <v>39.198</v>
      </c>
      <c r="T94">
        <v>1.2363</v>
      </c>
      <c r="U94">
        <v>4359.3999999999996</v>
      </c>
      <c r="V94">
        <f t="shared" si="2"/>
        <v>23.692391304347826</v>
      </c>
      <c r="W94">
        <f t="shared" si="3"/>
        <v>4.4941333333333339E-4</v>
      </c>
    </row>
    <row r="95" spans="1:23" x14ac:dyDescent="0.3">
      <c r="A95">
        <v>88</v>
      </c>
      <c r="B95">
        <v>1.20134E-3</v>
      </c>
      <c r="C95">
        <v>4.2741500000000002E-2</v>
      </c>
      <c r="D95">
        <v>35.620899999999999</v>
      </c>
      <c r="E95">
        <v>35.578200000000002</v>
      </c>
      <c r="F95">
        <v>-1.4903799999999999E-4</v>
      </c>
      <c r="G95">
        <v>-2.7927099999999999E-3</v>
      </c>
      <c r="H95">
        <v>18.735399999999998</v>
      </c>
      <c r="I95">
        <v>18.738199999999999</v>
      </c>
      <c r="J95">
        <v>-4.8807499999999998E-4</v>
      </c>
      <c r="K95">
        <v>-8.0048500000000009E-3</v>
      </c>
      <c r="L95">
        <v>16.392900000000001</v>
      </c>
      <c r="M95">
        <v>16.4009</v>
      </c>
      <c r="N95">
        <v>-5.9641100000000003E-4</v>
      </c>
      <c r="O95">
        <v>-9.1786400000000001E-3</v>
      </c>
      <c r="P95">
        <v>15.380599999999999</v>
      </c>
      <c r="Q95">
        <v>15.389799999999999</v>
      </c>
      <c r="R95">
        <v>39.322000000000003</v>
      </c>
      <c r="S95">
        <v>39.322000000000003</v>
      </c>
      <c r="T95">
        <v>1.2337</v>
      </c>
      <c r="U95">
        <v>4350.3599999999997</v>
      </c>
      <c r="V95">
        <f t="shared" si="2"/>
        <v>23.643260869565214</v>
      </c>
      <c r="W95">
        <f t="shared" si="3"/>
        <v>4.1117466666666663E-4</v>
      </c>
    </row>
    <row r="96" spans="1:23" x14ac:dyDescent="0.3">
      <c r="A96">
        <v>89</v>
      </c>
      <c r="B96">
        <v>1.1898099999999999E-3</v>
      </c>
      <c r="C96">
        <v>4.2331399999999998E-2</v>
      </c>
      <c r="D96">
        <v>35.6205</v>
      </c>
      <c r="E96">
        <v>35.578200000000002</v>
      </c>
      <c r="F96">
        <v>-2.2662800000000001E-4</v>
      </c>
      <c r="G96">
        <v>-4.2465999999999997E-3</v>
      </c>
      <c r="H96">
        <v>18.734000000000002</v>
      </c>
      <c r="I96">
        <v>18.738199999999999</v>
      </c>
      <c r="J96">
        <v>-5.7670799999999999E-4</v>
      </c>
      <c r="K96">
        <v>-9.4585099999999998E-3</v>
      </c>
      <c r="L96">
        <v>16.391400000000001</v>
      </c>
      <c r="M96">
        <v>16.4009</v>
      </c>
      <c r="N96">
        <v>-5.9369299999999996E-4</v>
      </c>
      <c r="O96">
        <v>-9.1368100000000004E-3</v>
      </c>
      <c r="P96">
        <v>15.380599999999999</v>
      </c>
      <c r="Q96">
        <v>15.389799999999999</v>
      </c>
      <c r="R96">
        <v>39.445</v>
      </c>
      <c r="S96">
        <v>39.445</v>
      </c>
      <c r="T96">
        <v>1.2363</v>
      </c>
      <c r="U96">
        <v>4359.3999999999996</v>
      </c>
      <c r="V96">
        <f t="shared" si="2"/>
        <v>23.692391304347826</v>
      </c>
      <c r="W96">
        <f t="shared" si="3"/>
        <v>4.6567633333333331E-4</v>
      </c>
    </row>
    <row r="97" spans="1:23" x14ac:dyDescent="0.3">
      <c r="A97">
        <v>90</v>
      </c>
      <c r="B97">
        <v>1.20988E-3</v>
      </c>
      <c r="C97">
        <v>4.3045399999999998E-2</v>
      </c>
      <c r="D97">
        <v>35.621200000000002</v>
      </c>
      <c r="E97">
        <v>35.578200000000002</v>
      </c>
      <c r="F97">
        <v>-2.1648199999999999E-4</v>
      </c>
      <c r="G97">
        <v>-4.0565000000000002E-3</v>
      </c>
      <c r="H97">
        <v>18.734200000000001</v>
      </c>
      <c r="I97">
        <v>18.738199999999999</v>
      </c>
      <c r="J97">
        <v>-5.63143E-4</v>
      </c>
      <c r="K97">
        <v>-9.2360299999999992E-3</v>
      </c>
      <c r="L97">
        <v>16.3916</v>
      </c>
      <c r="M97">
        <v>16.4009</v>
      </c>
      <c r="N97">
        <v>-6.2372199999999995E-4</v>
      </c>
      <c r="O97">
        <v>-9.5989500000000002E-3</v>
      </c>
      <c r="P97">
        <v>15.3802</v>
      </c>
      <c r="Q97">
        <v>15.389799999999999</v>
      </c>
      <c r="R97">
        <v>40.322000000000003</v>
      </c>
      <c r="S97">
        <v>40.323</v>
      </c>
      <c r="T97">
        <v>1.2518</v>
      </c>
      <c r="U97">
        <v>4413.6499999999996</v>
      </c>
      <c r="V97">
        <f t="shared" si="2"/>
        <v>23.987228260869564</v>
      </c>
      <c r="W97">
        <f t="shared" si="3"/>
        <v>4.6778233333333329E-4</v>
      </c>
    </row>
    <row r="98" spans="1:23" x14ac:dyDescent="0.3">
      <c r="A98">
        <v>91</v>
      </c>
      <c r="B98">
        <v>1.2444000000000001E-3</v>
      </c>
      <c r="C98">
        <v>4.42735E-2</v>
      </c>
      <c r="D98">
        <v>35.622399999999999</v>
      </c>
      <c r="E98">
        <v>35.578200000000002</v>
      </c>
      <c r="F98">
        <v>-1.8593200000000001E-4</v>
      </c>
      <c r="G98">
        <v>-3.4840399999999999E-3</v>
      </c>
      <c r="H98">
        <v>18.7347</v>
      </c>
      <c r="I98">
        <v>18.738199999999999</v>
      </c>
      <c r="J98">
        <v>-5.8062000000000001E-4</v>
      </c>
      <c r="K98">
        <v>-9.5226600000000005E-3</v>
      </c>
      <c r="L98">
        <v>16.391300000000001</v>
      </c>
      <c r="M98">
        <v>16.4009</v>
      </c>
      <c r="N98">
        <v>-6.9292400000000004E-4</v>
      </c>
      <c r="O98">
        <v>-1.0664E-2</v>
      </c>
      <c r="P98">
        <v>15.379099999999999</v>
      </c>
      <c r="Q98">
        <v>15.389799999999999</v>
      </c>
      <c r="R98">
        <v>41.192999999999998</v>
      </c>
      <c r="S98">
        <v>41.192999999999998</v>
      </c>
      <c r="T98">
        <v>1.2746999999999999</v>
      </c>
      <c r="U98">
        <v>4493.8999999999996</v>
      </c>
      <c r="V98">
        <f t="shared" si="2"/>
        <v>24.423369565217389</v>
      </c>
      <c r="W98">
        <f t="shared" si="3"/>
        <v>4.8649199999999999E-4</v>
      </c>
    </row>
    <row r="99" spans="1:23" x14ac:dyDescent="0.3">
      <c r="A99">
        <v>92</v>
      </c>
      <c r="B99">
        <v>1.25143E-3</v>
      </c>
      <c r="C99">
        <v>4.4523399999999998E-2</v>
      </c>
      <c r="D99">
        <v>35.622700000000002</v>
      </c>
      <c r="E99">
        <v>35.578200000000002</v>
      </c>
      <c r="F99">
        <v>-2.3088000000000001E-4</v>
      </c>
      <c r="G99">
        <v>-4.3262800000000001E-3</v>
      </c>
      <c r="H99">
        <v>18.733899999999998</v>
      </c>
      <c r="I99">
        <v>18.738199999999999</v>
      </c>
      <c r="J99">
        <v>-5.4537699999999999E-4</v>
      </c>
      <c r="K99">
        <v>-8.9446500000000002E-3</v>
      </c>
      <c r="L99">
        <v>16.3919</v>
      </c>
      <c r="M99">
        <v>16.4009</v>
      </c>
      <c r="N99">
        <v>-6.1943199999999995E-4</v>
      </c>
      <c r="O99">
        <v>-9.5329300000000002E-3</v>
      </c>
      <c r="P99">
        <v>15.3802</v>
      </c>
      <c r="Q99">
        <v>15.389799999999999</v>
      </c>
      <c r="R99">
        <v>41.88</v>
      </c>
      <c r="S99">
        <v>41.881</v>
      </c>
      <c r="T99">
        <v>1.2863</v>
      </c>
      <c r="U99">
        <v>4534.59</v>
      </c>
      <c r="V99">
        <f t="shared" si="2"/>
        <v>24.644510869565217</v>
      </c>
      <c r="W99">
        <f t="shared" si="3"/>
        <v>4.6522966666666664E-4</v>
      </c>
    </row>
    <row r="100" spans="1:23" x14ac:dyDescent="0.3">
      <c r="A100">
        <v>93</v>
      </c>
      <c r="B100">
        <v>1.23178E-3</v>
      </c>
      <c r="C100">
        <v>4.3824599999999998E-2</v>
      </c>
      <c r="D100">
        <v>35.622</v>
      </c>
      <c r="E100">
        <v>35.578200000000002</v>
      </c>
      <c r="F100">
        <v>-2.01213E-4</v>
      </c>
      <c r="G100">
        <v>-3.7703699999999999E-3</v>
      </c>
      <c r="H100">
        <v>18.734500000000001</v>
      </c>
      <c r="I100">
        <v>18.738199999999999</v>
      </c>
      <c r="J100">
        <v>-6.4782499999999999E-4</v>
      </c>
      <c r="K100">
        <v>-1.06249E-2</v>
      </c>
      <c r="L100">
        <v>16.3902</v>
      </c>
      <c r="M100">
        <v>16.4009</v>
      </c>
      <c r="N100">
        <v>-7.3850999999999995E-4</v>
      </c>
      <c r="O100">
        <v>-1.1365500000000001E-2</v>
      </c>
      <c r="P100">
        <v>15.378399999999999</v>
      </c>
      <c r="Q100">
        <v>15.389799999999999</v>
      </c>
      <c r="R100">
        <v>42.503</v>
      </c>
      <c r="S100">
        <v>42.503</v>
      </c>
      <c r="T100">
        <v>1.2963</v>
      </c>
      <c r="U100">
        <v>4569.63</v>
      </c>
      <c r="V100">
        <f t="shared" si="2"/>
        <v>24.834945652173914</v>
      </c>
      <c r="W100">
        <f t="shared" si="3"/>
        <v>5.2918266666666664E-4</v>
      </c>
    </row>
    <row r="101" spans="1:23" x14ac:dyDescent="0.3">
      <c r="A101">
        <v>94</v>
      </c>
      <c r="B101">
        <v>1.2555699999999999E-3</v>
      </c>
      <c r="C101">
        <v>4.4670799999999997E-2</v>
      </c>
      <c r="D101">
        <v>35.622799999999998</v>
      </c>
      <c r="E101">
        <v>35.578200000000002</v>
      </c>
      <c r="F101">
        <v>-3.3374000000000001E-4</v>
      </c>
      <c r="G101">
        <v>-6.2537000000000001E-3</v>
      </c>
      <c r="H101">
        <v>18.731999999999999</v>
      </c>
      <c r="I101">
        <v>18.738199999999999</v>
      </c>
      <c r="J101">
        <v>-6.6470600000000004E-4</v>
      </c>
      <c r="K101">
        <v>-1.09017E-2</v>
      </c>
      <c r="L101">
        <v>16.39</v>
      </c>
      <c r="M101">
        <v>16.4009</v>
      </c>
      <c r="N101">
        <v>-6.5056599999999999E-4</v>
      </c>
      <c r="O101">
        <v>-1.0012099999999999E-2</v>
      </c>
      <c r="P101">
        <v>15.379799999999999</v>
      </c>
      <c r="Q101">
        <v>15.389799999999999</v>
      </c>
      <c r="R101">
        <v>42.753</v>
      </c>
      <c r="S101">
        <v>42.753</v>
      </c>
      <c r="T101">
        <v>1.3005</v>
      </c>
      <c r="U101">
        <v>4584.32</v>
      </c>
      <c r="V101">
        <f t="shared" si="2"/>
        <v>24.914782608695649</v>
      </c>
      <c r="W101">
        <f t="shared" si="3"/>
        <v>5.4967066666666668E-4</v>
      </c>
    </row>
    <row r="102" spans="1:23" x14ac:dyDescent="0.3">
      <c r="A102">
        <v>95</v>
      </c>
      <c r="B102">
        <v>1.3069100000000001E-3</v>
      </c>
      <c r="C102">
        <v>4.6497400000000001E-2</v>
      </c>
      <c r="D102">
        <v>35.624699999999997</v>
      </c>
      <c r="E102">
        <v>35.578200000000002</v>
      </c>
      <c r="F102">
        <v>-1.8529000000000001E-4</v>
      </c>
      <c r="G102">
        <v>-3.4720100000000002E-3</v>
      </c>
      <c r="H102">
        <v>18.7348</v>
      </c>
      <c r="I102">
        <v>18.738199999999999</v>
      </c>
      <c r="J102">
        <v>-5.3848000000000004E-4</v>
      </c>
      <c r="K102">
        <v>-8.8315300000000006E-3</v>
      </c>
      <c r="L102">
        <v>16.391999999999999</v>
      </c>
      <c r="M102">
        <v>16.4009</v>
      </c>
      <c r="N102">
        <v>-6.3728500000000002E-4</v>
      </c>
      <c r="O102">
        <v>-9.8076799999999992E-3</v>
      </c>
      <c r="P102">
        <v>15.38</v>
      </c>
      <c r="Q102">
        <v>15.389799999999999</v>
      </c>
      <c r="R102">
        <v>43.314999999999998</v>
      </c>
      <c r="S102">
        <v>43.314999999999998</v>
      </c>
      <c r="T102">
        <v>1.3171999999999999</v>
      </c>
      <c r="U102">
        <v>4643.1000000000004</v>
      </c>
      <c r="V102">
        <f t="shared" si="2"/>
        <v>25.234239130434784</v>
      </c>
      <c r="W102">
        <f t="shared" si="3"/>
        <v>4.5368500000000006E-4</v>
      </c>
    </row>
    <row r="103" spans="1:23" x14ac:dyDescent="0.3">
      <c r="A103">
        <v>96</v>
      </c>
      <c r="B103">
        <v>1.3119099999999999E-3</v>
      </c>
      <c r="C103">
        <v>4.66752E-2</v>
      </c>
      <c r="D103">
        <v>35.6248</v>
      </c>
      <c r="E103">
        <v>35.578200000000002</v>
      </c>
      <c r="F103">
        <v>-1.8747800000000001E-4</v>
      </c>
      <c r="G103">
        <v>-3.51301E-3</v>
      </c>
      <c r="H103">
        <v>18.7347</v>
      </c>
      <c r="I103">
        <v>18.738199999999999</v>
      </c>
      <c r="J103">
        <v>-4.8120599999999997E-4</v>
      </c>
      <c r="K103">
        <v>-7.8921900000000003E-3</v>
      </c>
      <c r="L103">
        <v>16.393000000000001</v>
      </c>
      <c r="M103">
        <v>16.4009</v>
      </c>
      <c r="N103">
        <v>-5.0008300000000002E-4</v>
      </c>
      <c r="O103">
        <v>-7.6961699999999996E-3</v>
      </c>
      <c r="P103">
        <v>15.382099999999999</v>
      </c>
      <c r="Q103">
        <v>15.389799999999999</v>
      </c>
      <c r="R103">
        <v>44.563000000000002</v>
      </c>
      <c r="S103">
        <v>44.563000000000002</v>
      </c>
      <c r="T103">
        <v>1.3371999999999999</v>
      </c>
      <c r="U103">
        <v>4713.17</v>
      </c>
      <c r="V103">
        <f t="shared" si="2"/>
        <v>25.615054347826089</v>
      </c>
      <c r="W103">
        <f t="shared" si="3"/>
        <v>3.8958900000000003E-4</v>
      </c>
    </row>
    <row r="104" spans="1:23" x14ac:dyDescent="0.3">
      <c r="A104">
        <v>97</v>
      </c>
      <c r="B104">
        <v>1.29298E-3</v>
      </c>
      <c r="C104">
        <v>4.6001899999999998E-2</v>
      </c>
      <c r="D104">
        <v>35.624200000000002</v>
      </c>
      <c r="E104">
        <v>35.578200000000002</v>
      </c>
      <c r="F104">
        <v>-3.1114700000000001E-4</v>
      </c>
      <c r="G104">
        <v>-5.8303499999999998E-3</v>
      </c>
      <c r="H104">
        <v>18.732399999999998</v>
      </c>
      <c r="I104">
        <v>18.738199999999999</v>
      </c>
      <c r="J104">
        <v>-6.1251999999999997E-4</v>
      </c>
      <c r="K104">
        <v>-1.00459E-2</v>
      </c>
      <c r="L104">
        <v>16.390799999999999</v>
      </c>
      <c r="M104">
        <v>16.4009</v>
      </c>
      <c r="N104">
        <v>-6.7009100000000005E-4</v>
      </c>
      <c r="O104">
        <v>-1.03126E-2</v>
      </c>
      <c r="P104">
        <v>15.3795</v>
      </c>
      <c r="Q104">
        <v>15.389799999999999</v>
      </c>
      <c r="R104">
        <v>45.061999999999998</v>
      </c>
      <c r="S104">
        <v>45.061999999999998</v>
      </c>
      <c r="T104">
        <v>1.3472</v>
      </c>
      <c r="U104">
        <v>4748.21</v>
      </c>
      <c r="V104">
        <f t="shared" si="2"/>
        <v>25.805489130434783</v>
      </c>
      <c r="W104">
        <f t="shared" si="3"/>
        <v>5.3125266666666671E-4</v>
      </c>
    </row>
    <row r="105" spans="1:23" x14ac:dyDescent="0.3">
      <c r="A105">
        <v>98</v>
      </c>
      <c r="B105">
        <v>1.30294E-3</v>
      </c>
      <c r="C105">
        <v>4.63562E-2</v>
      </c>
      <c r="D105">
        <v>35.624499999999998</v>
      </c>
      <c r="E105">
        <v>35.578200000000002</v>
      </c>
      <c r="F105">
        <v>-1.56269E-4</v>
      </c>
      <c r="G105">
        <v>-2.9282000000000002E-3</v>
      </c>
      <c r="H105">
        <v>18.735299999999999</v>
      </c>
      <c r="I105">
        <v>18.738199999999999</v>
      </c>
      <c r="J105">
        <v>-4.78388E-4</v>
      </c>
      <c r="K105">
        <v>-7.8459700000000007E-3</v>
      </c>
      <c r="L105">
        <v>16.393000000000001</v>
      </c>
      <c r="M105">
        <v>16.4009</v>
      </c>
      <c r="N105">
        <v>-6.5809799999999997E-4</v>
      </c>
      <c r="O105">
        <v>-1.0128E-2</v>
      </c>
      <c r="P105">
        <v>15.3797</v>
      </c>
      <c r="Q105">
        <v>15.389799999999999</v>
      </c>
      <c r="R105">
        <v>45.686</v>
      </c>
      <c r="S105">
        <v>45.686</v>
      </c>
      <c r="T105">
        <v>1.3604000000000001</v>
      </c>
      <c r="U105">
        <v>4794.55</v>
      </c>
      <c r="V105">
        <f t="shared" si="2"/>
        <v>26.057336956521741</v>
      </c>
      <c r="W105">
        <f t="shared" si="3"/>
        <v>4.3091833333333334E-4</v>
      </c>
    </row>
    <row r="106" spans="1:23" x14ac:dyDescent="0.3">
      <c r="A106">
        <v>99</v>
      </c>
      <c r="B106">
        <v>1.33183E-3</v>
      </c>
      <c r="C106">
        <v>4.7384099999999998E-2</v>
      </c>
      <c r="D106">
        <v>35.625500000000002</v>
      </c>
      <c r="E106">
        <v>35.578200000000002</v>
      </c>
      <c r="F106">
        <v>-3.53722E-4</v>
      </c>
      <c r="G106">
        <v>-6.6281300000000003E-3</v>
      </c>
      <c r="H106">
        <v>18.7316</v>
      </c>
      <c r="I106">
        <v>18.738199999999999</v>
      </c>
      <c r="J106">
        <v>-6.5448199999999996E-4</v>
      </c>
      <c r="K106">
        <v>-1.07341E-2</v>
      </c>
      <c r="L106">
        <v>16.3901</v>
      </c>
      <c r="M106">
        <v>16.4009</v>
      </c>
      <c r="N106">
        <v>-7.2264900000000001E-4</v>
      </c>
      <c r="O106">
        <v>-1.11214E-2</v>
      </c>
      <c r="P106">
        <v>15.3787</v>
      </c>
      <c r="Q106">
        <v>15.389799999999999</v>
      </c>
      <c r="R106">
        <v>46.499000000000002</v>
      </c>
      <c r="S106">
        <v>46.499000000000002</v>
      </c>
      <c r="T106">
        <v>1.3746</v>
      </c>
      <c r="U106">
        <v>4844.28</v>
      </c>
      <c r="V106">
        <f t="shared" si="2"/>
        <v>26.327608695652174</v>
      </c>
      <c r="W106">
        <f t="shared" si="3"/>
        <v>5.7695100000000003E-4</v>
      </c>
    </row>
    <row r="107" spans="1:23" x14ac:dyDescent="0.3">
      <c r="A107">
        <v>100</v>
      </c>
      <c r="B107">
        <v>1.3300899999999999E-3</v>
      </c>
      <c r="C107">
        <v>4.7322299999999998E-2</v>
      </c>
      <c r="D107">
        <v>35.625500000000002</v>
      </c>
      <c r="E107">
        <v>35.578200000000002</v>
      </c>
      <c r="F107">
        <v>-2.7200199999999998E-4</v>
      </c>
      <c r="G107">
        <v>-5.0968400000000001E-3</v>
      </c>
      <c r="H107">
        <v>18.7331</v>
      </c>
      <c r="I107">
        <v>18.738199999999999</v>
      </c>
      <c r="J107">
        <v>-6.3700400000000004E-4</v>
      </c>
      <c r="K107">
        <v>-1.0447400000000001E-2</v>
      </c>
      <c r="L107">
        <v>16.3904</v>
      </c>
      <c r="M107">
        <v>16.4009</v>
      </c>
      <c r="N107">
        <v>-6.4296899999999996E-4</v>
      </c>
      <c r="O107">
        <v>-9.8951500000000001E-3</v>
      </c>
      <c r="P107">
        <v>15.379899999999999</v>
      </c>
      <c r="Q107">
        <v>15.389799999999999</v>
      </c>
      <c r="R107">
        <v>46.935000000000002</v>
      </c>
      <c r="S107">
        <v>46.935000000000002</v>
      </c>
      <c r="T107">
        <v>1.3819999999999999</v>
      </c>
      <c r="U107">
        <v>4870.28</v>
      </c>
      <c r="V107">
        <f t="shared" si="2"/>
        <v>26.46891304347826</v>
      </c>
      <c r="W107">
        <f t="shared" si="3"/>
        <v>5.1732500000000001E-4</v>
      </c>
    </row>
    <row r="108" spans="1:23" x14ac:dyDescent="0.3">
      <c r="A108">
        <v>101</v>
      </c>
      <c r="B108">
        <v>1.3077500000000001E-3</v>
      </c>
      <c r="C108">
        <v>4.6527199999999998E-2</v>
      </c>
      <c r="D108">
        <v>35.624699999999997</v>
      </c>
      <c r="E108">
        <v>35.578200000000002</v>
      </c>
      <c r="F108">
        <v>-2.47493E-4</v>
      </c>
      <c r="G108">
        <v>-4.6375899999999996E-3</v>
      </c>
      <c r="H108">
        <v>18.733599999999999</v>
      </c>
      <c r="I108">
        <v>18.738199999999999</v>
      </c>
      <c r="J108">
        <v>-6.0678200000000005E-4</v>
      </c>
      <c r="K108">
        <v>-9.9517500000000005E-3</v>
      </c>
      <c r="L108">
        <v>16.390899999999998</v>
      </c>
      <c r="M108">
        <v>16.4009</v>
      </c>
      <c r="N108">
        <v>-6.7945099999999997E-4</v>
      </c>
      <c r="O108">
        <v>-1.04566E-2</v>
      </c>
      <c r="P108">
        <v>15.379300000000001</v>
      </c>
      <c r="Q108">
        <v>15.389799999999999</v>
      </c>
      <c r="R108">
        <v>47.685000000000002</v>
      </c>
      <c r="S108">
        <v>47.685000000000002</v>
      </c>
      <c r="T108">
        <v>1.3996999999999999</v>
      </c>
      <c r="U108">
        <v>4932.4399999999996</v>
      </c>
      <c r="V108">
        <f t="shared" si="2"/>
        <v>26.806739130434782</v>
      </c>
      <c r="W108">
        <f t="shared" si="3"/>
        <v>5.1124199999999997E-4</v>
      </c>
    </row>
    <row r="109" spans="1:23" x14ac:dyDescent="0.3">
      <c r="A109">
        <v>102</v>
      </c>
      <c r="B109">
        <v>1.3924199999999999E-3</v>
      </c>
      <c r="C109">
        <v>4.9539899999999998E-2</v>
      </c>
      <c r="D109">
        <v>35.627699999999997</v>
      </c>
      <c r="E109">
        <v>35.578200000000002</v>
      </c>
      <c r="F109">
        <v>-1.7592500000000001E-4</v>
      </c>
      <c r="G109">
        <v>-3.2965199999999998E-3</v>
      </c>
      <c r="H109">
        <v>18.7349</v>
      </c>
      <c r="I109">
        <v>18.738199999999999</v>
      </c>
      <c r="J109">
        <v>-5.7801800000000002E-4</v>
      </c>
      <c r="K109">
        <v>-9.4799900000000006E-3</v>
      </c>
      <c r="L109">
        <v>16.391400000000001</v>
      </c>
      <c r="M109">
        <v>16.4009</v>
      </c>
      <c r="N109">
        <v>-6.6372899999999995E-4</v>
      </c>
      <c r="O109">
        <v>-1.0214600000000001E-2</v>
      </c>
      <c r="P109">
        <v>15.3796</v>
      </c>
      <c r="Q109">
        <v>15.389799999999999</v>
      </c>
      <c r="R109">
        <v>48.433</v>
      </c>
      <c r="S109">
        <v>48.433</v>
      </c>
      <c r="T109">
        <v>1.4091</v>
      </c>
      <c r="U109">
        <v>4965.22</v>
      </c>
      <c r="V109">
        <f t="shared" si="2"/>
        <v>26.984891304347826</v>
      </c>
      <c r="W109">
        <f t="shared" si="3"/>
        <v>4.7255733333333334E-4</v>
      </c>
    </row>
    <row r="110" spans="1:23" x14ac:dyDescent="0.3">
      <c r="A110">
        <v>103</v>
      </c>
      <c r="B110">
        <v>1.36725E-3</v>
      </c>
      <c r="C110">
        <v>4.8644199999999999E-2</v>
      </c>
      <c r="D110">
        <v>35.626800000000003</v>
      </c>
      <c r="E110">
        <v>35.578200000000002</v>
      </c>
      <c r="F110">
        <v>-2.5024599999999998E-4</v>
      </c>
      <c r="G110">
        <v>-4.6891600000000004E-3</v>
      </c>
      <c r="H110">
        <v>18.733499999999999</v>
      </c>
      <c r="I110">
        <v>18.738199999999999</v>
      </c>
      <c r="J110">
        <v>-6.4438500000000003E-4</v>
      </c>
      <c r="K110">
        <v>-1.05685E-2</v>
      </c>
      <c r="L110">
        <v>16.3903</v>
      </c>
      <c r="M110">
        <v>16.4009</v>
      </c>
      <c r="N110">
        <v>-7.6112499999999997E-4</v>
      </c>
      <c r="O110">
        <v>-1.17135E-2</v>
      </c>
      <c r="P110">
        <v>15.3781</v>
      </c>
      <c r="Q110">
        <v>15.389799999999999</v>
      </c>
      <c r="R110">
        <v>48.930999999999997</v>
      </c>
      <c r="S110">
        <v>48.930999999999997</v>
      </c>
      <c r="T110">
        <v>1.4226000000000001</v>
      </c>
      <c r="U110">
        <v>5012.6899999999996</v>
      </c>
      <c r="V110">
        <f t="shared" si="2"/>
        <v>27.242880434782606</v>
      </c>
      <c r="W110">
        <f t="shared" si="3"/>
        <v>5.5191866666666662E-4</v>
      </c>
    </row>
    <row r="111" spans="1:23" x14ac:dyDescent="0.3">
      <c r="A111">
        <v>104</v>
      </c>
      <c r="B111">
        <v>1.4584999999999999E-3</v>
      </c>
      <c r="C111">
        <v>5.1890600000000002E-2</v>
      </c>
      <c r="D111">
        <v>35.630099999999999</v>
      </c>
      <c r="E111">
        <v>35.578200000000002</v>
      </c>
      <c r="F111">
        <v>-3.0892499999999999E-4</v>
      </c>
      <c r="G111">
        <v>-5.7886999999999999E-3</v>
      </c>
      <c r="H111">
        <v>18.732399999999998</v>
      </c>
      <c r="I111">
        <v>18.738199999999999</v>
      </c>
      <c r="J111">
        <v>-6.3693899999999999E-4</v>
      </c>
      <c r="K111">
        <v>-1.04463E-2</v>
      </c>
      <c r="L111">
        <v>16.3904</v>
      </c>
      <c r="M111">
        <v>16.4009</v>
      </c>
      <c r="N111">
        <v>-7.2905699999999997E-4</v>
      </c>
      <c r="O111">
        <v>-1.1220000000000001E-2</v>
      </c>
      <c r="P111">
        <v>15.3786</v>
      </c>
      <c r="Q111">
        <v>15.389799999999999</v>
      </c>
      <c r="R111">
        <v>49.494</v>
      </c>
      <c r="S111">
        <v>49.494</v>
      </c>
      <c r="T111">
        <v>1.4349000000000001</v>
      </c>
      <c r="U111">
        <v>5055.6400000000003</v>
      </c>
      <c r="V111">
        <f t="shared" si="2"/>
        <v>27.47630434782609</v>
      </c>
      <c r="W111">
        <f t="shared" si="3"/>
        <v>5.5830699999999997E-4</v>
      </c>
    </row>
    <row r="112" spans="1:23" x14ac:dyDescent="0.3">
      <c r="A112">
        <v>105</v>
      </c>
      <c r="B112">
        <v>1.43585E-3</v>
      </c>
      <c r="C112">
        <v>5.1084999999999998E-2</v>
      </c>
      <c r="D112">
        <v>35.629199999999997</v>
      </c>
      <c r="E112">
        <v>35.578200000000002</v>
      </c>
      <c r="F112">
        <v>-1.21427E-4</v>
      </c>
      <c r="G112">
        <v>-2.2753299999999999E-3</v>
      </c>
      <c r="H112">
        <v>18.735900000000001</v>
      </c>
      <c r="I112">
        <v>18.738199999999999</v>
      </c>
      <c r="J112">
        <v>-5.39683E-4</v>
      </c>
      <c r="K112">
        <v>-8.8512699999999996E-3</v>
      </c>
      <c r="L112">
        <v>16.391999999999999</v>
      </c>
      <c r="M112">
        <v>16.4009</v>
      </c>
      <c r="N112">
        <v>-7.1428099999999999E-4</v>
      </c>
      <c r="O112">
        <v>-1.09926E-2</v>
      </c>
      <c r="P112">
        <v>15.3788</v>
      </c>
      <c r="Q112">
        <v>15.389799999999999</v>
      </c>
      <c r="R112">
        <v>50.118000000000002</v>
      </c>
      <c r="S112">
        <v>50.118000000000002</v>
      </c>
      <c r="T112">
        <v>1.4477</v>
      </c>
      <c r="U112">
        <v>5100.8500000000004</v>
      </c>
      <c r="V112">
        <f t="shared" si="2"/>
        <v>27.722010869565221</v>
      </c>
      <c r="W112">
        <f t="shared" si="3"/>
        <v>4.5846366666666669E-4</v>
      </c>
    </row>
    <row r="113" spans="1:23" x14ac:dyDescent="0.3">
      <c r="A113">
        <v>106</v>
      </c>
      <c r="B113">
        <v>1.40683E-3</v>
      </c>
      <c r="C113">
        <v>5.0052399999999997E-2</v>
      </c>
      <c r="D113">
        <v>35.6282</v>
      </c>
      <c r="E113">
        <v>35.578200000000002</v>
      </c>
      <c r="F113">
        <v>-2.3739200000000001E-4</v>
      </c>
      <c r="G113">
        <v>-4.4482999999999997E-3</v>
      </c>
      <c r="H113">
        <v>18.733799999999999</v>
      </c>
      <c r="I113">
        <v>18.738199999999999</v>
      </c>
      <c r="J113">
        <v>-6.9124900000000001E-4</v>
      </c>
      <c r="K113">
        <v>-1.1337099999999999E-2</v>
      </c>
      <c r="L113">
        <v>16.389500000000002</v>
      </c>
      <c r="M113">
        <v>16.4009</v>
      </c>
      <c r="N113">
        <v>-7.5148299999999995E-4</v>
      </c>
      <c r="O113">
        <v>-1.1565199999999999E-2</v>
      </c>
      <c r="P113">
        <v>15.3782</v>
      </c>
      <c r="Q113">
        <v>15.389799999999999</v>
      </c>
      <c r="R113">
        <v>50.927</v>
      </c>
      <c r="S113">
        <v>50.927</v>
      </c>
      <c r="T113">
        <v>1.4590000000000001</v>
      </c>
      <c r="U113">
        <v>5140.41</v>
      </c>
      <c r="V113">
        <f t="shared" si="2"/>
        <v>27.937010869565217</v>
      </c>
      <c r="W113">
        <f t="shared" si="3"/>
        <v>5.6004133333333332E-4</v>
      </c>
    </row>
    <row r="114" spans="1:23" x14ac:dyDescent="0.3">
      <c r="A114">
        <v>107</v>
      </c>
      <c r="B114">
        <v>1.4278800000000001E-3</v>
      </c>
      <c r="C114">
        <v>5.0801199999999998E-2</v>
      </c>
      <c r="D114">
        <v>35.628999999999998</v>
      </c>
      <c r="E114">
        <v>35.578200000000002</v>
      </c>
      <c r="F114">
        <v>-1.9230000000000001E-4</v>
      </c>
      <c r="G114">
        <v>-3.6033699999999998E-3</v>
      </c>
      <c r="H114">
        <v>18.7346</v>
      </c>
      <c r="I114">
        <v>18.738199999999999</v>
      </c>
      <c r="J114">
        <v>-6.5503899999999995E-4</v>
      </c>
      <c r="K114">
        <v>-1.07432E-2</v>
      </c>
      <c r="L114">
        <v>16.3901</v>
      </c>
      <c r="M114">
        <v>16.4009</v>
      </c>
      <c r="N114">
        <v>-7.8705300000000001E-4</v>
      </c>
      <c r="O114">
        <v>-1.2112599999999999E-2</v>
      </c>
      <c r="P114">
        <v>15.377700000000001</v>
      </c>
      <c r="Q114">
        <v>15.389799999999999</v>
      </c>
      <c r="R114">
        <v>51.613999999999997</v>
      </c>
      <c r="S114">
        <v>51.613999999999997</v>
      </c>
      <c r="T114">
        <v>1.478</v>
      </c>
      <c r="U114">
        <v>5207.1000000000004</v>
      </c>
      <c r="V114">
        <f t="shared" si="2"/>
        <v>28.299456521739131</v>
      </c>
      <c r="W114">
        <f t="shared" si="3"/>
        <v>5.4479733333333334E-4</v>
      </c>
    </row>
    <row r="115" spans="1:23" x14ac:dyDescent="0.3">
      <c r="A115">
        <v>108</v>
      </c>
      <c r="B115">
        <v>1.43794E-3</v>
      </c>
      <c r="C115">
        <v>5.1159200000000002E-2</v>
      </c>
      <c r="D115">
        <v>35.629300000000001</v>
      </c>
      <c r="E115">
        <v>35.578200000000002</v>
      </c>
      <c r="F115">
        <v>-2.2346000000000001E-4</v>
      </c>
      <c r="G115">
        <v>-4.1872400000000001E-3</v>
      </c>
      <c r="H115">
        <v>18.734000000000002</v>
      </c>
      <c r="I115">
        <v>18.738199999999999</v>
      </c>
      <c r="J115">
        <v>-7.0416399999999996E-4</v>
      </c>
      <c r="K115">
        <v>-1.1548900000000001E-2</v>
      </c>
      <c r="L115">
        <v>16.389299999999999</v>
      </c>
      <c r="M115">
        <v>16.4009</v>
      </c>
      <c r="N115">
        <v>-8.6216999999999999E-4</v>
      </c>
      <c r="O115">
        <v>-1.32686E-2</v>
      </c>
      <c r="P115">
        <v>15.3765</v>
      </c>
      <c r="Q115">
        <v>15.389799999999999</v>
      </c>
      <c r="R115">
        <v>52.24</v>
      </c>
      <c r="S115">
        <v>52.24</v>
      </c>
      <c r="T115">
        <v>1.4916</v>
      </c>
      <c r="U115">
        <v>5254.57</v>
      </c>
      <c r="V115">
        <f t="shared" si="2"/>
        <v>28.557445652173911</v>
      </c>
      <c r="W115">
        <f t="shared" si="3"/>
        <v>5.9659799999999994E-4</v>
      </c>
    </row>
    <row r="116" spans="1:23" x14ac:dyDescent="0.3">
      <c r="A116">
        <v>109</v>
      </c>
      <c r="B116">
        <v>1.4544600000000001E-3</v>
      </c>
      <c r="C116">
        <v>5.1746899999999998E-2</v>
      </c>
      <c r="D116">
        <v>35.629899999999999</v>
      </c>
      <c r="E116">
        <v>35.578200000000002</v>
      </c>
      <c r="F116">
        <v>-1.5698E-4</v>
      </c>
      <c r="G116">
        <v>-2.9415299999999999E-3</v>
      </c>
      <c r="H116">
        <v>18.735299999999999</v>
      </c>
      <c r="I116">
        <v>18.738199999999999</v>
      </c>
      <c r="J116">
        <v>-6.1674500000000003E-4</v>
      </c>
      <c r="K116">
        <v>-1.01152E-2</v>
      </c>
      <c r="L116">
        <v>16.390699999999999</v>
      </c>
      <c r="M116">
        <v>16.4009</v>
      </c>
      <c r="N116">
        <v>-6.8609499999999996E-4</v>
      </c>
      <c r="O116">
        <v>-1.05588E-2</v>
      </c>
      <c r="P116">
        <v>15.379200000000001</v>
      </c>
      <c r="Q116">
        <v>15.389799999999999</v>
      </c>
      <c r="R116">
        <v>52.738999999999997</v>
      </c>
      <c r="S116">
        <v>52.738999999999997</v>
      </c>
      <c r="T116">
        <v>1.5003</v>
      </c>
      <c r="U116">
        <v>5285.09</v>
      </c>
      <c r="V116">
        <f t="shared" si="2"/>
        <v>28.723315217391306</v>
      </c>
      <c r="W116">
        <f t="shared" si="3"/>
        <v>4.8660666666666669E-4</v>
      </c>
    </row>
    <row r="117" spans="1:23" x14ac:dyDescent="0.3">
      <c r="A117">
        <v>110</v>
      </c>
      <c r="B117">
        <v>1.4450699999999999E-3</v>
      </c>
      <c r="C117">
        <v>5.1412899999999997E-2</v>
      </c>
      <c r="D117">
        <v>35.629600000000003</v>
      </c>
      <c r="E117">
        <v>35.578200000000002</v>
      </c>
      <c r="F117">
        <v>-1.3777799999999999E-4</v>
      </c>
      <c r="G117">
        <v>-2.58172E-3</v>
      </c>
      <c r="H117">
        <v>18.735600000000002</v>
      </c>
      <c r="I117">
        <v>18.738199999999999</v>
      </c>
      <c r="J117">
        <v>-5.6617899999999999E-4</v>
      </c>
      <c r="K117">
        <v>-9.2858200000000002E-3</v>
      </c>
      <c r="L117">
        <v>16.3916</v>
      </c>
      <c r="M117">
        <v>16.4009</v>
      </c>
      <c r="N117">
        <v>-6.8924899999999996E-4</v>
      </c>
      <c r="O117">
        <v>-1.0607399999999999E-2</v>
      </c>
      <c r="P117">
        <v>15.379200000000001</v>
      </c>
      <c r="Q117">
        <v>15.389799999999999</v>
      </c>
      <c r="R117">
        <v>53.237000000000002</v>
      </c>
      <c r="S117">
        <v>53.237000000000002</v>
      </c>
      <c r="T117">
        <v>1.5112000000000001</v>
      </c>
      <c r="U117">
        <v>5323.51</v>
      </c>
      <c r="V117">
        <f t="shared" si="2"/>
        <v>28.932119565217391</v>
      </c>
      <c r="W117">
        <f t="shared" si="3"/>
        <v>4.6440199999999999E-4</v>
      </c>
    </row>
    <row r="118" spans="1:23" x14ac:dyDescent="0.3">
      <c r="A118">
        <v>111</v>
      </c>
      <c r="B118">
        <v>1.41822E-3</v>
      </c>
      <c r="C118">
        <v>5.0457599999999998E-2</v>
      </c>
      <c r="D118">
        <v>35.628599999999999</v>
      </c>
      <c r="E118">
        <v>35.578200000000002</v>
      </c>
      <c r="F118">
        <v>-1.9110199999999999E-4</v>
      </c>
      <c r="G118">
        <v>-3.5809100000000001E-3</v>
      </c>
      <c r="H118">
        <v>18.7346</v>
      </c>
      <c r="I118">
        <v>18.738199999999999</v>
      </c>
      <c r="J118">
        <v>-6.06738E-4</v>
      </c>
      <c r="K118">
        <v>-9.9510199999999997E-3</v>
      </c>
      <c r="L118">
        <v>16.390899999999998</v>
      </c>
      <c r="M118">
        <v>16.4009</v>
      </c>
      <c r="N118">
        <v>-7.8176899999999998E-4</v>
      </c>
      <c r="O118">
        <v>-1.20313E-2</v>
      </c>
      <c r="P118">
        <v>15.377700000000001</v>
      </c>
      <c r="Q118">
        <v>15.389799999999999</v>
      </c>
      <c r="R118">
        <v>53.921999999999997</v>
      </c>
      <c r="S118">
        <v>53.921999999999997</v>
      </c>
      <c r="T118">
        <v>1.5250999999999999</v>
      </c>
      <c r="U118">
        <v>5372.12</v>
      </c>
      <c r="V118">
        <f t="shared" si="2"/>
        <v>29.196304347826086</v>
      </c>
      <c r="W118">
        <f t="shared" si="3"/>
        <v>5.2653633333333335E-4</v>
      </c>
    </row>
    <row r="119" spans="1:23" x14ac:dyDescent="0.3">
      <c r="A119">
        <v>112</v>
      </c>
      <c r="B119">
        <v>1.53122E-3</v>
      </c>
      <c r="C119">
        <v>5.4477999999999999E-2</v>
      </c>
      <c r="D119">
        <v>35.632599999999996</v>
      </c>
      <c r="E119">
        <v>35.578200000000002</v>
      </c>
      <c r="F119">
        <v>-2.01576E-4</v>
      </c>
      <c r="G119">
        <v>-3.7771699999999998E-3</v>
      </c>
      <c r="H119">
        <v>18.734400000000001</v>
      </c>
      <c r="I119">
        <v>18.738199999999999</v>
      </c>
      <c r="J119">
        <v>-6.67058E-4</v>
      </c>
      <c r="K119">
        <v>-1.09403E-2</v>
      </c>
      <c r="L119">
        <v>16.389900000000001</v>
      </c>
      <c r="M119">
        <v>16.4009</v>
      </c>
      <c r="N119">
        <v>-7.8832999999999996E-4</v>
      </c>
      <c r="O119">
        <v>-1.2132199999999999E-2</v>
      </c>
      <c r="P119">
        <v>15.377599999999999</v>
      </c>
      <c r="Q119">
        <v>15.389799999999999</v>
      </c>
      <c r="R119">
        <v>54.548000000000002</v>
      </c>
      <c r="S119">
        <v>54.548000000000002</v>
      </c>
      <c r="T119">
        <v>1.5350999999999999</v>
      </c>
      <c r="U119">
        <v>5407.15</v>
      </c>
      <c r="V119">
        <f t="shared" si="2"/>
        <v>29.386684782608693</v>
      </c>
      <c r="W119">
        <f t="shared" si="3"/>
        <v>5.5232133333333331E-4</v>
      </c>
    </row>
    <row r="120" spans="1:23" x14ac:dyDescent="0.3">
      <c r="A120">
        <v>113</v>
      </c>
      <c r="B120">
        <v>1.4820899999999999E-3</v>
      </c>
      <c r="C120">
        <v>5.2730100000000002E-2</v>
      </c>
      <c r="D120">
        <v>35.630899999999997</v>
      </c>
      <c r="E120">
        <v>35.578200000000002</v>
      </c>
      <c r="F120">
        <v>-1.8377199999999999E-4</v>
      </c>
      <c r="G120">
        <v>-3.44356E-3</v>
      </c>
      <c r="H120">
        <v>18.7348</v>
      </c>
      <c r="I120">
        <v>18.738199999999999</v>
      </c>
      <c r="J120">
        <v>-6.7010400000000003E-4</v>
      </c>
      <c r="K120">
        <v>-1.09903E-2</v>
      </c>
      <c r="L120">
        <v>16.389900000000001</v>
      </c>
      <c r="M120">
        <v>16.4009</v>
      </c>
      <c r="N120">
        <v>-8.5449899999999999E-4</v>
      </c>
      <c r="O120">
        <v>-1.3150500000000001E-2</v>
      </c>
      <c r="P120">
        <v>15.3766</v>
      </c>
      <c r="Q120">
        <v>15.389799999999999</v>
      </c>
      <c r="R120">
        <v>55.11</v>
      </c>
      <c r="S120">
        <v>55.11</v>
      </c>
      <c r="T120">
        <v>1.5457000000000001</v>
      </c>
      <c r="U120">
        <v>5444.45</v>
      </c>
      <c r="V120">
        <f t="shared" si="2"/>
        <v>29.589402173913044</v>
      </c>
      <c r="W120">
        <f t="shared" si="3"/>
        <v>5.6945833333333338E-4</v>
      </c>
    </row>
    <row r="121" spans="1:23" x14ac:dyDescent="0.3">
      <c r="A121">
        <v>114</v>
      </c>
      <c r="B121">
        <v>1.53651E-3</v>
      </c>
      <c r="C121">
        <v>5.4666199999999998E-2</v>
      </c>
      <c r="D121">
        <v>35.632800000000003</v>
      </c>
      <c r="E121">
        <v>35.578200000000002</v>
      </c>
      <c r="F121">
        <v>-2.4168599999999999E-4</v>
      </c>
      <c r="G121">
        <v>-4.5287599999999997E-3</v>
      </c>
      <c r="H121">
        <v>18.733699999999999</v>
      </c>
      <c r="I121">
        <v>18.738199999999999</v>
      </c>
      <c r="J121">
        <v>-6.8084999999999999E-4</v>
      </c>
      <c r="K121">
        <v>-1.1166499999999999E-2</v>
      </c>
      <c r="L121">
        <v>16.389700000000001</v>
      </c>
      <c r="M121">
        <v>16.4009</v>
      </c>
      <c r="N121">
        <v>-8.2745599999999996E-4</v>
      </c>
      <c r="O121">
        <v>-1.27344E-2</v>
      </c>
      <c r="P121">
        <v>15.377000000000001</v>
      </c>
      <c r="Q121">
        <v>15.389799999999999</v>
      </c>
      <c r="R121">
        <v>55.981999999999999</v>
      </c>
      <c r="S121">
        <v>55.981999999999999</v>
      </c>
      <c r="T121">
        <v>1.5689</v>
      </c>
      <c r="U121">
        <v>5525.83</v>
      </c>
      <c r="V121">
        <f t="shared" si="2"/>
        <v>30.031684782608696</v>
      </c>
      <c r="W121">
        <f t="shared" si="3"/>
        <v>5.833306666666666E-4</v>
      </c>
    </row>
    <row r="122" spans="1:23" x14ac:dyDescent="0.3">
      <c r="A122">
        <v>115</v>
      </c>
      <c r="B122">
        <v>1.5200700000000001E-3</v>
      </c>
      <c r="C122">
        <v>5.4081400000000002E-2</v>
      </c>
      <c r="D122">
        <v>35.632199999999997</v>
      </c>
      <c r="E122">
        <v>35.578200000000002</v>
      </c>
      <c r="F122">
        <v>-2.6628600000000002E-4</v>
      </c>
      <c r="G122">
        <v>-4.9897400000000003E-3</v>
      </c>
      <c r="H122">
        <v>18.7332</v>
      </c>
      <c r="I122">
        <v>18.738199999999999</v>
      </c>
      <c r="J122">
        <v>-7.0195299999999995E-4</v>
      </c>
      <c r="K122">
        <v>-1.15126E-2</v>
      </c>
      <c r="L122">
        <v>16.389299999999999</v>
      </c>
      <c r="M122">
        <v>16.4009</v>
      </c>
      <c r="N122">
        <v>-7.7212799999999996E-4</v>
      </c>
      <c r="O122">
        <v>-1.18829E-2</v>
      </c>
      <c r="P122">
        <v>15.3779</v>
      </c>
      <c r="Q122">
        <v>15.389799999999999</v>
      </c>
      <c r="R122">
        <v>56.357999999999997</v>
      </c>
      <c r="S122">
        <v>56.357999999999997</v>
      </c>
      <c r="T122">
        <v>1.5757000000000001</v>
      </c>
      <c r="U122">
        <v>5549.57</v>
      </c>
      <c r="V122">
        <f t="shared" si="2"/>
        <v>30.160706521739129</v>
      </c>
      <c r="W122">
        <f t="shared" si="3"/>
        <v>5.8012233333333335E-4</v>
      </c>
    </row>
    <row r="123" spans="1:23" x14ac:dyDescent="0.3">
      <c r="A123">
        <v>116</v>
      </c>
      <c r="B123">
        <v>1.6081100000000001E-3</v>
      </c>
      <c r="C123">
        <v>5.7213600000000003E-2</v>
      </c>
      <c r="D123">
        <v>35.635399999999997</v>
      </c>
      <c r="E123">
        <v>35.578200000000002</v>
      </c>
      <c r="F123">
        <v>-2.6886999999999999E-4</v>
      </c>
      <c r="G123">
        <v>-5.0381599999999999E-3</v>
      </c>
      <c r="H123">
        <v>18.7332</v>
      </c>
      <c r="I123">
        <v>18.738199999999999</v>
      </c>
      <c r="J123">
        <v>-6.6450600000000004E-4</v>
      </c>
      <c r="K123">
        <v>-1.08985E-2</v>
      </c>
      <c r="L123">
        <v>16.39</v>
      </c>
      <c r="M123">
        <v>16.4009</v>
      </c>
      <c r="N123">
        <v>-7.73494E-4</v>
      </c>
      <c r="O123">
        <v>-1.19039E-2</v>
      </c>
      <c r="P123">
        <v>15.3779</v>
      </c>
      <c r="Q123">
        <v>15.389799999999999</v>
      </c>
      <c r="R123">
        <v>57.106000000000002</v>
      </c>
      <c r="S123">
        <v>57.106000000000002</v>
      </c>
      <c r="T123">
        <v>1.5921000000000001</v>
      </c>
      <c r="U123">
        <v>5607.21</v>
      </c>
      <c r="V123">
        <f t="shared" si="2"/>
        <v>30.473967391304349</v>
      </c>
      <c r="W123">
        <f t="shared" si="3"/>
        <v>5.6895666666666666E-4</v>
      </c>
    </row>
    <row r="124" spans="1:23" x14ac:dyDescent="0.3">
      <c r="A124">
        <v>117</v>
      </c>
      <c r="B124">
        <v>1.52867E-3</v>
      </c>
      <c r="C124">
        <v>5.43873E-2</v>
      </c>
      <c r="D124">
        <v>35.6325</v>
      </c>
      <c r="E124">
        <v>35.578200000000002</v>
      </c>
      <c r="F124">
        <v>-2.6290100000000001E-4</v>
      </c>
      <c r="G124">
        <v>-4.9263099999999997E-3</v>
      </c>
      <c r="H124">
        <v>18.7333</v>
      </c>
      <c r="I124">
        <v>18.738199999999999</v>
      </c>
      <c r="J124">
        <v>-7.4266299999999996E-4</v>
      </c>
      <c r="K124">
        <v>-1.21803E-2</v>
      </c>
      <c r="L124">
        <v>16.3887</v>
      </c>
      <c r="M124">
        <v>16.4009</v>
      </c>
      <c r="N124">
        <v>-8.0734100000000005E-4</v>
      </c>
      <c r="O124">
        <v>-1.24248E-2</v>
      </c>
      <c r="P124">
        <v>15.3774</v>
      </c>
      <c r="Q124">
        <v>15.389799999999999</v>
      </c>
      <c r="R124">
        <v>57.790999999999997</v>
      </c>
      <c r="S124">
        <v>57.790999999999997</v>
      </c>
      <c r="T124">
        <v>1.6036999999999999</v>
      </c>
      <c r="U124">
        <v>5647.9</v>
      </c>
      <c r="V124">
        <f t="shared" si="2"/>
        <v>30.695108695652173</v>
      </c>
      <c r="W124">
        <f t="shared" si="3"/>
        <v>6.0430166666666665E-4</v>
      </c>
    </row>
    <row r="125" spans="1:23" x14ac:dyDescent="0.3">
      <c r="A125">
        <v>118</v>
      </c>
      <c r="B125">
        <v>1.52305E-3</v>
      </c>
      <c r="C125">
        <v>5.4187399999999997E-2</v>
      </c>
      <c r="D125">
        <v>35.632300000000001</v>
      </c>
      <c r="E125">
        <v>35.578200000000002</v>
      </c>
      <c r="F125">
        <v>-2.5749900000000001E-4</v>
      </c>
      <c r="G125">
        <v>-4.8250799999999998E-3</v>
      </c>
      <c r="H125">
        <v>18.7334</v>
      </c>
      <c r="I125">
        <v>18.738199999999999</v>
      </c>
      <c r="J125">
        <v>-6.65082E-4</v>
      </c>
      <c r="K125">
        <v>-1.09079E-2</v>
      </c>
      <c r="L125">
        <v>16.389900000000001</v>
      </c>
      <c r="M125">
        <v>16.4009</v>
      </c>
      <c r="N125">
        <v>-7.5078000000000005E-4</v>
      </c>
      <c r="O125">
        <v>-1.15543E-2</v>
      </c>
      <c r="P125">
        <v>15.3782</v>
      </c>
      <c r="Q125">
        <v>15.389799999999999</v>
      </c>
      <c r="R125">
        <v>57.917999999999999</v>
      </c>
      <c r="S125">
        <v>57.92</v>
      </c>
      <c r="T125">
        <v>1.6117999999999999</v>
      </c>
      <c r="U125">
        <v>5676.16</v>
      </c>
      <c r="V125">
        <f t="shared" si="2"/>
        <v>30.848695652173912</v>
      </c>
      <c r="W125">
        <f t="shared" si="3"/>
        <v>5.5778700000000002E-4</v>
      </c>
    </row>
    <row r="126" spans="1:23" x14ac:dyDescent="0.3">
      <c r="A126">
        <v>119</v>
      </c>
      <c r="B126">
        <v>1.5728599999999999E-3</v>
      </c>
      <c r="C126">
        <v>5.5959500000000002E-2</v>
      </c>
      <c r="D126">
        <v>35.634099999999997</v>
      </c>
      <c r="E126">
        <v>35.578200000000002</v>
      </c>
      <c r="F126">
        <v>-3.63562E-4</v>
      </c>
      <c r="G126">
        <v>-6.8125099999999999E-3</v>
      </c>
      <c r="H126">
        <v>18.731400000000001</v>
      </c>
      <c r="I126">
        <v>18.738199999999999</v>
      </c>
      <c r="J126">
        <v>-7.8292599999999998E-4</v>
      </c>
      <c r="K126">
        <v>-1.28407E-2</v>
      </c>
      <c r="L126">
        <v>16.388000000000002</v>
      </c>
      <c r="M126">
        <v>16.4009</v>
      </c>
      <c r="N126">
        <v>-8.6189000000000003E-4</v>
      </c>
      <c r="O126">
        <v>-1.32643E-2</v>
      </c>
      <c r="P126">
        <v>15.3765</v>
      </c>
      <c r="Q126">
        <v>15.389799999999999</v>
      </c>
      <c r="R126">
        <v>58.042999999999999</v>
      </c>
      <c r="S126">
        <v>58.042999999999999</v>
      </c>
      <c r="T126">
        <v>1.6205000000000001</v>
      </c>
      <c r="U126">
        <v>5706.67</v>
      </c>
      <c r="V126">
        <f t="shared" si="2"/>
        <v>31.014510869565218</v>
      </c>
      <c r="W126">
        <f t="shared" si="3"/>
        <v>6.6945933333333334E-4</v>
      </c>
    </row>
    <row r="127" spans="1:23" x14ac:dyDescent="0.3">
      <c r="A127">
        <v>120</v>
      </c>
      <c r="B127">
        <v>1.5520200000000001E-3</v>
      </c>
      <c r="C127">
        <v>5.52179E-2</v>
      </c>
      <c r="D127">
        <v>35.633400000000002</v>
      </c>
      <c r="E127">
        <v>35.578200000000002</v>
      </c>
      <c r="F127">
        <v>-3.2478999999999999E-4</v>
      </c>
      <c r="G127">
        <v>-6.0860000000000003E-3</v>
      </c>
      <c r="H127">
        <v>18.732099999999999</v>
      </c>
      <c r="I127">
        <v>18.738199999999999</v>
      </c>
      <c r="J127">
        <v>-6.4376400000000001E-4</v>
      </c>
      <c r="K127">
        <v>-1.05583E-2</v>
      </c>
      <c r="L127">
        <v>16.3903</v>
      </c>
      <c r="M127">
        <v>16.4009</v>
      </c>
      <c r="N127">
        <v>-7.9560299999999998E-4</v>
      </c>
      <c r="O127">
        <v>-1.22442E-2</v>
      </c>
      <c r="P127">
        <v>15.3775</v>
      </c>
      <c r="Q127">
        <v>15.389799999999999</v>
      </c>
      <c r="R127">
        <v>58.481000000000002</v>
      </c>
      <c r="S127">
        <v>58.481000000000002</v>
      </c>
      <c r="T127">
        <v>1.6111</v>
      </c>
      <c r="U127">
        <v>5673.9</v>
      </c>
      <c r="V127">
        <f t="shared" si="2"/>
        <v>30.83641304347826</v>
      </c>
      <c r="W127">
        <f t="shared" si="3"/>
        <v>5.8805233333333331E-4</v>
      </c>
    </row>
    <row r="128" spans="1:23" x14ac:dyDescent="0.3">
      <c r="A128">
        <v>121</v>
      </c>
      <c r="B128">
        <v>1.5620600000000001E-3</v>
      </c>
      <c r="C128">
        <v>5.5575300000000001E-2</v>
      </c>
      <c r="D128">
        <v>35.633699999999997</v>
      </c>
      <c r="E128">
        <v>35.578200000000002</v>
      </c>
      <c r="F128">
        <v>-2.6203799999999997E-4</v>
      </c>
      <c r="G128">
        <v>-4.9101300000000004E-3</v>
      </c>
      <c r="H128">
        <v>18.7333</v>
      </c>
      <c r="I128">
        <v>18.738199999999999</v>
      </c>
      <c r="J128">
        <v>-6.2009100000000002E-4</v>
      </c>
      <c r="K128">
        <v>-1.017E-2</v>
      </c>
      <c r="L128">
        <v>16.390699999999999</v>
      </c>
      <c r="M128">
        <v>16.4009</v>
      </c>
      <c r="N128">
        <v>-7.0525700000000004E-4</v>
      </c>
      <c r="O128">
        <v>-1.08538E-2</v>
      </c>
      <c r="P128">
        <v>15.3789</v>
      </c>
      <c r="Q128">
        <v>15.389799999999999</v>
      </c>
      <c r="R128">
        <v>59.101999999999997</v>
      </c>
      <c r="S128">
        <v>59.103000000000002</v>
      </c>
      <c r="T128">
        <v>1.6285000000000001</v>
      </c>
      <c r="U128">
        <v>5734.93</v>
      </c>
      <c r="V128">
        <f t="shared" si="2"/>
        <v>31.168097826086957</v>
      </c>
      <c r="W128">
        <f t="shared" si="3"/>
        <v>5.2912866666666666E-4</v>
      </c>
    </row>
    <row r="129" spans="1:23" x14ac:dyDescent="0.3">
      <c r="A129">
        <v>122</v>
      </c>
      <c r="B129">
        <v>1.5784499999999999E-3</v>
      </c>
      <c r="C129">
        <v>5.6158300000000001E-2</v>
      </c>
      <c r="D129">
        <v>35.634300000000003</v>
      </c>
      <c r="E129">
        <v>35.578200000000002</v>
      </c>
      <c r="F129">
        <v>-1.1576E-4</v>
      </c>
      <c r="G129">
        <v>-2.16914E-3</v>
      </c>
      <c r="H129">
        <v>18.7361</v>
      </c>
      <c r="I129">
        <v>18.738199999999999</v>
      </c>
      <c r="J129">
        <v>-6.9130299999999999E-4</v>
      </c>
      <c r="K129">
        <v>-1.1338000000000001E-2</v>
      </c>
      <c r="L129">
        <v>16.389500000000002</v>
      </c>
      <c r="M129">
        <v>16.4009</v>
      </c>
      <c r="N129">
        <v>-9.3055799999999995E-4</v>
      </c>
      <c r="O129">
        <v>-1.43211E-2</v>
      </c>
      <c r="P129">
        <v>15.375500000000001</v>
      </c>
      <c r="Q129">
        <v>15.389799999999999</v>
      </c>
      <c r="R129">
        <v>59.54</v>
      </c>
      <c r="S129">
        <v>59.54</v>
      </c>
      <c r="T129">
        <v>1.6395</v>
      </c>
      <c r="U129">
        <v>5773.36</v>
      </c>
      <c r="V129">
        <f t="shared" si="2"/>
        <v>31.376956521739128</v>
      </c>
      <c r="W129">
        <f t="shared" si="3"/>
        <v>5.7920699999999999E-4</v>
      </c>
    </row>
    <row r="130" spans="1:23" x14ac:dyDescent="0.3">
      <c r="A130">
        <v>123</v>
      </c>
      <c r="B130">
        <v>1.62174E-3</v>
      </c>
      <c r="C130">
        <v>5.7698699999999999E-2</v>
      </c>
      <c r="D130">
        <v>35.635899999999999</v>
      </c>
      <c r="E130">
        <v>35.578200000000002</v>
      </c>
      <c r="F130">
        <v>-2.9325800000000002E-4</v>
      </c>
      <c r="G130">
        <v>-5.4951399999999999E-3</v>
      </c>
      <c r="H130">
        <v>18.732700000000001</v>
      </c>
      <c r="I130">
        <v>18.738199999999999</v>
      </c>
      <c r="J130">
        <v>-7.1594900000000001E-4</v>
      </c>
      <c r="K130">
        <v>-1.17422E-2</v>
      </c>
      <c r="L130">
        <v>16.389099999999999</v>
      </c>
      <c r="M130">
        <v>16.4009</v>
      </c>
      <c r="N130">
        <v>-8.2702800000000005E-4</v>
      </c>
      <c r="O130">
        <v>-1.2727799999999999E-2</v>
      </c>
      <c r="P130">
        <v>15.3771</v>
      </c>
      <c r="Q130">
        <v>15.389799999999999</v>
      </c>
      <c r="R130">
        <v>60.161999999999999</v>
      </c>
      <c r="S130">
        <v>60.162999999999997</v>
      </c>
      <c r="T130">
        <v>1.6536999999999999</v>
      </c>
      <c r="U130">
        <v>5823.09</v>
      </c>
      <c r="V130">
        <f t="shared" si="2"/>
        <v>31.647228260869564</v>
      </c>
      <c r="W130">
        <f t="shared" si="3"/>
        <v>6.1207833333333332E-4</v>
      </c>
    </row>
    <row r="131" spans="1:23" x14ac:dyDescent="0.3">
      <c r="A131">
        <v>124</v>
      </c>
      <c r="B131">
        <v>1.6366200000000001E-3</v>
      </c>
      <c r="C131">
        <v>5.8228000000000002E-2</v>
      </c>
      <c r="D131">
        <v>35.636400000000002</v>
      </c>
      <c r="E131">
        <v>35.578200000000002</v>
      </c>
      <c r="F131">
        <v>-3.2107300000000001E-4</v>
      </c>
      <c r="G131">
        <v>-6.0163500000000002E-3</v>
      </c>
      <c r="H131">
        <v>18.732199999999999</v>
      </c>
      <c r="I131">
        <v>18.738199999999999</v>
      </c>
      <c r="J131">
        <v>-7.9480499999999999E-4</v>
      </c>
      <c r="K131">
        <v>-1.30355E-2</v>
      </c>
      <c r="L131">
        <v>16.387799999999999</v>
      </c>
      <c r="M131">
        <v>16.4009</v>
      </c>
      <c r="N131">
        <v>-9.1535399999999995E-4</v>
      </c>
      <c r="O131">
        <v>-1.40871E-2</v>
      </c>
      <c r="P131">
        <v>15.3757</v>
      </c>
      <c r="Q131">
        <v>15.389799999999999</v>
      </c>
      <c r="R131">
        <v>60.972999999999999</v>
      </c>
      <c r="S131">
        <v>60.973999999999997</v>
      </c>
      <c r="T131">
        <v>1.663</v>
      </c>
      <c r="U131">
        <v>5855.87</v>
      </c>
      <c r="V131">
        <f t="shared" si="2"/>
        <v>31.825380434782609</v>
      </c>
      <c r="W131">
        <f t="shared" si="3"/>
        <v>6.7707733333333337E-4</v>
      </c>
    </row>
    <row r="132" spans="1:23" x14ac:dyDescent="0.3">
      <c r="A132">
        <v>125</v>
      </c>
      <c r="B132">
        <v>1.6523E-3</v>
      </c>
      <c r="C132">
        <v>5.8785900000000002E-2</v>
      </c>
      <c r="D132">
        <v>35.636899999999997</v>
      </c>
      <c r="E132">
        <v>35.578200000000002</v>
      </c>
      <c r="F132">
        <v>-1.4808099999999999E-4</v>
      </c>
      <c r="G132">
        <v>-2.7747700000000002E-3</v>
      </c>
      <c r="H132">
        <v>18.735499999999998</v>
      </c>
      <c r="I132">
        <v>18.738199999999999</v>
      </c>
      <c r="J132">
        <v>-6.6625199999999999E-4</v>
      </c>
      <c r="K132">
        <v>-1.09271E-2</v>
      </c>
      <c r="L132">
        <v>16.389900000000001</v>
      </c>
      <c r="M132">
        <v>16.4009</v>
      </c>
      <c r="N132">
        <v>-7.7296400000000001E-4</v>
      </c>
      <c r="O132">
        <v>-1.18957E-2</v>
      </c>
      <c r="P132">
        <v>15.3779</v>
      </c>
      <c r="Q132">
        <v>15.389799999999999</v>
      </c>
      <c r="R132">
        <v>61.347999999999999</v>
      </c>
      <c r="S132">
        <v>61.347999999999999</v>
      </c>
      <c r="T132">
        <v>1.6849000000000001</v>
      </c>
      <c r="U132">
        <v>5932.73</v>
      </c>
      <c r="V132">
        <f t="shared" si="2"/>
        <v>32.243097826086952</v>
      </c>
      <c r="W132">
        <f t="shared" si="3"/>
        <v>5.29099E-4</v>
      </c>
    </row>
    <row r="133" spans="1:23" x14ac:dyDescent="0.3">
      <c r="A133">
        <v>126</v>
      </c>
      <c r="B133">
        <v>1.6885400000000001E-3</v>
      </c>
      <c r="C133">
        <v>6.0075299999999998E-2</v>
      </c>
      <c r="D133">
        <v>35.638199999999998</v>
      </c>
      <c r="E133">
        <v>35.578200000000002</v>
      </c>
      <c r="F133">
        <v>-2.3665200000000001E-4</v>
      </c>
      <c r="G133">
        <v>-4.4344400000000004E-3</v>
      </c>
      <c r="H133">
        <v>18.733799999999999</v>
      </c>
      <c r="I133">
        <v>18.738199999999999</v>
      </c>
      <c r="J133">
        <v>-7.0687300000000001E-4</v>
      </c>
      <c r="K133">
        <v>-1.1593300000000001E-2</v>
      </c>
      <c r="L133">
        <v>16.389299999999999</v>
      </c>
      <c r="M133">
        <v>16.4009</v>
      </c>
      <c r="N133">
        <v>-8.94176E-4</v>
      </c>
      <c r="O133">
        <v>-1.3761199999999999E-2</v>
      </c>
      <c r="P133">
        <v>15.375999999999999</v>
      </c>
      <c r="Q133">
        <v>15.389799999999999</v>
      </c>
      <c r="R133">
        <v>62.033999999999999</v>
      </c>
      <c r="S133">
        <v>62.034999999999997</v>
      </c>
      <c r="T133">
        <v>1.6978</v>
      </c>
      <c r="U133">
        <v>5977.94</v>
      </c>
      <c r="V133">
        <f t="shared" si="2"/>
        <v>32.488804347826083</v>
      </c>
      <c r="W133">
        <f t="shared" si="3"/>
        <v>6.1256699999999995E-4</v>
      </c>
    </row>
    <row r="134" spans="1:23" x14ac:dyDescent="0.3">
      <c r="A134">
        <v>127</v>
      </c>
      <c r="B134">
        <v>1.72697E-3</v>
      </c>
      <c r="C134">
        <v>6.1442400000000001E-2</v>
      </c>
      <c r="D134">
        <v>35.639600000000002</v>
      </c>
      <c r="E134">
        <v>35.578200000000002</v>
      </c>
      <c r="F134">
        <v>-2.2406999999999999E-4</v>
      </c>
      <c r="G134">
        <v>-4.1986799999999998E-3</v>
      </c>
      <c r="H134">
        <v>18.734000000000002</v>
      </c>
      <c r="I134">
        <v>18.738199999999999</v>
      </c>
      <c r="J134">
        <v>-6.5442799999999998E-4</v>
      </c>
      <c r="K134">
        <v>-1.07332E-2</v>
      </c>
      <c r="L134">
        <v>16.3901</v>
      </c>
      <c r="M134">
        <v>16.4009</v>
      </c>
      <c r="N134">
        <v>-7.6131899999999999E-4</v>
      </c>
      <c r="O134">
        <v>-1.1716499999999999E-2</v>
      </c>
      <c r="P134">
        <v>15.3781</v>
      </c>
      <c r="Q134">
        <v>15.389799999999999</v>
      </c>
      <c r="R134">
        <v>62.536000000000001</v>
      </c>
      <c r="S134">
        <v>62.536000000000001</v>
      </c>
      <c r="T134">
        <v>1.7003999999999999</v>
      </c>
      <c r="U134">
        <v>5986.98</v>
      </c>
      <c r="V134">
        <f t="shared" si="2"/>
        <v>32.537934782608694</v>
      </c>
      <c r="W134">
        <f t="shared" si="3"/>
        <v>5.4660566666666667E-4</v>
      </c>
    </row>
    <row r="135" spans="1:23" x14ac:dyDescent="0.3">
      <c r="A135">
        <v>128</v>
      </c>
      <c r="B135">
        <v>1.6619200000000001E-3</v>
      </c>
      <c r="C135">
        <v>5.9128199999999999E-2</v>
      </c>
      <c r="D135">
        <v>35.637300000000003</v>
      </c>
      <c r="E135">
        <v>35.578200000000002</v>
      </c>
      <c r="F135">
        <v>-3.7206799999999998E-4</v>
      </c>
      <c r="G135">
        <v>-6.9718999999999996E-3</v>
      </c>
      <c r="H135">
        <v>18.731300000000001</v>
      </c>
      <c r="I135">
        <v>18.738199999999999</v>
      </c>
      <c r="J135">
        <v>-8.4114400000000005E-4</v>
      </c>
      <c r="K135">
        <v>-1.37955E-2</v>
      </c>
      <c r="L135">
        <v>16.3871</v>
      </c>
      <c r="M135">
        <v>16.4009</v>
      </c>
      <c r="N135">
        <v>-9.64626E-4</v>
      </c>
      <c r="O135">
        <v>-1.48454E-2</v>
      </c>
      <c r="P135">
        <v>15.3749</v>
      </c>
      <c r="Q135">
        <v>15.389799999999999</v>
      </c>
      <c r="R135">
        <v>63.158000000000001</v>
      </c>
      <c r="S135">
        <v>63.158000000000001</v>
      </c>
      <c r="T135">
        <v>1.7198</v>
      </c>
      <c r="U135">
        <v>6054.79</v>
      </c>
      <c r="V135">
        <f t="shared" si="2"/>
        <v>32.906467391304346</v>
      </c>
      <c r="W135">
        <f t="shared" si="3"/>
        <v>7.2594599999999999E-4</v>
      </c>
    </row>
    <row r="136" spans="1:23" x14ac:dyDescent="0.3">
      <c r="A136">
        <v>129</v>
      </c>
      <c r="B136">
        <v>1.6691500000000001E-3</v>
      </c>
      <c r="C136">
        <v>5.9385399999999998E-2</v>
      </c>
      <c r="D136">
        <v>35.637500000000003</v>
      </c>
      <c r="E136">
        <v>35.578200000000002</v>
      </c>
      <c r="F136">
        <v>-3.3478000000000002E-4</v>
      </c>
      <c r="G136">
        <v>-6.2731799999999997E-3</v>
      </c>
      <c r="H136">
        <v>18.731999999999999</v>
      </c>
      <c r="I136">
        <v>18.738199999999999</v>
      </c>
      <c r="J136">
        <v>-7.9577399999999996E-4</v>
      </c>
      <c r="K136">
        <v>-1.3051399999999999E-2</v>
      </c>
      <c r="L136">
        <v>16.387799999999999</v>
      </c>
      <c r="M136">
        <v>16.4009</v>
      </c>
      <c r="N136">
        <v>-9.4322500000000001E-4</v>
      </c>
      <c r="O136">
        <v>-1.4515999999999999E-2</v>
      </c>
      <c r="P136">
        <v>15.375299999999999</v>
      </c>
      <c r="Q136">
        <v>15.389799999999999</v>
      </c>
      <c r="R136">
        <v>63.968000000000004</v>
      </c>
      <c r="S136">
        <v>63.969000000000001</v>
      </c>
      <c r="T136">
        <v>1.7481</v>
      </c>
      <c r="U136">
        <v>6154.26</v>
      </c>
      <c r="V136">
        <f t="shared" ref="V136:V199" si="4">U136/A$2/B$2</f>
        <v>33.447065217391305</v>
      </c>
      <c r="W136">
        <f t="shared" ref="W136:W199" si="5">-AVERAGE(F136,J136,N136)</f>
        <v>6.912596666666667E-4</v>
      </c>
    </row>
    <row r="137" spans="1:23" x14ac:dyDescent="0.3">
      <c r="A137">
        <v>130</v>
      </c>
      <c r="B137">
        <v>1.75414E-3</v>
      </c>
      <c r="C137">
        <v>6.2409199999999998E-2</v>
      </c>
      <c r="D137">
        <v>35.640599999999999</v>
      </c>
      <c r="E137">
        <v>35.578200000000002</v>
      </c>
      <c r="F137">
        <v>-3.1304400000000001E-4</v>
      </c>
      <c r="G137">
        <v>-5.8658900000000003E-3</v>
      </c>
      <c r="H137">
        <v>18.732399999999998</v>
      </c>
      <c r="I137">
        <v>18.738199999999999</v>
      </c>
      <c r="J137">
        <v>-7.6123399999999996E-4</v>
      </c>
      <c r="K137">
        <v>-1.24849E-2</v>
      </c>
      <c r="L137">
        <v>16.388400000000001</v>
      </c>
      <c r="M137">
        <v>16.4009</v>
      </c>
      <c r="N137">
        <v>-9.4177799999999999E-4</v>
      </c>
      <c r="O137">
        <v>-1.4493799999999999E-2</v>
      </c>
      <c r="P137">
        <v>15.375299999999999</v>
      </c>
      <c r="Q137">
        <v>15.389799999999999</v>
      </c>
      <c r="R137">
        <v>64.281000000000006</v>
      </c>
      <c r="S137">
        <v>64.281000000000006</v>
      </c>
      <c r="T137">
        <v>1.7403999999999999</v>
      </c>
      <c r="U137">
        <v>6127.13</v>
      </c>
      <c r="V137">
        <f t="shared" si="4"/>
        <v>33.299619565217391</v>
      </c>
      <c r="W137">
        <f t="shared" si="5"/>
        <v>6.7201866666666667E-4</v>
      </c>
    </row>
    <row r="138" spans="1:23" x14ac:dyDescent="0.3">
      <c r="A138">
        <v>131</v>
      </c>
      <c r="B138">
        <v>1.7277099999999999E-3</v>
      </c>
      <c r="C138">
        <v>6.14689E-2</v>
      </c>
      <c r="D138">
        <v>35.639600000000002</v>
      </c>
      <c r="E138">
        <v>35.578200000000002</v>
      </c>
      <c r="F138">
        <v>-2.4448599999999998E-4</v>
      </c>
      <c r="G138">
        <v>-4.5812400000000003E-3</v>
      </c>
      <c r="H138">
        <v>18.733599999999999</v>
      </c>
      <c r="I138">
        <v>18.738199999999999</v>
      </c>
      <c r="J138">
        <v>-7.4740099999999997E-4</v>
      </c>
      <c r="K138">
        <v>-1.2258E-2</v>
      </c>
      <c r="L138">
        <v>16.3886</v>
      </c>
      <c r="M138">
        <v>16.4009</v>
      </c>
      <c r="N138">
        <v>-9.2769200000000003E-4</v>
      </c>
      <c r="O138">
        <v>-1.4277E-2</v>
      </c>
      <c r="P138">
        <v>15.375500000000001</v>
      </c>
      <c r="Q138">
        <v>15.389799999999999</v>
      </c>
      <c r="R138">
        <v>65.03</v>
      </c>
      <c r="S138">
        <v>65.03</v>
      </c>
      <c r="T138">
        <v>1.7575000000000001</v>
      </c>
      <c r="U138">
        <v>6187.03</v>
      </c>
      <c r="V138">
        <f t="shared" si="4"/>
        <v>33.62516304347826</v>
      </c>
      <c r="W138">
        <f t="shared" si="5"/>
        <v>6.3985966666666664E-4</v>
      </c>
    </row>
    <row r="139" spans="1:23" x14ac:dyDescent="0.3">
      <c r="A139">
        <v>132</v>
      </c>
      <c r="B139">
        <v>1.74412E-3</v>
      </c>
      <c r="C139">
        <v>6.2052599999999999E-2</v>
      </c>
      <c r="D139">
        <v>35.6402</v>
      </c>
      <c r="E139">
        <v>35.578200000000002</v>
      </c>
      <c r="F139">
        <v>-2.52038E-4</v>
      </c>
      <c r="G139">
        <v>-4.7227399999999996E-3</v>
      </c>
      <c r="H139">
        <v>18.733499999999999</v>
      </c>
      <c r="I139">
        <v>18.738199999999999</v>
      </c>
      <c r="J139">
        <v>-7.6678E-4</v>
      </c>
      <c r="K139">
        <v>-1.25758E-2</v>
      </c>
      <c r="L139">
        <v>16.388300000000001</v>
      </c>
      <c r="M139">
        <v>16.4009</v>
      </c>
      <c r="N139">
        <v>-9.7786500000000007E-4</v>
      </c>
      <c r="O139">
        <v>-1.5049099999999999E-2</v>
      </c>
      <c r="P139">
        <v>15.374700000000001</v>
      </c>
      <c r="Q139">
        <v>15.389799999999999</v>
      </c>
      <c r="R139">
        <v>65.591999999999999</v>
      </c>
      <c r="S139">
        <v>65.591999999999999</v>
      </c>
      <c r="T139">
        <v>1.7739</v>
      </c>
      <c r="U139">
        <v>6244.68</v>
      </c>
      <c r="V139">
        <f t="shared" si="4"/>
        <v>33.938478260869566</v>
      </c>
      <c r="W139">
        <f t="shared" si="5"/>
        <v>6.6556099999999995E-4</v>
      </c>
    </row>
    <row r="140" spans="1:23" x14ac:dyDescent="0.3">
      <c r="A140">
        <v>133</v>
      </c>
      <c r="B140">
        <v>1.7499600000000001E-3</v>
      </c>
      <c r="C140">
        <v>6.22604E-2</v>
      </c>
      <c r="D140">
        <v>35.6404</v>
      </c>
      <c r="E140">
        <v>35.578200000000002</v>
      </c>
      <c r="F140">
        <v>-3.2770999999999999E-4</v>
      </c>
      <c r="G140">
        <v>-6.1406999999999998E-3</v>
      </c>
      <c r="H140">
        <v>18.732099999999999</v>
      </c>
      <c r="I140">
        <v>18.738199999999999</v>
      </c>
      <c r="J140">
        <v>-7.9093999999999996E-4</v>
      </c>
      <c r="K140">
        <v>-1.29721E-2</v>
      </c>
      <c r="L140">
        <v>16.387899999999998</v>
      </c>
      <c r="M140">
        <v>16.4009</v>
      </c>
      <c r="N140">
        <v>-9.14524E-4</v>
      </c>
      <c r="O140">
        <v>-1.40743E-2</v>
      </c>
      <c r="P140">
        <v>15.3757</v>
      </c>
      <c r="Q140">
        <v>15.389799999999999</v>
      </c>
      <c r="R140">
        <v>66.155000000000001</v>
      </c>
      <c r="S140">
        <v>66.155000000000001</v>
      </c>
      <c r="T140">
        <v>1.7823</v>
      </c>
      <c r="U140">
        <v>6274.06</v>
      </c>
      <c r="V140">
        <f t="shared" si="4"/>
        <v>34.098152173913043</v>
      </c>
      <c r="W140">
        <f t="shared" si="5"/>
        <v>6.7772466666666663E-4</v>
      </c>
    </row>
    <row r="141" spans="1:23" x14ac:dyDescent="0.3">
      <c r="A141">
        <v>134</v>
      </c>
      <c r="B141">
        <v>1.74942E-3</v>
      </c>
      <c r="C141">
        <v>6.2241199999999997E-2</v>
      </c>
      <c r="D141">
        <v>35.6404</v>
      </c>
      <c r="E141">
        <v>35.578200000000002</v>
      </c>
      <c r="F141">
        <v>-4.16525E-4</v>
      </c>
      <c r="G141">
        <v>-7.8049399999999998E-3</v>
      </c>
      <c r="H141">
        <v>18.730399999999999</v>
      </c>
      <c r="I141">
        <v>18.738199999999999</v>
      </c>
      <c r="J141">
        <v>-9.3890499999999997E-4</v>
      </c>
      <c r="K141">
        <v>-1.5398800000000001E-2</v>
      </c>
      <c r="L141">
        <v>16.3855</v>
      </c>
      <c r="M141">
        <v>16.4009</v>
      </c>
      <c r="N141">
        <v>-1.1261999999999999E-3</v>
      </c>
      <c r="O141">
        <v>-1.7332E-2</v>
      </c>
      <c r="P141">
        <v>15.372400000000001</v>
      </c>
      <c r="Q141">
        <v>15.389799999999999</v>
      </c>
      <c r="R141">
        <v>66.777000000000001</v>
      </c>
      <c r="S141">
        <v>66.777000000000001</v>
      </c>
      <c r="T141">
        <v>1.8003</v>
      </c>
      <c r="U141">
        <v>6337.36</v>
      </c>
      <c r="V141">
        <f t="shared" si="4"/>
        <v>34.442173913043476</v>
      </c>
      <c r="W141">
        <f t="shared" si="5"/>
        <v>8.2720999999999999E-4</v>
      </c>
    </row>
    <row r="142" spans="1:23" x14ac:dyDescent="0.3">
      <c r="A142">
        <v>135</v>
      </c>
      <c r="B142">
        <v>1.81968E-3</v>
      </c>
      <c r="C142">
        <v>6.4740900000000004E-2</v>
      </c>
      <c r="D142">
        <v>35.642899999999997</v>
      </c>
      <c r="E142">
        <v>35.578200000000002</v>
      </c>
      <c r="F142">
        <v>-2.5327100000000001E-4</v>
      </c>
      <c r="G142">
        <v>-4.7458500000000002E-3</v>
      </c>
      <c r="H142">
        <v>18.733499999999999</v>
      </c>
      <c r="I142">
        <v>18.738199999999999</v>
      </c>
      <c r="J142">
        <v>-7.7346100000000003E-4</v>
      </c>
      <c r="K142">
        <v>-1.2685399999999999E-2</v>
      </c>
      <c r="L142">
        <v>16.388200000000001</v>
      </c>
      <c r="M142">
        <v>16.4009</v>
      </c>
      <c r="N142">
        <v>-1.01921E-3</v>
      </c>
      <c r="O142">
        <v>-1.5685500000000002E-2</v>
      </c>
      <c r="P142">
        <v>15.3741</v>
      </c>
      <c r="Q142">
        <v>15.389799999999999</v>
      </c>
      <c r="R142">
        <v>67.213999999999999</v>
      </c>
      <c r="S142">
        <v>67.213999999999999</v>
      </c>
      <c r="T142">
        <v>1.8070999999999999</v>
      </c>
      <c r="U142">
        <v>6361.09</v>
      </c>
      <c r="V142">
        <f t="shared" si="4"/>
        <v>34.571141304347826</v>
      </c>
      <c r="W142">
        <f t="shared" si="5"/>
        <v>6.8198066666666675E-4</v>
      </c>
    </row>
    <row r="143" spans="1:23" x14ac:dyDescent="0.3">
      <c r="A143">
        <v>136</v>
      </c>
      <c r="B143">
        <v>1.7634199999999999E-3</v>
      </c>
      <c r="C143">
        <v>6.2739299999999998E-2</v>
      </c>
      <c r="D143">
        <v>35.640900000000002</v>
      </c>
      <c r="E143">
        <v>35.578200000000002</v>
      </c>
      <c r="F143">
        <v>-3.1683200000000002E-4</v>
      </c>
      <c r="G143">
        <v>-5.9368700000000003E-3</v>
      </c>
      <c r="H143">
        <v>18.732299999999999</v>
      </c>
      <c r="I143">
        <v>18.738199999999999</v>
      </c>
      <c r="J143">
        <v>-8.0108399999999998E-4</v>
      </c>
      <c r="K143">
        <v>-1.3138499999999999E-2</v>
      </c>
      <c r="L143">
        <v>16.387699999999999</v>
      </c>
      <c r="M143">
        <v>16.4009</v>
      </c>
      <c r="N143">
        <v>-9.0347799999999999E-4</v>
      </c>
      <c r="O143">
        <v>-1.39043E-2</v>
      </c>
      <c r="P143">
        <v>15.3759</v>
      </c>
      <c r="Q143">
        <v>15.389799999999999</v>
      </c>
      <c r="R143">
        <v>67.962999999999994</v>
      </c>
      <c r="S143">
        <v>67.962999999999994</v>
      </c>
      <c r="T143">
        <v>1.8222</v>
      </c>
      <c r="U143">
        <v>6414.22</v>
      </c>
      <c r="V143">
        <f t="shared" si="4"/>
        <v>34.859891304347826</v>
      </c>
      <c r="W143">
        <f t="shared" si="5"/>
        <v>6.7379800000000008E-4</v>
      </c>
    </row>
    <row r="144" spans="1:23" x14ac:dyDescent="0.3">
      <c r="A144">
        <v>137</v>
      </c>
      <c r="B144">
        <v>1.8335000000000001E-3</v>
      </c>
      <c r="C144">
        <v>6.5232399999999996E-2</v>
      </c>
      <c r="D144">
        <v>35.6434</v>
      </c>
      <c r="E144">
        <v>35.578200000000002</v>
      </c>
      <c r="F144">
        <v>-3.4054199999999999E-4</v>
      </c>
      <c r="G144">
        <v>-6.3811500000000004E-3</v>
      </c>
      <c r="H144">
        <v>18.7318</v>
      </c>
      <c r="I144">
        <v>18.738199999999999</v>
      </c>
      <c r="J144">
        <v>-7.9981599999999996E-4</v>
      </c>
      <c r="K144">
        <v>-1.3117699999999999E-2</v>
      </c>
      <c r="L144">
        <v>16.387699999999999</v>
      </c>
      <c r="M144">
        <v>16.4009</v>
      </c>
      <c r="N144">
        <v>-1.00383E-3</v>
      </c>
      <c r="O144">
        <v>-1.5448699999999999E-2</v>
      </c>
      <c r="P144">
        <v>15.3743</v>
      </c>
      <c r="Q144">
        <v>15.389799999999999</v>
      </c>
      <c r="R144">
        <v>68.587000000000003</v>
      </c>
      <c r="S144">
        <v>68.587000000000003</v>
      </c>
      <c r="T144">
        <v>1.8342000000000001</v>
      </c>
      <c r="U144">
        <v>6456.04</v>
      </c>
      <c r="V144">
        <f t="shared" si="4"/>
        <v>35.087173913043479</v>
      </c>
      <c r="W144">
        <f t="shared" si="5"/>
        <v>7.1472933333333337E-4</v>
      </c>
    </row>
    <row r="145" spans="1:23" x14ac:dyDescent="0.3">
      <c r="A145">
        <v>138</v>
      </c>
      <c r="B145">
        <v>1.84344E-3</v>
      </c>
      <c r="C145">
        <v>6.55863E-2</v>
      </c>
      <c r="D145">
        <v>35.643700000000003</v>
      </c>
      <c r="E145">
        <v>35.578200000000002</v>
      </c>
      <c r="F145">
        <v>-3.3385000000000001E-4</v>
      </c>
      <c r="G145">
        <v>-6.2557699999999999E-3</v>
      </c>
      <c r="H145">
        <v>18.731999999999999</v>
      </c>
      <c r="I145">
        <v>18.738199999999999</v>
      </c>
      <c r="J145">
        <v>-7.8965800000000005E-4</v>
      </c>
      <c r="K145">
        <v>-1.29511E-2</v>
      </c>
      <c r="L145">
        <v>16.387899999999998</v>
      </c>
      <c r="M145">
        <v>16.4009</v>
      </c>
      <c r="N145">
        <v>-9.17237E-4</v>
      </c>
      <c r="O145">
        <v>-1.4116099999999999E-2</v>
      </c>
      <c r="P145">
        <v>15.3757</v>
      </c>
      <c r="Q145">
        <v>15.389799999999999</v>
      </c>
      <c r="R145">
        <v>69.087999999999994</v>
      </c>
      <c r="S145">
        <v>69.087999999999994</v>
      </c>
      <c r="T145">
        <v>1.8509</v>
      </c>
      <c r="U145">
        <v>6514.81</v>
      </c>
      <c r="V145">
        <f t="shared" si="4"/>
        <v>35.406576086956527</v>
      </c>
      <c r="W145">
        <f t="shared" si="5"/>
        <v>6.8024833333333332E-4</v>
      </c>
    </row>
    <row r="146" spans="1:23" x14ac:dyDescent="0.3">
      <c r="A146">
        <v>139</v>
      </c>
      <c r="B146">
        <v>1.8381700000000001E-3</v>
      </c>
      <c r="C146">
        <v>6.5398800000000007E-2</v>
      </c>
      <c r="D146">
        <v>35.643599999999999</v>
      </c>
      <c r="E146">
        <v>35.578200000000002</v>
      </c>
      <c r="F146">
        <v>-3.08943E-4</v>
      </c>
      <c r="G146">
        <v>-5.7890499999999996E-3</v>
      </c>
      <c r="H146">
        <v>18.732399999999998</v>
      </c>
      <c r="I146">
        <v>18.738199999999999</v>
      </c>
      <c r="J146">
        <v>-8.1551099999999999E-4</v>
      </c>
      <c r="K146">
        <v>-1.3375099999999999E-2</v>
      </c>
      <c r="L146">
        <v>16.387499999999999</v>
      </c>
      <c r="M146">
        <v>16.4009</v>
      </c>
      <c r="N146">
        <v>-9.6313200000000001E-4</v>
      </c>
      <c r="O146">
        <v>-1.4822399999999999E-2</v>
      </c>
      <c r="P146">
        <v>15.375</v>
      </c>
      <c r="Q146">
        <v>15.389799999999999</v>
      </c>
      <c r="R146">
        <v>69.647000000000006</v>
      </c>
      <c r="S146">
        <v>69.647000000000006</v>
      </c>
      <c r="T146">
        <v>1.8612</v>
      </c>
      <c r="U146">
        <v>6550.98</v>
      </c>
      <c r="V146">
        <f t="shared" si="4"/>
        <v>35.603152173913038</v>
      </c>
      <c r="W146">
        <f t="shared" si="5"/>
        <v>6.9586199999999989E-4</v>
      </c>
    </row>
    <row r="147" spans="1:23" x14ac:dyDescent="0.3">
      <c r="A147">
        <v>140</v>
      </c>
      <c r="B147">
        <v>1.8045100000000001E-3</v>
      </c>
      <c r="C147">
        <v>6.42012E-2</v>
      </c>
      <c r="D147">
        <v>35.642400000000002</v>
      </c>
      <c r="E147">
        <v>35.578200000000002</v>
      </c>
      <c r="F147">
        <v>-3.5792499999999999E-4</v>
      </c>
      <c r="G147">
        <v>-6.7068800000000001E-3</v>
      </c>
      <c r="H147">
        <v>18.7315</v>
      </c>
      <c r="I147">
        <v>18.738199999999999</v>
      </c>
      <c r="J147">
        <v>-8.6942200000000001E-4</v>
      </c>
      <c r="K147">
        <v>-1.4259300000000001E-2</v>
      </c>
      <c r="L147">
        <v>16.386600000000001</v>
      </c>
      <c r="M147">
        <v>16.4009</v>
      </c>
      <c r="N147">
        <v>-9.6573500000000001E-4</v>
      </c>
      <c r="O147">
        <v>-1.4862500000000001E-2</v>
      </c>
      <c r="P147">
        <v>15.3749</v>
      </c>
      <c r="Q147">
        <v>15.389799999999999</v>
      </c>
      <c r="R147">
        <v>70.147999999999996</v>
      </c>
      <c r="S147">
        <v>70.147999999999996</v>
      </c>
      <c r="T147">
        <v>1.8703000000000001</v>
      </c>
      <c r="U147">
        <v>6582.63</v>
      </c>
      <c r="V147">
        <f t="shared" si="4"/>
        <v>35.775163043478258</v>
      </c>
      <c r="W147">
        <f t="shared" si="5"/>
        <v>7.3102733333333325E-4</v>
      </c>
    </row>
    <row r="148" spans="1:23" x14ac:dyDescent="0.3">
      <c r="A148">
        <v>141</v>
      </c>
      <c r="B148">
        <v>1.8770900000000001E-3</v>
      </c>
      <c r="C148">
        <v>6.6783200000000001E-2</v>
      </c>
      <c r="D148">
        <v>35.6449</v>
      </c>
      <c r="E148">
        <v>35.578200000000002</v>
      </c>
      <c r="F148">
        <v>-3.5411299999999998E-4</v>
      </c>
      <c r="G148">
        <v>-6.6354500000000002E-3</v>
      </c>
      <c r="H148">
        <v>18.7316</v>
      </c>
      <c r="I148">
        <v>18.738199999999999</v>
      </c>
      <c r="J148">
        <v>-9.0854599999999998E-4</v>
      </c>
      <c r="K148">
        <v>-1.49009E-2</v>
      </c>
      <c r="L148">
        <v>16.385999999999999</v>
      </c>
      <c r="M148">
        <v>16.4009</v>
      </c>
      <c r="N148">
        <v>-9.9247799999999998E-4</v>
      </c>
      <c r="O148">
        <v>-1.5273999999999999E-2</v>
      </c>
      <c r="P148">
        <v>15.374499999999999</v>
      </c>
      <c r="Q148">
        <v>15.389799999999999</v>
      </c>
      <c r="R148">
        <v>70.834000000000003</v>
      </c>
      <c r="S148">
        <v>70.834000000000003</v>
      </c>
      <c r="T148">
        <v>1.8928</v>
      </c>
      <c r="U148">
        <v>6661.74</v>
      </c>
      <c r="V148">
        <f t="shared" si="4"/>
        <v>36.205108695652171</v>
      </c>
      <c r="W148">
        <f t="shared" si="5"/>
        <v>7.5171233333333335E-4</v>
      </c>
    </row>
    <row r="149" spans="1:23" x14ac:dyDescent="0.3">
      <c r="A149">
        <v>142</v>
      </c>
      <c r="B149">
        <v>1.89003E-3</v>
      </c>
      <c r="C149">
        <v>6.7243899999999995E-2</v>
      </c>
      <c r="D149">
        <v>35.645400000000002</v>
      </c>
      <c r="E149">
        <v>35.578200000000002</v>
      </c>
      <c r="F149">
        <v>-3.0651400000000003E-4</v>
      </c>
      <c r="G149">
        <v>-5.7435300000000002E-3</v>
      </c>
      <c r="H149">
        <v>18.732500000000002</v>
      </c>
      <c r="I149">
        <v>18.738199999999999</v>
      </c>
      <c r="J149">
        <v>-8.3832700000000004E-4</v>
      </c>
      <c r="K149">
        <v>-1.3749300000000001E-2</v>
      </c>
      <c r="L149">
        <v>16.3871</v>
      </c>
      <c r="M149">
        <v>16.4009</v>
      </c>
      <c r="N149">
        <v>-1.0082100000000001E-3</v>
      </c>
      <c r="O149">
        <v>-1.55161E-2</v>
      </c>
      <c r="P149">
        <v>15.3743</v>
      </c>
      <c r="Q149">
        <v>15.389799999999999</v>
      </c>
      <c r="R149">
        <v>71.519000000000005</v>
      </c>
      <c r="S149">
        <v>71.519000000000005</v>
      </c>
      <c r="T149">
        <v>1.9025000000000001</v>
      </c>
      <c r="U149">
        <v>6695.65</v>
      </c>
      <c r="V149">
        <f t="shared" si="4"/>
        <v>36.389402173913041</v>
      </c>
      <c r="W149">
        <f t="shared" si="5"/>
        <v>7.1768366666666685E-4</v>
      </c>
    </row>
    <row r="150" spans="1:23" x14ac:dyDescent="0.3">
      <c r="A150">
        <v>143</v>
      </c>
      <c r="B150">
        <v>1.83073E-3</v>
      </c>
      <c r="C150">
        <v>6.5133999999999997E-2</v>
      </c>
      <c r="D150">
        <v>35.643300000000004</v>
      </c>
      <c r="E150">
        <v>35.578200000000002</v>
      </c>
      <c r="F150">
        <v>-3.2826300000000002E-4</v>
      </c>
      <c r="G150">
        <v>-6.1510599999999999E-3</v>
      </c>
      <c r="H150">
        <v>18.732099999999999</v>
      </c>
      <c r="I150">
        <v>18.738199999999999</v>
      </c>
      <c r="J150">
        <v>-9.4243400000000002E-4</v>
      </c>
      <c r="K150">
        <v>-1.54567E-2</v>
      </c>
      <c r="L150">
        <v>16.385400000000001</v>
      </c>
      <c r="M150">
        <v>16.4009</v>
      </c>
      <c r="N150">
        <v>-1.19578E-3</v>
      </c>
      <c r="O150">
        <v>-1.8402700000000001E-2</v>
      </c>
      <c r="P150">
        <v>15.3714</v>
      </c>
      <c r="Q150">
        <v>15.389799999999999</v>
      </c>
      <c r="R150">
        <v>71.896000000000001</v>
      </c>
      <c r="S150">
        <v>71.896000000000001</v>
      </c>
      <c r="T150">
        <v>1.9134</v>
      </c>
      <c r="U150">
        <v>6734.08</v>
      </c>
      <c r="V150">
        <f t="shared" si="4"/>
        <v>36.598260869565216</v>
      </c>
      <c r="W150">
        <f t="shared" si="5"/>
        <v>8.2215899999999993E-4</v>
      </c>
    </row>
    <row r="151" spans="1:23" x14ac:dyDescent="0.3">
      <c r="A151">
        <v>144</v>
      </c>
      <c r="B151">
        <v>1.9843199999999999E-3</v>
      </c>
      <c r="C151">
        <v>7.0598499999999995E-2</v>
      </c>
      <c r="D151">
        <v>35.648800000000001</v>
      </c>
      <c r="E151">
        <v>35.578200000000002</v>
      </c>
      <c r="F151">
        <v>-3.10558E-4</v>
      </c>
      <c r="G151">
        <v>-5.8193000000000003E-3</v>
      </c>
      <c r="H151">
        <v>18.732399999999998</v>
      </c>
      <c r="I151">
        <v>18.738199999999999</v>
      </c>
      <c r="J151">
        <v>-8.3685900000000002E-4</v>
      </c>
      <c r="K151">
        <v>-1.37252E-2</v>
      </c>
      <c r="L151">
        <v>16.3871</v>
      </c>
      <c r="M151">
        <v>16.4009</v>
      </c>
      <c r="N151">
        <v>-9.67435E-4</v>
      </c>
      <c r="O151">
        <v>-1.48886E-2</v>
      </c>
      <c r="P151">
        <v>15.3749</v>
      </c>
      <c r="Q151">
        <v>15.389799999999999</v>
      </c>
      <c r="R151">
        <v>72.704999999999998</v>
      </c>
      <c r="S151">
        <v>72.704999999999998</v>
      </c>
      <c r="T151">
        <v>1.9278999999999999</v>
      </c>
      <c r="U151">
        <v>6784.94</v>
      </c>
      <c r="V151">
        <f t="shared" si="4"/>
        <v>36.874673913043473</v>
      </c>
      <c r="W151">
        <f t="shared" si="5"/>
        <v>7.0495066666666662E-4</v>
      </c>
    </row>
    <row r="152" spans="1:23" x14ac:dyDescent="0.3">
      <c r="A152">
        <v>145</v>
      </c>
      <c r="B152">
        <v>1.9057900000000001E-3</v>
      </c>
      <c r="C152">
        <v>6.7804600000000007E-2</v>
      </c>
      <c r="D152">
        <v>35.646000000000001</v>
      </c>
      <c r="E152">
        <v>35.578200000000002</v>
      </c>
      <c r="F152">
        <v>-3.7956300000000002E-4</v>
      </c>
      <c r="G152">
        <v>-7.11234E-3</v>
      </c>
      <c r="H152">
        <v>18.731100000000001</v>
      </c>
      <c r="I152">
        <v>18.738199999999999</v>
      </c>
      <c r="J152">
        <v>-8.8066299999999995E-4</v>
      </c>
      <c r="K152">
        <v>-1.4443599999999999E-2</v>
      </c>
      <c r="L152">
        <v>16.386399999999998</v>
      </c>
      <c r="M152">
        <v>16.4009</v>
      </c>
      <c r="N152">
        <v>-1.0022E-3</v>
      </c>
      <c r="O152">
        <v>-1.5423600000000001E-2</v>
      </c>
      <c r="P152">
        <v>15.3744</v>
      </c>
      <c r="Q152">
        <v>15.389799999999999</v>
      </c>
      <c r="R152">
        <v>72.953999999999994</v>
      </c>
      <c r="S152">
        <v>72.953999999999994</v>
      </c>
      <c r="T152">
        <v>1.9401999999999999</v>
      </c>
      <c r="U152">
        <v>6827.89</v>
      </c>
      <c r="V152">
        <f t="shared" si="4"/>
        <v>37.108097826086961</v>
      </c>
      <c r="W152">
        <f t="shared" si="5"/>
        <v>7.5414199999999985E-4</v>
      </c>
    </row>
    <row r="153" spans="1:23" x14ac:dyDescent="0.3">
      <c r="A153">
        <v>146</v>
      </c>
      <c r="B153">
        <v>1.92946E-3</v>
      </c>
      <c r="C153">
        <v>6.8646600000000002E-2</v>
      </c>
      <c r="D153">
        <v>35.646799999999999</v>
      </c>
      <c r="E153">
        <v>35.578200000000002</v>
      </c>
      <c r="F153">
        <v>-3.4738299999999999E-4</v>
      </c>
      <c r="G153">
        <v>-6.5093399999999997E-3</v>
      </c>
      <c r="H153">
        <v>18.7317</v>
      </c>
      <c r="I153">
        <v>18.738199999999999</v>
      </c>
      <c r="J153">
        <v>-8.3987799999999996E-4</v>
      </c>
      <c r="K153">
        <v>-1.3774700000000001E-2</v>
      </c>
      <c r="L153">
        <v>16.3871</v>
      </c>
      <c r="M153">
        <v>16.4009</v>
      </c>
      <c r="N153">
        <v>-9.8060700000000009E-4</v>
      </c>
      <c r="O153">
        <v>-1.50913E-2</v>
      </c>
      <c r="P153">
        <v>15.374700000000001</v>
      </c>
      <c r="Q153">
        <v>15.389799999999999</v>
      </c>
      <c r="R153">
        <v>73.456000000000003</v>
      </c>
      <c r="S153">
        <v>73.456000000000003</v>
      </c>
      <c r="T153">
        <v>1.9470000000000001</v>
      </c>
      <c r="U153">
        <v>6851.63</v>
      </c>
      <c r="V153">
        <f t="shared" si="4"/>
        <v>37.237119565217391</v>
      </c>
      <c r="W153">
        <f t="shared" si="5"/>
        <v>7.2262266666666666E-4</v>
      </c>
    </row>
    <row r="154" spans="1:23" x14ac:dyDescent="0.3">
      <c r="A154">
        <v>147</v>
      </c>
      <c r="B154">
        <v>1.95392E-3</v>
      </c>
      <c r="C154">
        <v>6.9516800000000004E-2</v>
      </c>
      <c r="D154">
        <v>35.6477</v>
      </c>
      <c r="E154">
        <v>35.578200000000002</v>
      </c>
      <c r="F154">
        <v>-3.2924099999999997E-4</v>
      </c>
      <c r="G154">
        <v>-6.1693800000000003E-3</v>
      </c>
      <c r="H154">
        <v>18.732099999999999</v>
      </c>
      <c r="I154">
        <v>18.738199999999999</v>
      </c>
      <c r="J154">
        <v>-8.7519400000000004E-4</v>
      </c>
      <c r="K154">
        <v>-1.4353899999999999E-2</v>
      </c>
      <c r="L154">
        <v>16.386500000000002</v>
      </c>
      <c r="M154">
        <v>16.4009</v>
      </c>
      <c r="N154">
        <v>-1.02388E-3</v>
      </c>
      <c r="O154">
        <v>-1.5757199999999999E-2</v>
      </c>
      <c r="P154">
        <v>15.374000000000001</v>
      </c>
      <c r="Q154">
        <v>15.389799999999999</v>
      </c>
      <c r="R154">
        <v>74.203000000000003</v>
      </c>
      <c r="S154">
        <v>74.203000000000003</v>
      </c>
      <c r="T154">
        <v>1.9653</v>
      </c>
      <c r="U154">
        <v>6916.05</v>
      </c>
      <c r="V154">
        <f t="shared" si="4"/>
        <v>37.587228260869566</v>
      </c>
      <c r="W154">
        <f t="shared" si="5"/>
        <v>7.4277166666666657E-4</v>
      </c>
    </row>
    <row r="155" spans="1:23" x14ac:dyDescent="0.3">
      <c r="A155">
        <v>148</v>
      </c>
      <c r="B155">
        <v>2.00285E-3</v>
      </c>
      <c r="C155">
        <v>7.1257600000000004E-2</v>
      </c>
      <c r="D155">
        <v>35.6494</v>
      </c>
      <c r="E155">
        <v>35.578200000000002</v>
      </c>
      <c r="F155">
        <v>-4.6253599999999999E-4</v>
      </c>
      <c r="G155">
        <v>-8.6671100000000004E-3</v>
      </c>
      <c r="H155">
        <v>18.729600000000001</v>
      </c>
      <c r="I155">
        <v>18.738199999999999</v>
      </c>
      <c r="J155">
        <v>-9.5526900000000002E-4</v>
      </c>
      <c r="K155">
        <v>-1.5667199999999999E-2</v>
      </c>
      <c r="L155">
        <v>16.385200000000001</v>
      </c>
      <c r="M155">
        <v>16.4009</v>
      </c>
      <c r="N155">
        <v>-1.0882800000000001E-3</v>
      </c>
      <c r="O155">
        <v>-1.6748300000000001E-2</v>
      </c>
      <c r="P155">
        <v>15.372999999999999</v>
      </c>
      <c r="Q155">
        <v>15.389799999999999</v>
      </c>
      <c r="R155">
        <v>74.950999999999993</v>
      </c>
      <c r="S155">
        <v>74.950999999999993</v>
      </c>
      <c r="T155">
        <v>1.9863</v>
      </c>
      <c r="U155">
        <v>6989.52</v>
      </c>
      <c r="V155">
        <f t="shared" si="4"/>
        <v>37.986521739130438</v>
      </c>
      <c r="W155">
        <f t="shared" si="5"/>
        <v>8.353616666666666E-4</v>
      </c>
    </row>
    <row r="156" spans="1:23" x14ac:dyDescent="0.3">
      <c r="A156">
        <v>149</v>
      </c>
      <c r="B156">
        <v>2.0514800000000001E-3</v>
      </c>
      <c r="C156">
        <v>7.2987999999999997E-2</v>
      </c>
      <c r="D156">
        <v>35.6511</v>
      </c>
      <c r="E156">
        <v>35.578200000000002</v>
      </c>
      <c r="F156">
        <v>-3.61307E-4</v>
      </c>
      <c r="G156">
        <v>-6.7702600000000002E-3</v>
      </c>
      <c r="H156">
        <v>18.7315</v>
      </c>
      <c r="I156">
        <v>18.738199999999999</v>
      </c>
      <c r="J156">
        <v>-8.2781399999999996E-4</v>
      </c>
      <c r="K156">
        <v>-1.3576899999999999E-2</v>
      </c>
      <c r="L156">
        <v>16.3873</v>
      </c>
      <c r="M156">
        <v>16.4009</v>
      </c>
      <c r="N156">
        <v>-1.0233E-3</v>
      </c>
      <c r="O156">
        <v>-1.57483E-2</v>
      </c>
      <c r="P156">
        <v>15.374000000000001</v>
      </c>
      <c r="Q156">
        <v>15.389799999999999</v>
      </c>
      <c r="R156">
        <v>75.263000000000005</v>
      </c>
      <c r="S156">
        <v>75.263000000000005</v>
      </c>
      <c r="T156">
        <v>1.9884999999999999</v>
      </c>
      <c r="U156">
        <v>6997.43</v>
      </c>
      <c r="V156">
        <f t="shared" si="4"/>
        <v>38.029510869565222</v>
      </c>
      <c r="W156">
        <f t="shared" si="5"/>
        <v>7.3747366666666663E-4</v>
      </c>
    </row>
    <row r="157" spans="1:23" x14ac:dyDescent="0.3">
      <c r="A157">
        <v>150</v>
      </c>
      <c r="B157">
        <v>1.99315E-3</v>
      </c>
      <c r="C157">
        <v>7.09124E-2</v>
      </c>
      <c r="D157">
        <v>35.649099999999997</v>
      </c>
      <c r="E157">
        <v>35.578200000000002</v>
      </c>
      <c r="F157">
        <v>-3.1059399999999997E-4</v>
      </c>
      <c r="G157">
        <v>-5.8199799999999998E-3</v>
      </c>
      <c r="H157">
        <v>18.732399999999998</v>
      </c>
      <c r="I157">
        <v>18.738199999999999</v>
      </c>
      <c r="J157">
        <v>-8.6527399999999997E-4</v>
      </c>
      <c r="K157">
        <v>-1.4191199999999999E-2</v>
      </c>
      <c r="L157">
        <v>16.386700000000001</v>
      </c>
      <c r="M157">
        <v>16.4009</v>
      </c>
      <c r="N157">
        <v>-1.0179200000000001E-3</v>
      </c>
      <c r="O157">
        <v>-1.5665599999999998E-2</v>
      </c>
      <c r="P157">
        <v>15.3741</v>
      </c>
      <c r="Q157">
        <v>15.389799999999999</v>
      </c>
      <c r="R157">
        <v>75.948999999999998</v>
      </c>
      <c r="S157">
        <v>75.948999999999998</v>
      </c>
      <c r="T157">
        <v>2.0036999999999998</v>
      </c>
      <c r="U157">
        <v>7050.55</v>
      </c>
      <c r="V157">
        <f t="shared" si="4"/>
        <v>38.318206521739128</v>
      </c>
      <c r="W157">
        <f t="shared" si="5"/>
        <v>7.3126266666666674E-4</v>
      </c>
    </row>
    <row r="158" spans="1:23" x14ac:dyDescent="0.3">
      <c r="A158">
        <v>151</v>
      </c>
      <c r="B158">
        <v>1.9773400000000002E-3</v>
      </c>
      <c r="C158">
        <v>7.0349999999999996E-2</v>
      </c>
      <c r="D158">
        <v>35.648499999999999</v>
      </c>
      <c r="E158">
        <v>35.578200000000002</v>
      </c>
      <c r="F158">
        <v>-4.0204800000000001E-4</v>
      </c>
      <c r="G158">
        <v>-7.5336600000000002E-3</v>
      </c>
      <c r="H158">
        <v>18.730699999999999</v>
      </c>
      <c r="I158">
        <v>18.738199999999999</v>
      </c>
      <c r="J158">
        <v>-8.9102300000000001E-4</v>
      </c>
      <c r="K158">
        <v>-1.46135E-2</v>
      </c>
      <c r="L158">
        <v>16.386199999999999</v>
      </c>
      <c r="M158">
        <v>16.4009</v>
      </c>
      <c r="N158">
        <v>-1.0675599999999999E-3</v>
      </c>
      <c r="O158">
        <v>-1.64295E-2</v>
      </c>
      <c r="P158">
        <v>15.3734</v>
      </c>
      <c r="Q158">
        <v>15.389799999999999</v>
      </c>
      <c r="R158">
        <v>76.262</v>
      </c>
      <c r="S158">
        <v>76.262</v>
      </c>
      <c r="T158">
        <v>2.0127000000000002</v>
      </c>
      <c r="U158">
        <v>7082.2</v>
      </c>
      <c r="V158">
        <f t="shared" si="4"/>
        <v>38.490217391304348</v>
      </c>
      <c r="W158">
        <f t="shared" si="5"/>
        <v>7.8687700000000006E-4</v>
      </c>
    </row>
    <row r="159" spans="1:23" x14ac:dyDescent="0.3">
      <c r="A159">
        <v>152</v>
      </c>
      <c r="B159">
        <v>2.0371399999999998E-3</v>
      </c>
      <c r="C159">
        <v>7.2477799999999995E-2</v>
      </c>
      <c r="D159">
        <v>35.650599999999997</v>
      </c>
      <c r="E159">
        <v>35.578200000000002</v>
      </c>
      <c r="F159">
        <v>-4.0612500000000002E-4</v>
      </c>
      <c r="G159">
        <v>-7.6100600000000001E-3</v>
      </c>
      <c r="H159">
        <v>18.730599999999999</v>
      </c>
      <c r="I159">
        <v>18.738199999999999</v>
      </c>
      <c r="J159">
        <v>-9.3445400000000004E-4</v>
      </c>
      <c r="K159">
        <v>-1.5325800000000001E-2</v>
      </c>
      <c r="L159">
        <v>16.3855</v>
      </c>
      <c r="M159">
        <v>16.4009</v>
      </c>
      <c r="N159">
        <v>-1.0426999999999999E-3</v>
      </c>
      <c r="O159">
        <v>-1.6046899999999999E-2</v>
      </c>
      <c r="P159">
        <v>15.373699999999999</v>
      </c>
      <c r="Q159">
        <v>15.389799999999999</v>
      </c>
      <c r="R159">
        <v>76.823999999999998</v>
      </c>
      <c r="S159">
        <v>76.823999999999998</v>
      </c>
      <c r="T159">
        <v>2.0217000000000001</v>
      </c>
      <c r="U159">
        <v>7113.85</v>
      </c>
      <c r="V159">
        <f t="shared" si="4"/>
        <v>38.662228260869568</v>
      </c>
      <c r="W159">
        <f t="shared" si="5"/>
        <v>7.9442633333333347E-4</v>
      </c>
    </row>
    <row r="160" spans="1:23" x14ac:dyDescent="0.3">
      <c r="A160">
        <v>153</v>
      </c>
      <c r="B160">
        <v>1.99533E-3</v>
      </c>
      <c r="C160">
        <v>7.0990200000000003E-2</v>
      </c>
      <c r="D160">
        <v>35.6492</v>
      </c>
      <c r="E160">
        <v>35.578200000000002</v>
      </c>
      <c r="F160">
        <v>-3.28506E-4</v>
      </c>
      <c r="G160">
        <v>-6.1556199999999997E-3</v>
      </c>
      <c r="H160">
        <v>18.732099999999999</v>
      </c>
      <c r="I160">
        <v>18.738199999999999</v>
      </c>
      <c r="J160">
        <v>-9.4510199999999996E-4</v>
      </c>
      <c r="K160">
        <v>-1.55005E-2</v>
      </c>
      <c r="L160">
        <v>16.385400000000001</v>
      </c>
      <c r="M160">
        <v>16.4009</v>
      </c>
      <c r="N160">
        <v>-1.10692E-3</v>
      </c>
      <c r="O160">
        <v>-1.70352E-2</v>
      </c>
      <c r="P160">
        <v>15.3727</v>
      </c>
      <c r="Q160">
        <v>15.389799999999999</v>
      </c>
      <c r="R160">
        <v>77.634</v>
      </c>
      <c r="S160">
        <v>77.634</v>
      </c>
      <c r="T160">
        <v>2.0427</v>
      </c>
      <c r="U160">
        <v>7187.32</v>
      </c>
      <c r="V160">
        <f t="shared" si="4"/>
        <v>39.061521739130434</v>
      </c>
      <c r="W160">
        <f t="shared" si="5"/>
        <v>7.9350933333333323E-4</v>
      </c>
    </row>
    <row r="161" spans="1:23" x14ac:dyDescent="0.3">
      <c r="A161">
        <v>154</v>
      </c>
      <c r="B161">
        <v>2.0384999999999999E-3</v>
      </c>
      <c r="C161">
        <v>7.2525999999999993E-2</v>
      </c>
      <c r="D161">
        <v>35.650700000000001</v>
      </c>
      <c r="E161">
        <v>35.578200000000002</v>
      </c>
      <c r="F161">
        <v>-3.8538500000000002E-4</v>
      </c>
      <c r="G161">
        <v>-7.22144E-3</v>
      </c>
      <c r="H161">
        <v>18.731000000000002</v>
      </c>
      <c r="I161">
        <v>18.738199999999999</v>
      </c>
      <c r="J161">
        <v>-9.7637699999999995E-4</v>
      </c>
      <c r="K161">
        <v>-1.6013400000000001E-2</v>
      </c>
      <c r="L161">
        <v>16.384799999999998</v>
      </c>
      <c r="M161">
        <v>16.4009</v>
      </c>
      <c r="N161">
        <v>-1.13988E-3</v>
      </c>
      <c r="O161">
        <v>-1.7542499999999999E-2</v>
      </c>
      <c r="P161">
        <v>15.372199999999999</v>
      </c>
      <c r="Q161">
        <v>15.389799999999999</v>
      </c>
      <c r="R161">
        <v>78.072999999999993</v>
      </c>
      <c r="S161">
        <v>78.072999999999993</v>
      </c>
      <c r="T161">
        <v>2.0516999999999999</v>
      </c>
      <c r="U161">
        <v>7218.96</v>
      </c>
      <c r="V161">
        <f t="shared" si="4"/>
        <v>39.233478260869568</v>
      </c>
      <c r="W161">
        <f t="shared" si="5"/>
        <v>8.338806666666667E-4</v>
      </c>
    </row>
    <row r="162" spans="1:23" x14ac:dyDescent="0.3">
      <c r="A162">
        <v>155</v>
      </c>
      <c r="B162">
        <v>2.0640799999999998E-3</v>
      </c>
      <c r="C162">
        <v>7.3436299999999996E-2</v>
      </c>
      <c r="D162">
        <v>35.651600000000002</v>
      </c>
      <c r="E162">
        <v>35.578200000000002</v>
      </c>
      <c r="F162">
        <v>-3.89498E-4</v>
      </c>
      <c r="G162">
        <v>-7.2985000000000003E-3</v>
      </c>
      <c r="H162">
        <v>18.730899999999998</v>
      </c>
      <c r="I162">
        <v>18.738199999999999</v>
      </c>
      <c r="J162">
        <v>-9.7457200000000005E-4</v>
      </c>
      <c r="K162">
        <v>-1.5983799999999999E-2</v>
      </c>
      <c r="L162">
        <v>16.384899999999998</v>
      </c>
      <c r="M162">
        <v>16.4009</v>
      </c>
      <c r="N162">
        <v>-1.1121499999999999E-3</v>
      </c>
      <c r="O162">
        <v>-1.7115700000000001E-2</v>
      </c>
      <c r="P162">
        <v>15.3727</v>
      </c>
      <c r="Q162">
        <v>15.389799999999999</v>
      </c>
      <c r="R162">
        <v>78.635000000000005</v>
      </c>
      <c r="S162">
        <v>78.635000000000005</v>
      </c>
      <c r="T162">
        <v>2.0672000000000001</v>
      </c>
      <c r="U162">
        <v>7273.22</v>
      </c>
      <c r="V162">
        <f t="shared" si="4"/>
        <v>39.528369565217396</v>
      </c>
      <c r="W162">
        <f t="shared" si="5"/>
        <v>8.2540666666666663E-4</v>
      </c>
    </row>
    <row r="163" spans="1:23" x14ac:dyDescent="0.3">
      <c r="A163">
        <v>156</v>
      </c>
      <c r="B163">
        <v>2.1091299999999999E-3</v>
      </c>
      <c r="C163">
        <v>7.5038999999999995E-2</v>
      </c>
      <c r="D163">
        <v>35.653199999999998</v>
      </c>
      <c r="E163">
        <v>35.578200000000002</v>
      </c>
      <c r="F163">
        <v>-4.2631400000000001E-4</v>
      </c>
      <c r="G163">
        <v>-7.9883799999999998E-3</v>
      </c>
      <c r="H163">
        <v>18.7302</v>
      </c>
      <c r="I163">
        <v>18.738199999999999</v>
      </c>
      <c r="J163">
        <v>-1.0173300000000001E-3</v>
      </c>
      <c r="K163">
        <v>-1.6685200000000001E-2</v>
      </c>
      <c r="L163">
        <v>16.3842</v>
      </c>
      <c r="M163">
        <v>16.4009</v>
      </c>
      <c r="N163">
        <v>-1.17022E-3</v>
      </c>
      <c r="O163">
        <v>-1.8009500000000001E-2</v>
      </c>
      <c r="P163">
        <v>15.3718</v>
      </c>
      <c r="Q163">
        <v>15.389799999999999</v>
      </c>
      <c r="R163">
        <v>79.381</v>
      </c>
      <c r="S163">
        <v>79.381</v>
      </c>
      <c r="T163">
        <v>2.0836000000000001</v>
      </c>
      <c r="U163">
        <v>7330.86</v>
      </c>
      <c r="V163">
        <f t="shared" si="4"/>
        <v>39.841630434782608</v>
      </c>
      <c r="W163">
        <f t="shared" si="5"/>
        <v>8.7128800000000001E-4</v>
      </c>
    </row>
    <row r="164" spans="1:23" x14ac:dyDescent="0.3">
      <c r="A164">
        <v>157</v>
      </c>
      <c r="B164">
        <v>2.1093499999999999E-3</v>
      </c>
      <c r="C164">
        <v>7.5046699999999994E-2</v>
      </c>
      <c r="D164">
        <v>35.653199999999998</v>
      </c>
      <c r="E164">
        <v>35.578200000000002</v>
      </c>
      <c r="F164">
        <v>-4.17489E-4</v>
      </c>
      <c r="G164">
        <v>-7.82301E-3</v>
      </c>
      <c r="H164">
        <v>18.730399999999999</v>
      </c>
      <c r="I164">
        <v>18.738199999999999</v>
      </c>
      <c r="J164">
        <v>-9.5492299999999999E-4</v>
      </c>
      <c r="K164">
        <v>-1.5661600000000001E-2</v>
      </c>
      <c r="L164">
        <v>16.385200000000001</v>
      </c>
      <c r="M164">
        <v>16.4009</v>
      </c>
      <c r="N164">
        <v>-1.0994399999999999E-3</v>
      </c>
      <c r="O164">
        <v>-1.69201E-2</v>
      </c>
      <c r="P164">
        <v>15.3729</v>
      </c>
      <c r="Q164">
        <v>15.389799999999999</v>
      </c>
      <c r="R164">
        <v>79.692999999999998</v>
      </c>
      <c r="S164">
        <v>79.692999999999998</v>
      </c>
      <c r="T164">
        <v>2.0888</v>
      </c>
      <c r="U164">
        <v>7348.94</v>
      </c>
      <c r="V164">
        <f t="shared" si="4"/>
        <v>39.939891304347825</v>
      </c>
      <c r="W164">
        <f t="shared" si="5"/>
        <v>8.2395066666666669E-4</v>
      </c>
    </row>
    <row r="165" spans="1:23" x14ac:dyDescent="0.3">
      <c r="A165">
        <v>158</v>
      </c>
      <c r="B165">
        <v>2.1334800000000001E-3</v>
      </c>
      <c r="C165">
        <v>7.5905399999999998E-2</v>
      </c>
      <c r="D165">
        <v>35.6541</v>
      </c>
      <c r="E165">
        <v>35.578200000000002</v>
      </c>
      <c r="F165">
        <v>-4.0430799999999998E-4</v>
      </c>
      <c r="G165">
        <v>-7.5760100000000002E-3</v>
      </c>
      <c r="H165">
        <v>18.730599999999999</v>
      </c>
      <c r="I165">
        <v>18.738199999999999</v>
      </c>
      <c r="J165">
        <v>-9.5771099999999998E-4</v>
      </c>
      <c r="K165">
        <v>-1.57073E-2</v>
      </c>
      <c r="L165">
        <v>16.385100000000001</v>
      </c>
      <c r="M165">
        <v>16.4009</v>
      </c>
      <c r="N165">
        <v>-1.11805E-3</v>
      </c>
      <c r="O165">
        <v>-1.72065E-2</v>
      </c>
      <c r="P165">
        <v>15.3726</v>
      </c>
      <c r="Q165">
        <v>15.389799999999999</v>
      </c>
      <c r="R165">
        <v>80.194000000000003</v>
      </c>
      <c r="S165">
        <v>80.194000000000003</v>
      </c>
      <c r="T165">
        <v>2.1032999999999999</v>
      </c>
      <c r="U165">
        <v>7399.81</v>
      </c>
      <c r="V165">
        <f t="shared" si="4"/>
        <v>40.216358695652175</v>
      </c>
      <c r="W165">
        <f t="shared" si="5"/>
        <v>8.2668966666666656E-4</v>
      </c>
    </row>
    <row r="166" spans="1:23" x14ac:dyDescent="0.3">
      <c r="A166">
        <v>159</v>
      </c>
      <c r="B166">
        <v>2.1292099999999999E-3</v>
      </c>
      <c r="C166">
        <v>7.5753299999999996E-2</v>
      </c>
      <c r="D166">
        <v>35.6539</v>
      </c>
      <c r="E166">
        <v>35.578200000000002</v>
      </c>
      <c r="F166">
        <v>-4.2629499999999998E-4</v>
      </c>
      <c r="G166">
        <v>-7.9880100000000002E-3</v>
      </c>
      <c r="H166">
        <v>18.7302</v>
      </c>
      <c r="I166">
        <v>18.738199999999999</v>
      </c>
      <c r="J166">
        <v>-9.8906300000000009E-4</v>
      </c>
      <c r="K166">
        <v>-1.62215E-2</v>
      </c>
      <c r="L166">
        <v>16.384599999999999</v>
      </c>
      <c r="M166">
        <v>16.4009</v>
      </c>
      <c r="N166">
        <v>-1.15727E-3</v>
      </c>
      <c r="O166">
        <v>-1.7810099999999999E-2</v>
      </c>
      <c r="P166">
        <v>15.372</v>
      </c>
      <c r="Q166">
        <v>15.389799999999999</v>
      </c>
      <c r="R166">
        <v>80.88</v>
      </c>
      <c r="S166">
        <v>80.88</v>
      </c>
      <c r="T166">
        <v>2.1206999999999998</v>
      </c>
      <c r="U166">
        <v>7460.84</v>
      </c>
      <c r="V166">
        <f t="shared" si="4"/>
        <v>40.548043478260873</v>
      </c>
      <c r="W166">
        <f t="shared" si="5"/>
        <v>8.5754266666666662E-4</v>
      </c>
    </row>
    <row r="167" spans="1:23" x14ac:dyDescent="0.3">
      <c r="A167">
        <v>160</v>
      </c>
      <c r="B167">
        <v>2.1557299999999998E-3</v>
      </c>
      <c r="C167">
        <v>7.6697000000000001E-2</v>
      </c>
      <c r="D167">
        <v>35.654899999999998</v>
      </c>
      <c r="E167">
        <v>35.578200000000002</v>
      </c>
      <c r="F167">
        <v>-3.90713E-4</v>
      </c>
      <c r="G167">
        <v>-7.3212800000000003E-3</v>
      </c>
      <c r="H167">
        <v>18.730899999999998</v>
      </c>
      <c r="I167">
        <v>18.738199999999999</v>
      </c>
      <c r="J167">
        <v>-9.1603099999999999E-4</v>
      </c>
      <c r="K167">
        <v>-1.5023699999999999E-2</v>
      </c>
      <c r="L167">
        <v>16.3858</v>
      </c>
      <c r="M167">
        <v>16.4009</v>
      </c>
      <c r="N167">
        <v>-1.08445E-3</v>
      </c>
      <c r="O167">
        <v>-1.6689499999999999E-2</v>
      </c>
      <c r="P167">
        <v>15.373100000000001</v>
      </c>
      <c r="Q167">
        <v>15.389799999999999</v>
      </c>
      <c r="R167">
        <v>81.316999999999993</v>
      </c>
      <c r="S167">
        <v>81.317999999999998</v>
      </c>
      <c r="T167">
        <v>2.1278000000000001</v>
      </c>
      <c r="U167">
        <v>7485.71</v>
      </c>
      <c r="V167">
        <f t="shared" si="4"/>
        <v>40.68320652173913</v>
      </c>
      <c r="W167">
        <f t="shared" si="5"/>
        <v>7.9706466666666675E-4</v>
      </c>
    </row>
    <row r="168" spans="1:23" x14ac:dyDescent="0.3">
      <c r="A168">
        <v>161</v>
      </c>
      <c r="B168">
        <v>2.19688E-3</v>
      </c>
      <c r="C168">
        <v>7.8160900000000005E-2</v>
      </c>
      <c r="D168">
        <v>35.656300000000002</v>
      </c>
      <c r="E168">
        <v>35.578200000000002</v>
      </c>
      <c r="F168">
        <v>-4.33736E-4</v>
      </c>
      <c r="G168">
        <v>-8.1274399999999997E-3</v>
      </c>
      <c r="H168">
        <v>18.7301</v>
      </c>
      <c r="I168">
        <v>18.738199999999999</v>
      </c>
      <c r="J168">
        <v>-9.6832199999999998E-4</v>
      </c>
      <c r="K168">
        <v>-1.5881300000000001E-2</v>
      </c>
      <c r="L168">
        <v>16.385000000000002</v>
      </c>
      <c r="M168">
        <v>16.4009</v>
      </c>
      <c r="N168">
        <v>-1.0843700000000001E-3</v>
      </c>
      <c r="O168">
        <v>-1.66883E-2</v>
      </c>
      <c r="P168">
        <v>15.373100000000001</v>
      </c>
      <c r="Q168">
        <v>15.389799999999999</v>
      </c>
      <c r="R168">
        <v>81.942999999999998</v>
      </c>
      <c r="S168">
        <v>81.942999999999998</v>
      </c>
      <c r="T168">
        <v>2.149</v>
      </c>
      <c r="U168">
        <v>7560.3</v>
      </c>
      <c r="V168">
        <f t="shared" si="4"/>
        <v>41.088586956521738</v>
      </c>
      <c r="W168">
        <f t="shared" si="5"/>
        <v>8.2880933333333328E-4</v>
      </c>
    </row>
    <row r="169" spans="1:23" x14ac:dyDescent="0.3">
      <c r="A169">
        <v>162</v>
      </c>
      <c r="B169">
        <v>2.1843499999999998E-3</v>
      </c>
      <c r="C169">
        <v>7.7715300000000001E-2</v>
      </c>
      <c r="D169">
        <v>35.655900000000003</v>
      </c>
      <c r="E169">
        <v>35.578200000000002</v>
      </c>
      <c r="F169">
        <v>-4.6836399999999998E-4</v>
      </c>
      <c r="G169">
        <v>-8.7763200000000006E-3</v>
      </c>
      <c r="H169">
        <v>18.729399999999998</v>
      </c>
      <c r="I169">
        <v>18.738199999999999</v>
      </c>
      <c r="J169">
        <v>-1.00059E-3</v>
      </c>
      <c r="K169">
        <v>-1.6410500000000001E-2</v>
      </c>
      <c r="L169">
        <v>16.384399999999999</v>
      </c>
      <c r="M169">
        <v>16.4009</v>
      </c>
      <c r="N169">
        <v>-1.10293E-3</v>
      </c>
      <c r="O169">
        <v>-1.6973800000000001E-2</v>
      </c>
      <c r="P169">
        <v>15.3728</v>
      </c>
      <c r="Q169">
        <v>15.389799999999999</v>
      </c>
      <c r="R169">
        <v>82.567999999999998</v>
      </c>
      <c r="S169">
        <v>82.567999999999998</v>
      </c>
      <c r="T169">
        <v>2.1616</v>
      </c>
      <c r="U169">
        <v>7604.38</v>
      </c>
      <c r="V169">
        <f t="shared" si="4"/>
        <v>41.328152173913047</v>
      </c>
      <c r="W169">
        <f t="shared" si="5"/>
        <v>8.5729466666666662E-4</v>
      </c>
    </row>
    <row r="170" spans="1:23" x14ac:dyDescent="0.3">
      <c r="A170">
        <v>163</v>
      </c>
      <c r="B170">
        <v>2.1895E-3</v>
      </c>
      <c r="C170">
        <v>7.7898300000000004E-2</v>
      </c>
      <c r="D170">
        <v>35.656100000000002</v>
      </c>
      <c r="E170">
        <v>35.578200000000002</v>
      </c>
      <c r="F170">
        <v>-4.1232200000000001E-4</v>
      </c>
      <c r="G170">
        <v>-7.72619E-3</v>
      </c>
      <c r="H170">
        <v>18.730499999999999</v>
      </c>
      <c r="I170">
        <v>18.738199999999999</v>
      </c>
      <c r="J170">
        <v>-9.823919999999999E-4</v>
      </c>
      <c r="K170">
        <v>-1.6112100000000001E-2</v>
      </c>
      <c r="L170">
        <v>16.384699999999999</v>
      </c>
      <c r="M170">
        <v>16.4009</v>
      </c>
      <c r="N170">
        <v>-1.13141E-3</v>
      </c>
      <c r="O170">
        <v>-1.7412199999999999E-2</v>
      </c>
      <c r="P170">
        <v>15.372400000000001</v>
      </c>
      <c r="Q170">
        <v>15.389799999999999</v>
      </c>
      <c r="R170">
        <v>82.751999999999995</v>
      </c>
      <c r="S170">
        <v>82.751999999999995</v>
      </c>
      <c r="T170">
        <v>2.1716000000000002</v>
      </c>
      <c r="U170">
        <v>7639.42</v>
      </c>
      <c r="V170">
        <f t="shared" si="4"/>
        <v>41.518586956521737</v>
      </c>
      <c r="W170">
        <f t="shared" si="5"/>
        <v>8.4204133333333345E-4</v>
      </c>
    </row>
    <row r="171" spans="1:23" x14ac:dyDescent="0.3">
      <c r="A171">
        <v>164</v>
      </c>
      <c r="B171">
        <v>2.1531699999999998E-3</v>
      </c>
      <c r="C171">
        <v>7.6605800000000002E-2</v>
      </c>
      <c r="D171">
        <v>35.654800000000002</v>
      </c>
      <c r="E171">
        <v>35.578200000000002</v>
      </c>
      <c r="F171">
        <v>-3.8911700000000002E-4</v>
      </c>
      <c r="G171">
        <v>-7.2913600000000002E-3</v>
      </c>
      <c r="H171">
        <v>18.730899999999998</v>
      </c>
      <c r="I171">
        <v>18.738199999999999</v>
      </c>
      <c r="J171">
        <v>-9.8108500000000003E-4</v>
      </c>
      <c r="K171">
        <v>-1.60906E-2</v>
      </c>
      <c r="L171">
        <v>16.384799999999998</v>
      </c>
      <c r="M171">
        <v>16.4009</v>
      </c>
      <c r="N171">
        <v>-1.1636999999999999E-3</v>
      </c>
      <c r="O171">
        <v>-1.7909000000000001E-2</v>
      </c>
      <c r="P171">
        <v>15.3719</v>
      </c>
      <c r="Q171">
        <v>15.389799999999999</v>
      </c>
      <c r="R171">
        <v>83.751000000000005</v>
      </c>
      <c r="S171">
        <v>83.751000000000005</v>
      </c>
      <c r="T171">
        <v>2.1880000000000002</v>
      </c>
      <c r="U171">
        <v>7697.06</v>
      </c>
      <c r="V171">
        <f t="shared" si="4"/>
        <v>41.831847826086957</v>
      </c>
      <c r="W171">
        <f t="shared" si="5"/>
        <v>8.4463400000000003E-4</v>
      </c>
    </row>
    <row r="172" spans="1:23" x14ac:dyDescent="0.3">
      <c r="A172">
        <v>165</v>
      </c>
      <c r="B172">
        <v>2.1664800000000001E-3</v>
      </c>
      <c r="C172">
        <v>7.7079300000000003E-2</v>
      </c>
      <c r="D172">
        <v>35.655200000000001</v>
      </c>
      <c r="E172">
        <v>35.578200000000002</v>
      </c>
      <c r="F172">
        <v>-4.4681400000000002E-4</v>
      </c>
      <c r="G172">
        <v>-8.3725099999999997E-3</v>
      </c>
      <c r="H172">
        <v>18.729900000000001</v>
      </c>
      <c r="I172">
        <v>18.738199999999999</v>
      </c>
      <c r="J172">
        <v>-1.0575999999999999E-3</v>
      </c>
      <c r="K172">
        <v>-1.7345599999999999E-2</v>
      </c>
      <c r="L172">
        <v>16.383500000000002</v>
      </c>
      <c r="M172">
        <v>16.4009</v>
      </c>
      <c r="N172">
        <v>-1.25493E-3</v>
      </c>
      <c r="O172">
        <v>-1.93131E-2</v>
      </c>
      <c r="P172">
        <v>15.3705</v>
      </c>
      <c r="Q172">
        <v>15.389799999999999</v>
      </c>
      <c r="R172">
        <v>84.061000000000007</v>
      </c>
      <c r="S172">
        <v>84.061999999999998</v>
      </c>
      <c r="T172">
        <v>2.2016</v>
      </c>
      <c r="U172">
        <v>7744.54</v>
      </c>
      <c r="V172">
        <f t="shared" si="4"/>
        <v>42.089891304347823</v>
      </c>
      <c r="W172">
        <f t="shared" si="5"/>
        <v>9.1978133333333332E-4</v>
      </c>
    </row>
    <row r="173" spans="1:23" x14ac:dyDescent="0.3">
      <c r="A173">
        <v>166</v>
      </c>
      <c r="B173">
        <v>2.19959E-3</v>
      </c>
      <c r="C173">
        <v>7.8257300000000002E-2</v>
      </c>
      <c r="D173">
        <v>35.656399999999998</v>
      </c>
      <c r="E173">
        <v>35.578200000000002</v>
      </c>
      <c r="F173">
        <v>-4.01665E-4</v>
      </c>
      <c r="G173">
        <v>-7.5265000000000002E-3</v>
      </c>
      <c r="H173">
        <v>18.730699999999999</v>
      </c>
      <c r="I173">
        <v>18.738199999999999</v>
      </c>
      <c r="J173">
        <v>-9.8187300000000008E-4</v>
      </c>
      <c r="K173">
        <v>-1.6103599999999999E-2</v>
      </c>
      <c r="L173">
        <v>16.384799999999998</v>
      </c>
      <c r="M173">
        <v>16.4009</v>
      </c>
      <c r="N173">
        <v>-1.13177E-3</v>
      </c>
      <c r="O173">
        <v>-1.7417700000000001E-2</v>
      </c>
      <c r="P173">
        <v>15.372400000000001</v>
      </c>
      <c r="Q173">
        <v>15.389799999999999</v>
      </c>
      <c r="R173">
        <v>84.313000000000002</v>
      </c>
      <c r="S173">
        <v>84.313999999999993</v>
      </c>
      <c r="T173">
        <v>2.2008999999999999</v>
      </c>
      <c r="U173">
        <v>7742.27</v>
      </c>
      <c r="V173">
        <f t="shared" si="4"/>
        <v>42.077554347826087</v>
      </c>
      <c r="W173">
        <f t="shared" si="5"/>
        <v>8.3843600000000002E-4</v>
      </c>
    </row>
    <row r="174" spans="1:23" x14ac:dyDescent="0.3">
      <c r="A174">
        <v>167</v>
      </c>
      <c r="B174">
        <v>2.22134E-3</v>
      </c>
      <c r="C174">
        <v>7.9031000000000004E-2</v>
      </c>
      <c r="D174">
        <v>35.657200000000003</v>
      </c>
      <c r="E174">
        <v>35.578200000000002</v>
      </c>
      <c r="F174">
        <v>-3.8354600000000002E-4</v>
      </c>
      <c r="G174">
        <v>-7.1869799999999999E-3</v>
      </c>
      <c r="H174">
        <v>18.731000000000002</v>
      </c>
      <c r="I174">
        <v>18.738199999999999</v>
      </c>
      <c r="J174">
        <v>-1.0174400000000001E-3</v>
      </c>
      <c r="K174">
        <v>-1.6686800000000002E-2</v>
      </c>
      <c r="L174">
        <v>16.3842</v>
      </c>
      <c r="M174">
        <v>16.4009</v>
      </c>
      <c r="N174">
        <v>-1.20582E-3</v>
      </c>
      <c r="O174">
        <v>-1.8557400000000002E-2</v>
      </c>
      <c r="P174">
        <v>15.3712</v>
      </c>
      <c r="Q174">
        <v>15.389799999999999</v>
      </c>
      <c r="R174">
        <v>85.186000000000007</v>
      </c>
      <c r="S174">
        <v>85.186000000000007</v>
      </c>
      <c r="T174">
        <v>2.2299000000000002</v>
      </c>
      <c r="U174">
        <v>7844</v>
      </c>
      <c r="V174">
        <f t="shared" si="4"/>
        <v>42.630434782608695</v>
      </c>
      <c r="W174">
        <f t="shared" si="5"/>
        <v>8.6893533333333342E-4</v>
      </c>
    </row>
    <row r="175" spans="1:23" x14ac:dyDescent="0.3">
      <c r="A175">
        <v>168</v>
      </c>
      <c r="B175">
        <v>2.2410899999999998E-3</v>
      </c>
      <c r="C175">
        <v>7.9733899999999996E-2</v>
      </c>
      <c r="D175">
        <v>35.657899999999998</v>
      </c>
      <c r="E175">
        <v>35.578200000000002</v>
      </c>
      <c r="F175">
        <v>-3.9935300000000002E-4</v>
      </c>
      <c r="G175">
        <v>-7.48316E-3</v>
      </c>
      <c r="H175">
        <v>18.730699999999999</v>
      </c>
      <c r="I175">
        <v>18.738199999999999</v>
      </c>
      <c r="J175">
        <v>-1.05356E-3</v>
      </c>
      <c r="K175">
        <v>-1.7279300000000001E-2</v>
      </c>
      <c r="L175">
        <v>16.383600000000001</v>
      </c>
      <c r="M175">
        <v>16.4009</v>
      </c>
      <c r="N175">
        <v>-1.23802E-3</v>
      </c>
      <c r="O175">
        <v>-1.9052800000000002E-2</v>
      </c>
      <c r="P175">
        <v>15.370699999999999</v>
      </c>
      <c r="Q175">
        <v>15.389799999999999</v>
      </c>
      <c r="R175">
        <v>86.247</v>
      </c>
      <c r="S175">
        <v>86.248000000000005</v>
      </c>
      <c r="T175">
        <v>2.2467000000000001</v>
      </c>
      <c r="U175">
        <v>7902.77</v>
      </c>
      <c r="V175">
        <f t="shared" si="4"/>
        <v>42.949836956521743</v>
      </c>
      <c r="W175">
        <f t="shared" si="5"/>
        <v>8.9697766666666683E-4</v>
      </c>
    </row>
    <row r="176" spans="1:23" x14ac:dyDescent="0.3">
      <c r="A176">
        <v>169</v>
      </c>
      <c r="B176">
        <v>2.27158E-3</v>
      </c>
      <c r="C176">
        <v>8.0818600000000004E-2</v>
      </c>
      <c r="D176">
        <v>35.658999999999999</v>
      </c>
      <c r="E176">
        <v>35.578200000000002</v>
      </c>
      <c r="F176">
        <v>-4.0182899999999998E-4</v>
      </c>
      <c r="G176">
        <v>-7.5295600000000002E-3</v>
      </c>
      <c r="H176">
        <v>18.730699999999999</v>
      </c>
      <c r="I176">
        <v>18.738199999999999</v>
      </c>
      <c r="J176">
        <v>-1.0032800000000001E-3</v>
      </c>
      <c r="K176">
        <v>-1.6454699999999999E-2</v>
      </c>
      <c r="L176">
        <v>16.384399999999999</v>
      </c>
      <c r="M176">
        <v>16.4009</v>
      </c>
      <c r="N176">
        <v>-1.2505800000000001E-3</v>
      </c>
      <c r="O176">
        <v>-1.9246200000000002E-2</v>
      </c>
      <c r="P176">
        <v>15.3705</v>
      </c>
      <c r="Q176">
        <v>15.389799999999999</v>
      </c>
      <c r="R176">
        <v>86.62</v>
      </c>
      <c r="S176">
        <v>86.620999999999995</v>
      </c>
      <c r="T176">
        <v>2.2538</v>
      </c>
      <c r="U176">
        <v>7927.64</v>
      </c>
      <c r="V176">
        <f t="shared" si="4"/>
        <v>43.085000000000001</v>
      </c>
      <c r="W176">
        <f t="shared" si="5"/>
        <v>8.8522966666666671E-4</v>
      </c>
    </row>
    <row r="177" spans="1:23" x14ac:dyDescent="0.3">
      <c r="A177">
        <v>170</v>
      </c>
      <c r="B177">
        <v>2.2531299999999999E-3</v>
      </c>
      <c r="C177">
        <v>8.0162300000000006E-2</v>
      </c>
      <c r="D177">
        <v>35.658299999999997</v>
      </c>
      <c r="E177">
        <v>35.578200000000002</v>
      </c>
      <c r="F177">
        <v>-4.9584E-4</v>
      </c>
      <c r="G177">
        <v>-9.2911599999999997E-3</v>
      </c>
      <c r="H177">
        <v>18.728899999999999</v>
      </c>
      <c r="I177">
        <v>18.738199999999999</v>
      </c>
      <c r="J177">
        <v>-1.1424E-3</v>
      </c>
      <c r="K177">
        <v>-1.87364E-2</v>
      </c>
      <c r="L177">
        <v>16.382100000000001</v>
      </c>
      <c r="M177">
        <v>16.4009</v>
      </c>
      <c r="N177">
        <v>-1.34431E-3</v>
      </c>
      <c r="O177">
        <v>-2.0688700000000001E-2</v>
      </c>
      <c r="P177">
        <v>15.3691</v>
      </c>
      <c r="Q177">
        <v>15.389799999999999</v>
      </c>
      <c r="R177">
        <v>87.245000000000005</v>
      </c>
      <c r="S177">
        <v>87.245000000000005</v>
      </c>
      <c r="T177">
        <v>2.2763</v>
      </c>
      <c r="U177">
        <v>8006.76</v>
      </c>
      <c r="V177">
        <f t="shared" si="4"/>
        <v>43.515000000000001</v>
      </c>
      <c r="W177">
        <f t="shared" si="5"/>
        <v>9.9418333333333342E-4</v>
      </c>
    </row>
    <row r="178" spans="1:23" x14ac:dyDescent="0.3">
      <c r="A178">
        <v>171</v>
      </c>
      <c r="B178">
        <v>2.3222300000000002E-3</v>
      </c>
      <c r="C178">
        <v>8.2620799999999994E-2</v>
      </c>
      <c r="D178">
        <v>35.660800000000002</v>
      </c>
      <c r="E178">
        <v>35.578200000000002</v>
      </c>
      <c r="F178">
        <v>-3.7605499999999998E-4</v>
      </c>
      <c r="G178">
        <v>-7.04661E-3</v>
      </c>
      <c r="H178">
        <v>18.731200000000001</v>
      </c>
      <c r="I178">
        <v>18.738199999999999</v>
      </c>
      <c r="J178">
        <v>-1.00512E-3</v>
      </c>
      <c r="K178">
        <v>-1.64849E-2</v>
      </c>
      <c r="L178">
        <v>16.384399999999999</v>
      </c>
      <c r="M178">
        <v>16.4009</v>
      </c>
      <c r="N178">
        <v>-1.21517E-3</v>
      </c>
      <c r="O178">
        <v>-1.8701200000000001E-2</v>
      </c>
      <c r="P178">
        <v>15.3711</v>
      </c>
      <c r="Q178">
        <v>15.389799999999999</v>
      </c>
      <c r="R178">
        <v>87.495000000000005</v>
      </c>
      <c r="S178">
        <v>87.495999999999995</v>
      </c>
      <c r="T178">
        <v>2.2854000000000001</v>
      </c>
      <c r="U178">
        <v>8038.4</v>
      </c>
      <c r="V178">
        <f t="shared" si="4"/>
        <v>43.686956521739127</v>
      </c>
      <c r="W178">
        <f t="shared" si="5"/>
        <v>8.6544833333333326E-4</v>
      </c>
    </row>
    <row r="179" spans="1:23" x14ac:dyDescent="0.3">
      <c r="A179">
        <v>172</v>
      </c>
      <c r="B179">
        <v>2.3449E-3</v>
      </c>
      <c r="C179">
        <v>8.3427399999999999E-2</v>
      </c>
      <c r="D179">
        <v>35.6616</v>
      </c>
      <c r="E179">
        <v>35.578200000000002</v>
      </c>
      <c r="F179">
        <v>-4.5267000000000001E-4</v>
      </c>
      <c r="G179">
        <v>-8.4822300000000003E-3</v>
      </c>
      <c r="H179">
        <v>18.729700000000001</v>
      </c>
      <c r="I179">
        <v>18.738199999999999</v>
      </c>
      <c r="J179">
        <v>-1.0342000000000001E-3</v>
      </c>
      <c r="K179">
        <v>-1.6961799999999999E-2</v>
      </c>
      <c r="L179">
        <v>16.383900000000001</v>
      </c>
      <c r="M179">
        <v>16.4009</v>
      </c>
      <c r="N179">
        <v>-1.20842E-3</v>
      </c>
      <c r="O179">
        <v>-1.8597300000000001E-2</v>
      </c>
      <c r="P179">
        <v>15.3712</v>
      </c>
      <c r="Q179">
        <v>15.389799999999999</v>
      </c>
      <c r="R179">
        <v>88.18</v>
      </c>
      <c r="S179">
        <v>88.18</v>
      </c>
      <c r="T179">
        <v>2.306</v>
      </c>
      <c r="U179">
        <v>8110.74</v>
      </c>
      <c r="V179">
        <f t="shared" si="4"/>
        <v>44.080108695652171</v>
      </c>
      <c r="W179">
        <f t="shared" si="5"/>
        <v>8.9843000000000008E-4</v>
      </c>
    </row>
    <row r="180" spans="1:23" x14ac:dyDescent="0.3">
      <c r="A180">
        <v>173</v>
      </c>
      <c r="B180">
        <v>2.2830799999999998E-3</v>
      </c>
      <c r="C180">
        <v>8.1227800000000003E-2</v>
      </c>
      <c r="D180">
        <v>35.659399999999998</v>
      </c>
      <c r="E180">
        <v>35.578200000000002</v>
      </c>
      <c r="F180">
        <v>-4.6467699999999998E-4</v>
      </c>
      <c r="G180">
        <v>-8.7072299999999998E-3</v>
      </c>
      <c r="H180">
        <v>18.729500000000002</v>
      </c>
      <c r="I180">
        <v>18.738199999999999</v>
      </c>
      <c r="J180">
        <v>-1.0694700000000001E-3</v>
      </c>
      <c r="K180">
        <v>-1.7540199999999999E-2</v>
      </c>
      <c r="L180">
        <v>16.383299999999998</v>
      </c>
      <c r="M180">
        <v>16.4009</v>
      </c>
      <c r="N180">
        <v>-1.2684E-3</v>
      </c>
      <c r="O180">
        <v>-1.95204E-2</v>
      </c>
      <c r="P180">
        <v>15.3703</v>
      </c>
      <c r="Q180">
        <v>15.389799999999999</v>
      </c>
      <c r="R180">
        <v>88.617000000000004</v>
      </c>
      <c r="S180">
        <v>88.617000000000004</v>
      </c>
      <c r="T180">
        <v>2.3086000000000002</v>
      </c>
      <c r="U180">
        <v>8119.78</v>
      </c>
      <c r="V180">
        <f t="shared" si="4"/>
        <v>44.129239130434783</v>
      </c>
      <c r="W180">
        <f t="shared" si="5"/>
        <v>9.3418233333333325E-4</v>
      </c>
    </row>
    <row r="181" spans="1:23" x14ac:dyDescent="0.3">
      <c r="A181">
        <v>174</v>
      </c>
      <c r="B181">
        <v>2.3414099999999999E-3</v>
      </c>
      <c r="C181">
        <v>8.3303000000000002E-2</v>
      </c>
      <c r="D181">
        <v>35.661499999999997</v>
      </c>
      <c r="E181">
        <v>35.578200000000002</v>
      </c>
      <c r="F181">
        <v>-2.3954299999999999E-4</v>
      </c>
      <c r="G181">
        <v>-4.4886099999999996E-3</v>
      </c>
      <c r="H181">
        <v>18.733699999999999</v>
      </c>
      <c r="I181">
        <v>18.738199999999999</v>
      </c>
      <c r="J181">
        <v>-8.8953399999999998E-4</v>
      </c>
      <c r="K181">
        <v>-1.4589100000000001E-2</v>
      </c>
      <c r="L181">
        <v>16.386299999999999</v>
      </c>
      <c r="M181">
        <v>16.4009</v>
      </c>
      <c r="N181">
        <v>-1.2093200000000001E-3</v>
      </c>
      <c r="O181">
        <v>-1.8611099999999998E-2</v>
      </c>
      <c r="P181">
        <v>15.3712</v>
      </c>
      <c r="Q181">
        <v>15.389799999999999</v>
      </c>
      <c r="R181">
        <v>89.307000000000002</v>
      </c>
      <c r="S181">
        <v>89.307000000000002</v>
      </c>
      <c r="T181">
        <v>2.3224</v>
      </c>
      <c r="U181">
        <v>8168.38</v>
      </c>
      <c r="V181">
        <f t="shared" si="4"/>
        <v>44.393369565217391</v>
      </c>
      <c r="W181">
        <f t="shared" si="5"/>
        <v>7.7946566666666666E-4</v>
      </c>
    </row>
    <row r="182" spans="1:23" x14ac:dyDescent="0.3">
      <c r="A182">
        <v>175</v>
      </c>
      <c r="B182">
        <v>2.3640800000000002E-3</v>
      </c>
      <c r="C182">
        <v>8.4109699999999996E-2</v>
      </c>
      <c r="D182">
        <v>35.662300000000002</v>
      </c>
      <c r="E182">
        <v>35.578200000000002</v>
      </c>
      <c r="F182">
        <v>-4.4325300000000001E-4</v>
      </c>
      <c r="G182">
        <v>-8.3057700000000005E-3</v>
      </c>
      <c r="H182">
        <v>18.729900000000001</v>
      </c>
      <c r="I182">
        <v>18.738199999999999</v>
      </c>
      <c r="J182">
        <v>-1.0470399999999999E-3</v>
      </c>
      <c r="K182">
        <v>-1.7172300000000001E-2</v>
      </c>
      <c r="L182">
        <v>16.383700000000001</v>
      </c>
      <c r="M182">
        <v>16.4009</v>
      </c>
      <c r="N182">
        <v>-1.3104799999999999E-3</v>
      </c>
      <c r="O182">
        <v>-2.0168100000000001E-2</v>
      </c>
      <c r="P182">
        <v>15.3696</v>
      </c>
      <c r="Q182">
        <v>15.389799999999999</v>
      </c>
      <c r="R182">
        <v>89.614999999999995</v>
      </c>
      <c r="S182">
        <v>89.614999999999995</v>
      </c>
      <c r="T182">
        <v>2.3321000000000001</v>
      </c>
      <c r="U182">
        <v>8202.2900000000009</v>
      </c>
      <c r="V182">
        <f t="shared" si="4"/>
        <v>44.577663043478267</v>
      </c>
      <c r="W182">
        <f t="shared" si="5"/>
        <v>9.33591E-4</v>
      </c>
    </row>
    <row r="183" spans="1:23" x14ac:dyDescent="0.3">
      <c r="A183">
        <v>176</v>
      </c>
      <c r="B183">
        <v>2.36841E-3</v>
      </c>
      <c r="C183">
        <v>8.4263500000000005E-2</v>
      </c>
      <c r="D183">
        <v>35.662399999999998</v>
      </c>
      <c r="E183">
        <v>35.578200000000002</v>
      </c>
      <c r="F183">
        <v>-4.2489300000000003E-4</v>
      </c>
      <c r="G183">
        <v>-7.9617300000000002E-3</v>
      </c>
      <c r="H183">
        <v>18.7303</v>
      </c>
      <c r="I183">
        <v>18.738199999999999</v>
      </c>
      <c r="J183">
        <v>-1.08091E-3</v>
      </c>
      <c r="K183">
        <v>-1.7727900000000001E-2</v>
      </c>
      <c r="L183">
        <v>16.383099999999999</v>
      </c>
      <c r="M183">
        <v>16.4009</v>
      </c>
      <c r="N183">
        <v>-1.3579099999999999E-3</v>
      </c>
      <c r="O183">
        <v>-2.0897900000000001E-2</v>
      </c>
      <c r="P183">
        <v>15.3689</v>
      </c>
      <c r="Q183">
        <v>15.389799999999999</v>
      </c>
      <c r="R183">
        <v>90.364999999999995</v>
      </c>
      <c r="S183">
        <v>90.364999999999995</v>
      </c>
      <c r="T183">
        <v>2.3555999999999999</v>
      </c>
      <c r="U183">
        <v>8284.7999999999993</v>
      </c>
      <c r="V183">
        <f t="shared" si="4"/>
        <v>45.026086956521738</v>
      </c>
      <c r="W183">
        <f t="shared" si="5"/>
        <v>9.5457099999999998E-4</v>
      </c>
    </row>
    <row r="184" spans="1:23" x14ac:dyDescent="0.3">
      <c r="A184">
        <v>177</v>
      </c>
      <c r="B184">
        <v>2.3957200000000001E-3</v>
      </c>
      <c r="C184">
        <v>8.5235400000000003E-2</v>
      </c>
      <c r="D184">
        <v>35.663400000000003</v>
      </c>
      <c r="E184">
        <v>35.578200000000002</v>
      </c>
      <c r="F184">
        <v>-6.2019600000000005E-4</v>
      </c>
      <c r="G184">
        <v>-1.16214E-2</v>
      </c>
      <c r="H184">
        <v>18.726600000000001</v>
      </c>
      <c r="I184">
        <v>18.738199999999999</v>
      </c>
      <c r="J184">
        <v>-1.1218700000000001E-3</v>
      </c>
      <c r="K184">
        <v>-1.8399599999999999E-2</v>
      </c>
      <c r="L184">
        <v>16.3825</v>
      </c>
      <c r="M184">
        <v>16.4009</v>
      </c>
      <c r="N184">
        <v>-1.35359E-3</v>
      </c>
      <c r="O184">
        <v>-2.08314E-2</v>
      </c>
      <c r="P184">
        <v>15.3689</v>
      </c>
      <c r="Q184">
        <v>15.389799999999999</v>
      </c>
      <c r="R184">
        <v>90.802999999999997</v>
      </c>
      <c r="S184">
        <v>90.802999999999997</v>
      </c>
      <c r="T184">
        <v>2.3681999999999999</v>
      </c>
      <c r="U184">
        <v>8328.8799999999992</v>
      </c>
      <c r="V184">
        <f t="shared" si="4"/>
        <v>45.26565217391304</v>
      </c>
      <c r="W184">
        <f t="shared" si="5"/>
        <v>1.0318853333333333E-3</v>
      </c>
    </row>
    <row r="185" spans="1:23" x14ac:dyDescent="0.3">
      <c r="A185">
        <v>178</v>
      </c>
      <c r="B185">
        <v>2.4069199999999999E-3</v>
      </c>
      <c r="C185">
        <v>8.5633899999999999E-2</v>
      </c>
      <c r="D185">
        <v>35.663800000000002</v>
      </c>
      <c r="E185">
        <v>35.578200000000002</v>
      </c>
      <c r="F185">
        <v>-4.8354300000000002E-4</v>
      </c>
      <c r="G185">
        <v>-9.0607299999999995E-3</v>
      </c>
      <c r="H185">
        <v>18.729199999999999</v>
      </c>
      <c r="I185">
        <v>18.738199999999999</v>
      </c>
      <c r="J185">
        <v>-1.1206199999999999E-3</v>
      </c>
      <c r="K185">
        <v>-1.8379199999999998E-2</v>
      </c>
      <c r="L185">
        <v>16.3825</v>
      </c>
      <c r="M185">
        <v>16.4009</v>
      </c>
      <c r="N185">
        <v>-1.26717E-3</v>
      </c>
      <c r="O185">
        <v>-1.9501500000000001E-2</v>
      </c>
      <c r="P185">
        <v>15.3703</v>
      </c>
      <c r="Q185">
        <v>15.389799999999999</v>
      </c>
      <c r="R185">
        <v>91.238</v>
      </c>
      <c r="S185">
        <v>91.238</v>
      </c>
      <c r="T185">
        <v>2.3727</v>
      </c>
      <c r="U185">
        <v>8344.7099999999991</v>
      </c>
      <c r="V185">
        <f t="shared" si="4"/>
        <v>45.351684782608693</v>
      </c>
      <c r="W185">
        <f t="shared" si="5"/>
        <v>9.5711100000000007E-4</v>
      </c>
    </row>
    <row r="186" spans="1:23" x14ac:dyDescent="0.3">
      <c r="A186">
        <v>179</v>
      </c>
      <c r="B186">
        <v>2.5117999999999998E-3</v>
      </c>
      <c r="C186">
        <v>8.9365100000000003E-2</v>
      </c>
      <c r="D186">
        <v>35.667499999999997</v>
      </c>
      <c r="E186">
        <v>35.578200000000002</v>
      </c>
      <c r="F186">
        <v>-4.1184300000000001E-4</v>
      </c>
      <c r="G186">
        <v>-7.7171999999999996E-3</v>
      </c>
      <c r="H186">
        <v>18.730499999999999</v>
      </c>
      <c r="I186">
        <v>18.738199999999999</v>
      </c>
      <c r="J186">
        <v>-9.6934400000000002E-4</v>
      </c>
      <c r="K186">
        <v>-1.5898099999999998E-2</v>
      </c>
      <c r="L186">
        <v>16.385000000000002</v>
      </c>
      <c r="M186">
        <v>16.4009</v>
      </c>
      <c r="N186">
        <v>-1.1407500000000001E-3</v>
      </c>
      <c r="O186">
        <v>-1.7555899999999999E-2</v>
      </c>
      <c r="P186">
        <v>15.372199999999999</v>
      </c>
      <c r="Q186">
        <v>15.389799999999999</v>
      </c>
      <c r="R186">
        <v>91.611999999999995</v>
      </c>
      <c r="S186">
        <v>91.611999999999995</v>
      </c>
      <c r="T186">
        <v>2.3797999999999999</v>
      </c>
      <c r="U186">
        <v>8369.57</v>
      </c>
      <c r="V186">
        <f t="shared" si="4"/>
        <v>45.486793478260871</v>
      </c>
      <c r="W186">
        <f t="shared" si="5"/>
        <v>8.4064566666666675E-4</v>
      </c>
    </row>
    <row r="187" spans="1:23" x14ac:dyDescent="0.3">
      <c r="A187">
        <v>180</v>
      </c>
      <c r="B187">
        <v>2.3272100000000001E-3</v>
      </c>
      <c r="C187">
        <v>8.2797899999999994E-2</v>
      </c>
      <c r="D187">
        <v>35.661000000000001</v>
      </c>
      <c r="E187">
        <v>35.578200000000002</v>
      </c>
      <c r="F187">
        <v>-5.3567999999999997E-4</v>
      </c>
      <c r="G187">
        <v>-1.00377E-2</v>
      </c>
      <c r="H187">
        <v>18.728200000000001</v>
      </c>
      <c r="I187">
        <v>18.738199999999999</v>
      </c>
      <c r="J187">
        <v>-1.1742E-3</v>
      </c>
      <c r="K187">
        <v>-1.9257900000000001E-2</v>
      </c>
      <c r="L187">
        <v>16.381599999999999</v>
      </c>
      <c r="M187">
        <v>16.4009</v>
      </c>
      <c r="N187">
        <v>-1.4255800000000001E-3</v>
      </c>
      <c r="O187">
        <v>-2.1939400000000001E-2</v>
      </c>
      <c r="P187">
        <v>15.367800000000001</v>
      </c>
      <c r="Q187">
        <v>15.389799999999999</v>
      </c>
      <c r="R187">
        <v>92.051000000000002</v>
      </c>
      <c r="S187">
        <v>92.051000000000002</v>
      </c>
      <c r="T187">
        <v>2.3929999999999998</v>
      </c>
      <c r="U187">
        <v>8415.91</v>
      </c>
      <c r="V187">
        <f t="shared" si="4"/>
        <v>45.738641304347823</v>
      </c>
      <c r="W187">
        <f t="shared" si="5"/>
        <v>1.0451533333333334E-3</v>
      </c>
    </row>
    <row r="188" spans="1:23" x14ac:dyDescent="0.3">
      <c r="A188">
        <v>181</v>
      </c>
      <c r="B188">
        <v>2.4439900000000001E-3</v>
      </c>
      <c r="C188">
        <v>8.6952799999999997E-2</v>
      </c>
      <c r="D188">
        <v>35.665100000000002</v>
      </c>
      <c r="E188">
        <v>35.578200000000002</v>
      </c>
      <c r="F188">
        <v>-4.4619700000000001E-4</v>
      </c>
      <c r="G188">
        <v>-8.3609400000000007E-3</v>
      </c>
      <c r="H188">
        <v>18.729900000000001</v>
      </c>
      <c r="I188">
        <v>18.738199999999999</v>
      </c>
      <c r="J188">
        <v>-1.07357E-3</v>
      </c>
      <c r="K188">
        <v>-1.7607500000000002E-2</v>
      </c>
      <c r="L188">
        <v>16.383199999999999</v>
      </c>
      <c r="M188">
        <v>16.4009</v>
      </c>
      <c r="N188">
        <v>-1.24924E-3</v>
      </c>
      <c r="O188">
        <v>-1.92255E-2</v>
      </c>
      <c r="P188">
        <v>15.3706</v>
      </c>
      <c r="Q188">
        <v>15.389799999999999</v>
      </c>
      <c r="R188">
        <v>92.861999999999995</v>
      </c>
      <c r="S188">
        <v>92.861999999999995</v>
      </c>
      <c r="T188">
        <v>2.4184999999999999</v>
      </c>
      <c r="U188">
        <v>8505.2000000000007</v>
      </c>
      <c r="V188">
        <f t="shared" si="4"/>
        <v>46.223913043478262</v>
      </c>
      <c r="W188">
        <f t="shared" si="5"/>
        <v>9.2300233333333329E-4</v>
      </c>
    </row>
    <row r="189" spans="1:23" x14ac:dyDescent="0.3">
      <c r="A189">
        <v>182</v>
      </c>
      <c r="B189">
        <v>2.43428E-3</v>
      </c>
      <c r="C189">
        <v>8.6607199999999995E-2</v>
      </c>
      <c r="D189">
        <v>35.6648</v>
      </c>
      <c r="E189">
        <v>35.578200000000002</v>
      </c>
      <c r="F189">
        <v>-4.9781800000000002E-4</v>
      </c>
      <c r="G189">
        <v>-9.3282299999999999E-3</v>
      </c>
      <c r="H189">
        <v>18.728899999999999</v>
      </c>
      <c r="I189">
        <v>18.738199999999999</v>
      </c>
      <c r="J189">
        <v>-1.1467700000000001E-3</v>
      </c>
      <c r="K189">
        <v>-1.8807999999999998E-2</v>
      </c>
      <c r="L189">
        <v>16.382000000000001</v>
      </c>
      <c r="M189">
        <v>16.4009</v>
      </c>
      <c r="N189">
        <v>-1.33687E-3</v>
      </c>
      <c r="O189">
        <v>-2.0574100000000001E-2</v>
      </c>
      <c r="P189">
        <v>15.369199999999999</v>
      </c>
      <c r="Q189">
        <v>15.389799999999999</v>
      </c>
      <c r="R189">
        <v>93.233999999999995</v>
      </c>
      <c r="S189">
        <v>93.233999999999995</v>
      </c>
      <c r="T189">
        <v>2.4249000000000001</v>
      </c>
      <c r="U189">
        <v>8527.81</v>
      </c>
      <c r="V189">
        <f t="shared" si="4"/>
        <v>46.346793478260864</v>
      </c>
      <c r="W189">
        <f t="shared" si="5"/>
        <v>9.9381933333333333E-4</v>
      </c>
    </row>
    <row r="190" spans="1:23" x14ac:dyDescent="0.3">
      <c r="A190">
        <v>183</v>
      </c>
      <c r="B190">
        <v>2.4714799999999999E-3</v>
      </c>
      <c r="C190">
        <v>8.7930800000000003E-2</v>
      </c>
      <c r="D190">
        <v>35.6661</v>
      </c>
      <c r="E190">
        <v>35.578200000000002</v>
      </c>
      <c r="F190">
        <v>-4.6014500000000002E-4</v>
      </c>
      <c r="G190">
        <v>-8.6222899999999995E-3</v>
      </c>
      <c r="H190">
        <v>18.729600000000001</v>
      </c>
      <c r="I190">
        <v>18.738199999999999</v>
      </c>
      <c r="J190">
        <v>-1.1404799999999999E-3</v>
      </c>
      <c r="K190">
        <v>-1.87049E-2</v>
      </c>
      <c r="L190">
        <v>16.382200000000001</v>
      </c>
      <c r="M190">
        <v>16.4009</v>
      </c>
      <c r="N190">
        <v>-1.3238099999999999E-3</v>
      </c>
      <c r="O190">
        <v>-2.0373100000000002E-2</v>
      </c>
      <c r="P190">
        <v>15.369400000000001</v>
      </c>
      <c r="Q190">
        <v>15.389799999999999</v>
      </c>
      <c r="R190">
        <v>93.608999999999995</v>
      </c>
      <c r="S190">
        <v>93.608999999999995</v>
      </c>
      <c r="T190">
        <v>2.4356</v>
      </c>
      <c r="U190">
        <v>8565.11</v>
      </c>
      <c r="V190">
        <f t="shared" si="4"/>
        <v>46.549510869565218</v>
      </c>
      <c r="W190">
        <f t="shared" si="5"/>
        <v>9.7481166666666666E-4</v>
      </c>
    </row>
    <row r="191" spans="1:23" x14ac:dyDescent="0.3">
      <c r="A191">
        <v>184</v>
      </c>
      <c r="B191">
        <v>2.48628E-3</v>
      </c>
      <c r="C191">
        <v>8.8457400000000005E-2</v>
      </c>
      <c r="D191">
        <v>35.666600000000003</v>
      </c>
      <c r="E191">
        <v>35.578200000000002</v>
      </c>
      <c r="F191">
        <v>-5.1695699999999996E-4</v>
      </c>
      <c r="G191">
        <v>-9.6868600000000003E-3</v>
      </c>
      <c r="H191">
        <v>18.7285</v>
      </c>
      <c r="I191">
        <v>18.738199999999999</v>
      </c>
      <c r="J191">
        <v>-1.1280400000000001E-3</v>
      </c>
      <c r="K191">
        <v>-1.8500800000000001E-2</v>
      </c>
      <c r="L191">
        <v>16.382400000000001</v>
      </c>
      <c r="M191">
        <v>16.4009</v>
      </c>
      <c r="N191">
        <v>-1.3726599999999999E-3</v>
      </c>
      <c r="O191">
        <v>-2.1125000000000001E-2</v>
      </c>
      <c r="P191">
        <v>15.3687</v>
      </c>
      <c r="Q191">
        <v>15.389799999999999</v>
      </c>
      <c r="R191">
        <v>94.173000000000002</v>
      </c>
      <c r="S191">
        <v>94.173000000000002</v>
      </c>
      <c r="T191">
        <v>2.4474999999999998</v>
      </c>
      <c r="U191">
        <v>8606.93</v>
      </c>
      <c r="V191">
        <f t="shared" si="4"/>
        <v>46.776793478260871</v>
      </c>
      <c r="W191">
        <f t="shared" si="5"/>
        <v>1.0058856666666667E-3</v>
      </c>
    </row>
    <row r="192" spans="1:23" x14ac:dyDescent="0.3">
      <c r="A192">
        <v>185</v>
      </c>
      <c r="B192">
        <v>2.5304300000000002E-3</v>
      </c>
      <c r="C192">
        <v>9.0027999999999997E-2</v>
      </c>
      <c r="D192">
        <v>35.668199999999999</v>
      </c>
      <c r="E192">
        <v>35.578200000000002</v>
      </c>
      <c r="F192">
        <v>-4.1904699999999997E-4</v>
      </c>
      <c r="G192">
        <v>-7.8521900000000002E-3</v>
      </c>
      <c r="H192">
        <v>18.730399999999999</v>
      </c>
      <c r="I192">
        <v>18.738199999999999</v>
      </c>
      <c r="J192">
        <v>-1.11071E-3</v>
      </c>
      <c r="K192">
        <v>-1.8216599999999999E-2</v>
      </c>
      <c r="L192">
        <v>16.3826</v>
      </c>
      <c r="M192">
        <v>16.4009</v>
      </c>
      <c r="N192">
        <v>-1.3529499999999999E-3</v>
      </c>
      <c r="O192">
        <v>-2.0821599999999999E-2</v>
      </c>
      <c r="P192">
        <v>15.369</v>
      </c>
      <c r="Q192">
        <v>15.389799999999999</v>
      </c>
      <c r="R192">
        <v>94.921000000000006</v>
      </c>
      <c r="S192">
        <v>94.921000000000006</v>
      </c>
      <c r="T192">
        <v>2.4710000000000001</v>
      </c>
      <c r="U192">
        <v>8689.43</v>
      </c>
      <c r="V192">
        <f t="shared" si="4"/>
        <v>47.225163043478261</v>
      </c>
      <c r="W192">
        <f t="shared" si="5"/>
        <v>9.6090233333333329E-4</v>
      </c>
    </row>
    <row r="193" spans="1:23" x14ac:dyDescent="0.3">
      <c r="A193">
        <v>186</v>
      </c>
      <c r="B193">
        <v>2.55091E-3</v>
      </c>
      <c r="C193">
        <v>9.0756699999999996E-2</v>
      </c>
      <c r="D193">
        <v>35.668900000000001</v>
      </c>
      <c r="E193">
        <v>35.578200000000002</v>
      </c>
      <c r="F193">
        <v>-4.3850300000000003E-4</v>
      </c>
      <c r="G193">
        <v>-8.2167799999999999E-3</v>
      </c>
      <c r="H193">
        <v>18.73</v>
      </c>
      <c r="I193">
        <v>18.738199999999999</v>
      </c>
      <c r="J193">
        <v>-1.15047E-3</v>
      </c>
      <c r="K193">
        <v>-1.8868699999999999E-2</v>
      </c>
      <c r="L193">
        <v>16.382000000000001</v>
      </c>
      <c r="M193">
        <v>16.4009</v>
      </c>
      <c r="N193">
        <v>-1.3617099999999999E-3</v>
      </c>
      <c r="O193">
        <v>-2.09564E-2</v>
      </c>
      <c r="P193">
        <v>15.3688</v>
      </c>
      <c r="Q193">
        <v>15.389799999999999</v>
      </c>
      <c r="R193">
        <v>95.358000000000004</v>
      </c>
      <c r="S193">
        <v>95.358000000000004</v>
      </c>
      <c r="T193">
        <v>2.4790999999999999</v>
      </c>
      <c r="U193">
        <v>8717.69</v>
      </c>
      <c r="V193">
        <f t="shared" si="4"/>
        <v>47.378750000000004</v>
      </c>
      <c r="W193">
        <f t="shared" si="5"/>
        <v>9.8356099999999998E-4</v>
      </c>
    </row>
    <row r="194" spans="1:23" x14ac:dyDescent="0.3">
      <c r="A194">
        <v>187</v>
      </c>
      <c r="B194">
        <v>2.53996E-3</v>
      </c>
      <c r="C194">
        <v>9.0367100000000006E-2</v>
      </c>
      <c r="D194">
        <v>35.668500000000002</v>
      </c>
      <c r="E194">
        <v>35.578200000000002</v>
      </c>
      <c r="F194">
        <v>-4.3251100000000001E-4</v>
      </c>
      <c r="G194">
        <v>-8.1044800000000007E-3</v>
      </c>
      <c r="H194">
        <v>18.7301</v>
      </c>
      <c r="I194">
        <v>18.738199999999999</v>
      </c>
      <c r="J194">
        <v>-1.09829E-3</v>
      </c>
      <c r="K194">
        <v>-1.8012899999999998E-2</v>
      </c>
      <c r="L194">
        <v>16.3828</v>
      </c>
      <c r="M194">
        <v>16.4009</v>
      </c>
      <c r="N194">
        <v>-1.3597399999999999E-3</v>
      </c>
      <c r="O194">
        <v>-2.0926199999999999E-2</v>
      </c>
      <c r="P194">
        <v>15.3689</v>
      </c>
      <c r="Q194">
        <v>15.389799999999999</v>
      </c>
      <c r="R194">
        <v>95.798000000000002</v>
      </c>
      <c r="S194">
        <v>95.798000000000002</v>
      </c>
      <c r="T194">
        <v>2.4944999999999999</v>
      </c>
      <c r="U194">
        <v>8771.94</v>
      </c>
      <c r="V194">
        <f t="shared" si="4"/>
        <v>47.673586956521739</v>
      </c>
      <c r="W194">
        <f t="shared" si="5"/>
        <v>9.6351366666666668E-4</v>
      </c>
    </row>
    <row r="195" spans="1:23" x14ac:dyDescent="0.3">
      <c r="A195">
        <v>188</v>
      </c>
      <c r="B195">
        <v>2.56288E-3</v>
      </c>
      <c r="C195">
        <v>9.11825E-2</v>
      </c>
      <c r="D195">
        <v>35.6693</v>
      </c>
      <c r="E195">
        <v>35.578200000000002</v>
      </c>
      <c r="F195">
        <v>-4.1784400000000001E-4</v>
      </c>
      <c r="G195">
        <v>-7.8296500000000005E-3</v>
      </c>
      <c r="H195">
        <v>18.730399999999999</v>
      </c>
      <c r="I195">
        <v>18.738199999999999</v>
      </c>
      <c r="J195">
        <v>-1.05715E-3</v>
      </c>
      <c r="K195">
        <v>-1.7338200000000002E-2</v>
      </c>
      <c r="L195">
        <v>16.383500000000002</v>
      </c>
      <c r="M195">
        <v>16.4009</v>
      </c>
      <c r="N195">
        <v>-1.33169E-3</v>
      </c>
      <c r="O195">
        <v>-2.0494399999999999E-2</v>
      </c>
      <c r="P195">
        <v>15.369300000000001</v>
      </c>
      <c r="Q195">
        <v>15.389799999999999</v>
      </c>
      <c r="R195">
        <v>96.292000000000002</v>
      </c>
      <c r="S195">
        <v>96.292000000000002</v>
      </c>
      <c r="T195">
        <v>2.5042</v>
      </c>
      <c r="U195">
        <v>8805.85</v>
      </c>
      <c r="V195">
        <f t="shared" si="4"/>
        <v>47.857880434782608</v>
      </c>
      <c r="W195">
        <f t="shared" si="5"/>
        <v>9.3556133333333328E-4</v>
      </c>
    </row>
    <row r="196" spans="1:23" x14ac:dyDescent="0.3">
      <c r="A196">
        <v>189</v>
      </c>
      <c r="B196">
        <v>2.5533600000000002E-3</v>
      </c>
      <c r="C196">
        <v>9.0843999999999994E-2</v>
      </c>
      <c r="D196">
        <v>35.668999999999997</v>
      </c>
      <c r="E196">
        <v>35.578200000000002</v>
      </c>
      <c r="F196">
        <v>-4.7537300000000002E-4</v>
      </c>
      <c r="G196">
        <v>-8.9076499999999996E-3</v>
      </c>
      <c r="H196">
        <v>18.729299999999999</v>
      </c>
      <c r="I196">
        <v>18.738199999999999</v>
      </c>
      <c r="J196">
        <v>-1.14693E-3</v>
      </c>
      <c r="K196">
        <v>-1.88107E-2</v>
      </c>
      <c r="L196">
        <v>16.382000000000001</v>
      </c>
      <c r="M196">
        <v>16.4009</v>
      </c>
      <c r="N196">
        <v>-1.40912E-3</v>
      </c>
      <c r="O196">
        <v>-2.16861E-2</v>
      </c>
      <c r="P196">
        <v>15.3681</v>
      </c>
      <c r="Q196">
        <v>15.389799999999999</v>
      </c>
      <c r="R196">
        <v>96.852999999999994</v>
      </c>
      <c r="S196">
        <v>96.853999999999999</v>
      </c>
      <c r="T196">
        <v>2.5181</v>
      </c>
      <c r="U196">
        <v>8854.4500000000007</v>
      </c>
      <c r="V196">
        <f t="shared" si="4"/>
        <v>48.122010869565223</v>
      </c>
      <c r="W196">
        <f t="shared" si="5"/>
        <v>1.0104743333333333E-3</v>
      </c>
    </row>
    <row r="197" spans="1:23" x14ac:dyDescent="0.3">
      <c r="A197">
        <v>190</v>
      </c>
      <c r="B197">
        <v>2.5601899999999999E-3</v>
      </c>
      <c r="C197">
        <v>9.1086799999999996E-2</v>
      </c>
      <c r="D197">
        <v>35.669199999999996</v>
      </c>
      <c r="E197">
        <v>35.578200000000002</v>
      </c>
      <c r="F197">
        <v>-4.9072500000000002E-4</v>
      </c>
      <c r="G197">
        <v>-9.1953199999999999E-3</v>
      </c>
      <c r="H197">
        <v>18.728999999999999</v>
      </c>
      <c r="I197">
        <v>18.738199999999999</v>
      </c>
      <c r="J197">
        <v>-1.14036E-3</v>
      </c>
      <c r="K197">
        <v>-1.8702799999999999E-2</v>
      </c>
      <c r="L197">
        <v>16.382200000000001</v>
      </c>
      <c r="M197">
        <v>16.4009</v>
      </c>
      <c r="N197">
        <v>-1.3996799999999999E-3</v>
      </c>
      <c r="O197">
        <v>-2.1540799999999999E-2</v>
      </c>
      <c r="P197">
        <v>15.3682</v>
      </c>
      <c r="Q197">
        <v>15.389799999999999</v>
      </c>
      <c r="R197">
        <v>97.227999999999994</v>
      </c>
      <c r="S197">
        <v>97.227999999999994</v>
      </c>
      <c r="T197">
        <v>2.5326</v>
      </c>
      <c r="U197">
        <v>8905.31</v>
      </c>
      <c r="V197">
        <f t="shared" si="4"/>
        <v>48.398423913043473</v>
      </c>
      <c r="W197">
        <f t="shared" si="5"/>
        <v>1.0102550000000001E-3</v>
      </c>
    </row>
    <row r="198" spans="1:23" x14ac:dyDescent="0.3">
      <c r="A198">
        <v>191</v>
      </c>
      <c r="B198">
        <v>2.5394100000000002E-3</v>
      </c>
      <c r="C198">
        <v>9.0347700000000003E-2</v>
      </c>
      <c r="D198">
        <v>35.668500000000002</v>
      </c>
      <c r="E198">
        <v>35.578200000000002</v>
      </c>
      <c r="F198">
        <v>-5.5628100000000005E-4</v>
      </c>
      <c r="G198">
        <v>-1.0423699999999999E-2</v>
      </c>
      <c r="H198">
        <v>18.727799999999998</v>
      </c>
      <c r="I198">
        <v>18.738199999999999</v>
      </c>
      <c r="J198">
        <v>-1.24198E-3</v>
      </c>
      <c r="K198">
        <v>-2.0369499999999999E-2</v>
      </c>
      <c r="L198">
        <v>16.380500000000001</v>
      </c>
      <c r="M198">
        <v>16.4009</v>
      </c>
      <c r="N198">
        <v>-1.47668E-3</v>
      </c>
      <c r="O198">
        <v>-2.2725800000000001E-2</v>
      </c>
      <c r="P198">
        <v>15.367100000000001</v>
      </c>
      <c r="Q198">
        <v>15.389799999999999</v>
      </c>
      <c r="R198">
        <v>97.852999999999994</v>
      </c>
      <c r="S198">
        <v>97.853999999999999</v>
      </c>
      <c r="T198">
        <v>2.5451000000000001</v>
      </c>
      <c r="U198">
        <v>8949.4</v>
      </c>
      <c r="V198">
        <f t="shared" si="4"/>
        <v>48.638043478260869</v>
      </c>
      <c r="W198">
        <f t="shared" si="5"/>
        <v>1.0916470000000001E-3</v>
      </c>
    </row>
    <row r="199" spans="1:23" x14ac:dyDescent="0.3">
      <c r="A199">
        <v>192</v>
      </c>
      <c r="B199">
        <v>2.5865300000000001E-3</v>
      </c>
      <c r="C199">
        <v>9.2023900000000006E-2</v>
      </c>
      <c r="D199">
        <v>35.670200000000001</v>
      </c>
      <c r="E199">
        <v>35.578200000000002</v>
      </c>
      <c r="F199">
        <v>-4.8490499999999999E-4</v>
      </c>
      <c r="G199">
        <v>-9.0862500000000006E-3</v>
      </c>
      <c r="H199">
        <v>18.729099999999999</v>
      </c>
      <c r="I199">
        <v>18.738199999999999</v>
      </c>
      <c r="J199">
        <v>-1.16826E-3</v>
      </c>
      <c r="K199">
        <v>-1.91605E-2</v>
      </c>
      <c r="L199">
        <v>16.381699999999999</v>
      </c>
      <c r="M199">
        <v>16.4009</v>
      </c>
      <c r="N199">
        <v>-1.39459E-3</v>
      </c>
      <c r="O199">
        <v>-2.14624E-2</v>
      </c>
      <c r="P199">
        <v>15.3683</v>
      </c>
      <c r="Q199">
        <v>15.389799999999999</v>
      </c>
      <c r="R199">
        <v>98.230999999999995</v>
      </c>
      <c r="S199">
        <v>98.230999999999995</v>
      </c>
      <c r="T199">
        <v>2.5545</v>
      </c>
      <c r="U199">
        <v>8982.17</v>
      </c>
      <c r="V199">
        <f t="shared" si="4"/>
        <v>48.816141304347823</v>
      </c>
      <c r="W199">
        <f t="shared" si="5"/>
        <v>1.0159183333333334E-3</v>
      </c>
    </row>
    <row r="200" spans="1:23" x14ac:dyDescent="0.3">
      <c r="A200">
        <v>193</v>
      </c>
      <c r="B200">
        <v>2.6028499999999999E-3</v>
      </c>
      <c r="C200">
        <v>9.2604800000000001E-2</v>
      </c>
      <c r="D200">
        <v>35.6708</v>
      </c>
      <c r="E200">
        <v>35.578200000000002</v>
      </c>
      <c r="F200">
        <v>-4.9757700000000002E-4</v>
      </c>
      <c r="G200">
        <v>-9.3237100000000007E-3</v>
      </c>
      <c r="H200">
        <v>18.728899999999999</v>
      </c>
      <c r="I200">
        <v>18.738199999999999</v>
      </c>
      <c r="J200">
        <v>-1.16562E-3</v>
      </c>
      <c r="K200">
        <v>-1.9117200000000001E-2</v>
      </c>
      <c r="L200">
        <v>16.381699999999999</v>
      </c>
      <c r="M200">
        <v>16.4009</v>
      </c>
      <c r="N200">
        <v>-1.4184099999999999E-3</v>
      </c>
      <c r="O200">
        <v>-2.1828899999999998E-2</v>
      </c>
      <c r="P200">
        <v>15.368</v>
      </c>
      <c r="Q200">
        <v>15.389799999999999</v>
      </c>
      <c r="R200">
        <v>98.79</v>
      </c>
      <c r="S200">
        <v>98.79</v>
      </c>
      <c r="T200">
        <v>2.5706000000000002</v>
      </c>
      <c r="U200">
        <v>9038.69</v>
      </c>
      <c r="V200">
        <f t="shared" ref="V200:V263" si="6">U200/A$2/B$2</f>
        <v>49.123315217391308</v>
      </c>
      <c r="W200">
        <f t="shared" ref="W200:W263" si="7">-AVERAGE(F200,J200,N200)</f>
        <v>1.0272023333333334E-3</v>
      </c>
    </row>
    <row r="201" spans="1:23" x14ac:dyDescent="0.3">
      <c r="A201">
        <v>194</v>
      </c>
      <c r="B201">
        <v>2.6136800000000002E-3</v>
      </c>
      <c r="C201">
        <v>9.29899E-2</v>
      </c>
      <c r="D201">
        <v>35.671199999999999</v>
      </c>
      <c r="E201">
        <v>35.578200000000002</v>
      </c>
      <c r="F201">
        <v>-5.3855999999999999E-4</v>
      </c>
      <c r="G201">
        <v>-1.00917E-2</v>
      </c>
      <c r="H201">
        <v>18.728100000000001</v>
      </c>
      <c r="I201">
        <v>18.738199999999999</v>
      </c>
      <c r="J201">
        <v>-1.23065E-3</v>
      </c>
      <c r="K201">
        <v>-2.0183699999999999E-2</v>
      </c>
      <c r="L201">
        <v>16.380700000000001</v>
      </c>
      <c r="M201">
        <v>16.4009</v>
      </c>
      <c r="N201">
        <v>-1.51323E-3</v>
      </c>
      <c r="O201">
        <v>-2.3288300000000001E-2</v>
      </c>
      <c r="P201">
        <v>15.3665</v>
      </c>
      <c r="Q201">
        <v>15.389799999999999</v>
      </c>
      <c r="R201">
        <v>99.162000000000006</v>
      </c>
      <c r="S201">
        <v>99.162000000000006</v>
      </c>
      <c r="T201">
        <v>2.5802999999999998</v>
      </c>
      <c r="U201">
        <v>9072.59</v>
      </c>
      <c r="V201">
        <f t="shared" si="6"/>
        <v>49.307554347826091</v>
      </c>
      <c r="W201">
        <f t="shared" si="7"/>
        <v>1.0941466666666668E-3</v>
      </c>
    </row>
    <row r="202" spans="1:23" x14ac:dyDescent="0.3">
      <c r="A202">
        <v>195</v>
      </c>
      <c r="B202">
        <v>2.5925499999999999E-3</v>
      </c>
      <c r="C202">
        <v>9.2238000000000001E-2</v>
      </c>
      <c r="D202">
        <v>35.670400000000001</v>
      </c>
      <c r="E202">
        <v>35.578200000000002</v>
      </c>
      <c r="F202">
        <v>-5.2709399999999998E-4</v>
      </c>
      <c r="G202">
        <v>-9.8767999999999998E-3</v>
      </c>
      <c r="H202">
        <v>18.728300000000001</v>
      </c>
      <c r="I202">
        <v>18.738199999999999</v>
      </c>
      <c r="J202">
        <v>-1.21693E-3</v>
      </c>
      <c r="K202">
        <v>-1.9958699999999999E-2</v>
      </c>
      <c r="L202">
        <v>16.3809</v>
      </c>
      <c r="M202">
        <v>16.4009</v>
      </c>
      <c r="N202">
        <v>-1.4750500000000001E-3</v>
      </c>
      <c r="O202">
        <v>-2.2700700000000001E-2</v>
      </c>
      <c r="P202">
        <v>15.367100000000001</v>
      </c>
      <c r="Q202">
        <v>15.389799999999999</v>
      </c>
      <c r="R202">
        <v>99.725999999999999</v>
      </c>
      <c r="S202">
        <v>99.727000000000004</v>
      </c>
      <c r="T202">
        <v>2.5912000000000002</v>
      </c>
      <c r="U202">
        <v>9111.02</v>
      </c>
      <c r="V202">
        <f t="shared" si="6"/>
        <v>49.516413043478266</v>
      </c>
      <c r="W202">
        <f t="shared" si="7"/>
        <v>1.0730246666666666E-3</v>
      </c>
    </row>
    <row r="203" spans="1:23" x14ac:dyDescent="0.3">
      <c r="A203">
        <v>196</v>
      </c>
      <c r="B203">
        <v>2.6552099999999999E-3</v>
      </c>
      <c r="C203">
        <v>9.4467400000000007E-2</v>
      </c>
      <c r="D203">
        <v>35.672600000000003</v>
      </c>
      <c r="E203">
        <v>35.578200000000002</v>
      </c>
      <c r="F203">
        <v>-4.7853099999999998E-4</v>
      </c>
      <c r="G203">
        <v>-8.9668300000000003E-3</v>
      </c>
      <c r="H203">
        <v>18.729299999999999</v>
      </c>
      <c r="I203">
        <v>18.738199999999999</v>
      </c>
      <c r="J203">
        <v>-1.1726900000000001E-3</v>
      </c>
      <c r="K203">
        <v>-1.92331E-2</v>
      </c>
      <c r="L203">
        <v>16.381599999999999</v>
      </c>
      <c r="M203">
        <v>16.4009</v>
      </c>
      <c r="N203">
        <v>-1.42739E-3</v>
      </c>
      <c r="O203">
        <v>-2.1967199999999999E-2</v>
      </c>
      <c r="P203">
        <v>15.367800000000001</v>
      </c>
      <c r="Q203">
        <v>15.389799999999999</v>
      </c>
      <c r="R203">
        <v>100.223</v>
      </c>
      <c r="S203">
        <v>100.223</v>
      </c>
      <c r="T203">
        <v>2.5905999999999998</v>
      </c>
      <c r="U203">
        <v>9108.76</v>
      </c>
      <c r="V203">
        <f t="shared" si="6"/>
        <v>49.50413043478261</v>
      </c>
      <c r="W203">
        <f t="shared" si="7"/>
        <v>1.0262036666666668E-3</v>
      </c>
    </row>
    <row r="204" spans="1:23" x14ac:dyDescent="0.3">
      <c r="A204">
        <v>197</v>
      </c>
      <c r="B204">
        <v>2.6301900000000001E-3</v>
      </c>
      <c r="C204">
        <v>9.3577199999999999E-2</v>
      </c>
      <c r="D204">
        <v>35.671700000000001</v>
      </c>
      <c r="E204">
        <v>35.578200000000002</v>
      </c>
      <c r="F204">
        <v>-5.27192E-4</v>
      </c>
      <c r="G204">
        <v>-9.8786399999999993E-3</v>
      </c>
      <c r="H204">
        <v>18.728300000000001</v>
      </c>
      <c r="I204">
        <v>18.738199999999999</v>
      </c>
      <c r="J204">
        <v>-1.20082E-3</v>
      </c>
      <c r="K204">
        <v>-1.96945E-2</v>
      </c>
      <c r="L204">
        <v>16.3812</v>
      </c>
      <c r="M204">
        <v>16.4009</v>
      </c>
      <c r="N204">
        <v>-1.41362E-3</v>
      </c>
      <c r="O204">
        <v>-2.1755300000000002E-2</v>
      </c>
      <c r="P204">
        <v>15.368</v>
      </c>
      <c r="Q204">
        <v>15.389799999999999</v>
      </c>
      <c r="R204">
        <v>100.59699999999999</v>
      </c>
      <c r="S204">
        <v>100.59699999999999</v>
      </c>
      <c r="T204">
        <v>2.6082999999999998</v>
      </c>
      <c r="U204">
        <v>9170.93</v>
      </c>
      <c r="V204">
        <f t="shared" si="6"/>
        <v>49.842010869565222</v>
      </c>
      <c r="W204">
        <f t="shared" si="7"/>
        <v>1.0472106666666668E-3</v>
      </c>
    </row>
    <row r="205" spans="1:23" x14ac:dyDescent="0.3">
      <c r="A205">
        <v>198</v>
      </c>
      <c r="B205">
        <v>2.7014500000000002E-3</v>
      </c>
      <c r="C205">
        <v>9.6112600000000006E-2</v>
      </c>
      <c r="D205">
        <v>35.674300000000002</v>
      </c>
      <c r="E205">
        <v>35.578200000000002</v>
      </c>
      <c r="F205">
        <v>-4.7459500000000002E-4</v>
      </c>
      <c r="G205">
        <v>-8.8930599999999995E-3</v>
      </c>
      <c r="H205">
        <v>18.729299999999999</v>
      </c>
      <c r="I205">
        <v>18.738199999999999</v>
      </c>
      <c r="J205">
        <v>-1.17457E-3</v>
      </c>
      <c r="K205">
        <v>-1.9264E-2</v>
      </c>
      <c r="L205">
        <v>16.381599999999999</v>
      </c>
      <c r="M205">
        <v>16.4009</v>
      </c>
      <c r="N205">
        <v>-1.44915E-3</v>
      </c>
      <c r="O205">
        <v>-2.2302099999999998E-2</v>
      </c>
      <c r="P205">
        <v>15.3675</v>
      </c>
      <c r="Q205">
        <v>15.389799999999999</v>
      </c>
      <c r="R205">
        <v>100.973</v>
      </c>
      <c r="S205">
        <v>100.973</v>
      </c>
      <c r="T205">
        <v>2.6356999999999999</v>
      </c>
      <c r="U205">
        <v>9267</v>
      </c>
      <c r="V205">
        <f t="shared" si="6"/>
        <v>50.364130434782609</v>
      </c>
      <c r="W205">
        <f t="shared" si="7"/>
        <v>1.0327716666666666E-3</v>
      </c>
    </row>
    <row r="206" spans="1:23" x14ac:dyDescent="0.3">
      <c r="A206">
        <v>199</v>
      </c>
      <c r="B206">
        <v>2.6400299999999998E-3</v>
      </c>
      <c r="C206">
        <v>9.3927399999999994E-2</v>
      </c>
      <c r="D206">
        <v>35.6721</v>
      </c>
      <c r="E206">
        <v>35.578200000000002</v>
      </c>
      <c r="F206">
        <v>-5.1760300000000005E-4</v>
      </c>
      <c r="G206">
        <v>-9.6989699999999995E-3</v>
      </c>
      <c r="H206">
        <v>18.7285</v>
      </c>
      <c r="I206">
        <v>18.738199999999999</v>
      </c>
      <c r="J206">
        <v>-1.2075199999999999E-3</v>
      </c>
      <c r="K206">
        <v>-1.98043E-2</v>
      </c>
      <c r="L206">
        <v>16.3811</v>
      </c>
      <c r="M206">
        <v>16.4009</v>
      </c>
      <c r="N206">
        <v>-1.4812200000000001E-3</v>
      </c>
      <c r="O206">
        <v>-2.2795699999999999E-2</v>
      </c>
      <c r="P206">
        <v>15.367000000000001</v>
      </c>
      <c r="Q206">
        <v>15.389799999999999</v>
      </c>
      <c r="R206">
        <v>101.658</v>
      </c>
      <c r="S206">
        <v>101.658</v>
      </c>
      <c r="T206">
        <v>2.6434000000000002</v>
      </c>
      <c r="U206">
        <v>9294.1200000000008</v>
      </c>
      <c r="V206">
        <f t="shared" si="6"/>
        <v>50.511521739130437</v>
      </c>
      <c r="W206">
        <f t="shared" si="7"/>
        <v>1.068781E-3</v>
      </c>
    </row>
    <row r="207" spans="1:23" x14ac:dyDescent="0.3">
      <c r="A207">
        <v>200</v>
      </c>
      <c r="B207">
        <v>2.6669300000000001E-3</v>
      </c>
      <c r="C207">
        <v>9.4884499999999997E-2</v>
      </c>
      <c r="D207">
        <v>35.673000000000002</v>
      </c>
      <c r="E207">
        <v>35.578200000000002</v>
      </c>
      <c r="F207">
        <v>-5.7203600000000005E-4</v>
      </c>
      <c r="G207">
        <v>-1.07189E-2</v>
      </c>
      <c r="H207">
        <v>18.727499999999999</v>
      </c>
      <c r="I207">
        <v>18.738199999999999</v>
      </c>
      <c r="J207">
        <v>-1.26833E-3</v>
      </c>
      <c r="K207">
        <v>-2.0801699999999999E-2</v>
      </c>
      <c r="L207">
        <v>16.380099999999999</v>
      </c>
      <c r="M207">
        <v>16.4009</v>
      </c>
      <c r="N207">
        <v>-1.49777E-3</v>
      </c>
      <c r="O207">
        <v>-2.3050399999999999E-2</v>
      </c>
      <c r="P207">
        <v>15.3667</v>
      </c>
      <c r="Q207">
        <v>15.389799999999999</v>
      </c>
      <c r="R207">
        <v>101.97199999999999</v>
      </c>
      <c r="S207">
        <v>101.97199999999999</v>
      </c>
      <c r="T207">
        <v>2.6518000000000002</v>
      </c>
      <c r="U207">
        <v>9323.51</v>
      </c>
      <c r="V207">
        <f t="shared" si="6"/>
        <v>50.671250000000001</v>
      </c>
      <c r="W207">
        <f t="shared" si="7"/>
        <v>1.1127120000000001E-3</v>
      </c>
    </row>
    <row r="208" spans="1:23" x14ac:dyDescent="0.3">
      <c r="A208">
        <v>201</v>
      </c>
      <c r="B208">
        <v>2.6755899999999998E-3</v>
      </c>
      <c r="C208">
        <v>9.5192700000000005E-2</v>
      </c>
      <c r="D208">
        <v>35.673400000000001</v>
      </c>
      <c r="E208">
        <v>35.578200000000002</v>
      </c>
      <c r="F208">
        <v>-5.2784100000000003E-4</v>
      </c>
      <c r="G208">
        <v>-9.8908099999999999E-3</v>
      </c>
      <c r="H208">
        <v>18.728300000000001</v>
      </c>
      <c r="I208">
        <v>18.738199999999999</v>
      </c>
      <c r="J208">
        <v>-1.2505999999999999E-3</v>
      </c>
      <c r="K208">
        <v>-2.0511000000000001E-2</v>
      </c>
      <c r="L208">
        <v>16.380299999999998</v>
      </c>
      <c r="M208">
        <v>16.4009</v>
      </c>
      <c r="N208">
        <v>-1.5051699999999999E-3</v>
      </c>
      <c r="O208">
        <v>-2.3164199999999999E-2</v>
      </c>
      <c r="P208">
        <v>15.3666</v>
      </c>
      <c r="Q208">
        <v>15.389799999999999</v>
      </c>
      <c r="R208">
        <v>102.658</v>
      </c>
      <c r="S208">
        <v>102.658</v>
      </c>
      <c r="T208">
        <v>2.6669999999999998</v>
      </c>
      <c r="U208">
        <v>9376.6299999999992</v>
      </c>
      <c r="V208">
        <f t="shared" si="6"/>
        <v>50.959945652173907</v>
      </c>
      <c r="W208">
        <f t="shared" si="7"/>
        <v>1.0945369999999998E-3</v>
      </c>
    </row>
    <row r="209" spans="1:23" x14ac:dyDescent="0.3">
      <c r="A209">
        <v>202</v>
      </c>
      <c r="B209">
        <v>2.7177799999999999E-3</v>
      </c>
      <c r="C209">
        <v>9.6693500000000002E-2</v>
      </c>
      <c r="D209">
        <v>35.674900000000001</v>
      </c>
      <c r="E209">
        <v>35.578200000000002</v>
      </c>
      <c r="F209">
        <v>-4.7647299999999999E-4</v>
      </c>
      <c r="G209">
        <v>-8.9282600000000004E-3</v>
      </c>
      <c r="H209">
        <v>18.729299999999999</v>
      </c>
      <c r="I209">
        <v>18.738199999999999</v>
      </c>
      <c r="J209">
        <v>-1.19169E-3</v>
      </c>
      <c r="K209">
        <v>-1.9544800000000001E-2</v>
      </c>
      <c r="L209">
        <v>16.3813</v>
      </c>
      <c r="M209">
        <v>16.4009</v>
      </c>
      <c r="N209">
        <v>-1.4601200000000001E-3</v>
      </c>
      <c r="O209">
        <v>-2.2470899999999999E-2</v>
      </c>
      <c r="P209">
        <v>15.3673</v>
      </c>
      <c r="Q209">
        <v>15.389799999999999</v>
      </c>
      <c r="R209">
        <v>102.90900000000001</v>
      </c>
      <c r="S209">
        <v>102.90900000000001</v>
      </c>
      <c r="T209">
        <v>2.6768999999999998</v>
      </c>
      <c r="U209">
        <v>9411.67</v>
      </c>
      <c r="V209">
        <f t="shared" si="6"/>
        <v>51.150380434782612</v>
      </c>
      <c r="W209">
        <f t="shared" si="7"/>
        <v>1.0427609999999999E-3</v>
      </c>
    </row>
    <row r="210" spans="1:23" x14ac:dyDescent="0.3">
      <c r="A210">
        <v>203</v>
      </c>
      <c r="B210">
        <v>2.7246100000000001E-3</v>
      </c>
      <c r="C210">
        <v>9.6936700000000001E-2</v>
      </c>
      <c r="D210">
        <v>35.6751</v>
      </c>
      <c r="E210">
        <v>35.578200000000002</v>
      </c>
      <c r="F210">
        <v>-5.5577899999999995E-4</v>
      </c>
      <c r="G210">
        <v>-1.04143E-2</v>
      </c>
      <c r="H210">
        <v>18.727799999999998</v>
      </c>
      <c r="I210">
        <v>18.738199999999999</v>
      </c>
      <c r="J210">
        <v>-1.2599200000000001E-3</v>
      </c>
      <c r="K210">
        <v>-2.06638E-2</v>
      </c>
      <c r="L210">
        <v>16.380199999999999</v>
      </c>
      <c r="M210">
        <v>16.4009</v>
      </c>
      <c r="N210">
        <v>-1.49781E-3</v>
      </c>
      <c r="O210">
        <v>-2.3050999999999999E-2</v>
      </c>
      <c r="P210">
        <v>15.3667</v>
      </c>
      <c r="Q210">
        <v>15.389799999999999</v>
      </c>
      <c r="R210">
        <v>103.53100000000001</v>
      </c>
      <c r="S210">
        <v>103.532</v>
      </c>
      <c r="T210">
        <v>2.6934</v>
      </c>
      <c r="U210">
        <v>9469.32</v>
      </c>
      <c r="V210">
        <f t="shared" si="6"/>
        <v>51.463695652173911</v>
      </c>
      <c r="W210">
        <f t="shared" si="7"/>
        <v>1.104503E-3</v>
      </c>
    </row>
    <row r="211" spans="1:23" x14ac:dyDescent="0.3">
      <c r="A211">
        <v>204</v>
      </c>
      <c r="B211">
        <v>2.7347999999999999E-3</v>
      </c>
      <c r="C211">
        <v>9.7299300000000005E-2</v>
      </c>
      <c r="D211">
        <v>35.6755</v>
      </c>
      <c r="E211">
        <v>35.578200000000002</v>
      </c>
      <c r="F211">
        <v>-5.5334000000000004E-4</v>
      </c>
      <c r="G211">
        <v>-1.03686E-2</v>
      </c>
      <c r="H211">
        <v>18.727900000000002</v>
      </c>
      <c r="I211">
        <v>18.738199999999999</v>
      </c>
      <c r="J211">
        <v>-1.2574699999999999E-3</v>
      </c>
      <c r="K211">
        <v>-2.0623599999999999E-2</v>
      </c>
      <c r="L211">
        <v>16.380199999999999</v>
      </c>
      <c r="M211">
        <v>16.4009</v>
      </c>
      <c r="N211">
        <v>-1.55208E-3</v>
      </c>
      <c r="O211">
        <v>-2.38862E-2</v>
      </c>
      <c r="P211">
        <v>15.3659</v>
      </c>
      <c r="Q211">
        <v>15.389799999999999</v>
      </c>
      <c r="R211">
        <v>104.029</v>
      </c>
      <c r="S211">
        <v>104.03</v>
      </c>
      <c r="T211">
        <v>2.7088999999999999</v>
      </c>
      <c r="U211">
        <v>9523.57</v>
      </c>
      <c r="V211">
        <f t="shared" si="6"/>
        <v>51.758532608695653</v>
      </c>
      <c r="W211">
        <f t="shared" si="7"/>
        <v>1.1209633333333334E-3</v>
      </c>
    </row>
    <row r="212" spans="1:23" x14ac:dyDescent="0.3">
      <c r="A212">
        <v>205</v>
      </c>
      <c r="B212">
        <v>2.7812700000000002E-3</v>
      </c>
      <c r="C212">
        <v>9.8952600000000002E-2</v>
      </c>
      <c r="D212">
        <v>35.677100000000003</v>
      </c>
      <c r="E212">
        <v>35.578200000000002</v>
      </c>
      <c r="F212">
        <v>-4.8277299999999998E-4</v>
      </c>
      <c r="G212">
        <v>-9.0463100000000001E-3</v>
      </c>
      <c r="H212">
        <v>18.729199999999999</v>
      </c>
      <c r="I212">
        <v>18.738199999999999</v>
      </c>
      <c r="J212">
        <v>-1.1855500000000001E-3</v>
      </c>
      <c r="K212">
        <v>-1.9443999999999999E-2</v>
      </c>
      <c r="L212">
        <v>16.381399999999999</v>
      </c>
      <c r="M212">
        <v>16.4009</v>
      </c>
      <c r="N212">
        <v>-1.4343299999999999E-3</v>
      </c>
      <c r="O212">
        <v>-2.2074E-2</v>
      </c>
      <c r="P212">
        <v>15.367699999999999</v>
      </c>
      <c r="Q212">
        <v>15.389799999999999</v>
      </c>
      <c r="R212">
        <v>104.53</v>
      </c>
      <c r="S212">
        <v>104.53</v>
      </c>
      <c r="T212">
        <v>2.7153</v>
      </c>
      <c r="U212">
        <v>9546.17</v>
      </c>
      <c r="V212">
        <f t="shared" si="6"/>
        <v>51.881358695652175</v>
      </c>
      <c r="W212">
        <f t="shared" si="7"/>
        <v>1.0342176666666666E-3</v>
      </c>
    </row>
    <row r="213" spans="1:23" x14ac:dyDescent="0.3">
      <c r="A213">
        <v>206</v>
      </c>
      <c r="B213">
        <v>2.7709700000000002E-3</v>
      </c>
      <c r="C213">
        <v>9.8586099999999996E-2</v>
      </c>
      <c r="D213">
        <v>35.676699999999997</v>
      </c>
      <c r="E213">
        <v>35.578200000000002</v>
      </c>
      <c r="F213">
        <v>-5.2422700000000005E-4</v>
      </c>
      <c r="G213">
        <v>-9.8230799999999997E-3</v>
      </c>
      <c r="H213">
        <v>18.728400000000001</v>
      </c>
      <c r="I213">
        <v>18.738199999999999</v>
      </c>
      <c r="J213">
        <v>-1.2380900000000001E-3</v>
      </c>
      <c r="K213">
        <v>-2.0305799999999999E-2</v>
      </c>
      <c r="L213">
        <v>16.380600000000001</v>
      </c>
      <c r="M213">
        <v>16.4009</v>
      </c>
      <c r="N213">
        <v>-1.50107E-3</v>
      </c>
      <c r="O213">
        <v>-2.3101099999999999E-2</v>
      </c>
      <c r="P213">
        <v>15.3667</v>
      </c>
      <c r="Q213">
        <v>15.389799999999999</v>
      </c>
      <c r="R213">
        <v>104.842</v>
      </c>
      <c r="S213">
        <v>104.842</v>
      </c>
      <c r="T213">
        <v>2.7311000000000001</v>
      </c>
      <c r="U213">
        <v>9601.56</v>
      </c>
      <c r="V213">
        <f t="shared" si="6"/>
        <v>52.182391304347824</v>
      </c>
      <c r="W213">
        <f t="shared" si="7"/>
        <v>1.0877956666666669E-3</v>
      </c>
    </row>
    <row r="214" spans="1:23" x14ac:dyDescent="0.3">
      <c r="A214">
        <v>207</v>
      </c>
      <c r="B214">
        <v>2.7992099999999999E-3</v>
      </c>
      <c r="C214">
        <v>9.9590899999999996E-2</v>
      </c>
      <c r="D214">
        <v>35.677799999999998</v>
      </c>
      <c r="E214">
        <v>35.578200000000002</v>
      </c>
      <c r="F214">
        <v>-5.2768499999999996E-4</v>
      </c>
      <c r="G214">
        <v>-9.8878799999999999E-3</v>
      </c>
      <c r="H214">
        <v>18.728300000000001</v>
      </c>
      <c r="I214">
        <v>18.738199999999999</v>
      </c>
      <c r="J214">
        <v>-1.24216E-3</v>
      </c>
      <c r="K214">
        <v>-2.0372600000000001E-2</v>
      </c>
      <c r="L214">
        <v>16.380500000000001</v>
      </c>
      <c r="M214">
        <v>16.4009</v>
      </c>
      <c r="N214">
        <v>-1.5226700000000001E-3</v>
      </c>
      <c r="O214">
        <v>-2.3433499999999999E-2</v>
      </c>
      <c r="P214">
        <v>15.366300000000001</v>
      </c>
      <c r="Q214">
        <v>15.389799999999999</v>
      </c>
      <c r="R214">
        <v>105.532</v>
      </c>
      <c r="S214">
        <v>105.532</v>
      </c>
      <c r="T214">
        <v>2.7456</v>
      </c>
      <c r="U214">
        <v>9652.42</v>
      </c>
      <c r="V214">
        <f t="shared" si="6"/>
        <v>52.458804347826089</v>
      </c>
      <c r="W214">
        <f t="shared" si="7"/>
        <v>1.0975050000000001E-3</v>
      </c>
    </row>
    <row r="215" spans="1:23" x14ac:dyDescent="0.3">
      <c r="A215">
        <v>208</v>
      </c>
      <c r="B215">
        <v>2.74566E-3</v>
      </c>
      <c r="C215">
        <v>9.7685400000000006E-2</v>
      </c>
      <c r="D215">
        <v>35.675800000000002</v>
      </c>
      <c r="E215">
        <v>35.578200000000002</v>
      </c>
      <c r="F215">
        <v>-5.8031599999999999E-4</v>
      </c>
      <c r="G215">
        <v>-1.0874099999999999E-2</v>
      </c>
      <c r="H215">
        <v>18.727399999999999</v>
      </c>
      <c r="I215">
        <v>18.738199999999999</v>
      </c>
      <c r="J215">
        <v>-1.3346199999999999E-3</v>
      </c>
      <c r="K215">
        <v>-2.18888E-2</v>
      </c>
      <c r="L215">
        <v>16.379000000000001</v>
      </c>
      <c r="M215">
        <v>16.4009</v>
      </c>
      <c r="N215">
        <v>-1.5752800000000001E-3</v>
      </c>
      <c r="O215">
        <v>-2.4243199999999999E-2</v>
      </c>
      <c r="P215">
        <v>15.365500000000001</v>
      </c>
      <c r="Q215">
        <v>15.389799999999999</v>
      </c>
      <c r="R215">
        <v>106.029</v>
      </c>
      <c r="S215">
        <v>106.029</v>
      </c>
      <c r="T215">
        <v>2.7595000000000001</v>
      </c>
      <c r="U215">
        <v>9701.02</v>
      </c>
      <c r="V215">
        <f t="shared" si="6"/>
        <v>52.722934782608696</v>
      </c>
      <c r="W215">
        <f t="shared" si="7"/>
        <v>1.1634053333333333E-3</v>
      </c>
    </row>
    <row r="216" spans="1:23" x14ac:dyDescent="0.3">
      <c r="A216">
        <v>209</v>
      </c>
      <c r="B216">
        <v>2.8195500000000001E-3</v>
      </c>
      <c r="C216">
        <v>0.100314</v>
      </c>
      <c r="D216">
        <v>35.6785</v>
      </c>
      <c r="E216">
        <v>35.578200000000002</v>
      </c>
      <c r="F216">
        <v>-5.8931100000000002E-4</v>
      </c>
      <c r="G216">
        <v>-1.10426E-2</v>
      </c>
      <c r="H216">
        <v>18.7272</v>
      </c>
      <c r="I216">
        <v>18.738199999999999</v>
      </c>
      <c r="J216">
        <v>-1.3766200000000001E-3</v>
      </c>
      <c r="K216">
        <v>-2.2577799999999999E-2</v>
      </c>
      <c r="L216">
        <v>16.378299999999999</v>
      </c>
      <c r="M216">
        <v>16.4009</v>
      </c>
      <c r="N216">
        <v>-1.6385799999999999E-3</v>
      </c>
      <c r="O216">
        <v>-2.5217400000000001E-2</v>
      </c>
      <c r="P216">
        <v>15.364599999999999</v>
      </c>
      <c r="Q216">
        <v>15.389799999999999</v>
      </c>
      <c r="R216">
        <v>106.52800000000001</v>
      </c>
      <c r="S216">
        <v>106.52800000000001</v>
      </c>
      <c r="T216">
        <v>2.7772000000000001</v>
      </c>
      <c r="U216">
        <v>9763.18</v>
      </c>
      <c r="V216">
        <f t="shared" si="6"/>
        <v>53.060760869565222</v>
      </c>
      <c r="W216">
        <f t="shared" si="7"/>
        <v>1.2015036666666668E-3</v>
      </c>
    </row>
    <row r="217" spans="1:23" x14ac:dyDescent="0.3">
      <c r="A217">
        <v>210</v>
      </c>
      <c r="B217">
        <v>2.83498E-3</v>
      </c>
      <c r="C217">
        <v>0.10086299999999999</v>
      </c>
      <c r="D217">
        <v>35.679000000000002</v>
      </c>
      <c r="E217">
        <v>35.578200000000002</v>
      </c>
      <c r="F217">
        <v>-6.1864199999999998E-4</v>
      </c>
      <c r="G217">
        <v>-1.15923E-2</v>
      </c>
      <c r="H217">
        <v>18.726600000000001</v>
      </c>
      <c r="I217">
        <v>18.738199999999999</v>
      </c>
      <c r="J217">
        <v>-1.30372E-3</v>
      </c>
      <c r="K217">
        <v>-2.1382100000000001E-2</v>
      </c>
      <c r="L217">
        <v>16.3795</v>
      </c>
      <c r="M217">
        <v>16.4009</v>
      </c>
      <c r="N217">
        <v>-1.5946700000000001E-3</v>
      </c>
      <c r="O217">
        <v>-2.45417E-2</v>
      </c>
      <c r="P217">
        <v>15.3652</v>
      </c>
      <c r="Q217">
        <v>15.389799999999999</v>
      </c>
      <c r="R217">
        <v>106.839</v>
      </c>
      <c r="S217">
        <v>106.839</v>
      </c>
      <c r="T217">
        <v>2.7865000000000002</v>
      </c>
      <c r="U217">
        <v>9795.9599999999991</v>
      </c>
      <c r="V217">
        <f t="shared" si="6"/>
        <v>53.238913043478256</v>
      </c>
      <c r="W217">
        <f t="shared" si="7"/>
        <v>1.1723439999999999E-3</v>
      </c>
    </row>
    <row r="218" spans="1:23" x14ac:dyDescent="0.3">
      <c r="A218">
        <v>211</v>
      </c>
      <c r="B218">
        <v>2.8823899999999999E-3</v>
      </c>
      <c r="C218">
        <v>0.10255</v>
      </c>
      <c r="D218">
        <v>35.680700000000002</v>
      </c>
      <c r="E218">
        <v>35.578200000000002</v>
      </c>
      <c r="F218">
        <v>-5.6266599999999997E-4</v>
      </c>
      <c r="G218">
        <v>-1.05434E-2</v>
      </c>
      <c r="H218">
        <v>18.727699999999999</v>
      </c>
      <c r="I218">
        <v>18.738199999999999</v>
      </c>
      <c r="J218">
        <v>-1.2504E-3</v>
      </c>
      <c r="K218">
        <v>-2.05077E-2</v>
      </c>
      <c r="L218">
        <v>16.380299999999998</v>
      </c>
      <c r="M218">
        <v>16.4009</v>
      </c>
      <c r="N218">
        <v>-1.54469E-3</v>
      </c>
      <c r="O218">
        <v>-2.3772499999999998E-2</v>
      </c>
      <c r="P218">
        <v>15.366</v>
      </c>
      <c r="Q218">
        <v>15.389799999999999</v>
      </c>
      <c r="R218">
        <v>107.4</v>
      </c>
      <c r="S218">
        <v>107.4</v>
      </c>
      <c r="T218">
        <v>2.7978000000000001</v>
      </c>
      <c r="U218">
        <v>9835.52</v>
      </c>
      <c r="V218">
        <f t="shared" si="6"/>
        <v>53.453913043478266</v>
      </c>
      <c r="W218">
        <f t="shared" si="7"/>
        <v>1.1192520000000001E-3</v>
      </c>
    </row>
    <row r="219" spans="1:23" x14ac:dyDescent="0.3">
      <c r="A219">
        <v>212</v>
      </c>
      <c r="B219">
        <v>2.8818699999999999E-3</v>
      </c>
      <c r="C219">
        <v>0.102531</v>
      </c>
      <c r="D219">
        <v>35.680700000000002</v>
      </c>
      <c r="E219">
        <v>35.578200000000002</v>
      </c>
      <c r="F219">
        <v>-6.15166E-4</v>
      </c>
      <c r="G219">
        <v>-1.15271E-2</v>
      </c>
      <c r="H219">
        <v>18.726700000000001</v>
      </c>
      <c r="I219">
        <v>18.738199999999999</v>
      </c>
      <c r="J219">
        <v>-1.33413E-3</v>
      </c>
      <c r="K219">
        <v>-2.1880899999999998E-2</v>
      </c>
      <c r="L219">
        <v>16.379000000000001</v>
      </c>
      <c r="M219">
        <v>16.4009</v>
      </c>
      <c r="N219">
        <v>-1.61684E-3</v>
      </c>
      <c r="O219">
        <v>-2.4882899999999999E-2</v>
      </c>
      <c r="P219">
        <v>15.3649</v>
      </c>
      <c r="Q219">
        <v>15.389799999999999</v>
      </c>
      <c r="R219">
        <v>107.711</v>
      </c>
      <c r="S219">
        <v>107.711</v>
      </c>
      <c r="T219">
        <v>2.8075000000000001</v>
      </c>
      <c r="U219">
        <v>9869.43</v>
      </c>
      <c r="V219">
        <f t="shared" si="6"/>
        <v>53.638206521739129</v>
      </c>
      <c r="W219">
        <f t="shared" si="7"/>
        <v>1.188712E-3</v>
      </c>
    </row>
    <row r="220" spans="1:23" x14ac:dyDescent="0.3">
      <c r="A220">
        <v>213</v>
      </c>
      <c r="B220">
        <v>2.9006399999999999E-3</v>
      </c>
      <c r="C220">
        <v>0.1032</v>
      </c>
      <c r="D220">
        <v>35.681399999999996</v>
      </c>
      <c r="E220">
        <v>35.578200000000002</v>
      </c>
      <c r="F220">
        <v>-5.4424699999999998E-4</v>
      </c>
      <c r="G220">
        <v>-1.0198199999999999E-2</v>
      </c>
      <c r="H220">
        <v>18.728000000000002</v>
      </c>
      <c r="I220">
        <v>18.738199999999999</v>
      </c>
      <c r="J220">
        <v>-1.2924099999999999E-3</v>
      </c>
      <c r="K220">
        <v>-2.1196599999999999E-2</v>
      </c>
      <c r="L220">
        <v>16.3797</v>
      </c>
      <c r="M220">
        <v>16.4009</v>
      </c>
      <c r="N220">
        <v>-1.56101E-3</v>
      </c>
      <c r="O220">
        <v>-2.4023699999999999E-2</v>
      </c>
      <c r="P220">
        <v>15.3658</v>
      </c>
      <c r="Q220">
        <v>15.389799999999999</v>
      </c>
      <c r="R220">
        <v>108.398</v>
      </c>
      <c r="S220">
        <v>108.398</v>
      </c>
      <c r="T220">
        <v>2.8220000000000001</v>
      </c>
      <c r="U220">
        <v>9920.2900000000009</v>
      </c>
      <c r="V220">
        <f t="shared" si="6"/>
        <v>53.914619565217393</v>
      </c>
      <c r="W220">
        <f t="shared" si="7"/>
        <v>1.1325556666666667E-3</v>
      </c>
    </row>
    <row r="221" spans="1:23" x14ac:dyDescent="0.3">
      <c r="A221">
        <v>214</v>
      </c>
      <c r="B221">
        <v>2.8820199999999999E-3</v>
      </c>
      <c r="C221">
        <v>0.102537</v>
      </c>
      <c r="D221">
        <v>35.680700000000002</v>
      </c>
      <c r="E221">
        <v>35.578200000000002</v>
      </c>
      <c r="F221">
        <v>-5.7890700000000003E-4</v>
      </c>
      <c r="G221">
        <v>-1.08477E-2</v>
      </c>
      <c r="H221">
        <v>18.727399999999999</v>
      </c>
      <c r="I221">
        <v>18.738199999999999</v>
      </c>
      <c r="J221">
        <v>-1.3141400000000001E-3</v>
      </c>
      <c r="K221">
        <v>-2.1552999999999999E-2</v>
      </c>
      <c r="L221">
        <v>16.379300000000001</v>
      </c>
      <c r="M221">
        <v>16.4009</v>
      </c>
      <c r="N221">
        <v>-1.62116E-3</v>
      </c>
      <c r="O221">
        <v>-2.4949300000000001E-2</v>
      </c>
      <c r="P221">
        <v>15.364800000000001</v>
      </c>
      <c r="Q221">
        <v>15.389799999999999</v>
      </c>
      <c r="R221">
        <v>108.776</v>
      </c>
      <c r="S221">
        <v>108.776</v>
      </c>
      <c r="T221">
        <v>2.8344999999999998</v>
      </c>
      <c r="U221">
        <v>9964.3700000000008</v>
      </c>
      <c r="V221">
        <f t="shared" si="6"/>
        <v>54.154184782608702</v>
      </c>
      <c r="W221">
        <f t="shared" si="7"/>
        <v>1.1714023333333334E-3</v>
      </c>
    </row>
    <row r="222" spans="1:23" x14ac:dyDescent="0.3">
      <c r="A222">
        <v>215</v>
      </c>
      <c r="B222">
        <v>2.9030100000000001E-3</v>
      </c>
      <c r="C222">
        <v>0.103284</v>
      </c>
      <c r="D222">
        <v>35.681399999999996</v>
      </c>
      <c r="E222">
        <v>35.578200000000002</v>
      </c>
      <c r="F222">
        <v>-5.6130899999999996E-4</v>
      </c>
      <c r="G222">
        <v>-1.05179E-2</v>
      </c>
      <c r="H222">
        <v>18.727699999999999</v>
      </c>
      <c r="I222">
        <v>18.738199999999999</v>
      </c>
      <c r="J222">
        <v>-1.28224E-3</v>
      </c>
      <c r="K222">
        <v>-2.1029800000000001E-2</v>
      </c>
      <c r="L222">
        <v>16.379799999999999</v>
      </c>
      <c r="M222">
        <v>16.4009</v>
      </c>
      <c r="N222">
        <v>-1.5990900000000001E-3</v>
      </c>
      <c r="O222">
        <v>-2.4609599999999999E-2</v>
      </c>
      <c r="P222">
        <v>15.3652</v>
      </c>
      <c r="Q222">
        <v>15.389799999999999</v>
      </c>
      <c r="R222">
        <v>109.33499999999999</v>
      </c>
      <c r="S222">
        <v>109.33499999999999</v>
      </c>
      <c r="T222">
        <v>2.8483999999999998</v>
      </c>
      <c r="U222">
        <v>10013</v>
      </c>
      <c r="V222">
        <f t="shared" si="6"/>
        <v>54.418478260869563</v>
      </c>
      <c r="W222">
        <f t="shared" si="7"/>
        <v>1.1475463333333333E-3</v>
      </c>
    </row>
    <row r="223" spans="1:23" x14ac:dyDescent="0.3">
      <c r="A223">
        <v>216</v>
      </c>
      <c r="B223">
        <v>2.9048899999999998E-3</v>
      </c>
      <c r="C223">
        <v>0.10335</v>
      </c>
      <c r="D223">
        <v>35.6815</v>
      </c>
      <c r="E223">
        <v>35.578200000000002</v>
      </c>
      <c r="F223">
        <v>-5.58268E-4</v>
      </c>
      <c r="G223">
        <v>-1.0461E-2</v>
      </c>
      <c r="H223">
        <v>18.727799999999998</v>
      </c>
      <c r="I223">
        <v>18.738199999999999</v>
      </c>
      <c r="J223">
        <v>-1.3157900000000001E-3</v>
      </c>
      <c r="K223">
        <v>-2.1580200000000001E-2</v>
      </c>
      <c r="L223">
        <v>16.379300000000001</v>
      </c>
      <c r="M223">
        <v>16.4009</v>
      </c>
      <c r="N223">
        <v>-1.6188000000000001E-3</v>
      </c>
      <c r="O223">
        <v>-2.4912900000000002E-2</v>
      </c>
      <c r="P223">
        <v>15.3649</v>
      </c>
      <c r="Q223">
        <v>15.389799999999999</v>
      </c>
      <c r="R223">
        <v>109.773</v>
      </c>
      <c r="S223">
        <v>109.773</v>
      </c>
      <c r="T223">
        <v>2.8628999999999998</v>
      </c>
      <c r="U223">
        <v>10063.799999999999</v>
      </c>
      <c r="V223">
        <f t="shared" si="6"/>
        <v>54.6945652173913</v>
      </c>
      <c r="W223">
        <f t="shared" si="7"/>
        <v>1.1642860000000001E-3</v>
      </c>
    </row>
    <row r="224" spans="1:23" x14ac:dyDescent="0.3">
      <c r="A224">
        <v>217</v>
      </c>
      <c r="B224">
        <v>2.8873599999999998E-3</v>
      </c>
      <c r="C224">
        <v>0.102727</v>
      </c>
      <c r="D224">
        <v>35.680900000000001</v>
      </c>
      <c r="E224">
        <v>35.578200000000002</v>
      </c>
      <c r="F224">
        <v>-5.8117499999999996E-4</v>
      </c>
      <c r="G224">
        <v>-1.0890199999999999E-2</v>
      </c>
      <c r="H224">
        <v>18.7273</v>
      </c>
      <c r="I224">
        <v>18.738199999999999</v>
      </c>
      <c r="J224">
        <v>-1.34235E-3</v>
      </c>
      <c r="K224">
        <v>-2.2015799999999999E-2</v>
      </c>
      <c r="L224">
        <v>16.378799999999998</v>
      </c>
      <c r="M224">
        <v>16.4009</v>
      </c>
      <c r="N224">
        <v>-1.6621400000000001E-3</v>
      </c>
      <c r="O224">
        <v>-2.5579999999999999E-2</v>
      </c>
      <c r="P224">
        <v>15.3642</v>
      </c>
      <c r="Q224">
        <v>15.389799999999999</v>
      </c>
      <c r="R224">
        <v>110.27200000000001</v>
      </c>
      <c r="S224">
        <v>110.27200000000001</v>
      </c>
      <c r="T224">
        <v>2.8786999999999998</v>
      </c>
      <c r="U224">
        <v>10119.200000000001</v>
      </c>
      <c r="V224">
        <f t="shared" si="6"/>
        <v>54.995652173913051</v>
      </c>
      <c r="W224">
        <f t="shared" si="7"/>
        <v>1.1952216666666667E-3</v>
      </c>
    </row>
    <row r="225" spans="1:23" x14ac:dyDescent="0.3">
      <c r="A225">
        <v>218</v>
      </c>
      <c r="B225">
        <v>2.9688200000000001E-3</v>
      </c>
      <c r="C225">
        <v>0.105625</v>
      </c>
      <c r="D225">
        <v>35.683799999999998</v>
      </c>
      <c r="E225">
        <v>35.578200000000002</v>
      </c>
      <c r="F225">
        <v>-5.8845999999999996E-4</v>
      </c>
      <c r="G225">
        <v>-1.10267E-2</v>
      </c>
      <c r="H225">
        <v>18.7272</v>
      </c>
      <c r="I225">
        <v>18.738199999999999</v>
      </c>
      <c r="J225">
        <v>-1.33986E-3</v>
      </c>
      <c r="K225">
        <v>-2.1974899999999999E-2</v>
      </c>
      <c r="L225">
        <v>16.378900000000002</v>
      </c>
      <c r="M225">
        <v>16.4009</v>
      </c>
      <c r="N225">
        <v>-1.60261E-3</v>
      </c>
      <c r="O225">
        <v>-2.46638E-2</v>
      </c>
      <c r="P225">
        <v>15.3651</v>
      </c>
      <c r="Q225">
        <v>15.389799999999999</v>
      </c>
      <c r="R225">
        <v>110.58199999999999</v>
      </c>
      <c r="S225">
        <v>110.58199999999999</v>
      </c>
      <c r="T225">
        <v>2.8915999999999999</v>
      </c>
      <c r="U225">
        <v>10164.4</v>
      </c>
      <c r="V225">
        <f t="shared" si="6"/>
        <v>55.241304347826087</v>
      </c>
      <c r="W225">
        <f t="shared" si="7"/>
        <v>1.1769766666666667E-3</v>
      </c>
    </row>
    <row r="226" spans="1:23" x14ac:dyDescent="0.3">
      <c r="A226">
        <v>219</v>
      </c>
      <c r="B226">
        <v>2.94896E-3</v>
      </c>
      <c r="C226">
        <v>0.104918</v>
      </c>
      <c r="D226">
        <v>35.683100000000003</v>
      </c>
      <c r="E226">
        <v>35.578200000000002</v>
      </c>
      <c r="F226">
        <v>-5.9447899999999997E-4</v>
      </c>
      <c r="G226">
        <v>-1.11395E-2</v>
      </c>
      <c r="H226">
        <v>18.7271</v>
      </c>
      <c r="I226">
        <v>18.738199999999999</v>
      </c>
      <c r="J226">
        <v>-1.35848E-3</v>
      </c>
      <c r="K226">
        <v>-2.22802E-2</v>
      </c>
      <c r="L226">
        <v>16.378599999999999</v>
      </c>
      <c r="M226">
        <v>16.4009</v>
      </c>
      <c r="N226">
        <v>-1.6239500000000001E-3</v>
      </c>
      <c r="O226">
        <v>-2.4992299999999999E-2</v>
      </c>
      <c r="P226">
        <v>15.364800000000001</v>
      </c>
      <c r="Q226">
        <v>15.389799999999999</v>
      </c>
      <c r="R226">
        <v>110.708</v>
      </c>
      <c r="S226">
        <v>110.708</v>
      </c>
      <c r="T226">
        <v>2.8868</v>
      </c>
      <c r="U226">
        <v>10147.5</v>
      </c>
      <c r="V226">
        <f t="shared" si="6"/>
        <v>55.149456521739133</v>
      </c>
      <c r="W226">
        <f t="shared" si="7"/>
        <v>1.192303E-3</v>
      </c>
    </row>
    <row r="227" spans="1:23" x14ac:dyDescent="0.3">
      <c r="A227">
        <v>220</v>
      </c>
      <c r="B227">
        <v>3.0084700000000001E-3</v>
      </c>
      <c r="C227">
        <v>0.10703600000000001</v>
      </c>
      <c r="D227">
        <v>35.685200000000002</v>
      </c>
      <c r="E227">
        <v>35.578200000000002</v>
      </c>
      <c r="F227">
        <v>-5.7339499999999998E-4</v>
      </c>
      <c r="G227">
        <v>-1.0744399999999999E-2</v>
      </c>
      <c r="H227">
        <v>18.727499999999999</v>
      </c>
      <c r="I227">
        <v>18.738199999999999</v>
      </c>
      <c r="J227">
        <v>-1.32822E-3</v>
      </c>
      <c r="K227">
        <v>-2.1784000000000001E-2</v>
      </c>
      <c r="L227">
        <v>16.379100000000001</v>
      </c>
      <c r="M227">
        <v>16.4009</v>
      </c>
      <c r="N227">
        <v>-1.5891499999999999E-3</v>
      </c>
      <c r="O227">
        <v>-2.4456700000000001E-2</v>
      </c>
      <c r="P227">
        <v>15.3653</v>
      </c>
      <c r="Q227">
        <v>15.389799999999999</v>
      </c>
      <c r="R227">
        <v>111.01900000000001</v>
      </c>
      <c r="S227">
        <v>111.01900000000001</v>
      </c>
      <c r="T227">
        <v>2.8971</v>
      </c>
      <c r="U227">
        <v>10183.6</v>
      </c>
      <c r="V227">
        <f t="shared" si="6"/>
        <v>55.345652173913045</v>
      </c>
      <c r="W227">
        <f t="shared" si="7"/>
        <v>1.1635883333333333E-3</v>
      </c>
    </row>
    <row r="228" spans="1:23" x14ac:dyDescent="0.3">
      <c r="A228">
        <v>221</v>
      </c>
      <c r="B228">
        <v>2.9885799999999998E-3</v>
      </c>
      <c r="C228">
        <v>0.10632800000000001</v>
      </c>
      <c r="D228">
        <v>35.6845</v>
      </c>
      <c r="E228">
        <v>35.578200000000002</v>
      </c>
      <c r="F228">
        <v>-4.6531099999999999E-4</v>
      </c>
      <c r="G228">
        <v>-8.7191000000000005E-3</v>
      </c>
      <c r="H228">
        <v>18.729500000000002</v>
      </c>
      <c r="I228">
        <v>18.738199999999999</v>
      </c>
      <c r="J228">
        <v>-1.3099299999999999E-3</v>
      </c>
      <c r="K228">
        <v>-2.1484E-2</v>
      </c>
      <c r="L228">
        <v>16.3794</v>
      </c>
      <c r="M228">
        <v>16.4009</v>
      </c>
      <c r="N228">
        <v>-1.6087499999999999E-3</v>
      </c>
      <c r="O228">
        <v>-2.47584E-2</v>
      </c>
      <c r="P228">
        <v>15.365</v>
      </c>
      <c r="Q228">
        <v>15.389799999999999</v>
      </c>
      <c r="R228">
        <v>111.145</v>
      </c>
      <c r="S228">
        <v>111.145</v>
      </c>
      <c r="T228">
        <v>2.9009</v>
      </c>
      <c r="U228">
        <v>10197.200000000001</v>
      </c>
      <c r="V228">
        <f t="shared" si="6"/>
        <v>55.419565217391309</v>
      </c>
      <c r="W228">
        <f t="shared" si="7"/>
        <v>1.1279969999999999E-3</v>
      </c>
    </row>
    <row r="229" spans="1:23" x14ac:dyDescent="0.3">
      <c r="A229">
        <v>222</v>
      </c>
      <c r="B229">
        <v>2.97109E-3</v>
      </c>
      <c r="C229">
        <v>0.10570599999999999</v>
      </c>
      <c r="D229">
        <v>35.683900000000001</v>
      </c>
      <c r="E229">
        <v>35.578200000000002</v>
      </c>
      <c r="F229">
        <v>-5.9948200000000003E-4</v>
      </c>
      <c r="G229">
        <v>-1.12332E-2</v>
      </c>
      <c r="H229">
        <v>18.727</v>
      </c>
      <c r="I229">
        <v>18.738199999999999</v>
      </c>
      <c r="J229">
        <v>-1.4117999999999999E-3</v>
      </c>
      <c r="K229">
        <v>-2.31548E-2</v>
      </c>
      <c r="L229">
        <v>16.377700000000001</v>
      </c>
      <c r="M229">
        <v>16.4009</v>
      </c>
      <c r="N229">
        <v>-1.637E-3</v>
      </c>
      <c r="O229">
        <v>-2.51931E-2</v>
      </c>
      <c r="P229">
        <v>15.364599999999999</v>
      </c>
      <c r="Q229">
        <v>15.389799999999999</v>
      </c>
      <c r="R229">
        <v>111.64400000000001</v>
      </c>
      <c r="S229">
        <v>111.64400000000001</v>
      </c>
      <c r="T229">
        <v>2.9144999999999999</v>
      </c>
      <c r="U229">
        <v>10244.700000000001</v>
      </c>
      <c r="V229">
        <f t="shared" si="6"/>
        <v>55.677717391304348</v>
      </c>
      <c r="W229">
        <f t="shared" si="7"/>
        <v>1.216094E-3</v>
      </c>
    </row>
    <row r="230" spans="1:23" x14ac:dyDescent="0.3">
      <c r="A230">
        <v>223</v>
      </c>
      <c r="B230">
        <v>2.9739900000000001E-3</v>
      </c>
      <c r="C230">
        <v>0.105809</v>
      </c>
      <c r="D230">
        <v>35.683999999999997</v>
      </c>
      <c r="E230">
        <v>35.578200000000002</v>
      </c>
      <c r="F230">
        <v>-5.7145199999999996E-4</v>
      </c>
      <c r="G230">
        <v>-1.0708000000000001E-2</v>
      </c>
      <c r="H230">
        <v>18.727499999999999</v>
      </c>
      <c r="I230">
        <v>18.738199999999999</v>
      </c>
      <c r="J230">
        <v>-1.3906299999999999E-3</v>
      </c>
      <c r="K230">
        <v>-2.2807600000000001E-2</v>
      </c>
      <c r="L230">
        <v>16.378</v>
      </c>
      <c r="M230">
        <v>16.4009</v>
      </c>
      <c r="N230">
        <v>-1.68173E-3</v>
      </c>
      <c r="O230">
        <v>-2.5881399999999999E-2</v>
      </c>
      <c r="P230">
        <v>15.363899999999999</v>
      </c>
      <c r="Q230">
        <v>15.389799999999999</v>
      </c>
      <c r="R230">
        <v>112.20399999999999</v>
      </c>
      <c r="S230">
        <v>112.20399999999999</v>
      </c>
      <c r="T230">
        <v>2.9274</v>
      </c>
      <c r="U230">
        <v>10289.9</v>
      </c>
      <c r="V230">
        <f t="shared" si="6"/>
        <v>55.923369565217392</v>
      </c>
      <c r="W230">
        <f t="shared" si="7"/>
        <v>1.214604E-3</v>
      </c>
    </row>
    <row r="231" spans="1:23" x14ac:dyDescent="0.3">
      <c r="A231">
        <v>224</v>
      </c>
      <c r="B231">
        <v>2.9833300000000002E-3</v>
      </c>
      <c r="C231">
        <v>0.106141</v>
      </c>
      <c r="D231">
        <v>35.6843</v>
      </c>
      <c r="E231">
        <v>35.578200000000002</v>
      </c>
      <c r="F231">
        <v>-4.3869299999999998E-4</v>
      </c>
      <c r="G231">
        <v>-8.2203299999999997E-3</v>
      </c>
      <c r="H231">
        <v>18.73</v>
      </c>
      <c r="I231">
        <v>18.738199999999999</v>
      </c>
      <c r="J231">
        <v>-1.2699899999999999E-3</v>
      </c>
      <c r="K231">
        <v>-2.0829E-2</v>
      </c>
      <c r="L231">
        <v>16.38</v>
      </c>
      <c r="M231">
        <v>16.4009</v>
      </c>
      <c r="N231">
        <v>-1.56909E-3</v>
      </c>
      <c r="O231">
        <v>-2.41479E-2</v>
      </c>
      <c r="P231">
        <v>15.365600000000001</v>
      </c>
      <c r="Q231">
        <v>15.389799999999999</v>
      </c>
      <c r="R231">
        <v>112.578</v>
      </c>
      <c r="S231">
        <v>112.578</v>
      </c>
      <c r="T231">
        <v>2.9399000000000002</v>
      </c>
      <c r="U231">
        <v>10334</v>
      </c>
      <c r="V231">
        <f t="shared" si="6"/>
        <v>56.163043478260867</v>
      </c>
      <c r="W231">
        <f t="shared" si="7"/>
        <v>1.092591E-3</v>
      </c>
    </row>
    <row r="232" spans="1:23" x14ac:dyDescent="0.3">
      <c r="A232">
        <v>225</v>
      </c>
      <c r="B232">
        <v>3.02959E-3</v>
      </c>
      <c r="C232">
        <v>0.10778699999999999</v>
      </c>
      <c r="D232">
        <v>35.685899999999997</v>
      </c>
      <c r="E232">
        <v>35.578200000000002</v>
      </c>
      <c r="F232">
        <v>-5.4149099999999996E-4</v>
      </c>
      <c r="G232">
        <v>-1.01466E-2</v>
      </c>
      <c r="H232">
        <v>18.728100000000001</v>
      </c>
      <c r="I232">
        <v>18.738199999999999</v>
      </c>
      <c r="J232">
        <v>-1.3273499999999999E-3</v>
      </c>
      <c r="K232">
        <v>-2.1769699999999999E-2</v>
      </c>
      <c r="L232">
        <v>16.379100000000001</v>
      </c>
      <c r="M232">
        <v>16.4009</v>
      </c>
      <c r="N232">
        <v>-1.5854899999999999E-3</v>
      </c>
      <c r="O232">
        <v>-2.4400399999999999E-2</v>
      </c>
      <c r="P232">
        <v>15.365399999999999</v>
      </c>
      <c r="Q232">
        <v>15.389799999999999</v>
      </c>
      <c r="R232">
        <v>113.01600000000001</v>
      </c>
      <c r="S232">
        <v>113.01600000000001</v>
      </c>
      <c r="T232">
        <v>2.9512</v>
      </c>
      <c r="U232">
        <v>10373.5</v>
      </c>
      <c r="V232">
        <f t="shared" si="6"/>
        <v>56.377717391304351</v>
      </c>
      <c r="W232">
        <f t="shared" si="7"/>
        <v>1.1514436666666666E-3</v>
      </c>
    </row>
    <row r="233" spans="1:23" x14ac:dyDescent="0.3">
      <c r="A233">
        <v>226</v>
      </c>
      <c r="B233">
        <v>3.0313699999999998E-3</v>
      </c>
      <c r="C233">
        <v>0.107851</v>
      </c>
      <c r="D233">
        <v>35.686</v>
      </c>
      <c r="E233">
        <v>35.578200000000002</v>
      </c>
      <c r="F233">
        <v>-5.4457699999999997E-4</v>
      </c>
      <c r="G233">
        <v>-1.0204400000000001E-2</v>
      </c>
      <c r="H233">
        <v>18.728000000000002</v>
      </c>
      <c r="I233">
        <v>18.738199999999999</v>
      </c>
      <c r="J233">
        <v>-1.29503E-3</v>
      </c>
      <c r="K233">
        <v>-2.12397E-2</v>
      </c>
      <c r="L233">
        <v>16.3796</v>
      </c>
      <c r="M233">
        <v>16.4009</v>
      </c>
      <c r="N233">
        <v>-1.65468E-3</v>
      </c>
      <c r="O233">
        <v>-2.54652E-2</v>
      </c>
      <c r="P233">
        <v>15.3643</v>
      </c>
      <c r="Q233">
        <v>15.389799999999999</v>
      </c>
      <c r="R233">
        <v>113.514</v>
      </c>
      <c r="S233">
        <v>113.514</v>
      </c>
      <c r="T233">
        <v>2.9647000000000001</v>
      </c>
      <c r="U233">
        <v>10421</v>
      </c>
      <c r="V233">
        <f t="shared" si="6"/>
        <v>56.635869565217391</v>
      </c>
      <c r="W233">
        <f t="shared" si="7"/>
        <v>1.1647623333333333E-3</v>
      </c>
    </row>
    <row r="234" spans="1:23" x14ac:dyDescent="0.3">
      <c r="A234">
        <v>227</v>
      </c>
      <c r="B234">
        <v>3.0627699999999998E-3</v>
      </c>
      <c r="C234">
        <v>0.108968</v>
      </c>
      <c r="D234">
        <v>35.687100000000001</v>
      </c>
      <c r="E234">
        <v>35.578200000000002</v>
      </c>
      <c r="F234">
        <v>-5.1733400000000004E-4</v>
      </c>
      <c r="G234">
        <v>-9.69391E-3</v>
      </c>
      <c r="H234">
        <v>18.7285</v>
      </c>
      <c r="I234">
        <v>18.738199999999999</v>
      </c>
      <c r="J234">
        <v>-1.3098700000000001E-3</v>
      </c>
      <c r="K234">
        <v>-2.1482999999999999E-2</v>
      </c>
      <c r="L234">
        <v>16.3794</v>
      </c>
      <c r="M234">
        <v>16.4009</v>
      </c>
      <c r="N234">
        <v>-1.6651299999999999E-3</v>
      </c>
      <c r="O234">
        <v>-2.5625999999999999E-2</v>
      </c>
      <c r="P234">
        <v>15.3642</v>
      </c>
      <c r="Q234">
        <v>15.389799999999999</v>
      </c>
      <c r="R234">
        <v>113.95099999999999</v>
      </c>
      <c r="S234">
        <v>113.95099999999999</v>
      </c>
      <c r="T234">
        <v>2.9792999999999998</v>
      </c>
      <c r="U234">
        <v>10471.9</v>
      </c>
      <c r="V234">
        <f t="shared" si="6"/>
        <v>56.912500000000001</v>
      </c>
      <c r="W234">
        <f t="shared" si="7"/>
        <v>1.1641113333333334E-3</v>
      </c>
    </row>
    <row r="235" spans="1:23" x14ac:dyDescent="0.3">
      <c r="A235">
        <v>228</v>
      </c>
      <c r="B235">
        <v>3.1225200000000002E-3</v>
      </c>
      <c r="C235">
        <v>0.111093</v>
      </c>
      <c r="D235">
        <v>35.689300000000003</v>
      </c>
      <c r="E235">
        <v>35.578200000000002</v>
      </c>
      <c r="F235">
        <v>-6.31334E-4</v>
      </c>
      <c r="G235">
        <v>-1.18301E-2</v>
      </c>
      <c r="H235">
        <v>18.726400000000002</v>
      </c>
      <c r="I235">
        <v>18.738199999999999</v>
      </c>
      <c r="J235">
        <v>-1.3694499999999999E-3</v>
      </c>
      <c r="K235">
        <v>-2.24601E-2</v>
      </c>
      <c r="L235">
        <v>16.378399999999999</v>
      </c>
      <c r="M235">
        <v>16.4009</v>
      </c>
      <c r="N235">
        <v>-1.6925600000000001E-3</v>
      </c>
      <c r="O235">
        <v>-2.6048100000000001E-2</v>
      </c>
      <c r="P235">
        <v>15.3637</v>
      </c>
      <c r="Q235">
        <v>15.389799999999999</v>
      </c>
      <c r="R235">
        <v>114.51600000000001</v>
      </c>
      <c r="S235">
        <v>114.51600000000001</v>
      </c>
      <c r="T235">
        <v>2.9954000000000001</v>
      </c>
      <c r="U235">
        <v>10528.4</v>
      </c>
      <c r="V235">
        <f t="shared" si="6"/>
        <v>57.219565217391299</v>
      </c>
      <c r="W235">
        <f t="shared" si="7"/>
        <v>1.2311146666666667E-3</v>
      </c>
    </row>
    <row r="236" spans="1:23" x14ac:dyDescent="0.3">
      <c r="A236">
        <v>229</v>
      </c>
      <c r="B236">
        <v>3.0575200000000002E-3</v>
      </c>
      <c r="C236">
        <v>0.108781</v>
      </c>
      <c r="D236">
        <v>35.686900000000001</v>
      </c>
      <c r="E236">
        <v>35.578200000000002</v>
      </c>
      <c r="F236">
        <v>-5.2302399999999997E-4</v>
      </c>
      <c r="G236">
        <v>-9.8005499999999999E-3</v>
      </c>
      <c r="H236">
        <v>18.728400000000001</v>
      </c>
      <c r="I236">
        <v>18.738199999999999</v>
      </c>
      <c r="J236">
        <v>-1.34107E-3</v>
      </c>
      <c r="K236">
        <v>-2.1994699999999999E-2</v>
      </c>
      <c r="L236">
        <v>16.378900000000002</v>
      </c>
      <c r="M236">
        <v>16.4009</v>
      </c>
      <c r="N236">
        <v>-1.6173299999999999E-3</v>
      </c>
      <c r="O236">
        <v>-2.4890300000000001E-2</v>
      </c>
      <c r="P236">
        <v>15.3649</v>
      </c>
      <c r="Q236">
        <v>15.389799999999999</v>
      </c>
      <c r="R236">
        <v>114.95</v>
      </c>
      <c r="S236">
        <v>114.95</v>
      </c>
      <c r="T236">
        <v>3.0076000000000001</v>
      </c>
      <c r="U236">
        <v>10571.3</v>
      </c>
      <c r="V236">
        <f t="shared" si="6"/>
        <v>57.452717391304347</v>
      </c>
      <c r="W236">
        <f t="shared" si="7"/>
        <v>1.1604746666666666E-3</v>
      </c>
    </row>
    <row r="237" spans="1:23" x14ac:dyDescent="0.3">
      <c r="A237">
        <v>230</v>
      </c>
      <c r="B237">
        <v>3.0617299999999999E-3</v>
      </c>
      <c r="C237">
        <v>0.108931</v>
      </c>
      <c r="D237">
        <v>35.687100000000001</v>
      </c>
      <c r="E237">
        <v>35.578200000000002</v>
      </c>
      <c r="F237">
        <v>-5.2920599999999995E-4</v>
      </c>
      <c r="G237">
        <v>-9.9163800000000007E-3</v>
      </c>
      <c r="H237">
        <v>18.728300000000001</v>
      </c>
      <c r="I237">
        <v>18.738199999999999</v>
      </c>
      <c r="J237">
        <v>-1.4242599999999999E-3</v>
      </c>
      <c r="K237">
        <v>-2.3359000000000001E-2</v>
      </c>
      <c r="L237">
        <v>16.377500000000001</v>
      </c>
      <c r="M237">
        <v>16.4009</v>
      </c>
      <c r="N237">
        <v>-1.7600999999999999E-3</v>
      </c>
      <c r="O237">
        <v>-2.70876E-2</v>
      </c>
      <c r="P237">
        <v>15.3627</v>
      </c>
      <c r="Q237">
        <v>15.389799999999999</v>
      </c>
      <c r="R237">
        <v>115.324</v>
      </c>
      <c r="S237">
        <v>115.324</v>
      </c>
      <c r="T237">
        <v>3.0030999999999999</v>
      </c>
      <c r="U237">
        <v>10555.5</v>
      </c>
      <c r="V237">
        <f t="shared" si="6"/>
        <v>57.366847826086953</v>
      </c>
      <c r="W237">
        <f t="shared" si="7"/>
        <v>1.2378553333333333E-3</v>
      </c>
    </row>
    <row r="238" spans="1:23" x14ac:dyDescent="0.3">
      <c r="A238">
        <v>231</v>
      </c>
      <c r="B238">
        <v>3.0907600000000001E-3</v>
      </c>
      <c r="C238">
        <v>0.10996400000000001</v>
      </c>
      <c r="D238">
        <v>35.688099999999999</v>
      </c>
      <c r="E238">
        <v>35.578200000000002</v>
      </c>
      <c r="F238">
        <v>-5.3098200000000005E-4</v>
      </c>
      <c r="G238">
        <v>-9.9496600000000008E-3</v>
      </c>
      <c r="H238">
        <v>18.728300000000001</v>
      </c>
      <c r="I238">
        <v>18.738199999999999</v>
      </c>
      <c r="J238">
        <v>-1.34191E-3</v>
      </c>
      <c r="K238">
        <v>-2.20085E-2</v>
      </c>
      <c r="L238">
        <v>16.378799999999998</v>
      </c>
      <c r="M238">
        <v>16.4009</v>
      </c>
      <c r="N238">
        <v>-1.70576E-3</v>
      </c>
      <c r="O238">
        <v>-2.6251199999999999E-2</v>
      </c>
      <c r="P238">
        <v>15.3635</v>
      </c>
      <c r="Q238">
        <v>15.389799999999999</v>
      </c>
      <c r="R238">
        <v>115.7</v>
      </c>
      <c r="S238">
        <v>115.7</v>
      </c>
      <c r="T238">
        <v>3.0318000000000001</v>
      </c>
      <c r="U238">
        <v>10656.1</v>
      </c>
      <c r="V238">
        <f t="shared" si="6"/>
        <v>57.91358695652174</v>
      </c>
      <c r="W238">
        <f t="shared" si="7"/>
        <v>1.192884E-3</v>
      </c>
    </row>
    <row r="239" spans="1:23" x14ac:dyDescent="0.3">
      <c r="A239">
        <v>232</v>
      </c>
      <c r="B239">
        <v>3.13416E-3</v>
      </c>
      <c r="C239">
        <v>0.111508</v>
      </c>
      <c r="D239">
        <v>35.689700000000002</v>
      </c>
      <c r="E239">
        <v>35.578200000000002</v>
      </c>
      <c r="F239">
        <v>-5.9657500000000001E-4</v>
      </c>
      <c r="G239">
        <v>-1.1178799999999999E-2</v>
      </c>
      <c r="H239">
        <v>18.727</v>
      </c>
      <c r="I239">
        <v>18.738199999999999</v>
      </c>
      <c r="J239">
        <v>-1.3455800000000001E-3</v>
      </c>
      <c r="K239">
        <v>-2.20687E-2</v>
      </c>
      <c r="L239">
        <v>16.378799999999998</v>
      </c>
      <c r="M239">
        <v>16.4009</v>
      </c>
      <c r="N239">
        <v>-1.6453699999999999E-3</v>
      </c>
      <c r="O239">
        <v>-2.5321900000000001E-2</v>
      </c>
      <c r="P239">
        <v>15.3645</v>
      </c>
      <c r="Q239">
        <v>15.389799999999999</v>
      </c>
      <c r="R239">
        <v>115.95</v>
      </c>
      <c r="S239">
        <v>115.95</v>
      </c>
      <c r="T239">
        <v>3.0347</v>
      </c>
      <c r="U239">
        <v>10666.3</v>
      </c>
      <c r="V239">
        <f t="shared" si="6"/>
        <v>57.969021739130433</v>
      </c>
      <c r="W239">
        <f t="shared" si="7"/>
        <v>1.1958416666666668E-3</v>
      </c>
    </row>
    <row r="240" spans="1:23" x14ac:dyDescent="0.3">
      <c r="A240">
        <v>233</v>
      </c>
      <c r="B240">
        <v>3.0949300000000001E-3</v>
      </c>
      <c r="C240">
        <v>0.110112</v>
      </c>
      <c r="D240">
        <v>35.688299999999998</v>
      </c>
      <c r="E240">
        <v>35.578200000000002</v>
      </c>
      <c r="F240">
        <v>-7.2187599999999998E-4</v>
      </c>
      <c r="G240">
        <v>-1.3526699999999999E-2</v>
      </c>
      <c r="H240">
        <v>18.724699999999999</v>
      </c>
      <c r="I240">
        <v>18.738199999999999</v>
      </c>
      <c r="J240">
        <v>-1.51285E-3</v>
      </c>
      <c r="K240">
        <v>-2.4812000000000001E-2</v>
      </c>
      <c r="L240">
        <v>16.376000000000001</v>
      </c>
      <c r="M240">
        <v>16.4009</v>
      </c>
      <c r="N240">
        <v>-1.75286E-3</v>
      </c>
      <c r="O240">
        <v>-2.6976099999999999E-2</v>
      </c>
      <c r="P240">
        <v>15.3628</v>
      </c>
      <c r="Q240">
        <v>15.389799999999999</v>
      </c>
      <c r="R240">
        <v>116.759</v>
      </c>
      <c r="S240">
        <v>116.759</v>
      </c>
      <c r="T240">
        <v>3.0539999999999998</v>
      </c>
      <c r="U240">
        <v>10734.1</v>
      </c>
      <c r="V240">
        <f t="shared" si="6"/>
        <v>58.337499999999999</v>
      </c>
      <c r="W240">
        <f t="shared" si="7"/>
        <v>1.3291953333333334E-3</v>
      </c>
    </row>
    <row r="241" spans="1:23" x14ac:dyDescent="0.3">
      <c r="A241">
        <v>234</v>
      </c>
      <c r="B241">
        <v>3.18607E-3</v>
      </c>
      <c r="C241">
        <v>0.113355</v>
      </c>
      <c r="D241">
        <v>35.691499999999998</v>
      </c>
      <c r="E241">
        <v>35.578200000000002</v>
      </c>
      <c r="F241">
        <v>-5.9849899999999995E-4</v>
      </c>
      <c r="G241">
        <v>-1.12148E-2</v>
      </c>
      <c r="H241">
        <v>18.727</v>
      </c>
      <c r="I241">
        <v>18.738199999999999</v>
      </c>
      <c r="J241">
        <v>-1.3883599999999999E-3</v>
      </c>
      <c r="K241">
        <v>-2.2770200000000001E-2</v>
      </c>
      <c r="L241">
        <v>16.3781</v>
      </c>
      <c r="M241">
        <v>16.4009</v>
      </c>
      <c r="N241">
        <v>-1.7199699999999999E-3</v>
      </c>
      <c r="O241">
        <v>-2.6469900000000001E-2</v>
      </c>
      <c r="P241">
        <v>15.363300000000001</v>
      </c>
      <c r="Q241">
        <v>15.389799999999999</v>
      </c>
      <c r="R241">
        <v>117.07299999999999</v>
      </c>
      <c r="S241">
        <v>117.07299999999999</v>
      </c>
      <c r="T241">
        <v>3.0653000000000001</v>
      </c>
      <c r="U241">
        <v>10773.6</v>
      </c>
      <c r="V241">
        <f t="shared" si="6"/>
        <v>58.552173913043482</v>
      </c>
      <c r="W241">
        <f t="shared" si="7"/>
        <v>1.2356096666666665E-3</v>
      </c>
    </row>
    <row r="242" spans="1:23" x14ac:dyDescent="0.3">
      <c r="A242">
        <v>235</v>
      </c>
      <c r="B242">
        <v>3.1521800000000001E-3</v>
      </c>
      <c r="C242">
        <v>0.112149</v>
      </c>
      <c r="D242">
        <v>35.690300000000001</v>
      </c>
      <c r="E242">
        <v>35.578200000000002</v>
      </c>
      <c r="F242">
        <v>-6.5196500000000001E-4</v>
      </c>
      <c r="G242">
        <v>-1.22167E-2</v>
      </c>
      <c r="H242">
        <v>18.725999999999999</v>
      </c>
      <c r="I242">
        <v>18.738199999999999</v>
      </c>
      <c r="J242">
        <v>-1.4585900000000001E-3</v>
      </c>
      <c r="K242">
        <v>-2.3922200000000001E-2</v>
      </c>
      <c r="L242">
        <v>16.376899999999999</v>
      </c>
      <c r="M242">
        <v>16.4009</v>
      </c>
      <c r="N242">
        <v>-1.7401700000000001E-3</v>
      </c>
      <c r="O242">
        <v>-2.67808E-2</v>
      </c>
      <c r="P242">
        <v>15.363</v>
      </c>
      <c r="Q242">
        <v>15.389799999999999</v>
      </c>
      <c r="R242">
        <v>117.699</v>
      </c>
      <c r="S242">
        <v>117.699</v>
      </c>
      <c r="T242">
        <v>3.0811000000000002</v>
      </c>
      <c r="U242">
        <v>10829</v>
      </c>
      <c r="V242">
        <f t="shared" si="6"/>
        <v>58.853260869565219</v>
      </c>
      <c r="W242">
        <f t="shared" si="7"/>
        <v>1.2835750000000001E-3</v>
      </c>
    </row>
    <row r="243" spans="1:23" x14ac:dyDescent="0.3">
      <c r="A243">
        <v>236</v>
      </c>
      <c r="B243">
        <v>3.2437500000000001E-3</v>
      </c>
      <c r="C243">
        <v>0.115407</v>
      </c>
      <c r="D243">
        <v>35.693600000000004</v>
      </c>
      <c r="E243">
        <v>35.578200000000002</v>
      </c>
      <c r="F243">
        <v>-6.3982100000000005E-4</v>
      </c>
      <c r="G243">
        <v>-1.1989100000000001E-2</v>
      </c>
      <c r="H243">
        <v>18.726199999999999</v>
      </c>
      <c r="I243">
        <v>18.738199999999999</v>
      </c>
      <c r="J243">
        <v>-1.3390699999999999E-3</v>
      </c>
      <c r="K243">
        <v>-2.19618E-2</v>
      </c>
      <c r="L243">
        <v>16.378900000000002</v>
      </c>
      <c r="M243">
        <v>16.4009</v>
      </c>
      <c r="N243">
        <v>-1.61304E-3</v>
      </c>
      <c r="O243">
        <v>-2.4824300000000001E-2</v>
      </c>
      <c r="P243">
        <v>15.365</v>
      </c>
      <c r="Q243">
        <v>15.389799999999999</v>
      </c>
      <c r="R243">
        <v>118.134</v>
      </c>
      <c r="S243">
        <v>118.13500000000001</v>
      </c>
      <c r="T243">
        <v>3.0943000000000001</v>
      </c>
      <c r="U243">
        <v>10875.4</v>
      </c>
      <c r="V243">
        <f t="shared" si="6"/>
        <v>59.105434782608697</v>
      </c>
      <c r="W243">
        <f t="shared" si="7"/>
        <v>1.1973103333333334E-3</v>
      </c>
    </row>
    <row r="244" spans="1:23" x14ac:dyDescent="0.3">
      <c r="A244">
        <v>237</v>
      </c>
      <c r="B244">
        <v>3.1568899999999999E-3</v>
      </c>
      <c r="C244">
        <v>0.112316</v>
      </c>
      <c r="D244">
        <v>35.6905</v>
      </c>
      <c r="E244">
        <v>35.578200000000002</v>
      </c>
      <c r="F244">
        <v>-6.2501400000000002E-4</v>
      </c>
      <c r="G244">
        <v>-1.17117E-2</v>
      </c>
      <c r="H244">
        <v>18.726500000000001</v>
      </c>
      <c r="I244">
        <v>18.738199999999999</v>
      </c>
      <c r="J244">
        <v>-1.36539E-3</v>
      </c>
      <c r="K244">
        <v>-2.23936E-2</v>
      </c>
      <c r="L244">
        <v>16.378499999999999</v>
      </c>
      <c r="M244">
        <v>16.4009</v>
      </c>
      <c r="N244">
        <v>-1.6369399999999999E-3</v>
      </c>
      <c r="O244">
        <v>-2.5192200000000001E-2</v>
      </c>
      <c r="P244">
        <v>15.364599999999999</v>
      </c>
      <c r="Q244">
        <v>15.389799999999999</v>
      </c>
      <c r="R244">
        <v>118.571</v>
      </c>
      <c r="S244">
        <v>118.571</v>
      </c>
      <c r="T244">
        <v>3.1036999999999999</v>
      </c>
      <c r="U244">
        <v>10908.1</v>
      </c>
      <c r="V244">
        <f t="shared" si="6"/>
        <v>59.283152173913045</v>
      </c>
      <c r="W244">
        <f t="shared" si="7"/>
        <v>1.2091146666666666E-3</v>
      </c>
    </row>
    <row r="245" spans="1:23" x14ac:dyDescent="0.3">
      <c r="A245">
        <v>238</v>
      </c>
      <c r="B245">
        <v>3.1321700000000001E-3</v>
      </c>
      <c r="C245">
        <v>0.11143699999999999</v>
      </c>
      <c r="D245">
        <v>35.689599999999999</v>
      </c>
      <c r="E245">
        <v>35.578200000000002</v>
      </c>
      <c r="F245">
        <v>-6.5103600000000002E-4</v>
      </c>
      <c r="G245">
        <v>-1.21993E-2</v>
      </c>
      <c r="H245">
        <v>18.725999999999999</v>
      </c>
      <c r="I245">
        <v>18.738199999999999</v>
      </c>
      <c r="J245">
        <v>-1.44333E-3</v>
      </c>
      <c r="K245">
        <v>-2.3671899999999999E-2</v>
      </c>
      <c r="L245">
        <v>16.377199999999998</v>
      </c>
      <c r="M245">
        <v>16.4009</v>
      </c>
      <c r="N245">
        <v>-1.81072E-3</v>
      </c>
      <c r="O245">
        <v>-2.7866599999999998E-2</v>
      </c>
      <c r="P245">
        <v>15.3619</v>
      </c>
      <c r="Q245">
        <v>15.389799999999999</v>
      </c>
      <c r="R245">
        <v>119.005</v>
      </c>
      <c r="S245">
        <v>119.006</v>
      </c>
      <c r="T245">
        <v>3.1177999999999999</v>
      </c>
      <c r="U245">
        <v>10957.9</v>
      </c>
      <c r="V245">
        <f t="shared" si="6"/>
        <v>59.553804347826087</v>
      </c>
      <c r="W245">
        <f t="shared" si="7"/>
        <v>1.3016953333333334E-3</v>
      </c>
    </row>
    <row r="246" spans="1:23" x14ac:dyDescent="0.3">
      <c r="A246">
        <v>239</v>
      </c>
      <c r="B246">
        <v>3.3207599999999999E-3</v>
      </c>
      <c r="C246">
        <v>0.118147</v>
      </c>
      <c r="D246">
        <v>35.696300000000001</v>
      </c>
      <c r="E246">
        <v>35.578200000000002</v>
      </c>
      <c r="F246">
        <v>-6.1346700000000003E-4</v>
      </c>
      <c r="G246">
        <v>-1.14953E-2</v>
      </c>
      <c r="H246">
        <v>18.726700000000001</v>
      </c>
      <c r="I246">
        <v>18.738199999999999</v>
      </c>
      <c r="J246">
        <v>-1.36995E-3</v>
      </c>
      <c r="K246">
        <v>-2.24683E-2</v>
      </c>
      <c r="L246">
        <v>16.378399999999999</v>
      </c>
      <c r="M246">
        <v>16.4009</v>
      </c>
      <c r="N246">
        <v>-1.7613100000000001E-3</v>
      </c>
      <c r="O246">
        <v>-2.7106100000000001E-2</v>
      </c>
      <c r="P246">
        <v>15.3627</v>
      </c>
      <c r="Q246">
        <v>15.389799999999999</v>
      </c>
      <c r="R246">
        <v>119.505</v>
      </c>
      <c r="S246">
        <v>119.505</v>
      </c>
      <c r="T246">
        <v>3.1288</v>
      </c>
      <c r="U246">
        <v>10996.3</v>
      </c>
      <c r="V246">
        <f t="shared" si="6"/>
        <v>59.762499999999996</v>
      </c>
      <c r="W246">
        <f t="shared" si="7"/>
        <v>1.2482423333333333E-3</v>
      </c>
    </row>
    <row r="247" spans="1:23" x14ac:dyDescent="0.3">
      <c r="A247">
        <v>240</v>
      </c>
      <c r="B247">
        <v>3.2896399999999999E-3</v>
      </c>
      <c r="C247">
        <v>0.117039</v>
      </c>
      <c r="D247">
        <v>35.6952</v>
      </c>
      <c r="E247">
        <v>35.578200000000002</v>
      </c>
      <c r="F247">
        <v>-6.84535E-4</v>
      </c>
      <c r="G247">
        <v>-1.2827E-2</v>
      </c>
      <c r="H247">
        <v>18.7254</v>
      </c>
      <c r="I247">
        <v>18.738199999999999</v>
      </c>
      <c r="J247">
        <v>-1.4920300000000001E-3</v>
      </c>
      <c r="K247">
        <v>-2.4470599999999999E-2</v>
      </c>
      <c r="L247">
        <v>16.3764</v>
      </c>
      <c r="M247">
        <v>16.4009</v>
      </c>
      <c r="N247">
        <v>-1.8078199999999999E-3</v>
      </c>
      <c r="O247">
        <v>-2.7822E-2</v>
      </c>
      <c r="P247">
        <v>15.362</v>
      </c>
      <c r="Q247">
        <v>15.389799999999999</v>
      </c>
      <c r="R247">
        <v>120.006</v>
      </c>
      <c r="S247">
        <v>120.00700000000001</v>
      </c>
      <c r="T247">
        <v>3.1503999999999999</v>
      </c>
      <c r="U247">
        <v>11072</v>
      </c>
      <c r="V247">
        <f t="shared" si="6"/>
        <v>60.173913043478258</v>
      </c>
      <c r="W247">
        <f t="shared" si="7"/>
        <v>1.3281283333333334E-3</v>
      </c>
    </row>
    <row r="248" spans="1:23" x14ac:dyDescent="0.3">
      <c r="A248">
        <v>241</v>
      </c>
      <c r="B248">
        <v>3.2268700000000002E-3</v>
      </c>
      <c r="C248">
        <v>0.11480600000000001</v>
      </c>
      <c r="D248">
        <v>35.692999999999998</v>
      </c>
      <c r="E248">
        <v>35.578200000000002</v>
      </c>
      <c r="F248">
        <v>-5.9536400000000003E-4</v>
      </c>
      <c r="G248">
        <v>-1.11561E-2</v>
      </c>
      <c r="H248">
        <v>18.7271</v>
      </c>
      <c r="I248">
        <v>18.738199999999999</v>
      </c>
      <c r="J248">
        <v>-1.45148E-3</v>
      </c>
      <c r="K248">
        <v>-2.38055E-2</v>
      </c>
      <c r="L248">
        <v>16.377099999999999</v>
      </c>
      <c r="M248">
        <v>16.4009</v>
      </c>
      <c r="N248">
        <v>-1.7695600000000001E-3</v>
      </c>
      <c r="O248">
        <v>-2.72331E-2</v>
      </c>
      <c r="P248">
        <v>15.362500000000001</v>
      </c>
      <c r="Q248">
        <v>15.389799999999999</v>
      </c>
      <c r="R248">
        <v>120.191</v>
      </c>
      <c r="S248">
        <v>120.19199999999999</v>
      </c>
      <c r="T248">
        <v>3.1475</v>
      </c>
      <c r="U248">
        <v>11061.9</v>
      </c>
      <c r="V248">
        <f t="shared" si="6"/>
        <v>60.119021739130432</v>
      </c>
      <c r="W248">
        <f t="shared" si="7"/>
        <v>1.2721346666666666E-3</v>
      </c>
    </row>
    <row r="249" spans="1:23" x14ac:dyDescent="0.3">
      <c r="A249">
        <v>242</v>
      </c>
      <c r="B249">
        <v>3.27823E-3</v>
      </c>
      <c r="C249">
        <v>0.116633</v>
      </c>
      <c r="D249">
        <v>35.694800000000001</v>
      </c>
      <c r="E249">
        <v>35.578200000000002</v>
      </c>
      <c r="F249">
        <v>-6.6419099999999996E-4</v>
      </c>
      <c r="G249">
        <v>-1.24458E-2</v>
      </c>
      <c r="H249">
        <v>18.7258</v>
      </c>
      <c r="I249">
        <v>18.738199999999999</v>
      </c>
      <c r="J249">
        <v>-1.4881899999999999E-3</v>
      </c>
      <c r="K249">
        <v>-2.4407600000000002E-2</v>
      </c>
      <c r="L249">
        <v>16.3764</v>
      </c>
      <c r="M249">
        <v>16.4009</v>
      </c>
      <c r="N249">
        <v>-1.84158E-3</v>
      </c>
      <c r="O249">
        <v>-2.8341499999999999E-2</v>
      </c>
      <c r="P249">
        <v>15.3614</v>
      </c>
      <c r="Q249">
        <v>15.389799999999999</v>
      </c>
      <c r="R249">
        <v>120.753</v>
      </c>
      <c r="S249">
        <v>120.754</v>
      </c>
      <c r="T249">
        <v>3.1728999999999998</v>
      </c>
      <c r="U249">
        <v>11151.1</v>
      </c>
      <c r="V249">
        <f t="shared" si="6"/>
        <v>60.603804347826092</v>
      </c>
      <c r="W249">
        <f t="shared" si="7"/>
        <v>1.3313203333333334E-3</v>
      </c>
    </row>
    <row r="250" spans="1:23" x14ac:dyDescent="0.3">
      <c r="A250">
        <v>243</v>
      </c>
      <c r="B250">
        <v>3.2545600000000001E-3</v>
      </c>
      <c r="C250">
        <v>0.11579100000000001</v>
      </c>
      <c r="D250">
        <v>35.694000000000003</v>
      </c>
      <c r="E250">
        <v>35.578200000000002</v>
      </c>
      <c r="F250">
        <v>-6.9107700000000001E-4</v>
      </c>
      <c r="G250">
        <v>-1.2949499999999999E-2</v>
      </c>
      <c r="H250">
        <v>18.725300000000001</v>
      </c>
      <c r="I250">
        <v>18.738199999999999</v>
      </c>
      <c r="J250">
        <v>-1.5256899999999999E-3</v>
      </c>
      <c r="K250">
        <v>-2.5022599999999999E-2</v>
      </c>
      <c r="L250">
        <v>16.375800000000002</v>
      </c>
      <c r="M250">
        <v>16.4009</v>
      </c>
      <c r="N250">
        <v>-1.86936E-3</v>
      </c>
      <c r="O250">
        <v>-2.8768999999999999E-2</v>
      </c>
      <c r="P250">
        <v>15.361000000000001</v>
      </c>
      <c r="Q250">
        <v>15.389799999999999</v>
      </c>
      <c r="R250">
        <v>121.379</v>
      </c>
      <c r="S250">
        <v>121.379</v>
      </c>
      <c r="T250">
        <v>3.1745999999999999</v>
      </c>
      <c r="U250">
        <v>11156.8</v>
      </c>
      <c r="V250">
        <f t="shared" si="6"/>
        <v>60.634782608695652</v>
      </c>
      <c r="W250">
        <f t="shared" si="7"/>
        <v>1.3620423333333333E-3</v>
      </c>
    </row>
    <row r="251" spans="1:23" x14ac:dyDescent="0.3">
      <c r="A251">
        <v>244</v>
      </c>
      <c r="B251">
        <v>3.2471000000000002E-3</v>
      </c>
      <c r="C251">
        <v>0.115526</v>
      </c>
      <c r="D251">
        <v>35.6937</v>
      </c>
      <c r="E251">
        <v>35.578200000000002</v>
      </c>
      <c r="F251">
        <v>-6.3717699999999995E-4</v>
      </c>
      <c r="G251">
        <v>-1.19396E-2</v>
      </c>
      <c r="H251">
        <v>18.726299999999998</v>
      </c>
      <c r="I251">
        <v>18.738199999999999</v>
      </c>
      <c r="J251">
        <v>-1.4400400000000001E-3</v>
      </c>
      <c r="K251">
        <v>-2.3617900000000001E-2</v>
      </c>
      <c r="L251">
        <v>16.377199999999998</v>
      </c>
      <c r="M251">
        <v>16.4009</v>
      </c>
      <c r="N251">
        <v>-1.8121299999999999E-3</v>
      </c>
      <c r="O251">
        <v>-2.7888199999999998E-2</v>
      </c>
      <c r="P251">
        <v>15.3619</v>
      </c>
      <c r="Q251">
        <v>15.389799999999999</v>
      </c>
      <c r="R251">
        <v>121.501</v>
      </c>
      <c r="S251">
        <v>121.502</v>
      </c>
      <c r="T251">
        <v>3.1968000000000001</v>
      </c>
      <c r="U251">
        <v>11234.8</v>
      </c>
      <c r="V251">
        <f t="shared" si="6"/>
        <v>61.05869565217391</v>
      </c>
      <c r="W251">
        <f t="shared" si="7"/>
        <v>1.2964490000000001E-3</v>
      </c>
    </row>
    <row r="252" spans="1:23" x14ac:dyDescent="0.3">
      <c r="A252">
        <v>245</v>
      </c>
      <c r="B252">
        <v>3.3409099999999999E-3</v>
      </c>
      <c r="C252">
        <v>0.118863</v>
      </c>
      <c r="D252">
        <v>35.697000000000003</v>
      </c>
      <c r="E252">
        <v>35.578200000000002</v>
      </c>
      <c r="F252">
        <v>-6.1835999999999998E-4</v>
      </c>
      <c r="G252">
        <v>-1.1587E-2</v>
      </c>
      <c r="H252">
        <v>18.726600000000001</v>
      </c>
      <c r="I252">
        <v>18.738199999999999</v>
      </c>
      <c r="J252">
        <v>-1.44881E-3</v>
      </c>
      <c r="K252">
        <v>-2.37617E-2</v>
      </c>
      <c r="L252">
        <v>16.377099999999999</v>
      </c>
      <c r="M252">
        <v>16.4009</v>
      </c>
      <c r="N252">
        <v>-1.7745899999999999E-3</v>
      </c>
      <c r="O252">
        <v>-2.7310600000000001E-2</v>
      </c>
      <c r="P252">
        <v>15.362500000000001</v>
      </c>
      <c r="Q252">
        <v>15.389799999999999</v>
      </c>
      <c r="R252">
        <v>122.251</v>
      </c>
      <c r="S252">
        <v>122.251</v>
      </c>
      <c r="T252">
        <v>3.2122999999999999</v>
      </c>
      <c r="U252">
        <v>11289</v>
      </c>
      <c r="V252">
        <f t="shared" si="6"/>
        <v>61.353260869565219</v>
      </c>
      <c r="W252">
        <f t="shared" si="7"/>
        <v>1.2805866666666668E-3</v>
      </c>
    </row>
    <row r="253" spans="1:23" x14ac:dyDescent="0.3">
      <c r="A253">
        <v>246</v>
      </c>
      <c r="B253">
        <v>3.3467000000000002E-3</v>
      </c>
      <c r="C253">
        <v>0.11906899999999999</v>
      </c>
      <c r="D253">
        <v>35.697200000000002</v>
      </c>
      <c r="E253">
        <v>35.578200000000002</v>
      </c>
      <c r="F253">
        <v>-6.3797599999999995E-4</v>
      </c>
      <c r="G253">
        <v>-1.19545E-2</v>
      </c>
      <c r="H253">
        <v>18.726299999999998</v>
      </c>
      <c r="I253">
        <v>18.738199999999999</v>
      </c>
      <c r="J253">
        <v>-1.4611699999999999E-3</v>
      </c>
      <c r="K253">
        <v>-2.39645E-2</v>
      </c>
      <c r="L253">
        <v>16.376899999999999</v>
      </c>
      <c r="M253">
        <v>16.4009</v>
      </c>
      <c r="N253">
        <v>-1.78561E-3</v>
      </c>
      <c r="O253">
        <v>-2.74801E-2</v>
      </c>
      <c r="P253">
        <v>15.362299999999999</v>
      </c>
      <c r="Q253">
        <v>15.389799999999999</v>
      </c>
      <c r="R253">
        <v>122.626</v>
      </c>
      <c r="S253">
        <v>122.626</v>
      </c>
      <c r="T253">
        <v>3.2342</v>
      </c>
      <c r="U253">
        <v>11365.9</v>
      </c>
      <c r="V253">
        <f t="shared" si="6"/>
        <v>61.771195652173908</v>
      </c>
      <c r="W253">
        <f t="shared" si="7"/>
        <v>1.2949186666666665E-3</v>
      </c>
    </row>
    <row r="254" spans="1:23" x14ac:dyDescent="0.3">
      <c r="A254">
        <v>247</v>
      </c>
      <c r="B254">
        <v>3.3284600000000001E-3</v>
      </c>
      <c r="C254">
        <v>0.11842</v>
      </c>
      <c r="D254">
        <v>35.696599999999997</v>
      </c>
      <c r="E254">
        <v>35.578200000000002</v>
      </c>
      <c r="F254">
        <v>-6.5612400000000001E-4</v>
      </c>
      <c r="G254">
        <v>-1.2294599999999999E-2</v>
      </c>
      <c r="H254">
        <v>18.725899999999999</v>
      </c>
      <c r="I254">
        <v>18.738199999999999</v>
      </c>
      <c r="J254">
        <v>-1.46228E-3</v>
      </c>
      <c r="K254">
        <v>-2.3982699999999999E-2</v>
      </c>
      <c r="L254">
        <v>16.376899999999999</v>
      </c>
      <c r="M254">
        <v>16.4009</v>
      </c>
      <c r="N254">
        <v>-1.77472E-3</v>
      </c>
      <c r="O254">
        <v>-2.7312599999999999E-2</v>
      </c>
      <c r="P254">
        <v>15.362500000000001</v>
      </c>
      <c r="Q254">
        <v>15.389799999999999</v>
      </c>
      <c r="R254">
        <v>123.002</v>
      </c>
      <c r="S254">
        <v>123.002</v>
      </c>
      <c r="T254">
        <v>3.2322000000000002</v>
      </c>
      <c r="U254">
        <v>11359.1</v>
      </c>
      <c r="V254">
        <f t="shared" si="6"/>
        <v>61.734239130434787</v>
      </c>
      <c r="W254">
        <f t="shared" si="7"/>
        <v>1.2977080000000001E-3</v>
      </c>
    </row>
    <row r="255" spans="1:23" x14ac:dyDescent="0.3">
      <c r="A255">
        <v>248</v>
      </c>
      <c r="B255">
        <v>3.34221E-3</v>
      </c>
      <c r="C255">
        <v>0.11891</v>
      </c>
      <c r="D255">
        <v>35.697099999999999</v>
      </c>
      <c r="E255">
        <v>35.578200000000002</v>
      </c>
      <c r="F255">
        <v>-6.3845700000000004E-4</v>
      </c>
      <c r="G255">
        <v>-1.19635E-2</v>
      </c>
      <c r="H255">
        <v>18.726299999999998</v>
      </c>
      <c r="I255">
        <v>18.738199999999999</v>
      </c>
      <c r="J255">
        <v>-1.45134E-3</v>
      </c>
      <c r="K255">
        <v>-2.38032E-2</v>
      </c>
      <c r="L255">
        <v>16.377099999999999</v>
      </c>
      <c r="M255">
        <v>16.4009</v>
      </c>
      <c r="N255">
        <v>-1.8179699999999999E-3</v>
      </c>
      <c r="O255">
        <v>-2.7978099999999999E-2</v>
      </c>
      <c r="P255">
        <v>15.361800000000001</v>
      </c>
      <c r="Q255">
        <v>15.389799999999999</v>
      </c>
      <c r="R255">
        <v>123.438</v>
      </c>
      <c r="S255">
        <v>123.438</v>
      </c>
      <c r="T255">
        <v>3.2444999999999999</v>
      </c>
      <c r="U255">
        <v>11402.1</v>
      </c>
      <c r="V255">
        <f t="shared" si="6"/>
        <v>61.967934782608701</v>
      </c>
      <c r="W255">
        <f t="shared" si="7"/>
        <v>1.3025889999999998E-3</v>
      </c>
    </row>
    <row r="256" spans="1:23" x14ac:dyDescent="0.3">
      <c r="A256">
        <v>249</v>
      </c>
      <c r="B256">
        <v>3.3172599999999998E-3</v>
      </c>
      <c r="C256">
        <v>0.118022</v>
      </c>
      <c r="D256">
        <v>35.696199999999997</v>
      </c>
      <c r="E256">
        <v>35.578200000000002</v>
      </c>
      <c r="F256">
        <v>-5.7453400000000003E-4</v>
      </c>
      <c r="G256">
        <v>-1.0765800000000001E-2</v>
      </c>
      <c r="H256">
        <v>18.727499999999999</v>
      </c>
      <c r="I256">
        <v>18.738199999999999</v>
      </c>
      <c r="J256">
        <v>-1.4926799999999999E-3</v>
      </c>
      <c r="K256">
        <v>-2.4481099999999999E-2</v>
      </c>
      <c r="L256">
        <v>16.3764</v>
      </c>
      <c r="M256">
        <v>16.4009</v>
      </c>
      <c r="N256">
        <v>-1.8808799999999999E-3</v>
      </c>
      <c r="O256">
        <v>-2.8946300000000001E-2</v>
      </c>
      <c r="P256">
        <v>15.360799999999999</v>
      </c>
      <c r="Q256">
        <v>15.389799999999999</v>
      </c>
      <c r="R256">
        <v>124</v>
      </c>
      <c r="S256">
        <v>124</v>
      </c>
      <c r="T256">
        <v>3.2654000000000001</v>
      </c>
      <c r="U256">
        <v>11475.5</v>
      </c>
      <c r="V256">
        <f t="shared" si="6"/>
        <v>62.366847826086953</v>
      </c>
      <c r="W256">
        <f t="shared" si="7"/>
        <v>1.3160313333333334E-3</v>
      </c>
    </row>
    <row r="257" spans="1:23" x14ac:dyDescent="0.3">
      <c r="A257">
        <v>250</v>
      </c>
      <c r="B257">
        <v>3.3352500000000001E-3</v>
      </c>
      <c r="C257">
        <v>0.118662</v>
      </c>
      <c r="D257">
        <v>35.696800000000003</v>
      </c>
      <c r="E257">
        <v>35.578200000000002</v>
      </c>
      <c r="F257">
        <v>-6.5342600000000003E-4</v>
      </c>
      <c r="G257">
        <v>-1.2244E-2</v>
      </c>
      <c r="H257">
        <v>18.725999999999999</v>
      </c>
      <c r="I257">
        <v>18.738199999999999</v>
      </c>
      <c r="J257">
        <v>-1.55324E-3</v>
      </c>
      <c r="K257">
        <v>-2.5474500000000001E-2</v>
      </c>
      <c r="L257">
        <v>16.375399999999999</v>
      </c>
      <c r="M257">
        <v>16.4009</v>
      </c>
      <c r="N257">
        <v>-1.92421E-3</v>
      </c>
      <c r="O257">
        <v>-2.9613199999999999E-2</v>
      </c>
      <c r="P257">
        <v>15.360200000000001</v>
      </c>
      <c r="Q257">
        <v>15.389799999999999</v>
      </c>
      <c r="R257">
        <v>124.372</v>
      </c>
      <c r="S257">
        <v>124.372</v>
      </c>
      <c r="T257">
        <v>3.2745000000000002</v>
      </c>
      <c r="U257">
        <v>11507.2</v>
      </c>
      <c r="V257">
        <f t="shared" si="6"/>
        <v>62.539130434782614</v>
      </c>
      <c r="W257">
        <f t="shared" si="7"/>
        <v>1.3769586666666667E-3</v>
      </c>
    </row>
    <row r="258" spans="1:23" x14ac:dyDescent="0.3">
      <c r="A258">
        <v>251</v>
      </c>
      <c r="B258">
        <v>3.4100900000000002E-3</v>
      </c>
      <c r="C258">
        <v>0.121325</v>
      </c>
      <c r="D258">
        <v>35.6995</v>
      </c>
      <c r="E258">
        <v>35.578200000000002</v>
      </c>
      <c r="F258">
        <v>-7.2191099999999999E-4</v>
      </c>
      <c r="G258">
        <v>-1.3527300000000001E-2</v>
      </c>
      <c r="H258">
        <v>18.724699999999999</v>
      </c>
      <c r="I258">
        <v>18.738199999999999</v>
      </c>
      <c r="J258">
        <v>-1.53527E-3</v>
      </c>
      <c r="K258">
        <v>-2.5179799999999999E-2</v>
      </c>
      <c r="L258">
        <v>16.375699999999998</v>
      </c>
      <c r="M258">
        <v>16.4009</v>
      </c>
      <c r="N258">
        <v>-1.8844300000000001E-3</v>
      </c>
      <c r="O258">
        <v>-2.90009E-2</v>
      </c>
      <c r="P258">
        <v>15.360799999999999</v>
      </c>
      <c r="Q258">
        <v>15.389799999999999</v>
      </c>
      <c r="R258">
        <v>124.812</v>
      </c>
      <c r="S258">
        <v>124.812</v>
      </c>
      <c r="T258">
        <v>3.2825000000000002</v>
      </c>
      <c r="U258">
        <v>11535.4</v>
      </c>
      <c r="V258">
        <f t="shared" si="6"/>
        <v>62.692391304347822</v>
      </c>
      <c r="W258">
        <f t="shared" si="7"/>
        <v>1.380537E-3</v>
      </c>
    </row>
    <row r="259" spans="1:23" x14ac:dyDescent="0.3">
      <c r="A259">
        <v>252</v>
      </c>
      <c r="B259">
        <v>3.4442600000000002E-3</v>
      </c>
      <c r="C259">
        <v>0.122541</v>
      </c>
      <c r="D259">
        <v>35.700699999999998</v>
      </c>
      <c r="E259">
        <v>35.578200000000002</v>
      </c>
      <c r="F259">
        <v>-6.7596900000000001E-4</v>
      </c>
      <c r="G259">
        <v>-1.2666500000000001E-2</v>
      </c>
      <c r="H259">
        <v>18.7256</v>
      </c>
      <c r="I259">
        <v>18.738199999999999</v>
      </c>
      <c r="J259">
        <v>-1.49449E-3</v>
      </c>
      <c r="K259">
        <v>-2.4510899999999999E-2</v>
      </c>
      <c r="L259">
        <v>16.376300000000001</v>
      </c>
      <c r="M259">
        <v>16.4009</v>
      </c>
      <c r="N259">
        <v>-1.78571E-3</v>
      </c>
      <c r="O259">
        <v>-2.7481599999999998E-2</v>
      </c>
      <c r="P259">
        <v>15.362299999999999</v>
      </c>
      <c r="Q259">
        <v>15.389799999999999</v>
      </c>
      <c r="R259">
        <v>125.18600000000001</v>
      </c>
      <c r="S259">
        <v>125.18600000000001</v>
      </c>
      <c r="T259">
        <v>3.3073000000000001</v>
      </c>
      <c r="U259">
        <v>11622.5</v>
      </c>
      <c r="V259">
        <f t="shared" si="6"/>
        <v>63.165760869565219</v>
      </c>
      <c r="W259">
        <f t="shared" si="7"/>
        <v>1.3187229999999999E-3</v>
      </c>
    </row>
    <row r="260" spans="1:23" x14ac:dyDescent="0.3">
      <c r="A260">
        <v>253</v>
      </c>
      <c r="B260">
        <v>3.3835499999999999E-3</v>
      </c>
      <c r="C260">
        <v>0.120381</v>
      </c>
      <c r="D260">
        <v>35.698500000000003</v>
      </c>
      <c r="E260">
        <v>35.578200000000002</v>
      </c>
      <c r="F260">
        <v>-7.1244199999999998E-4</v>
      </c>
      <c r="G260">
        <v>-1.33499E-2</v>
      </c>
      <c r="H260">
        <v>18.724900000000002</v>
      </c>
      <c r="I260">
        <v>18.738199999999999</v>
      </c>
      <c r="J260">
        <v>-1.5970699999999999E-3</v>
      </c>
      <c r="K260">
        <v>-2.6193299999999999E-2</v>
      </c>
      <c r="L260">
        <v>16.374700000000001</v>
      </c>
      <c r="M260">
        <v>16.4009</v>
      </c>
      <c r="N260">
        <v>-1.9652300000000001E-3</v>
      </c>
      <c r="O260">
        <v>-3.0244500000000001E-2</v>
      </c>
      <c r="P260">
        <v>15.359500000000001</v>
      </c>
      <c r="Q260">
        <v>15.389799999999999</v>
      </c>
      <c r="R260">
        <v>125.56</v>
      </c>
      <c r="S260">
        <v>125.56</v>
      </c>
      <c r="T260">
        <v>3.3102</v>
      </c>
      <c r="U260">
        <v>11632.6</v>
      </c>
      <c r="V260">
        <f t="shared" si="6"/>
        <v>63.220652173913045</v>
      </c>
      <c r="W260">
        <f t="shared" si="7"/>
        <v>1.424914E-3</v>
      </c>
    </row>
    <row r="261" spans="1:23" x14ac:dyDescent="0.3">
      <c r="A261">
        <v>254</v>
      </c>
      <c r="B261">
        <v>3.4268699999999998E-3</v>
      </c>
      <c r="C261">
        <v>0.121922</v>
      </c>
      <c r="D261">
        <v>35.700099999999999</v>
      </c>
      <c r="E261">
        <v>35.578200000000002</v>
      </c>
      <c r="F261">
        <v>-6.6404500000000004E-4</v>
      </c>
      <c r="G261">
        <v>-1.2442999999999999E-2</v>
      </c>
      <c r="H261">
        <v>18.7258</v>
      </c>
      <c r="I261">
        <v>18.738199999999999</v>
      </c>
      <c r="J261">
        <v>-1.5038E-3</v>
      </c>
      <c r="K261">
        <v>-2.46637E-2</v>
      </c>
      <c r="L261">
        <v>16.376200000000001</v>
      </c>
      <c r="M261">
        <v>16.4009</v>
      </c>
      <c r="N261">
        <v>-1.90701E-3</v>
      </c>
      <c r="O261">
        <v>-2.93485E-2</v>
      </c>
      <c r="P261">
        <v>15.3604</v>
      </c>
      <c r="Q261">
        <v>15.389799999999999</v>
      </c>
      <c r="R261">
        <v>126.182</v>
      </c>
      <c r="S261">
        <v>126.182</v>
      </c>
      <c r="T261">
        <v>3.3264</v>
      </c>
      <c r="U261">
        <v>11689.2</v>
      </c>
      <c r="V261">
        <f t="shared" si="6"/>
        <v>63.528260869565223</v>
      </c>
      <c r="W261">
        <f t="shared" si="7"/>
        <v>1.3582849999999999E-3</v>
      </c>
    </row>
    <row r="262" spans="1:23" x14ac:dyDescent="0.3">
      <c r="A262">
        <v>255</v>
      </c>
      <c r="B262">
        <v>3.4375400000000002E-3</v>
      </c>
      <c r="C262">
        <v>0.12230199999999999</v>
      </c>
      <c r="D262">
        <v>35.700499999999998</v>
      </c>
      <c r="E262">
        <v>35.578200000000002</v>
      </c>
      <c r="F262">
        <v>-7.0975900000000002E-4</v>
      </c>
      <c r="G262">
        <v>-1.32996E-2</v>
      </c>
      <c r="H262">
        <v>18.724900000000002</v>
      </c>
      <c r="I262">
        <v>18.738199999999999</v>
      </c>
      <c r="J262">
        <v>-1.57339E-3</v>
      </c>
      <c r="K262">
        <v>-2.5805000000000002E-2</v>
      </c>
      <c r="L262">
        <v>16.3751</v>
      </c>
      <c r="M262">
        <v>16.4009</v>
      </c>
      <c r="N262">
        <v>-1.92469E-3</v>
      </c>
      <c r="O262">
        <v>-2.96206E-2</v>
      </c>
      <c r="P262">
        <v>15.360200000000001</v>
      </c>
      <c r="Q262">
        <v>15.389799999999999</v>
      </c>
      <c r="R262">
        <v>126.496</v>
      </c>
      <c r="S262">
        <v>126.496</v>
      </c>
      <c r="T262">
        <v>3.3357000000000001</v>
      </c>
      <c r="U262">
        <v>11721.9</v>
      </c>
      <c r="V262">
        <f t="shared" si="6"/>
        <v>63.705978260869564</v>
      </c>
      <c r="W262">
        <f t="shared" si="7"/>
        <v>1.4026129999999998E-3</v>
      </c>
    </row>
    <row r="263" spans="1:23" x14ac:dyDescent="0.3">
      <c r="A263">
        <v>256</v>
      </c>
      <c r="B263">
        <v>3.4807000000000002E-3</v>
      </c>
      <c r="C263">
        <v>0.123837</v>
      </c>
      <c r="D263">
        <v>35.701999999999998</v>
      </c>
      <c r="E263">
        <v>35.578200000000002</v>
      </c>
      <c r="F263">
        <v>-6.4247999999999996E-4</v>
      </c>
      <c r="G263">
        <v>-1.20389E-2</v>
      </c>
      <c r="H263">
        <v>18.726199999999999</v>
      </c>
      <c r="I263">
        <v>18.738199999999999</v>
      </c>
      <c r="J263">
        <v>-1.47171E-3</v>
      </c>
      <c r="K263">
        <v>-2.41373E-2</v>
      </c>
      <c r="L263">
        <v>16.3767</v>
      </c>
      <c r="M263">
        <v>16.4009</v>
      </c>
      <c r="N263">
        <v>-1.8872299999999999E-3</v>
      </c>
      <c r="O263">
        <v>-2.9044E-2</v>
      </c>
      <c r="P263">
        <v>15.3607</v>
      </c>
      <c r="Q263">
        <v>15.389799999999999</v>
      </c>
      <c r="R263">
        <v>126.80800000000001</v>
      </c>
      <c r="S263">
        <v>126.80800000000001</v>
      </c>
      <c r="T263">
        <v>3.3483000000000001</v>
      </c>
      <c r="U263">
        <v>11766</v>
      </c>
      <c r="V263">
        <f t="shared" si="6"/>
        <v>63.945652173913047</v>
      </c>
      <c r="W263">
        <f t="shared" si="7"/>
        <v>1.3338066666666668E-3</v>
      </c>
    </row>
    <row r="264" spans="1:23" x14ac:dyDescent="0.3">
      <c r="A264">
        <v>257</v>
      </c>
      <c r="B264">
        <v>3.4302099999999999E-3</v>
      </c>
      <c r="C264">
        <v>0.12204</v>
      </c>
      <c r="D264">
        <v>35.700200000000002</v>
      </c>
      <c r="E264">
        <v>35.578200000000002</v>
      </c>
      <c r="F264">
        <v>-6.9945700000000001E-4</v>
      </c>
      <c r="G264">
        <v>-1.31066E-2</v>
      </c>
      <c r="H264">
        <v>18.725100000000001</v>
      </c>
      <c r="I264">
        <v>18.738199999999999</v>
      </c>
      <c r="J264">
        <v>-1.57321E-3</v>
      </c>
      <c r="K264">
        <v>-2.5801899999999999E-2</v>
      </c>
      <c r="L264">
        <v>16.3751</v>
      </c>
      <c r="M264">
        <v>16.4009</v>
      </c>
      <c r="N264">
        <v>-1.91186E-3</v>
      </c>
      <c r="O264">
        <v>-2.94232E-2</v>
      </c>
      <c r="P264">
        <v>15.3604</v>
      </c>
      <c r="Q264">
        <v>15.389799999999999</v>
      </c>
      <c r="R264">
        <v>127.367</v>
      </c>
      <c r="S264">
        <v>127.367</v>
      </c>
      <c r="T264">
        <v>3.3589000000000002</v>
      </c>
      <c r="U264">
        <v>11803.3</v>
      </c>
      <c r="V264">
        <f t="shared" ref="V264:V327" si="8">U264/A$2/B$2</f>
        <v>64.148369565217394</v>
      </c>
      <c r="W264">
        <f t="shared" ref="W264:W327" si="9">-AVERAGE(F264,J264,N264)</f>
        <v>1.3948423333333335E-3</v>
      </c>
    </row>
    <row r="265" spans="1:23" x14ac:dyDescent="0.3">
      <c r="A265">
        <v>258</v>
      </c>
      <c r="B265">
        <v>3.4537600000000002E-3</v>
      </c>
      <c r="C265">
        <v>0.122878</v>
      </c>
      <c r="D265">
        <v>35.701000000000001</v>
      </c>
      <c r="E265">
        <v>35.578200000000002</v>
      </c>
      <c r="F265">
        <v>-7.2890499999999996E-4</v>
      </c>
      <c r="G265">
        <v>-1.3658399999999999E-2</v>
      </c>
      <c r="H265">
        <v>18.724599999999999</v>
      </c>
      <c r="I265">
        <v>18.738199999999999</v>
      </c>
      <c r="J265">
        <v>-1.58158E-3</v>
      </c>
      <c r="K265">
        <v>-2.5939199999999999E-2</v>
      </c>
      <c r="L265">
        <v>16.3749</v>
      </c>
      <c r="M265">
        <v>16.4009</v>
      </c>
      <c r="N265">
        <v>-1.9612900000000001E-3</v>
      </c>
      <c r="O265">
        <v>-3.01838E-2</v>
      </c>
      <c r="P265">
        <v>15.3596</v>
      </c>
      <c r="Q265">
        <v>15.389799999999999</v>
      </c>
      <c r="R265">
        <v>127.68</v>
      </c>
      <c r="S265">
        <v>127.68</v>
      </c>
      <c r="T265">
        <v>3.3702000000000001</v>
      </c>
      <c r="U265">
        <v>11842.9</v>
      </c>
      <c r="V265">
        <f t="shared" si="8"/>
        <v>64.363586956521743</v>
      </c>
      <c r="W265">
        <f t="shared" si="9"/>
        <v>1.4239250000000001E-3</v>
      </c>
    </row>
    <row r="266" spans="1:23" x14ac:dyDescent="0.3">
      <c r="A266">
        <v>259</v>
      </c>
      <c r="B266">
        <v>3.50615E-3</v>
      </c>
      <c r="C266">
        <v>0.12474200000000001</v>
      </c>
      <c r="D266">
        <v>35.7029</v>
      </c>
      <c r="E266">
        <v>35.578200000000002</v>
      </c>
      <c r="F266">
        <v>-7.05323E-4</v>
      </c>
      <c r="G266">
        <v>-1.3216500000000001E-2</v>
      </c>
      <c r="H266">
        <v>18.725000000000001</v>
      </c>
      <c r="I266">
        <v>18.738199999999999</v>
      </c>
      <c r="J266">
        <v>-1.5335699999999999E-3</v>
      </c>
      <c r="K266">
        <v>-2.5151900000000001E-2</v>
      </c>
      <c r="L266">
        <v>16.375699999999998</v>
      </c>
      <c r="M266">
        <v>16.4009</v>
      </c>
      <c r="N266">
        <v>-1.93808E-3</v>
      </c>
      <c r="O266">
        <v>-2.9826700000000001E-2</v>
      </c>
      <c r="P266">
        <v>15.36</v>
      </c>
      <c r="Q266">
        <v>15.389799999999999</v>
      </c>
      <c r="R266">
        <v>128.36600000000001</v>
      </c>
      <c r="S266">
        <v>128.36600000000001</v>
      </c>
      <c r="T266">
        <v>3.3856999999999999</v>
      </c>
      <c r="U266">
        <v>11897.1</v>
      </c>
      <c r="V266">
        <f t="shared" si="8"/>
        <v>64.658152173913052</v>
      </c>
      <c r="W266">
        <f t="shared" si="9"/>
        <v>1.3923243333333335E-3</v>
      </c>
    </row>
    <row r="267" spans="1:23" x14ac:dyDescent="0.3">
      <c r="A267">
        <v>260</v>
      </c>
      <c r="B267">
        <v>3.4914199999999999E-3</v>
      </c>
      <c r="C267">
        <v>0.124218</v>
      </c>
      <c r="D267">
        <v>35.702399999999997</v>
      </c>
      <c r="E267">
        <v>35.578200000000002</v>
      </c>
      <c r="F267">
        <v>-6.8130700000000003E-4</v>
      </c>
      <c r="G267">
        <v>-1.27665E-2</v>
      </c>
      <c r="H267">
        <v>18.7255</v>
      </c>
      <c r="I267">
        <v>18.738199999999999</v>
      </c>
      <c r="J267">
        <v>-1.56292E-3</v>
      </c>
      <c r="K267">
        <v>-2.5633199999999998E-2</v>
      </c>
      <c r="L267">
        <v>16.3752</v>
      </c>
      <c r="M267">
        <v>16.4009</v>
      </c>
      <c r="N267">
        <v>-1.9033699999999999E-3</v>
      </c>
      <c r="O267">
        <v>-2.92924E-2</v>
      </c>
      <c r="P267">
        <v>15.3605</v>
      </c>
      <c r="Q267">
        <v>15.389799999999999</v>
      </c>
      <c r="R267">
        <v>128.61500000000001</v>
      </c>
      <c r="S267">
        <v>128.61500000000001</v>
      </c>
      <c r="T267">
        <v>3.4014000000000002</v>
      </c>
      <c r="U267">
        <v>11952.5</v>
      </c>
      <c r="V267">
        <f t="shared" si="8"/>
        <v>64.959239130434781</v>
      </c>
      <c r="W267">
        <f t="shared" si="9"/>
        <v>1.3825323333333335E-3</v>
      </c>
    </row>
    <row r="268" spans="1:23" x14ac:dyDescent="0.3">
      <c r="A268">
        <v>261</v>
      </c>
      <c r="B268">
        <v>3.5087400000000002E-3</v>
      </c>
      <c r="C268">
        <v>0.124835</v>
      </c>
      <c r="D268">
        <v>35.703000000000003</v>
      </c>
      <c r="E268">
        <v>35.578200000000002</v>
      </c>
      <c r="F268">
        <v>-7.6222300000000002E-4</v>
      </c>
      <c r="G268">
        <v>-1.4282700000000001E-2</v>
      </c>
      <c r="H268">
        <v>18.7239</v>
      </c>
      <c r="I268">
        <v>18.738199999999999</v>
      </c>
      <c r="J268">
        <v>-1.6477E-3</v>
      </c>
      <c r="K268">
        <v>-2.7023599999999998E-2</v>
      </c>
      <c r="L268">
        <v>16.373799999999999</v>
      </c>
      <c r="M268">
        <v>16.4009</v>
      </c>
      <c r="N268">
        <v>-2.0220899999999998E-3</v>
      </c>
      <c r="O268">
        <v>-3.1119500000000001E-2</v>
      </c>
      <c r="P268">
        <v>15.358700000000001</v>
      </c>
      <c r="Q268">
        <v>15.389799999999999</v>
      </c>
      <c r="R268">
        <v>129.17699999999999</v>
      </c>
      <c r="S268">
        <v>129.17699999999999</v>
      </c>
      <c r="T268">
        <v>3.4188999999999998</v>
      </c>
      <c r="U268">
        <v>12013.5</v>
      </c>
      <c r="V268">
        <f t="shared" si="8"/>
        <v>65.290760869565219</v>
      </c>
      <c r="W268">
        <f t="shared" si="9"/>
        <v>1.4773376666666668E-3</v>
      </c>
    </row>
    <row r="269" spans="1:23" x14ac:dyDescent="0.3">
      <c r="A269">
        <v>262</v>
      </c>
      <c r="B269">
        <v>3.5606000000000001E-3</v>
      </c>
      <c r="C269">
        <v>0.12667999999999999</v>
      </c>
      <c r="D269">
        <v>35.704799999999999</v>
      </c>
      <c r="E269">
        <v>35.578200000000002</v>
      </c>
      <c r="F269">
        <v>-7.6265999999999997E-4</v>
      </c>
      <c r="G269">
        <v>-1.42909E-2</v>
      </c>
      <c r="H269">
        <v>18.7239</v>
      </c>
      <c r="I269">
        <v>18.738199999999999</v>
      </c>
      <c r="J269">
        <v>-1.5822E-3</v>
      </c>
      <c r="K269">
        <v>-2.5949400000000001E-2</v>
      </c>
      <c r="L269">
        <v>16.3749</v>
      </c>
      <c r="M269">
        <v>16.4009</v>
      </c>
      <c r="N269">
        <v>-1.9907599999999998E-3</v>
      </c>
      <c r="O269">
        <v>-3.0637399999999999E-2</v>
      </c>
      <c r="P269">
        <v>15.3591</v>
      </c>
      <c r="Q269">
        <v>15.389799999999999</v>
      </c>
      <c r="R269">
        <v>129.49199999999999</v>
      </c>
      <c r="S269">
        <v>129.49199999999999</v>
      </c>
      <c r="T269">
        <v>3.4214000000000002</v>
      </c>
      <c r="U269">
        <v>12022.6</v>
      </c>
      <c r="V269">
        <f t="shared" si="8"/>
        <v>65.34021739130435</v>
      </c>
      <c r="W269">
        <f t="shared" si="9"/>
        <v>1.4452066666666666E-3</v>
      </c>
    </row>
    <row r="270" spans="1:23" x14ac:dyDescent="0.3">
      <c r="A270">
        <v>263</v>
      </c>
      <c r="B270">
        <v>3.5525299999999999E-3</v>
      </c>
      <c r="C270">
        <v>0.126392</v>
      </c>
      <c r="D270">
        <v>35.704599999999999</v>
      </c>
      <c r="E270">
        <v>35.578200000000002</v>
      </c>
      <c r="F270">
        <v>-7.7610099999999996E-4</v>
      </c>
      <c r="G270">
        <v>-1.45428E-2</v>
      </c>
      <c r="H270">
        <v>18.723700000000001</v>
      </c>
      <c r="I270">
        <v>18.738199999999999</v>
      </c>
      <c r="J270">
        <v>-1.63345E-3</v>
      </c>
      <c r="K270">
        <v>-2.6789899999999998E-2</v>
      </c>
      <c r="L270">
        <v>16.374099999999999</v>
      </c>
      <c r="M270">
        <v>16.4009</v>
      </c>
      <c r="N270">
        <v>-1.9916700000000001E-3</v>
      </c>
      <c r="O270">
        <v>-3.0651299999999999E-2</v>
      </c>
      <c r="P270">
        <v>15.3591</v>
      </c>
      <c r="Q270">
        <v>15.389799999999999</v>
      </c>
      <c r="R270">
        <v>129.86600000000001</v>
      </c>
      <c r="S270">
        <v>129.86699999999999</v>
      </c>
      <c r="T270">
        <v>3.4369000000000001</v>
      </c>
      <c r="U270">
        <v>12076.8</v>
      </c>
      <c r="V270">
        <f t="shared" si="8"/>
        <v>65.634782608695645</v>
      </c>
      <c r="W270">
        <f t="shared" si="9"/>
        <v>1.4670736666666667E-3</v>
      </c>
    </row>
    <row r="271" spans="1:23" x14ac:dyDescent="0.3">
      <c r="A271">
        <v>264</v>
      </c>
      <c r="B271">
        <v>3.53659E-3</v>
      </c>
      <c r="C271">
        <v>0.12582499999999999</v>
      </c>
      <c r="D271">
        <v>35.704000000000001</v>
      </c>
      <c r="E271">
        <v>35.578200000000002</v>
      </c>
      <c r="F271">
        <v>-6.9631900000000004E-4</v>
      </c>
      <c r="G271">
        <v>-1.30478E-2</v>
      </c>
      <c r="H271">
        <v>18.725200000000001</v>
      </c>
      <c r="I271">
        <v>18.738199999999999</v>
      </c>
      <c r="J271">
        <v>-1.5705999999999999E-3</v>
      </c>
      <c r="K271">
        <v>-2.57591E-2</v>
      </c>
      <c r="L271">
        <v>16.3751</v>
      </c>
      <c r="M271">
        <v>16.4009</v>
      </c>
      <c r="N271">
        <v>-1.9849799999999999E-3</v>
      </c>
      <c r="O271">
        <v>-3.05484E-2</v>
      </c>
      <c r="P271">
        <v>15.3592</v>
      </c>
      <c r="Q271">
        <v>15.389799999999999</v>
      </c>
      <c r="R271">
        <v>130.42699999999999</v>
      </c>
      <c r="S271">
        <v>130.42699999999999</v>
      </c>
      <c r="T271">
        <v>3.4546000000000001</v>
      </c>
      <c r="U271">
        <v>12139</v>
      </c>
      <c r="V271">
        <f t="shared" si="8"/>
        <v>65.972826086956516</v>
      </c>
      <c r="W271">
        <f t="shared" si="9"/>
        <v>1.4172996666666667E-3</v>
      </c>
    </row>
    <row r="272" spans="1:23" x14ac:dyDescent="0.3">
      <c r="A272">
        <v>265</v>
      </c>
      <c r="B272">
        <v>3.5537899999999998E-3</v>
      </c>
      <c r="C272">
        <v>0.12643699999999999</v>
      </c>
      <c r="D272">
        <v>35.704599999999999</v>
      </c>
      <c r="E272">
        <v>35.578200000000002</v>
      </c>
      <c r="F272">
        <v>-6.7093999999999997E-4</v>
      </c>
      <c r="G272">
        <v>-1.25722E-2</v>
      </c>
      <c r="H272">
        <v>18.7257</v>
      </c>
      <c r="I272">
        <v>18.738199999999999</v>
      </c>
      <c r="J272">
        <v>-1.5489099999999999E-3</v>
      </c>
      <c r="K272">
        <v>-2.54034E-2</v>
      </c>
      <c r="L272">
        <v>16.375499999999999</v>
      </c>
      <c r="M272">
        <v>16.4009</v>
      </c>
      <c r="N272">
        <v>-1.9695699999999999E-3</v>
      </c>
      <c r="O272">
        <v>-3.0311299999999999E-2</v>
      </c>
      <c r="P272">
        <v>15.359500000000001</v>
      </c>
      <c r="Q272">
        <v>15.389799999999999</v>
      </c>
      <c r="R272">
        <v>130.79900000000001</v>
      </c>
      <c r="S272">
        <v>130.79900000000001</v>
      </c>
      <c r="T272">
        <v>3.4617</v>
      </c>
      <c r="U272">
        <v>12163.9</v>
      </c>
      <c r="V272">
        <f t="shared" si="8"/>
        <v>66.108152173913041</v>
      </c>
      <c r="W272">
        <f t="shared" si="9"/>
        <v>1.396473333333333E-3</v>
      </c>
    </row>
    <row r="273" spans="1:23" x14ac:dyDescent="0.3">
      <c r="A273">
        <v>266</v>
      </c>
      <c r="B273">
        <v>3.6052300000000001E-3</v>
      </c>
      <c r="C273">
        <v>0.12826799999999999</v>
      </c>
      <c r="D273">
        <v>35.706400000000002</v>
      </c>
      <c r="E273">
        <v>35.578200000000002</v>
      </c>
      <c r="F273">
        <v>-7.35146E-4</v>
      </c>
      <c r="G273">
        <v>-1.3775300000000001E-2</v>
      </c>
      <c r="H273">
        <v>18.724399999999999</v>
      </c>
      <c r="I273">
        <v>18.738199999999999</v>
      </c>
      <c r="J273">
        <v>-1.5863699999999999E-3</v>
      </c>
      <c r="K273">
        <v>-2.6017800000000001E-2</v>
      </c>
      <c r="L273">
        <v>16.3748</v>
      </c>
      <c r="M273">
        <v>16.4009</v>
      </c>
      <c r="N273">
        <v>-1.9692400000000001E-3</v>
      </c>
      <c r="O273">
        <v>-3.0306099999999999E-2</v>
      </c>
      <c r="P273">
        <v>15.359500000000001</v>
      </c>
      <c r="Q273">
        <v>15.389799999999999</v>
      </c>
      <c r="R273">
        <v>131.238</v>
      </c>
      <c r="S273">
        <v>131.238</v>
      </c>
      <c r="T273">
        <v>3.4668999999999999</v>
      </c>
      <c r="U273">
        <v>12182</v>
      </c>
      <c r="V273">
        <f t="shared" si="8"/>
        <v>66.206521739130437</v>
      </c>
      <c r="W273">
        <f t="shared" si="9"/>
        <v>1.4302519999999999E-3</v>
      </c>
    </row>
    <row r="274" spans="1:23" x14ac:dyDescent="0.3">
      <c r="A274">
        <v>267</v>
      </c>
      <c r="B274">
        <v>3.5992099999999998E-3</v>
      </c>
      <c r="C274">
        <v>0.128053</v>
      </c>
      <c r="D274">
        <v>35.706200000000003</v>
      </c>
      <c r="E274">
        <v>35.578200000000002</v>
      </c>
      <c r="F274">
        <v>-7.9553899999999995E-4</v>
      </c>
      <c r="G274">
        <v>-1.4907E-2</v>
      </c>
      <c r="H274">
        <v>18.723299999999998</v>
      </c>
      <c r="I274">
        <v>18.738199999999999</v>
      </c>
      <c r="J274">
        <v>-1.6329000000000001E-3</v>
      </c>
      <c r="K274">
        <v>-2.6780999999999999E-2</v>
      </c>
      <c r="L274">
        <v>16.374099999999999</v>
      </c>
      <c r="M274">
        <v>16.4009</v>
      </c>
      <c r="N274">
        <v>-1.9910499999999999E-3</v>
      </c>
      <c r="O274">
        <v>-3.06419E-2</v>
      </c>
      <c r="P274">
        <v>15.3591</v>
      </c>
      <c r="Q274">
        <v>15.389799999999999</v>
      </c>
      <c r="R274">
        <v>131.80099999999999</v>
      </c>
      <c r="S274">
        <v>131.80099999999999</v>
      </c>
      <c r="T274">
        <v>3.4956</v>
      </c>
      <c r="U274">
        <v>12282.5</v>
      </c>
      <c r="V274">
        <f t="shared" si="8"/>
        <v>66.752717391304344</v>
      </c>
      <c r="W274">
        <f t="shared" si="9"/>
        <v>1.4731630000000002E-3</v>
      </c>
    </row>
    <row r="275" spans="1:23" x14ac:dyDescent="0.3">
      <c r="A275">
        <v>268</v>
      </c>
      <c r="B275">
        <v>3.61444E-3</v>
      </c>
      <c r="C275">
        <v>0.12859499999999999</v>
      </c>
      <c r="D275">
        <v>35.706800000000001</v>
      </c>
      <c r="E275">
        <v>35.578200000000002</v>
      </c>
      <c r="F275">
        <v>-8.1825099999999998E-4</v>
      </c>
      <c r="G275">
        <v>-1.53326E-2</v>
      </c>
      <c r="H275">
        <v>18.722899999999999</v>
      </c>
      <c r="I275">
        <v>18.738199999999999</v>
      </c>
      <c r="J275">
        <v>-1.67005E-3</v>
      </c>
      <c r="K275">
        <v>-2.7390299999999999E-2</v>
      </c>
      <c r="L275">
        <v>16.3735</v>
      </c>
      <c r="M275">
        <v>16.4009</v>
      </c>
      <c r="N275">
        <v>-2.0665000000000002E-3</v>
      </c>
      <c r="O275">
        <v>-3.1802900000000002E-2</v>
      </c>
      <c r="P275">
        <v>15.358000000000001</v>
      </c>
      <c r="Q275">
        <v>15.389799999999999</v>
      </c>
      <c r="R275">
        <v>131.92400000000001</v>
      </c>
      <c r="S275">
        <v>131.92400000000001</v>
      </c>
      <c r="T275">
        <v>3.4971999999999999</v>
      </c>
      <c r="U275">
        <v>12288.2</v>
      </c>
      <c r="V275">
        <f t="shared" si="8"/>
        <v>66.783695652173918</v>
      </c>
      <c r="W275">
        <f t="shared" si="9"/>
        <v>1.5182670000000002E-3</v>
      </c>
    </row>
    <row r="276" spans="1:23" x14ac:dyDescent="0.3">
      <c r="A276">
        <v>269</v>
      </c>
      <c r="B276">
        <v>3.6465500000000001E-3</v>
      </c>
      <c r="C276">
        <v>0.12973799999999999</v>
      </c>
      <c r="D276">
        <v>35.707900000000002</v>
      </c>
      <c r="E276">
        <v>35.578200000000002</v>
      </c>
      <c r="F276">
        <v>-6.7783399999999999E-4</v>
      </c>
      <c r="G276">
        <v>-1.27014E-2</v>
      </c>
      <c r="H276">
        <v>18.7255</v>
      </c>
      <c r="I276">
        <v>18.738199999999999</v>
      </c>
      <c r="J276">
        <v>-1.56737E-3</v>
      </c>
      <c r="K276">
        <v>-2.5706199999999998E-2</v>
      </c>
      <c r="L276">
        <v>16.3751</v>
      </c>
      <c r="M276">
        <v>16.4009</v>
      </c>
      <c r="N276">
        <v>-2.05938E-3</v>
      </c>
      <c r="O276">
        <v>-3.1693399999999997E-2</v>
      </c>
      <c r="P276">
        <v>15.3581</v>
      </c>
      <c r="Q276">
        <v>15.389799999999999</v>
      </c>
      <c r="R276">
        <v>132.60900000000001</v>
      </c>
      <c r="S276">
        <v>132.60900000000001</v>
      </c>
      <c r="T276">
        <v>3.5146000000000002</v>
      </c>
      <c r="U276">
        <v>12349.2</v>
      </c>
      <c r="V276">
        <f t="shared" si="8"/>
        <v>67.115217391304355</v>
      </c>
      <c r="W276">
        <f t="shared" si="9"/>
        <v>1.4348613333333333E-3</v>
      </c>
    </row>
    <row r="277" spans="1:23" x14ac:dyDescent="0.3">
      <c r="A277">
        <v>270</v>
      </c>
      <c r="B277">
        <v>3.6487199999999998E-3</v>
      </c>
      <c r="C277">
        <v>0.12981500000000001</v>
      </c>
      <c r="D277">
        <v>35.707999999999998</v>
      </c>
      <c r="E277">
        <v>35.578200000000002</v>
      </c>
      <c r="F277">
        <v>-7.8878499999999996E-4</v>
      </c>
      <c r="G277">
        <v>-1.4780400000000001E-2</v>
      </c>
      <c r="H277">
        <v>18.723400000000002</v>
      </c>
      <c r="I277">
        <v>18.738199999999999</v>
      </c>
      <c r="J277">
        <v>-1.6149000000000001E-3</v>
      </c>
      <c r="K277">
        <v>-2.6485700000000001E-2</v>
      </c>
      <c r="L277">
        <v>16.374400000000001</v>
      </c>
      <c r="M277">
        <v>16.4009</v>
      </c>
      <c r="N277">
        <v>-1.95751E-3</v>
      </c>
      <c r="O277">
        <v>-3.0125599999999999E-2</v>
      </c>
      <c r="P277">
        <v>15.3597</v>
      </c>
      <c r="Q277">
        <v>15.389799999999999</v>
      </c>
      <c r="R277">
        <v>132.98500000000001</v>
      </c>
      <c r="S277">
        <v>132.98500000000001</v>
      </c>
      <c r="T277">
        <v>3.5265</v>
      </c>
      <c r="U277">
        <v>12391</v>
      </c>
      <c r="V277">
        <f t="shared" si="8"/>
        <v>67.342391304347828</v>
      </c>
      <c r="W277">
        <f t="shared" si="9"/>
        <v>1.4537316666666667E-3</v>
      </c>
    </row>
    <row r="278" spans="1:23" x14ac:dyDescent="0.3">
      <c r="A278">
        <v>271</v>
      </c>
      <c r="B278">
        <v>3.6407200000000001E-3</v>
      </c>
      <c r="C278">
        <v>0.12953000000000001</v>
      </c>
      <c r="D278">
        <v>35.707700000000003</v>
      </c>
      <c r="E278">
        <v>35.578200000000002</v>
      </c>
      <c r="F278">
        <v>-7.5088399999999995E-4</v>
      </c>
      <c r="G278">
        <v>-1.40702E-2</v>
      </c>
      <c r="H278">
        <v>18.7242</v>
      </c>
      <c r="I278">
        <v>18.738199999999999</v>
      </c>
      <c r="J278">
        <v>-1.6287599999999999E-3</v>
      </c>
      <c r="K278">
        <v>-2.67131E-2</v>
      </c>
      <c r="L278">
        <v>16.374099999999999</v>
      </c>
      <c r="M278">
        <v>16.4009</v>
      </c>
      <c r="N278">
        <v>-2.0311999999999999E-3</v>
      </c>
      <c r="O278">
        <v>-3.1259700000000001E-2</v>
      </c>
      <c r="P278">
        <v>15.358499999999999</v>
      </c>
      <c r="Q278">
        <v>15.389799999999999</v>
      </c>
      <c r="R278">
        <v>133.48400000000001</v>
      </c>
      <c r="S278">
        <v>133.48400000000001</v>
      </c>
      <c r="T278">
        <v>3.5384000000000002</v>
      </c>
      <c r="U278">
        <v>12432.9</v>
      </c>
      <c r="V278">
        <f t="shared" si="8"/>
        <v>67.570108695652166</v>
      </c>
      <c r="W278">
        <f t="shared" si="9"/>
        <v>1.4702813333333333E-3</v>
      </c>
    </row>
    <row r="279" spans="1:23" x14ac:dyDescent="0.3">
      <c r="A279">
        <v>272</v>
      </c>
      <c r="B279">
        <v>3.6826200000000002E-3</v>
      </c>
      <c r="C279">
        <v>0.131021</v>
      </c>
      <c r="D279">
        <v>35.709200000000003</v>
      </c>
      <c r="E279">
        <v>35.578200000000002</v>
      </c>
      <c r="F279">
        <v>-7.4041899999999997E-4</v>
      </c>
      <c r="G279">
        <v>-1.38741E-2</v>
      </c>
      <c r="H279">
        <v>18.724299999999999</v>
      </c>
      <c r="I279">
        <v>18.738199999999999</v>
      </c>
      <c r="J279">
        <v>-1.61809E-3</v>
      </c>
      <c r="K279">
        <v>-2.6538099999999998E-2</v>
      </c>
      <c r="L279">
        <v>16.374300000000002</v>
      </c>
      <c r="M279">
        <v>16.4009</v>
      </c>
      <c r="N279">
        <v>-2.0395999999999999E-3</v>
      </c>
      <c r="O279">
        <v>-3.1389E-2</v>
      </c>
      <c r="P279">
        <v>15.3584</v>
      </c>
      <c r="Q279">
        <v>15.389799999999999</v>
      </c>
      <c r="R279">
        <v>133.85900000000001</v>
      </c>
      <c r="S279">
        <v>133.85900000000001</v>
      </c>
      <c r="T279">
        <v>3.5602999999999998</v>
      </c>
      <c r="U279">
        <v>12509.7</v>
      </c>
      <c r="V279">
        <f t="shared" si="8"/>
        <v>67.987499999999997</v>
      </c>
      <c r="W279">
        <f t="shared" si="9"/>
        <v>1.4660363333333334E-3</v>
      </c>
    </row>
    <row r="280" spans="1:23" x14ac:dyDescent="0.3">
      <c r="A280">
        <v>273</v>
      </c>
      <c r="B280">
        <v>3.6846600000000002E-3</v>
      </c>
      <c r="C280">
        <v>0.13109399999999999</v>
      </c>
      <c r="D280">
        <v>35.709299999999999</v>
      </c>
      <c r="E280">
        <v>35.578200000000002</v>
      </c>
      <c r="F280">
        <v>-8.0124000000000005E-4</v>
      </c>
      <c r="G280">
        <v>-1.5013800000000001E-2</v>
      </c>
      <c r="H280">
        <v>18.723199999999999</v>
      </c>
      <c r="I280">
        <v>18.738199999999999</v>
      </c>
      <c r="J280">
        <v>-1.65489E-3</v>
      </c>
      <c r="K280">
        <v>-2.7141599999999998E-2</v>
      </c>
      <c r="L280">
        <v>16.373699999999999</v>
      </c>
      <c r="M280">
        <v>16.4009</v>
      </c>
      <c r="N280">
        <v>-2.0551699999999998E-3</v>
      </c>
      <c r="O280">
        <v>-3.16286E-2</v>
      </c>
      <c r="P280">
        <v>15.3582</v>
      </c>
      <c r="Q280">
        <v>15.389799999999999</v>
      </c>
      <c r="R280">
        <v>134.04499999999999</v>
      </c>
      <c r="S280">
        <v>134.04499999999999</v>
      </c>
      <c r="T280">
        <v>3.5590000000000002</v>
      </c>
      <c r="U280">
        <v>12505.2</v>
      </c>
      <c r="V280">
        <f t="shared" si="8"/>
        <v>67.963043478260872</v>
      </c>
      <c r="W280">
        <f t="shared" si="9"/>
        <v>1.5037666666666664E-3</v>
      </c>
    </row>
    <row r="281" spans="1:23" x14ac:dyDescent="0.3">
      <c r="A281">
        <v>274</v>
      </c>
      <c r="B281">
        <v>3.6934400000000001E-3</v>
      </c>
      <c r="C281">
        <v>0.131406</v>
      </c>
      <c r="D281">
        <v>35.709600000000002</v>
      </c>
      <c r="E281">
        <v>35.578200000000002</v>
      </c>
      <c r="F281">
        <v>-7.2589400000000004E-4</v>
      </c>
      <c r="G281">
        <v>-1.3602E-2</v>
      </c>
      <c r="H281">
        <v>18.724599999999999</v>
      </c>
      <c r="I281">
        <v>18.738199999999999</v>
      </c>
      <c r="J281">
        <v>-1.62357E-3</v>
      </c>
      <c r="K281">
        <v>-2.6627899999999999E-2</v>
      </c>
      <c r="L281">
        <v>16.374199999999998</v>
      </c>
      <c r="M281">
        <v>16.4009</v>
      </c>
      <c r="N281">
        <v>-2.0775300000000002E-3</v>
      </c>
      <c r="O281">
        <v>-3.1972800000000003E-2</v>
      </c>
      <c r="P281">
        <v>15.357799999999999</v>
      </c>
      <c r="Q281">
        <v>15.389799999999999</v>
      </c>
      <c r="R281">
        <v>134.54400000000001</v>
      </c>
      <c r="S281">
        <v>134.54400000000001</v>
      </c>
      <c r="T281">
        <v>3.5790000000000002</v>
      </c>
      <c r="U281">
        <v>12575.3</v>
      </c>
      <c r="V281">
        <f t="shared" si="8"/>
        <v>68.344021739130426</v>
      </c>
      <c r="W281">
        <f t="shared" si="9"/>
        <v>1.4756646666666668E-3</v>
      </c>
    </row>
    <row r="282" spans="1:23" x14ac:dyDescent="0.3">
      <c r="A282">
        <v>275</v>
      </c>
      <c r="B282">
        <v>3.7267799999999998E-3</v>
      </c>
      <c r="C282">
        <v>0.13259199999999999</v>
      </c>
      <c r="D282">
        <v>35.710799999999999</v>
      </c>
      <c r="E282">
        <v>35.578200000000002</v>
      </c>
      <c r="F282">
        <v>-7.9739000000000003E-4</v>
      </c>
      <c r="G282">
        <v>-1.49417E-2</v>
      </c>
      <c r="H282">
        <v>18.723299999999998</v>
      </c>
      <c r="I282">
        <v>18.738199999999999</v>
      </c>
      <c r="J282">
        <v>-1.64112E-3</v>
      </c>
      <c r="K282">
        <v>-2.69158E-2</v>
      </c>
      <c r="L282">
        <v>16.373899999999999</v>
      </c>
      <c r="M282">
        <v>16.4009</v>
      </c>
      <c r="N282">
        <v>-2.0993700000000001E-3</v>
      </c>
      <c r="O282">
        <v>-3.2308799999999999E-2</v>
      </c>
      <c r="P282">
        <v>15.3575</v>
      </c>
      <c r="Q282">
        <v>15.389799999999999</v>
      </c>
      <c r="R282">
        <v>135.04300000000001</v>
      </c>
      <c r="S282">
        <v>135.04300000000001</v>
      </c>
      <c r="T282">
        <v>3.5941999999999998</v>
      </c>
      <c r="U282">
        <v>12628.4</v>
      </c>
      <c r="V282">
        <f t="shared" si="8"/>
        <v>68.632608695652166</v>
      </c>
      <c r="W282">
        <f t="shared" si="9"/>
        <v>1.5126266666666667E-3</v>
      </c>
    </row>
    <row r="283" spans="1:23" x14ac:dyDescent="0.3">
      <c r="A283">
        <v>276</v>
      </c>
      <c r="B283">
        <v>3.68893E-3</v>
      </c>
      <c r="C283">
        <v>0.131245</v>
      </c>
      <c r="D283">
        <v>35.709400000000002</v>
      </c>
      <c r="E283">
        <v>35.578200000000002</v>
      </c>
      <c r="F283">
        <v>-7.5793799999999999E-4</v>
      </c>
      <c r="G283">
        <v>-1.42024E-2</v>
      </c>
      <c r="H283">
        <v>18.724</v>
      </c>
      <c r="I283">
        <v>18.738199999999999</v>
      </c>
      <c r="J283">
        <v>-1.6864499999999999E-3</v>
      </c>
      <c r="K283">
        <v>-2.7659300000000001E-2</v>
      </c>
      <c r="L283">
        <v>16.373200000000001</v>
      </c>
      <c r="M283">
        <v>16.4009</v>
      </c>
      <c r="N283">
        <v>-2.0487600000000002E-3</v>
      </c>
      <c r="O283">
        <v>-3.15299E-2</v>
      </c>
      <c r="P283">
        <v>15.3583</v>
      </c>
      <c r="Q283">
        <v>15.389799999999999</v>
      </c>
      <c r="R283">
        <v>135.41900000000001</v>
      </c>
      <c r="S283">
        <v>135.41900000000001</v>
      </c>
      <c r="T283">
        <v>3.6048</v>
      </c>
      <c r="U283">
        <v>12665.7</v>
      </c>
      <c r="V283">
        <f t="shared" si="8"/>
        <v>68.835326086956528</v>
      </c>
      <c r="W283">
        <f t="shared" si="9"/>
        <v>1.4977160000000003E-3</v>
      </c>
    </row>
    <row r="284" spans="1:23" x14ac:dyDescent="0.3">
      <c r="A284">
        <v>277</v>
      </c>
      <c r="B284">
        <v>3.75319E-3</v>
      </c>
      <c r="C284">
        <v>0.13353100000000001</v>
      </c>
      <c r="D284">
        <v>35.7117</v>
      </c>
      <c r="E284">
        <v>35.578200000000002</v>
      </c>
      <c r="F284">
        <v>-8.0201199999999995E-4</v>
      </c>
      <c r="G284">
        <v>-1.50283E-2</v>
      </c>
      <c r="H284">
        <v>18.723199999999999</v>
      </c>
      <c r="I284">
        <v>18.738199999999999</v>
      </c>
      <c r="J284">
        <v>-1.6834899999999999E-3</v>
      </c>
      <c r="K284">
        <v>-2.7610699999999998E-2</v>
      </c>
      <c r="L284">
        <v>16.373200000000001</v>
      </c>
      <c r="M284">
        <v>16.4009</v>
      </c>
      <c r="N284">
        <v>-2.11122E-3</v>
      </c>
      <c r="O284">
        <v>-3.2491199999999998E-2</v>
      </c>
      <c r="P284">
        <v>15.3573</v>
      </c>
      <c r="Q284">
        <v>15.389799999999999</v>
      </c>
      <c r="R284">
        <v>135.73099999999999</v>
      </c>
      <c r="S284">
        <v>135.73099999999999</v>
      </c>
      <c r="T284">
        <v>3.6164000000000001</v>
      </c>
      <c r="U284">
        <v>12706.4</v>
      </c>
      <c r="V284">
        <f t="shared" si="8"/>
        <v>69.056521739130432</v>
      </c>
      <c r="W284">
        <f t="shared" si="9"/>
        <v>1.5322406666666664E-3</v>
      </c>
    </row>
    <row r="285" spans="1:23" x14ac:dyDescent="0.3">
      <c r="A285">
        <v>278</v>
      </c>
      <c r="B285">
        <v>3.7119200000000001E-3</v>
      </c>
      <c r="C285">
        <v>0.13206300000000001</v>
      </c>
      <c r="D285">
        <v>35.7102</v>
      </c>
      <c r="E285">
        <v>35.578200000000002</v>
      </c>
      <c r="F285">
        <v>-7.3927200000000002E-4</v>
      </c>
      <c r="G285">
        <v>-1.38526E-2</v>
      </c>
      <c r="H285">
        <v>18.724399999999999</v>
      </c>
      <c r="I285">
        <v>18.738199999999999</v>
      </c>
      <c r="J285">
        <v>-1.6116699999999999E-3</v>
      </c>
      <c r="K285">
        <v>-2.6432799999999999E-2</v>
      </c>
      <c r="L285">
        <v>16.374400000000001</v>
      </c>
      <c r="M285">
        <v>16.4009</v>
      </c>
      <c r="N285">
        <v>-2.0579600000000002E-3</v>
      </c>
      <c r="O285">
        <v>-3.1671600000000001E-2</v>
      </c>
      <c r="P285">
        <v>15.3581</v>
      </c>
      <c r="Q285">
        <v>15.389799999999999</v>
      </c>
      <c r="R285">
        <v>136.357</v>
      </c>
      <c r="S285">
        <v>136.357</v>
      </c>
      <c r="T285">
        <v>3.6293000000000002</v>
      </c>
      <c r="U285">
        <v>12751.6</v>
      </c>
      <c r="V285">
        <f t="shared" si="8"/>
        <v>69.302173913043475</v>
      </c>
      <c r="W285">
        <f t="shared" si="9"/>
        <v>1.469634E-3</v>
      </c>
    </row>
    <row r="286" spans="1:23" x14ac:dyDescent="0.3">
      <c r="A286">
        <v>279</v>
      </c>
      <c r="B286">
        <v>3.8036099999999998E-3</v>
      </c>
      <c r="C286">
        <v>0.135325</v>
      </c>
      <c r="D286">
        <v>35.713500000000003</v>
      </c>
      <c r="E286">
        <v>35.578200000000002</v>
      </c>
      <c r="F286">
        <v>-8.3474500000000002E-4</v>
      </c>
      <c r="G286">
        <v>-1.5641599999999999E-2</v>
      </c>
      <c r="H286">
        <v>18.7226</v>
      </c>
      <c r="I286">
        <v>18.738199999999999</v>
      </c>
      <c r="J286">
        <v>-1.7254E-3</v>
      </c>
      <c r="K286">
        <v>-2.82981E-2</v>
      </c>
      <c r="L286">
        <v>16.372599999999998</v>
      </c>
      <c r="M286">
        <v>16.4009</v>
      </c>
      <c r="N286">
        <v>-2.0848400000000001E-3</v>
      </c>
      <c r="O286">
        <v>-3.2085200000000001E-2</v>
      </c>
      <c r="P286">
        <v>15.357699999999999</v>
      </c>
      <c r="Q286">
        <v>15.389799999999999</v>
      </c>
      <c r="R286">
        <v>136.85400000000001</v>
      </c>
      <c r="S286">
        <v>136.85400000000001</v>
      </c>
      <c r="T286">
        <v>3.6499000000000001</v>
      </c>
      <c r="U286">
        <v>12823.9</v>
      </c>
      <c r="V286">
        <f t="shared" si="8"/>
        <v>69.695108695652166</v>
      </c>
      <c r="W286">
        <f t="shared" si="9"/>
        <v>1.5483283333333332E-3</v>
      </c>
    </row>
    <row r="287" spans="1:23" x14ac:dyDescent="0.3">
      <c r="A287">
        <v>280</v>
      </c>
      <c r="B287">
        <v>3.7385999999999999E-3</v>
      </c>
      <c r="C287">
        <v>0.13301299999999999</v>
      </c>
      <c r="D287">
        <v>35.711199999999998</v>
      </c>
      <c r="E287">
        <v>35.578200000000002</v>
      </c>
      <c r="F287">
        <v>-8.3864300000000003E-4</v>
      </c>
      <c r="G287">
        <v>-1.5714700000000002E-2</v>
      </c>
      <c r="H287">
        <v>18.7225</v>
      </c>
      <c r="I287">
        <v>18.738199999999999</v>
      </c>
      <c r="J287">
        <v>-1.76805E-3</v>
      </c>
      <c r="K287">
        <v>-2.8997599999999998E-2</v>
      </c>
      <c r="L287">
        <v>16.3719</v>
      </c>
      <c r="M287">
        <v>16.4009</v>
      </c>
      <c r="N287">
        <v>-2.17403E-3</v>
      </c>
      <c r="O287">
        <v>-3.3457899999999999E-2</v>
      </c>
      <c r="P287">
        <v>15.356299999999999</v>
      </c>
      <c r="Q287">
        <v>15.389799999999999</v>
      </c>
      <c r="R287">
        <v>137.102</v>
      </c>
      <c r="S287">
        <v>137.102</v>
      </c>
      <c r="T287">
        <v>3.6515</v>
      </c>
      <c r="U287">
        <v>12829.6</v>
      </c>
      <c r="V287">
        <f t="shared" si="8"/>
        <v>69.72608695652174</v>
      </c>
      <c r="W287">
        <f t="shared" si="9"/>
        <v>1.5935743333333335E-3</v>
      </c>
    </row>
    <row r="288" spans="1:23" x14ac:dyDescent="0.3">
      <c r="A288">
        <v>281</v>
      </c>
      <c r="B288">
        <v>3.7885599999999998E-3</v>
      </c>
      <c r="C288">
        <v>0.13478999999999999</v>
      </c>
      <c r="D288">
        <v>35.713000000000001</v>
      </c>
      <c r="E288">
        <v>35.578200000000002</v>
      </c>
      <c r="F288">
        <v>-7.9008400000000003E-4</v>
      </c>
      <c r="G288">
        <v>-1.48048E-2</v>
      </c>
      <c r="H288">
        <v>18.723400000000002</v>
      </c>
      <c r="I288">
        <v>18.738199999999999</v>
      </c>
      <c r="J288">
        <v>-1.69852E-3</v>
      </c>
      <c r="K288">
        <v>-2.7857199999999999E-2</v>
      </c>
      <c r="L288">
        <v>16.373000000000001</v>
      </c>
      <c r="M288">
        <v>16.4009</v>
      </c>
      <c r="N288">
        <v>-2.0934700000000001E-3</v>
      </c>
      <c r="O288">
        <v>-3.22181E-2</v>
      </c>
      <c r="P288">
        <v>15.3576</v>
      </c>
      <c r="Q288">
        <v>15.389799999999999</v>
      </c>
      <c r="R288">
        <v>137.66499999999999</v>
      </c>
      <c r="S288">
        <v>137.66499999999999</v>
      </c>
      <c r="T288">
        <v>3.6747000000000001</v>
      </c>
      <c r="U288">
        <v>12911</v>
      </c>
      <c r="V288">
        <f t="shared" si="8"/>
        <v>70.168478260869563</v>
      </c>
      <c r="W288">
        <f t="shared" si="9"/>
        <v>1.5273580000000001E-3</v>
      </c>
    </row>
    <row r="289" spans="1:23" x14ac:dyDescent="0.3">
      <c r="A289">
        <v>282</v>
      </c>
      <c r="B289">
        <v>3.7863300000000001E-3</v>
      </c>
      <c r="C289">
        <v>0.134711</v>
      </c>
      <c r="D289">
        <v>35.712899999999998</v>
      </c>
      <c r="E289">
        <v>35.578200000000002</v>
      </c>
      <c r="F289">
        <v>-7.69658E-4</v>
      </c>
      <c r="G289">
        <v>-1.4422000000000001E-2</v>
      </c>
      <c r="H289">
        <v>18.723800000000001</v>
      </c>
      <c r="I289">
        <v>18.738199999999999</v>
      </c>
      <c r="J289">
        <v>-1.6769700000000001E-3</v>
      </c>
      <c r="K289">
        <v>-2.7503799999999998E-2</v>
      </c>
      <c r="L289">
        <v>16.3734</v>
      </c>
      <c r="M289">
        <v>16.4009</v>
      </c>
      <c r="N289">
        <v>-2.12042E-3</v>
      </c>
      <c r="O289">
        <v>-3.2632799999999997E-2</v>
      </c>
      <c r="P289">
        <v>15.357100000000001</v>
      </c>
      <c r="Q289">
        <v>15.389799999999999</v>
      </c>
      <c r="R289">
        <v>138.03800000000001</v>
      </c>
      <c r="S289">
        <v>138.03800000000001</v>
      </c>
      <c r="T289">
        <v>3.6840999999999999</v>
      </c>
      <c r="U289">
        <v>12943.7</v>
      </c>
      <c r="V289">
        <f t="shared" si="8"/>
        <v>70.346195652173918</v>
      </c>
      <c r="W289">
        <f t="shared" si="9"/>
        <v>1.5223493333333335E-3</v>
      </c>
    </row>
    <row r="290" spans="1:23" x14ac:dyDescent="0.3">
      <c r="A290">
        <v>283</v>
      </c>
      <c r="B290">
        <v>3.8005600000000001E-3</v>
      </c>
      <c r="C290">
        <v>0.135217</v>
      </c>
      <c r="D290">
        <v>35.7134</v>
      </c>
      <c r="E290">
        <v>35.578200000000002</v>
      </c>
      <c r="F290">
        <v>-8.5550000000000003E-4</v>
      </c>
      <c r="G290">
        <v>-1.60305E-2</v>
      </c>
      <c r="H290">
        <v>18.722200000000001</v>
      </c>
      <c r="I290">
        <v>18.738199999999999</v>
      </c>
      <c r="J290">
        <v>-1.75362E-3</v>
      </c>
      <c r="K290">
        <v>-2.8760899999999999E-2</v>
      </c>
      <c r="L290">
        <v>16.3721</v>
      </c>
      <c r="M290">
        <v>16.4009</v>
      </c>
      <c r="N290">
        <v>-2.1246400000000001E-3</v>
      </c>
      <c r="O290">
        <v>-3.2697700000000003E-2</v>
      </c>
      <c r="P290">
        <v>15.357100000000001</v>
      </c>
      <c r="Q290">
        <v>15.389799999999999</v>
      </c>
      <c r="R290">
        <v>138.41200000000001</v>
      </c>
      <c r="S290">
        <v>138.41200000000001</v>
      </c>
      <c r="T290">
        <v>3.6918000000000002</v>
      </c>
      <c r="U290">
        <v>12970.9</v>
      </c>
      <c r="V290">
        <f t="shared" si="8"/>
        <v>70.494021739130432</v>
      </c>
      <c r="W290">
        <f t="shared" si="9"/>
        <v>1.57792E-3</v>
      </c>
    </row>
    <row r="291" spans="1:23" x14ac:dyDescent="0.3">
      <c r="A291">
        <v>284</v>
      </c>
      <c r="B291">
        <v>3.8685199999999999E-3</v>
      </c>
      <c r="C291">
        <v>0.13763500000000001</v>
      </c>
      <c r="D291">
        <v>35.715800000000002</v>
      </c>
      <c r="E291">
        <v>35.578200000000002</v>
      </c>
      <c r="F291">
        <v>-7.7508600000000003E-4</v>
      </c>
      <c r="G291">
        <v>-1.45237E-2</v>
      </c>
      <c r="H291">
        <v>18.723700000000001</v>
      </c>
      <c r="I291">
        <v>18.738199999999999</v>
      </c>
      <c r="J291">
        <v>-1.6875099999999999E-3</v>
      </c>
      <c r="K291">
        <v>-2.7676599999999999E-2</v>
      </c>
      <c r="L291">
        <v>16.373200000000001</v>
      </c>
      <c r="M291">
        <v>16.4009</v>
      </c>
      <c r="N291">
        <v>-2.09392E-3</v>
      </c>
      <c r="O291">
        <v>-3.2224900000000001E-2</v>
      </c>
      <c r="P291">
        <v>15.3576</v>
      </c>
      <c r="Q291">
        <v>15.389799999999999</v>
      </c>
      <c r="R291">
        <v>138.78899999999999</v>
      </c>
      <c r="S291">
        <v>138.79</v>
      </c>
      <c r="T291">
        <v>3.7075999999999998</v>
      </c>
      <c r="U291">
        <v>13026.3</v>
      </c>
      <c r="V291">
        <f t="shared" si="8"/>
        <v>70.795108695652175</v>
      </c>
      <c r="W291">
        <f t="shared" si="9"/>
        <v>1.5188386666666668E-3</v>
      </c>
    </row>
    <row r="292" spans="1:23" x14ac:dyDescent="0.3">
      <c r="A292">
        <v>285</v>
      </c>
      <c r="B292">
        <v>3.82746E-3</v>
      </c>
      <c r="C292">
        <v>0.13617399999999999</v>
      </c>
      <c r="D292">
        <v>35.714300000000001</v>
      </c>
      <c r="E292">
        <v>35.578200000000002</v>
      </c>
      <c r="F292">
        <v>-8.41974E-4</v>
      </c>
      <c r="G292">
        <v>-1.5777099999999999E-2</v>
      </c>
      <c r="H292">
        <v>18.7224</v>
      </c>
      <c r="I292">
        <v>18.738199999999999</v>
      </c>
      <c r="J292">
        <v>-1.7909099999999999E-3</v>
      </c>
      <c r="K292">
        <v>-2.93724E-2</v>
      </c>
      <c r="L292">
        <v>16.371500000000001</v>
      </c>
      <c r="M292">
        <v>16.4009</v>
      </c>
      <c r="N292">
        <v>-2.2052999999999999E-3</v>
      </c>
      <c r="O292">
        <v>-3.3938999999999997E-2</v>
      </c>
      <c r="P292">
        <v>15.3558</v>
      </c>
      <c r="Q292">
        <v>15.389799999999999</v>
      </c>
      <c r="R292">
        <v>139.22300000000001</v>
      </c>
      <c r="S292">
        <v>139.22300000000001</v>
      </c>
      <c r="T292">
        <v>3.7218</v>
      </c>
      <c r="U292">
        <v>13076</v>
      </c>
      <c r="V292">
        <f t="shared" si="8"/>
        <v>71.065217391304344</v>
      </c>
      <c r="W292">
        <f t="shared" si="9"/>
        <v>1.6127279999999999E-3</v>
      </c>
    </row>
    <row r="293" spans="1:23" x14ac:dyDescent="0.3">
      <c r="A293">
        <v>286</v>
      </c>
      <c r="B293">
        <v>3.8463500000000001E-3</v>
      </c>
      <c r="C293">
        <v>0.136846</v>
      </c>
      <c r="D293">
        <v>35.715000000000003</v>
      </c>
      <c r="E293">
        <v>35.578200000000002</v>
      </c>
      <c r="F293">
        <v>-8.1527499999999996E-4</v>
      </c>
      <c r="G293">
        <v>-1.52768E-2</v>
      </c>
      <c r="H293">
        <v>18.722899999999999</v>
      </c>
      <c r="I293">
        <v>18.738199999999999</v>
      </c>
      <c r="J293">
        <v>-1.73993E-3</v>
      </c>
      <c r="K293">
        <v>-2.8536300000000001E-2</v>
      </c>
      <c r="L293">
        <v>16.372299999999999</v>
      </c>
      <c r="M293">
        <v>16.4009</v>
      </c>
      <c r="N293">
        <v>-2.1777900000000002E-3</v>
      </c>
      <c r="O293">
        <v>-3.35156E-2</v>
      </c>
      <c r="P293">
        <v>15.356299999999999</v>
      </c>
      <c r="Q293">
        <v>15.389799999999999</v>
      </c>
      <c r="R293">
        <v>139.72200000000001</v>
      </c>
      <c r="S293">
        <v>139.72200000000001</v>
      </c>
      <c r="T293">
        <v>3.7385999999999999</v>
      </c>
      <c r="U293">
        <v>13134.8</v>
      </c>
      <c r="V293">
        <f t="shared" si="8"/>
        <v>71.384782608695645</v>
      </c>
      <c r="W293">
        <f t="shared" si="9"/>
        <v>1.577665E-3</v>
      </c>
    </row>
    <row r="294" spans="1:23" x14ac:dyDescent="0.3">
      <c r="A294">
        <v>287</v>
      </c>
      <c r="B294">
        <v>3.8622299999999999E-3</v>
      </c>
      <c r="C294">
        <v>0.13741100000000001</v>
      </c>
      <c r="D294">
        <v>35.715600000000002</v>
      </c>
      <c r="E294">
        <v>35.578200000000002</v>
      </c>
      <c r="F294">
        <v>-8.1766900000000003E-4</v>
      </c>
      <c r="G294">
        <v>-1.5321700000000001E-2</v>
      </c>
      <c r="H294">
        <v>18.722899999999999</v>
      </c>
      <c r="I294">
        <v>18.738199999999999</v>
      </c>
      <c r="J294">
        <v>-1.71507E-3</v>
      </c>
      <c r="K294">
        <v>-2.81287E-2</v>
      </c>
      <c r="L294">
        <v>16.372699999999998</v>
      </c>
      <c r="M294">
        <v>16.4009</v>
      </c>
      <c r="N294">
        <v>-2.14408E-3</v>
      </c>
      <c r="O294">
        <v>-3.2996900000000003E-2</v>
      </c>
      <c r="P294">
        <v>15.3568</v>
      </c>
      <c r="Q294">
        <v>15.389799999999999</v>
      </c>
      <c r="R294">
        <v>140.15899999999999</v>
      </c>
      <c r="S294">
        <v>140.15899999999999</v>
      </c>
      <c r="T294">
        <v>3.7524000000000002</v>
      </c>
      <c r="U294">
        <v>13183.4</v>
      </c>
      <c r="V294">
        <f t="shared" si="8"/>
        <v>71.64891304347826</v>
      </c>
      <c r="W294">
        <f t="shared" si="9"/>
        <v>1.5589396666666668E-3</v>
      </c>
    </row>
    <row r="295" spans="1:23" x14ac:dyDescent="0.3">
      <c r="A295">
        <v>288</v>
      </c>
      <c r="B295">
        <v>3.8535499999999999E-3</v>
      </c>
      <c r="C295">
        <v>0.137102</v>
      </c>
      <c r="D295">
        <v>35.715299999999999</v>
      </c>
      <c r="E295">
        <v>35.578200000000002</v>
      </c>
      <c r="F295">
        <v>-8.5202400000000005E-4</v>
      </c>
      <c r="G295">
        <v>-1.5965400000000001E-2</v>
      </c>
      <c r="H295">
        <v>18.722300000000001</v>
      </c>
      <c r="I295">
        <v>18.738199999999999</v>
      </c>
      <c r="J295">
        <v>-1.7621399999999999E-3</v>
      </c>
      <c r="K295">
        <v>-2.8900599999999999E-2</v>
      </c>
      <c r="L295">
        <v>16.372</v>
      </c>
      <c r="M295">
        <v>16.4009</v>
      </c>
      <c r="N295">
        <v>-2.1863299999999998E-3</v>
      </c>
      <c r="O295">
        <v>-3.3647099999999999E-2</v>
      </c>
      <c r="P295">
        <v>15.3561</v>
      </c>
      <c r="Q295">
        <v>15.389799999999999</v>
      </c>
      <c r="R295">
        <v>140.41300000000001</v>
      </c>
      <c r="S295">
        <v>140.41300000000001</v>
      </c>
      <c r="T295">
        <v>3.7597999999999998</v>
      </c>
      <c r="U295">
        <v>13209.4</v>
      </c>
      <c r="V295">
        <f t="shared" si="8"/>
        <v>71.790217391304353</v>
      </c>
      <c r="W295">
        <f t="shared" si="9"/>
        <v>1.6001646666666666E-3</v>
      </c>
    </row>
    <row r="296" spans="1:23" x14ac:dyDescent="0.3">
      <c r="A296">
        <v>289</v>
      </c>
      <c r="B296">
        <v>3.9025700000000002E-3</v>
      </c>
      <c r="C296">
        <v>0.138846</v>
      </c>
      <c r="D296">
        <v>35.716999999999999</v>
      </c>
      <c r="E296">
        <v>35.578200000000002</v>
      </c>
      <c r="F296">
        <v>-8.0172299999999995E-4</v>
      </c>
      <c r="G296">
        <v>-1.50229E-2</v>
      </c>
      <c r="H296">
        <v>18.723199999999999</v>
      </c>
      <c r="I296">
        <v>18.738199999999999</v>
      </c>
      <c r="J296">
        <v>-1.73989E-3</v>
      </c>
      <c r="K296">
        <v>-2.8535600000000001E-2</v>
      </c>
      <c r="L296">
        <v>16.372299999999999</v>
      </c>
      <c r="M296">
        <v>16.4009</v>
      </c>
      <c r="N296">
        <v>-2.1799800000000002E-3</v>
      </c>
      <c r="O296">
        <v>-3.3549500000000003E-2</v>
      </c>
      <c r="P296">
        <v>15.356199999999999</v>
      </c>
      <c r="Q296">
        <v>15.389799999999999</v>
      </c>
      <c r="R296">
        <v>140.84800000000001</v>
      </c>
      <c r="S296">
        <v>140.84899999999999</v>
      </c>
      <c r="T296">
        <v>3.7637</v>
      </c>
      <c r="U296">
        <v>13222.9</v>
      </c>
      <c r="V296">
        <f t="shared" si="8"/>
        <v>71.863586956521743</v>
      </c>
      <c r="W296">
        <f t="shared" si="9"/>
        <v>1.5738643333333333E-3</v>
      </c>
    </row>
    <row r="297" spans="1:23" x14ac:dyDescent="0.3">
      <c r="A297">
        <v>290</v>
      </c>
      <c r="B297">
        <v>3.9437500000000002E-3</v>
      </c>
      <c r="C297">
        <v>0.14031199999999999</v>
      </c>
      <c r="D297">
        <v>35.718499999999999</v>
      </c>
      <c r="E297">
        <v>35.578200000000002</v>
      </c>
      <c r="F297">
        <v>-9.0273100000000004E-4</v>
      </c>
      <c r="G297">
        <v>-1.6915599999999999E-2</v>
      </c>
      <c r="H297">
        <v>18.721299999999999</v>
      </c>
      <c r="I297">
        <v>18.738199999999999</v>
      </c>
      <c r="J297">
        <v>-1.81686E-3</v>
      </c>
      <c r="K297">
        <v>-2.9798100000000001E-2</v>
      </c>
      <c r="L297">
        <v>16.371099999999998</v>
      </c>
      <c r="M297">
        <v>16.4009</v>
      </c>
      <c r="N297">
        <v>-2.1812400000000001E-3</v>
      </c>
      <c r="O297">
        <v>-3.3568800000000003E-2</v>
      </c>
      <c r="P297">
        <v>15.356199999999999</v>
      </c>
      <c r="Q297">
        <v>15.389799999999999</v>
      </c>
      <c r="R297">
        <v>141.28200000000001</v>
      </c>
      <c r="S297">
        <v>141.28299999999999</v>
      </c>
      <c r="T297">
        <v>3.7858999999999998</v>
      </c>
      <c r="U297">
        <v>13300.9</v>
      </c>
      <c r="V297">
        <f t="shared" si="8"/>
        <v>72.287499999999994</v>
      </c>
      <c r="W297">
        <f t="shared" si="9"/>
        <v>1.6336103333333331E-3</v>
      </c>
    </row>
    <row r="298" spans="1:23" x14ac:dyDescent="0.3">
      <c r="A298">
        <v>291</v>
      </c>
      <c r="B298">
        <v>3.8466799999999999E-3</v>
      </c>
      <c r="C298">
        <v>0.13685800000000001</v>
      </c>
      <c r="D298">
        <v>35.715000000000003</v>
      </c>
      <c r="E298">
        <v>35.578200000000002</v>
      </c>
      <c r="F298">
        <v>-8.1777200000000003E-4</v>
      </c>
      <c r="G298">
        <v>-1.53236E-2</v>
      </c>
      <c r="H298">
        <v>18.722899999999999</v>
      </c>
      <c r="I298">
        <v>18.738199999999999</v>
      </c>
      <c r="J298">
        <v>-1.75545E-3</v>
      </c>
      <c r="K298">
        <v>-2.8790900000000001E-2</v>
      </c>
      <c r="L298">
        <v>16.3721</v>
      </c>
      <c r="M298">
        <v>16.4009</v>
      </c>
      <c r="N298">
        <v>-2.2112299999999998E-3</v>
      </c>
      <c r="O298">
        <v>-3.4030400000000002E-2</v>
      </c>
      <c r="P298">
        <v>15.3558</v>
      </c>
      <c r="Q298">
        <v>15.389799999999999</v>
      </c>
      <c r="R298">
        <v>141.78399999999999</v>
      </c>
      <c r="S298">
        <v>141.78399999999999</v>
      </c>
      <c r="T298">
        <v>3.8001</v>
      </c>
      <c r="U298">
        <v>13350.6</v>
      </c>
      <c r="V298">
        <f t="shared" si="8"/>
        <v>72.557608695652178</v>
      </c>
      <c r="W298">
        <f t="shared" si="9"/>
        <v>1.5948173333333333E-3</v>
      </c>
    </row>
    <row r="299" spans="1:23" x14ac:dyDescent="0.3">
      <c r="A299">
        <v>292</v>
      </c>
      <c r="B299">
        <v>3.92071E-3</v>
      </c>
      <c r="C299">
        <v>0.139491</v>
      </c>
      <c r="D299">
        <v>35.717700000000001</v>
      </c>
      <c r="E299">
        <v>35.578200000000002</v>
      </c>
      <c r="F299">
        <v>-8.0126899999999996E-4</v>
      </c>
      <c r="G299">
        <v>-1.5014400000000001E-2</v>
      </c>
      <c r="H299">
        <v>18.723199999999999</v>
      </c>
      <c r="I299">
        <v>18.738199999999999</v>
      </c>
      <c r="J299">
        <v>-1.74763E-3</v>
      </c>
      <c r="K299">
        <v>-2.86626E-2</v>
      </c>
      <c r="L299">
        <v>16.372199999999999</v>
      </c>
      <c r="M299">
        <v>16.4009</v>
      </c>
      <c r="N299">
        <v>-2.2631399999999999E-3</v>
      </c>
      <c r="O299">
        <v>-3.4829199999999998E-2</v>
      </c>
      <c r="P299">
        <v>15.355</v>
      </c>
      <c r="Q299">
        <v>15.389799999999999</v>
      </c>
      <c r="R299">
        <v>142.28299999999999</v>
      </c>
      <c r="S299">
        <v>142.28299999999999</v>
      </c>
      <c r="T299">
        <v>3.8130000000000002</v>
      </c>
      <c r="U299">
        <v>13395.9</v>
      </c>
      <c r="V299">
        <f t="shared" si="8"/>
        <v>72.803804347826087</v>
      </c>
      <c r="W299">
        <f t="shared" si="9"/>
        <v>1.6040129999999998E-3</v>
      </c>
    </row>
    <row r="300" spans="1:23" x14ac:dyDescent="0.3">
      <c r="A300">
        <v>293</v>
      </c>
      <c r="B300">
        <v>3.9385599999999998E-3</v>
      </c>
      <c r="C300">
        <v>0.140127</v>
      </c>
      <c r="D300">
        <v>35.718299999999999</v>
      </c>
      <c r="E300">
        <v>35.578200000000002</v>
      </c>
      <c r="F300">
        <v>-8.3921899999999999E-4</v>
      </c>
      <c r="G300">
        <v>-1.57255E-2</v>
      </c>
      <c r="H300">
        <v>18.7225</v>
      </c>
      <c r="I300">
        <v>18.738199999999999</v>
      </c>
      <c r="J300">
        <v>-1.7832799999999999E-3</v>
      </c>
      <c r="K300">
        <v>-2.92473E-2</v>
      </c>
      <c r="L300">
        <v>16.371600000000001</v>
      </c>
      <c r="M300">
        <v>16.4009</v>
      </c>
      <c r="N300">
        <v>-2.2187299999999999E-3</v>
      </c>
      <c r="O300">
        <v>-3.4145799999999997E-2</v>
      </c>
      <c r="P300">
        <v>15.355600000000001</v>
      </c>
      <c r="Q300">
        <v>15.389799999999999</v>
      </c>
      <c r="R300">
        <v>142.59299999999999</v>
      </c>
      <c r="S300">
        <v>142.59299999999999</v>
      </c>
      <c r="T300">
        <v>3.8317000000000001</v>
      </c>
      <c r="U300">
        <v>13461.4</v>
      </c>
      <c r="V300">
        <f t="shared" si="8"/>
        <v>73.15978260869565</v>
      </c>
      <c r="W300">
        <f t="shared" si="9"/>
        <v>1.6137429999999999E-3</v>
      </c>
    </row>
    <row r="301" spans="1:23" x14ac:dyDescent="0.3">
      <c r="A301">
        <v>294</v>
      </c>
      <c r="B301">
        <v>4.0127299999999999E-3</v>
      </c>
      <c r="C301">
        <v>0.142765</v>
      </c>
      <c r="D301">
        <v>35.7209</v>
      </c>
      <c r="E301">
        <v>35.578200000000002</v>
      </c>
      <c r="F301">
        <v>-8.2613599999999999E-4</v>
      </c>
      <c r="G301">
        <v>-1.5480300000000001E-2</v>
      </c>
      <c r="H301">
        <v>18.7227</v>
      </c>
      <c r="I301">
        <v>18.738199999999999</v>
      </c>
      <c r="J301">
        <v>-1.7383800000000001E-3</v>
      </c>
      <c r="K301">
        <v>-2.8511000000000002E-2</v>
      </c>
      <c r="L301">
        <v>16.372299999999999</v>
      </c>
      <c r="M301">
        <v>16.4009</v>
      </c>
      <c r="N301">
        <v>-2.17578E-3</v>
      </c>
      <c r="O301">
        <v>-3.3484800000000002E-2</v>
      </c>
      <c r="P301">
        <v>15.356299999999999</v>
      </c>
      <c r="Q301">
        <v>15.389799999999999</v>
      </c>
      <c r="R301">
        <v>143.03299999999999</v>
      </c>
      <c r="S301">
        <v>143.03299999999999</v>
      </c>
      <c r="T301">
        <v>3.8393999999999999</v>
      </c>
      <c r="U301">
        <v>13488.5</v>
      </c>
      <c r="V301">
        <f t="shared" si="8"/>
        <v>73.307065217391298</v>
      </c>
      <c r="W301">
        <f t="shared" si="9"/>
        <v>1.5800986666666666E-3</v>
      </c>
    </row>
    <row r="302" spans="1:23" x14ac:dyDescent="0.3">
      <c r="A302">
        <v>295</v>
      </c>
      <c r="B302">
        <v>3.9599500000000003E-3</v>
      </c>
      <c r="C302">
        <v>0.14088800000000001</v>
      </c>
      <c r="D302">
        <v>35.719000000000001</v>
      </c>
      <c r="E302">
        <v>35.578200000000002</v>
      </c>
      <c r="F302">
        <v>-8.1943200000000004E-4</v>
      </c>
      <c r="G302">
        <v>-1.5354700000000001E-2</v>
      </c>
      <c r="H302">
        <v>18.722899999999999</v>
      </c>
      <c r="I302">
        <v>18.738199999999999</v>
      </c>
      <c r="J302">
        <v>-1.7454199999999999E-3</v>
      </c>
      <c r="K302">
        <v>-2.86264E-2</v>
      </c>
      <c r="L302">
        <v>16.372199999999999</v>
      </c>
      <c r="M302">
        <v>16.4009</v>
      </c>
      <c r="N302">
        <v>-2.1878700000000002E-3</v>
      </c>
      <c r="O302">
        <v>-3.3670800000000001E-2</v>
      </c>
      <c r="P302">
        <v>15.3561</v>
      </c>
      <c r="Q302">
        <v>15.389799999999999</v>
      </c>
      <c r="R302">
        <v>143.404</v>
      </c>
      <c r="S302">
        <v>143.404</v>
      </c>
      <c r="T302">
        <v>3.8578000000000001</v>
      </c>
      <c r="U302">
        <v>13553</v>
      </c>
      <c r="V302">
        <f t="shared" si="8"/>
        <v>73.657608695652172</v>
      </c>
      <c r="W302">
        <f t="shared" si="9"/>
        <v>1.5842406666666667E-3</v>
      </c>
    </row>
    <row r="303" spans="1:23" x14ac:dyDescent="0.3">
      <c r="A303">
        <v>296</v>
      </c>
      <c r="B303">
        <v>4.0390799999999996E-3</v>
      </c>
      <c r="C303">
        <v>0.143703</v>
      </c>
      <c r="D303">
        <v>35.721899999999998</v>
      </c>
      <c r="E303">
        <v>35.578200000000002</v>
      </c>
      <c r="F303">
        <v>-8.2001700000000003E-4</v>
      </c>
      <c r="G303">
        <v>-1.5365699999999999E-2</v>
      </c>
      <c r="H303">
        <v>18.722899999999999</v>
      </c>
      <c r="I303">
        <v>18.738199999999999</v>
      </c>
      <c r="J303">
        <v>-1.76077E-3</v>
      </c>
      <c r="K303">
        <v>-2.88782E-2</v>
      </c>
      <c r="L303">
        <v>16.372</v>
      </c>
      <c r="M303">
        <v>16.4009</v>
      </c>
      <c r="N303">
        <v>-2.19637E-3</v>
      </c>
      <c r="O303">
        <v>-3.3801699999999997E-2</v>
      </c>
      <c r="P303">
        <v>15.356</v>
      </c>
      <c r="Q303">
        <v>15.389799999999999</v>
      </c>
      <c r="R303">
        <v>143.905</v>
      </c>
      <c r="S303">
        <v>143.905</v>
      </c>
      <c r="T303">
        <v>3.8664999999999998</v>
      </c>
      <c r="U303">
        <v>13583.5</v>
      </c>
      <c r="V303">
        <f t="shared" si="8"/>
        <v>73.823369565217391</v>
      </c>
      <c r="W303">
        <f t="shared" si="9"/>
        <v>1.5923856666666669E-3</v>
      </c>
    </row>
    <row r="304" spans="1:23" x14ac:dyDescent="0.3">
      <c r="A304">
        <v>297</v>
      </c>
      <c r="B304">
        <v>4.0330899999999996E-3</v>
      </c>
      <c r="C304">
        <v>0.14349000000000001</v>
      </c>
      <c r="D304">
        <v>35.721699999999998</v>
      </c>
      <c r="E304">
        <v>35.578200000000002</v>
      </c>
      <c r="F304">
        <v>-8.1383200000000001E-4</v>
      </c>
      <c r="G304">
        <v>-1.5249800000000001E-2</v>
      </c>
      <c r="H304">
        <v>18.722999999999999</v>
      </c>
      <c r="I304">
        <v>18.738199999999999</v>
      </c>
      <c r="J304">
        <v>-1.8150499999999999E-3</v>
      </c>
      <c r="K304">
        <v>-2.97684E-2</v>
      </c>
      <c r="L304">
        <v>16.371099999999998</v>
      </c>
      <c r="M304">
        <v>16.4009</v>
      </c>
      <c r="N304">
        <v>-2.2959299999999998E-3</v>
      </c>
      <c r="O304">
        <v>-3.5333900000000001E-2</v>
      </c>
      <c r="P304">
        <v>15.3544</v>
      </c>
      <c r="Q304">
        <v>15.389799999999999</v>
      </c>
      <c r="R304">
        <v>144.34</v>
      </c>
      <c r="S304">
        <v>144.34</v>
      </c>
      <c r="T304">
        <v>3.8807</v>
      </c>
      <c r="U304">
        <v>13633.2</v>
      </c>
      <c r="V304">
        <f t="shared" si="8"/>
        <v>74.093478260869574</v>
      </c>
      <c r="W304">
        <f t="shared" si="9"/>
        <v>1.6416039999999998E-3</v>
      </c>
    </row>
    <row r="305" spans="1:23" x14ac:dyDescent="0.3">
      <c r="A305">
        <v>298</v>
      </c>
      <c r="B305">
        <v>3.9901499999999996E-3</v>
      </c>
      <c r="C305">
        <v>0.141962</v>
      </c>
      <c r="D305">
        <v>35.720100000000002</v>
      </c>
      <c r="E305">
        <v>35.578200000000002</v>
      </c>
      <c r="F305">
        <v>-7.5708100000000005E-4</v>
      </c>
      <c r="G305">
        <v>-1.41864E-2</v>
      </c>
      <c r="H305">
        <v>18.724</v>
      </c>
      <c r="I305">
        <v>18.738199999999999</v>
      </c>
      <c r="J305">
        <v>-1.73274E-3</v>
      </c>
      <c r="K305">
        <v>-2.84184E-2</v>
      </c>
      <c r="L305">
        <v>16.372399999999999</v>
      </c>
      <c r="M305">
        <v>16.4009</v>
      </c>
      <c r="N305">
        <v>-2.2155999999999999E-3</v>
      </c>
      <c r="O305">
        <v>-3.4097700000000002E-2</v>
      </c>
      <c r="P305">
        <v>15.355700000000001</v>
      </c>
      <c r="Q305">
        <v>15.389799999999999</v>
      </c>
      <c r="R305">
        <v>144.65199999999999</v>
      </c>
      <c r="S305">
        <v>144.65199999999999</v>
      </c>
      <c r="T305">
        <v>3.8904000000000001</v>
      </c>
      <c r="U305">
        <v>13667.1</v>
      </c>
      <c r="V305">
        <f t="shared" si="8"/>
        <v>74.27771739130435</v>
      </c>
      <c r="W305">
        <f t="shared" si="9"/>
        <v>1.5684736666666664E-3</v>
      </c>
    </row>
    <row r="306" spans="1:23" x14ac:dyDescent="0.3">
      <c r="A306">
        <v>299</v>
      </c>
      <c r="B306">
        <v>4.0886999999999998E-3</v>
      </c>
      <c r="C306">
        <v>0.14546899999999999</v>
      </c>
      <c r="D306">
        <v>35.723599999999998</v>
      </c>
      <c r="E306">
        <v>35.578200000000002</v>
      </c>
      <c r="F306">
        <v>-8.1507400000000005E-4</v>
      </c>
      <c r="G306">
        <v>-1.5273E-2</v>
      </c>
      <c r="H306">
        <v>18.722999999999999</v>
      </c>
      <c r="I306">
        <v>18.738199999999999</v>
      </c>
      <c r="J306">
        <v>-1.7680199999999999E-3</v>
      </c>
      <c r="K306">
        <v>-2.8996999999999998E-2</v>
      </c>
      <c r="L306">
        <v>16.3719</v>
      </c>
      <c r="M306">
        <v>16.4009</v>
      </c>
      <c r="N306">
        <v>-2.2938899999999998E-3</v>
      </c>
      <c r="O306">
        <v>-3.5302500000000001E-2</v>
      </c>
      <c r="P306">
        <v>15.3545</v>
      </c>
      <c r="Q306">
        <v>15.389799999999999</v>
      </c>
      <c r="R306">
        <v>145.029</v>
      </c>
      <c r="S306">
        <v>145.029</v>
      </c>
      <c r="T306">
        <v>3.9009999999999998</v>
      </c>
      <c r="U306">
        <v>13704.4</v>
      </c>
      <c r="V306">
        <f t="shared" si="8"/>
        <v>74.480434782608697</v>
      </c>
      <c r="W306">
        <f t="shared" si="9"/>
        <v>1.6256613333333334E-3</v>
      </c>
    </row>
    <row r="307" spans="1:23" x14ac:dyDescent="0.3">
      <c r="A307">
        <v>300</v>
      </c>
      <c r="B307">
        <v>4.0226200000000002E-3</v>
      </c>
      <c r="C307">
        <v>0.14311699999999999</v>
      </c>
      <c r="D307">
        <v>35.721299999999999</v>
      </c>
      <c r="E307">
        <v>35.578200000000002</v>
      </c>
      <c r="F307">
        <v>-8.36775E-4</v>
      </c>
      <c r="G307">
        <v>-1.5679700000000001E-2</v>
      </c>
      <c r="H307">
        <v>18.7225</v>
      </c>
      <c r="I307">
        <v>18.738199999999999</v>
      </c>
      <c r="J307">
        <v>-1.82745E-3</v>
      </c>
      <c r="K307">
        <v>-2.99717E-2</v>
      </c>
      <c r="L307">
        <v>16.370899999999999</v>
      </c>
      <c r="M307">
        <v>16.4009</v>
      </c>
      <c r="N307">
        <v>-2.3325899999999998E-3</v>
      </c>
      <c r="O307">
        <v>-3.5897999999999999E-2</v>
      </c>
      <c r="P307">
        <v>15.353899999999999</v>
      </c>
      <c r="Q307">
        <v>15.389799999999999</v>
      </c>
      <c r="R307">
        <v>145.27799999999999</v>
      </c>
      <c r="S307">
        <v>145.279</v>
      </c>
      <c r="T307">
        <v>3.9094000000000002</v>
      </c>
      <c r="U307">
        <v>13733.8</v>
      </c>
      <c r="V307">
        <f t="shared" si="8"/>
        <v>74.640217391304347</v>
      </c>
      <c r="W307">
        <f t="shared" si="9"/>
        <v>1.6656049999999999E-3</v>
      </c>
    </row>
    <row r="308" spans="1:23" x14ac:dyDescent="0.3">
      <c r="A308">
        <v>301</v>
      </c>
      <c r="B308">
        <v>4.0851500000000001E-3</v>
      </c>
      <c r="C308">
        <v>0.145342</v>
      </c>
      <c r="D308">
        <v>35.723500000000001</v>
      </c>
      <c r="E308">
        <v>35.578200000000002</v>
      </c>
      <c r="F308">
        <v>-8.6687500000000002E-4</v>
      </c>
      <c r="G308">
        <v>-1.62437E-2</v>
      </c>
      <c r="H308">
        <v>18.722000000000001</v>
      </c>
      <c r="I308">
        <v>18.738199999999999</v>
      </c>
      <c r="J308">
        <v>-1.85575E-3</v>
      </c>
      <c r="K308">
        <v>-3.0435899999999998E-2</v>
      </c>
      <c r="L308">
        <v>16.3704</v>
      </c>
      <c r="M308">
        <v>16.4009</v>
      </c>
      <c r="N308">
        <v>-2.29736E-3</v>
      </c>
      <c r="O308">
        <v>-3.53558E-2</v>
      </c>
      <c r="P308">
        <v>15.3544</v>
      </c>
      <c r="Q308">
        <v>15.389799999999999</v>
      </c>
      <c r="R308">
        <v>145.96299999999999</v>
      </c>
      <c r="S308">
        <v>145.96299999999999</v>
      </c>
      <c r="T308">
        <v>3.9306000000000001</v>
      </c>
      <c r="U308">
        <v>13808.4</v>
      </c>
      <c r="V308">
        <f t="shared" si="8"/>
        <v>75.045652173913041</v>
      </c>
      <c r="W308">
        <f t="shared" si="9"/>
        <v>1.6733283333333333E-3</v>
      </c>
    </row>
    <row r="309" spans="1:23" x14ac:dyDescent="0.3">
      <c r="A309">
        <v>302</v>
      </c>
      <c r="B309">
        <v>4.0321300000000001E-3</v>
      </c>
      <c r="C309">
        <v>0.143456</v>
      </c>
      <c r="D309">
        <v>35.721600000000002</v>
      </c>
      <c r="E309">
        <v>35.578200000000002</v>
      </c>
      <c r="F309">
        <v>-7.9397699999999996E-4</v>
      </c>
      <c r="G309">
        <v>-1.4877700000000001E-2</v>
      </c>
      <c r="H309">
        <v>18.723299999999998</v>
      </c>
      <c r="I309">
        <v>18.738199999999999</v>
      </c>
      <c r="J309">
        <v>-1.80236E-3</v>
      </c>
      <c r="K309">
        <v>-2.9560199999999998E-2</v>
      </c>
      <c r="L309">
        <v>16.371300000000002</v>
      </c>
      <c r="M309">
        <v>16.4009</v>
      </c>
      <c r="N309">
        <v>-2.3038199999999998E-3</v>
      </c>
      <c r="O309">
        <v>-3.5455199999999999E-2</v>
      </c>
      <c r="P309">
        <v>15.3543</v>
      </c>
      <c r="Q309">
        <v>15.389799999999999</v>
      </c>
      <c r="R309">
        <v>146.27699999999999</v>
      </c>
      <c r="S309">
        <v>146.27699999999999</v>
      </c>
      <c r="T309">
        <v>3.9403000000000001</v>
      </c>
      <c r="U309">
        <v>13842.3</v>
      </c>
      <c r="V309">
        <f t="shared" si="8"/>
        <v>75.229891304347817</v>
      </c>
      <c r="W309">
        <f t="shared" si="9"/>
        <v>1.6333856666666665E-3</v>
      </c>
    </row>
    <row r="310" spans="1:23" x14ac:dyDescent="0.3">
      <c r="A310">
        <v>303</v>
      </c>
      <c r="B310">
        <v>4.0367199999999997E-3</v>
      </c>
      <c r="C310">
        <v>0.143619</v>
      </c>
      <c r="D310">
        <v>35.721800000000002</v>
      </c>
      <c r="E310">
        <v>35.578200000000002</v>
      </c>
      <c r="F310">
        <v>-8.3776900000000004E-4</v>
      </c>
      <c r="G310">
        <v>-1.5698299999999998E-2</v>
      </c>
      <c r="H310">
        <v>18.7225</v>
      </c>
      <c r="I310">
        <v>18.738199999999999</v>
      </c>
      <c r="J310">
        <v>-1.76724E-3</v>
      </c>
      <c r="K310">
        <v>-2.8984300000000001E-2</v>
      </c>
      <c r="L310">
        <v>16.3719</v>
      </c>
      <c r="M310">
        <v>16.4009</v>
      </c>
      <c r="N310">
        <v>-2.2635300000000001E-3</v>
      </c>
      <c r="O310">
        <v>-3.4835199999999997E-2</v>
      </c>
      <c r="P310">
        <v>15.354900000000001</v>
      </c>
      <c r="Q310">
        <v>15.389799999999999</v>
      </c>
      <c r="R310">
        <v>146.40199999999999</v>
      </c>
      <c r="S310">
        <v>146.40199999999999</v>
      </c>
      <c r="T310">
        <v>3.9502999999999999</v>
      </c>
      <c r="U310">
        <v>13877.3</v>
      </c>
      <c r="V310">
        <f t="shared" si="8"/>
        <v>75.420108695652175</v>
      </c>
      <c r="W310">
        <f t="shared" si="9"/>
        <v>1.6228463333333332E-3</v>
      </c>
    </row>
    <row r="311" spans="1:23" x14ac:dyDescent="0.3">
      <c r="A311">
        <v>304</v>
      </c>
      <c r="B311">
        <v>4.1013899999999999E-3</v>
      </c>
      <c r="C311">
        <v>0.14591999999999999</v>
      </c>
      <c r="D311">
        <v>35.7241</v>
      </c>
      <c r="E311">
        <v>35.578200000000002</v>
      </c>
      <c r="F311">
        <v>-8.3459699999999996E-4</v>
      </c>
      <c r="G311">
        <v>-1.5638900000000001E-2</v>
      </c>
      <c r="H311">
        <v>18.7226</v>
      </c>
      <c r="I311">
        <v>18.738199999999999</v>
      </c>
      <c r="J311">
        <v>-1.8129400000000001E-3</v>
      </c>
      <c r="K311">
        <v>-2.9733800000000001E-2</v>
      </c>
      <c r="L311">
        <v>16.371099999999998</v>
      </c>
      <c r="M311">
        <v>16.4009</v>
      </c>
      <c r="N311">
        <v>-2.2269500000000001E-3</v>
      </c>
      <c r="O311">
        <v>-3.4272299999999999E-2</v>
      </c>
      <c r="P311">
        <v>15.355499999999999</v>
      </c>
      <c r="Q311">
        <v>15.389799999999999</v>
      </c>
      <c r="R311">
        <v>146.96199999999999</v>
      </c>
      <c r="S311">
        <v>146.96199999999999</v>
      </c>
      <c r="T311">
        <v>3.9615999999999998</v>
      </c>
      <c r="U311">
        <v>13916.9</v>
      </c>
      <c r="V311">
        <f t="shared" si="8"/>
        <v>75.635326086956525</v>
      </c>
      <c r="W311">
        <f t="shared" si="9"/>
        <v>1.6248290000000002E-3</v>
      </c>
    </row>
    <row r="312" spans="1:23" x14ac:dyDescent="0.3">
      <c r="A312">
        <v>305</v>
      </c>
      <c r="B312">
        <v>4.1518299999999996E-3</v>
      </c>
      <c r="C312">
        <v>0.14771500000000001</v>
      </c>
      <c r="D312">
        <v>35.725900000000003</v>
      </c>
      <c r="E312">
        <v>35.578200000000002</v>
      </c>
      <c r="F312">
        <v>-7.6601299999999996E-4</v>
      </c>
      <c r="G312">
        <v>-1.43537E-2</v>
      </c>
      <c r="H312">
        <v>18.7239</v>
      </c>
      <c r="I312">
        <v>18.738199999999999</v>
      </c>
      <c r="J312">
        <v>-1.7528299999999999E-3</v>
      </c>
      <c r="K312">
        <v>-2.87479E-2</v>
      </c>
      <c r="L312">
        <v>16.3721</v>
      </c>
      <c r="M312">
        <v>16.4009</v>
      </c>
      <c r="N312">
        <v>-2.2755800000000001E-3</v>
      </c>
      <c r="O312">
        <v>-3.5020700000000002E-2</v>
      </c>
      <c r="P312">
        <v>15.354799999999999</v>
      </c>
      <c r="Q312">
        <v>15.389799999999999</v>
      </c>
      <c r="R312">
        <v>147.58600000000001</v>
      </c>
      <c r="S312">
        <v>147.58600000000001</v>
      </c>
      <c r="T312">
        <v>3.9729000000000001</v>
      </c>
      <c r="U312">
        <v>13956.5</v>
      </c>
      <c r="V312">
        <f t="shared" si="8"/>
        <v>75.850543478260875</v>
      </c>
      <c r="W312">
        <f t="shared" si="9"/>
        <v>1.598141E-3</v>
      </c>
    </row>
    <row r="313" spans="1:23" x14ac:dyDescent="0.3">
      <c r="A313">
        <v>306</v>
      </c>
      <c r="B313">
        <v>4.1144399999999996E-3</v>
      </c>
      <c r="C313">
        <v>0.14638399999999999</v>
      </c>
      <c r="D313">
        <v>35.724499999999999</v>
      </c>
      <c r="E313">
        <v>35.578200000000002</v>
      </c>
      <c r="F313">
        <v>-8.1568600000000004E-4</v>
      </c>
      <c r="G313">
        <v>-1.5284499999999999E-2</v>
      </c>
      <c r="H313">
        <v>18.722899999999999</v>
      </c>
      <c r="I313">
        <v>18.738199999999999</v>
      </c>
      <c r="J313">
        <v>-1.7691E-3</v>
      </c>
      <c r="K313">
        <v>-2.9014700000000001E-2</v>
      </c>
      <c r="L313">
        <v>16.3718</v>
      </c>
      <c r="M313">
        <v>16.4009</v>
      </c>
      <c r="N313">
        <v>-2.3312200000000002E-3</v>
      </c>
      <c r="O313">
        <v>-3.5876900000000003E-2</v>
      </c>
      <c r="P313">
        <v>15.353899999999999</v>
      </c>
      <c r="Q313">
        <v>15.389799999999999</v>
      </c>
      <c r="R313">
        <v>147.96100000000001</v>
      </c>
      <c r="S313">
        <v>147.96100000000001</v>
      </c>
      <c r="T313">
        <v>3.9922</v>
      </c>
      <c r="U313">
        <v>14024.3</v>
      </c>
      <c r="V313">
        <f t="shared" si="8"/>
        <v>76.219021739130426</v>
      </c>
      <c r="W313">
        <f t="shared" si="9"/>
        <v>1.6386686666666668E-3</v>
      </c>
    </row>
    <row r="314" spans="1:23" x14ac:dyDescent="0.3">
      <c r="A314">
        <v>307</v>
      </c>
      <c r="B314">
        <v>4.1488000000000002E-3</v>
      </c>
      <c r="C314">
        <v>0.14760699999999999</v>
      </c>
      <c r="D314">
        <v>35.7258</v>
      </c>
      <c r="E314">
        <v>35.578200000000002</v>
      </c>
      <c r="F314">
        <v>-7.7384299999999997E-4</v>
      </c>
      <c r="G314">
        <v>-1.45004E-2</v>
      </c>
      <c r="H314">
        <v>18.723700000000001</v>
      </c>
      <c r="I314">
        <v>18.738199999999999</v>
      </c>
      <c r="J314">
        <v>-1.72325E-3</v>
      </c>
      <c r="K314">
        <v>-2.8262800000000001E-2</v>
      </c>
      <c r="L314">
        <v>16.372599999999998</v>
      </c>
      <c r="M314">
        <v>16.4009</v>
      </c>
      <c r="N314">
        <v>-2.29948E-3</v>
      </c>
      <c r="O314">
        <v>-3.5388500000000003E-2</v>
      </c>
      <c r="P314">
        <v>15.3544</v>
      </c>
      <c r="Q314">
        <v>15.389799999999999</v>
      </c>
      <c r="R314">
        <v>148.14699999999999</v>
      </c>
      <c r="S314">
        <v>148.14699999999999</v>
      </c>
      <c r="T314">
        <v>4.0011999999999999</v>
      </c>
      <c r="U314">
        <v>14055.9</v>
      </c>
      <c r="V314">
        <f t="shared" si="8"/>
        <v>76.390760869565213</v>
      </c>
      <c r="W314">
        <f t="shared" si="9"/>
        <v>1.5988576666666667E-3</v>
      </c>
    </row>
    <row r="315" spans="1:23" x14ac:dyDescent="0.3">
      <c r="A315">
        <v>308</v>
      </c>
      <c r="B315">
        <v>4.1476100000000004E-3</v>
      </c>
      <c r="C315">
        <v>0.147564</v>
      </c>
      <c r="D315">
        <v>35.725700000000003</v>
      </c>
      <c r="E315">
        <v>35.578200000000002</v>
      </c>
      <c r="F315">
        <v>-9.0075099999999998E-4</v>
      </c>
      <c r="G315">
        <v>-1.6878500000000001E-2</v>
      </c>
      <c r="H315">
        <v>18.721299999999999</v>
      </c>
      <c r="I315">
        <v>18.738199999999999</v>
      </c>
      <c r="J315">
        <v>-1.84333E-3</v>
      </c>
      <c r="K315">
        <v>-3.02323E-2</v>
      </c>
      <c r="L315">
        <v>16.3706</v>
      </c>
      <c r="M315">
        <v>16.4009</v>
      </c>
      <c r="N315">
        <v>-2.2710400000000002E-3</v>
      </c>
      <c r="O315">
        <v>-3.4950799999999997E-2</v>
      </c>
      <c r="P315">
        <v>15.354799999999999</v>
      </c>
      <c r="Q315">
        <v>15.389799999999999</v>
      </c>
      <c r="R315">
        <v>148.58500000000001</v>
      </c>
      <c r="S315">
        <v>148.58500000000001</v>
      </c>
      <c r="T315">
        <v>4.0064000000000002</v>
      </c>
      <c r="U315">
        <v>14074</v>
      </c>
      <c r="V315">
        <f t="shared" si="8"/>
        <v>76.489130434782609</v>
      </c>
      <c r="W315">
        <f t="shared" si="9"/>
        <v>1.6717069999999999E-3</v>
      </c>
    </row>
    <row r="316" spans="1:23" x14ac:dyDescent="0.3">
      <c r="A316">
        <v>309</v>
      </c>
      <c r="B316">
        <v>4.1765099999999996E-3</v>
      </c>
      <c r="C316">
        <v>0.148593</v>
      </c>
      <c r="D316">
        <v>35.726799999999997</v>
      </c>
      <c r="E316">
        <v>35.578200000000002</v>
      </c>
      <c r="F316">
        <v>-8.1448399999999998E-4</v>
      </c>
      <c r="G316">
        <v>-1.5262E-2</v>
      </c>
      <c r="H316">
        <v>18.722999999999999</v>
      </c>
      <c r="I316">
        <v>18.738199999999999</v>
      </c>
      <c r="J316">
        <v>-1.7937999999999999E-3</v>
      </c>
      <c r="K316">
        <v>-2.9419899999999999E-2</v>
      </c>
      <c r="L316">
        <v>16.371400000000001</v>
      </c>
      <c r="M316">
        <v>16.4009</v>
      </c>
      <c r="N316">
        <v>-2.2692599999999999E-3</v>
      </c>
      <c r="O316">
        <v>-3.49234E-2</v>
      </c>
      <c r="P316">
        <v>15.354900000000001</v>
      </c>
      <c r="Q316">
        <v>15.389799999999999</v>
      </c>
      <c r="R316">
        <v>149.14599999999999</v>
      </c>
      <c r="S316">
        <v>149.14599999999999</v>
      </c>
      <c r="T316">
        <v>4.0317999999999996</v>
      </c>
      <c r="U316">
        <v>14163.3</v>
      </c>
      <c r="V316">
        <f t="shared" si="8"/>
        <v>76.974456521739128</v>
      </c>
      <c r="W316">
        <f t="shared" si="9"/>
        <v>1.6258479999999998E-3</v>
      </c>
    </row>
    <row r="317" spans="1:23" x14ac:dyDescent="0.3">
      <c r="A317">
        <v>310</v>
      </c>
      <c r="B317">
        <v>4.1687900000000003E-3</v>
      </c>
      <c r="C317">
        <v>0.14831800000000001</v>
      </c>
      <c r="D317">
        <v>35.726500000000001</v>
      </c>
      <c r="E317">
        <v>35.578200000000002</v>
      </c>
      <c r="F317">
        <v>-8.3828699999999995E-4</v>
      </c>
      <c r="G317">
        <v>-1.5708E-2</v>
      </c>
      <c r="H317">
        <v>18.7225</v>
      </c>
      <c r="I317">
        <v>18.738199999999999</v>
      </c>
      <c r="J317">
        <v>-1.8559900000000001E-3</v>
      </c>
      <c r="K317">
        <v>-3.0439799999999999E-2</v>
      </c>
      <c r="L317">
        <v>16.3704</v>
      </c>
      <c r="M317">
        <v>16.4009</v>
      </c>
      <c r="N317">
        <v>-2.3609799999999999E-3</v>
      </c>
      <c r="O317">
        <v>-3.6334900000000003E-2</v>
      </c>
      <c r="P317">
        <v>15.353400000000001</v>
      </c>
      <c r="Q317">
        <v>15.389799999999999</v>
      </c>
      <c r="R317">
        <v>149.583</v>
      </c>
      <c r="S317">
        <v>149.583</v>
      </c>
      <c r="T317">
        <v>4.0401999999999996</v>
      </c>
      <c r="U317">
        <v>14192.7</v>
      </c>
      <c r="V317">
        <f t="shared" si="8"/>
        <v>77.134239130434793</v>
      </c>
      <c r="W317">
        <f t="shared" si="9"/>
        <v>1.6850856666666668E-3</v>
      </c>
    </row>
    <row r="318" spans="1:23" x14ac:dyDescent="0.3">
      <c r="A318">
        <v>311</v>
      </c>
      <c r="B318">
        <v>4.1980000000000003E-3</v>
      </c>
      <c r="C318">
        <v>0.14935699999999999</v>
      </c>
      <c r="D318">
        <v>35.727499999999999</v>
      </c>
      <c r="E318">
        <v>35.578200000000002</v>
      </c>
      <c r="F318">
        <v>-9.15474E-4</v>
      </c>
      <c r="G318">
        <v>-1.71544E-2</v>
      </c>
      <c r="H318">
        <v>18.7211</v>
      </c>
      <c r="I318">
        <v>18.738199999999999</v>
      </c>
      <c r="J318">
        <v>-1.87144E-3</v>
      </c>
      <c r="K318">
        <v>-3.06932E-2</v>
      </c>
      <c r="L318">
        <v>16.370200000000001</v>
      </c>
      <c r="M318">
        <v>16.4009</v>
      </c>
      <c r="N318">
        <v>-2.3599099999999998E-3</v>
      </c>
      <c r="O318">
        <v>-3.6318400000000001E-2</v>
      </c>
      <c r="P318">
        <v>15.3535</v>
      </c>
      <c r="Q318">
        <v>15.389799999999999</v>
      </c>
      <c r="R318">
        <v>149.89699999999999</v>
      </c>
      <c r="S318">
        <v>149.89699999999999</v>
      </c>
      <c r="T318">
        <v>4.056</v>
      </c>
      <c r="U318">
        <v>14248.1</v>
      </c>
      <c r="V318">
        <f t="shared" si="8"/>
        <v>77.435326086956522</v>
      </c>
      <c r="W318">
        <f t="shared" si="9"/>
        <v>1.7156079999999998E-3</v>
      </c>
    </row>
    <row r="319" spans="1:23" x14ac:dyDescent="0.3">
      <c r="A319">
        <v>312</v>
      </c>
      <c r="B319">
        <v>4.2448199999999998E-3</v>
      </c>
      <c r="C319">
        <v>0.15102299999999999</v>
      </c>
      <c r="D319">
        <v>35.729199999999999</v>
      </c>
      <c r="E319">
        <v>35.578200000000002</v>
      </c>
      <c r="F319">
        <v>-8.8255699999999996E-4</v>
      </c>
      <c r="G319">
        <v>-1.65376E-2</v>
      </c>
      <c r="H319">
        <v>18.721699999999998</v>
      </c>
      <c r="I319">
        <v>18.738199999999999</v>
      </c>
      <c r="J319">
        <v>-1.81825E-3</v>
      </c>
      <c r="K319">
        <v>-2.9820800000000001E-2</v>
      </c>
      <c r="L319">
        <v>16.370999999999999</v>
      </c>
      <c r="M319">
        <v>16.4009</v>
      </c>
      <c r="N319">
        <v>-2.3319999999999999E-3</v>
      </c>
      <c r="O319">
        <v>-3.5888999999999997E-2</v>
      </c>
      <c r="P319">
        <v>15.353899999999999</v>
      </c>
      <c r="Q319">
        <v>15.389799999999999</v>
      </c>
      <c r="R319">
        <v>150.393</v>
      </c>
      <c r="S319">
        <v>150.393</v>
      </c>
      <c r="T319">
        <v>4.0728</v>
      </c>
      <c r="U319">
        <v>14306.9</v>
      </c>
      <c r="V319">
        <f t="shared" si="8"/>
        <v>77.754891304347822</v>
      </c>
      <c r="W319">
        <f t="shared" si="9"/>
        <v>1.6776023333333334E-3</v>
      </c>
    </row>
    <row r="320" spans="1:23" x14ac:dyDescent="0.3">
      <c r="A320">
        <v>313</v>
      </c>
      <c r="B320">
        <v>4.2260900000000001E-3</v>
      </c>
      <c r="C320">
        <v>0.15035699999999999</v>
      </c>
      <c r="D320">
        <v>35.728499999999997</v>
      </c>
      <c r="E320">
        <v>35.578200000000002</v>
      </c>
      <c r="F320">
        <v>-9.3271100000000002E-4</v>
      </c>
      <c r="G320">
        <v>-1.7477400000000001E-2</v>
      </c>
      <c r="H320">
        <v>18.720700000000001</v>
      </c>
      <c r="I320">
        <v>18.738199999999999</v>
      </c>
      <c r="J320">
        <v>-1.88368E-3</v>
      </c>
      <c r="K320">
        <v>-3.0894000000000001E-2</v>
      </c>
      <c r="L320">
        <v>16.37</v>
      </c>
      <c r="M320">
        <v>16.4009</v>
      </c>
      <c r="N320">
        <v>-2.3590299999999998E-3</v>
      </c>
      <c r="O320">
        <v>-3.6304900000000001E-2</v>
      </c>
      <c r="P320">
        <v>15.3535</v>
      </c>
      <c r="Q320">
        <v>15.389799999999999</v>
      </c>
      <c r="R320">
        <v>150.58199999999999</v>
      </c>
      <c r="S320">
        <v>150.58199999999999</v>
      </c>
      <c r="T320">
        <v>4.0801999999999996</v>
      </c>
      <c r="U320">
        <v>14332.8</v>
      </c>
      <c r="V320">
        <f t="shared" si="8"/>
        <v>77.895652173913035</v>
      </c>
      <c r="W320">
        <f t="shared" si="9"/>
        <v>1.7251403333333332E-3</v>
      </c>
    </row>
    <row r="321" spans="1:23" x14ac:dyDescent="0.3">
      <c r="A321">
        <v>314</v>
      </c>
      <c r="B321">
        <v>4.2291400000000002E-3</v>
      </c>
      <c r="C321">
        <v>0.15046499999999999</v>
      </c>
      <c r="D321">
        <v>35.7286</v>
      </c>
      <c r="E321">
        <v>35.578200000000002</v>
      </c>
      <c r="F321">
        <v>-8.3215999999999997E-4</v>
      </c>
      <c r="G321">
        <v>-1.55932E-2</v>
      </c>
      <c r="H321">
        <v>18.7226</v>
      </c>
      <c r="I321">
        <v>18.738199999999999</v>
      </c>
      <c r="J321">
        <v>-1.86272E-3</v>
      </c>
      <c r="K321">
        <v>-3.05502E-2</v>
      </c>
      <c r="L321">
        <v>16.3703</v>
      </c>
      <c r="M321">
        <v>16.4009</v>
      </c>
      <c r="N321">
        <v>-2.40209E-3</v>
      </c>
      <c r="O321">
        <v>-3.6967699999999999E-2</v>
      </c>
      <c r="P321">
        <v>15.3528</v>
      </c>
      <c r="Q321">
        <v>15.389799999999999</v>
      </c>
      <c r="R321">
        <v>151.268</v>
      </c>
      <c r="S321">
        <v>151.268</v>
      </c>
      <c r="T321">
        <v>4.1014999999999997</v>
      </c>
      <c r="U321">
        <v>14407.4</v>
      </c>
      <c r="V321">
        <f t="shared" si="8"/>
        <v>78.301086956521743</v>
      </c>
      <c r="W321">
        <f t="shared" si="9"/>
        <v>1.69899E-3</v>
      </c>
    </row>
    <row r="322" spans="1:23" x14ac:dyDescent="0.3">
      <c r="A322">
        <v>315</v>
      </c>
      <c r="B322">
        <v>4.2675999999999999E-3</v>
      </c>
      <c r="C322">
        <v>0.151833</v>
      </c>
      <c r="D322">
        <v>35.729999999999997</v>
      </c>
      <c r="E322">
        <v>35.578200000000002</v>
      </c>
      <c r="F322">
        <v>-8.5219400000000002E-4</v>
      </c>
      <c r="G322">
        <v>-1.5968599999999999E-2</v>
      </c>
      <c r="H322">
        <v>18.722300000000001</v>
      </c>
      <c r="I322">
        <v>18.738199999999999</v>
      </c>
      <c r="J322">
        <v>-1.88159E-3</v>
      </c>
      <c r="K322">
        <v>-3.08597E-2</v>
      </c>
      <c r="L322">
        <v>16.37</v>
      </c>
      <c r="M322">
        <v>16.4009</v>
      </c>
      <c r="N322">
        <v>-2.4362400000000001E-3</v>
      </c>
      <c r="O322">
        <v>-3.7493199999999997E-2</v>
      </c>
      <c r="P322">
        <v>15.3523</v>
      </c>
      <c r="Q322">
        <v>15.389799999999999</v>
      </c>
      <c r="R322">
        <v>151.51599999999999</v>
      </c>
      <c r="S322">
        <v>151.51599999999999</v>
      </c>
      <c r="T322">
        <v>4.1111000000000004</v>
      </c>
      <c r="U322">
        <v>14441.4</v>
      </c>
      <c r="V322">
        <f t="shared" si="8"/>
        <v>78.485869565217385</v>
      </c>
      <c r="W322">
        <f t="shared" si="9"/>
        <v>1.7233413333333336E-3</v>
      </c>
    </row>
    <row r="323" spans="1:23" x14ac:dyDescent="0.3">
      <c r="A323">
        <v>316</v>
      </c>
      <c r="B323">
        <v>4.2802400000000003E-3</v>
      </c>
      <c r="C323">
        <v>0.152283</v>
      </c>
      <c r="D323">
        <v>35.730400000000003</v>
      </c>
      <c r="E323">
        <v>35.578200000000002</v>
      </c>
      <c r="F323">
        <v>-8.3554799999999998E-4</v>
      </c>
      <c r="G323">
        <v>-1.5656699999999999E-2</v>
      </c>
      <c r="H323">
        <v>18.7226</v>
      </c>
      <c r="I323">
        <v>18.738199999999999</v>
      </c>
      <c r="J323">
        <v>-1.87412E-3</v>
      </c>
      <c r="K323">
        <v>-3.0737199999999999E-2</v>
      </c>
      <c r="L323">
        <v>16.370100000000001</v>
      </c>
      <c r="M323">
        <v>16.4009</v>
      </c>
      <c r="N323">
        <v>-2.4191500000000001E-3</v>
      </c>
      <c r="O323">
        <v>-3.7230199999999998E-2</v>
      </c>
      <c r="P323">
        <v>15.352600000000001</v>
      </c>
      <c r="Q323">
        <v>15.389799999999999</v>
      </c>
      <c r="R323">
        <v>151.95400000000001</v>
      </c>
      <c r="S323">
        <v>151.95400000000001</v>
      </c>
      <c r="T323">
        <v>4.1204999999999998</v>
      </c>
      <c r="U323">
        <v>14474.1</v>
      </c>
      <c r="V323">
        <f t="shared" si="8"/>
        <v>78.66358695652174</v>
      </c>
      <c r="W323">
        <f t="shared" si="9"/>
        <v>1.709606E-3</v>
      </c>
    </row>
    <row r="324" spans="1:23" x14ac:dyDescent="0.3">
      <c r="A324">
        <v>317</v>
      </c>
      <c r="B324">
        <v>4.3020000000000003E-3</v>
      </c>
      <c r="C324">
        <v>0.153057</v>
      </c>
      <c r="D324">
        <v>35.731200000000001</v>
      </c>
      <c r="E324">
        <v>35.578200000000002</v>
      </c>
      <c r="F324">
        <v>-8.4079399999999996E-4</v>
      </c>
      <c r="G324">
        <v>-1.5755000000000002E-2</v>
      </c>
      <c r="H324">
        <v>18.7225</v>
      </c>
      <c r="I324">
        <v>18.738199999999999</v>
      </c>
      <c r="J324">
        <v>-1.8675899999999999E-3</v>
      </c>
      <c r="K324">
        <v>-3.06301E-2</v>
      </c>
      <c r="L324">
        <v>16.370200000000001</v>
      </c>
      <c r="M324">
        <v>16.4009</v>
      </c>
      <c r="N324">
        <v>-2.3648699999999998E-3</v>
      </c>
      <c r="O324">
        <v>-3.6394799999999998E-2</v>
      </c>
      <c r="P324">
        <v>15.353400000000001</v>
      </c>
      <c r="Q324">
        <v>15.389799999999999</v>
      </c>
      <c r="R324">
        <v>152.08099999999999</v>
      </c>
      <c r="S324">
        <v>152.08099999999999</v>
      </c>
      <c r="T324">
        <v>4.1227</v>
      </c>
      <c r="U324">
        <v>14482</v>
      </c>
      <c r="V324">
        <f t="shared" si="8"/>
        <v>78.706521739130437</v>
      </c>
      <c r="W324">
        <f t="shared" si="9"/>
        <v>1.6910846666666663E-3</v>
      </c>
    </row>
    <row r="325" spans="1:23" x14ac:dyDescent="0.3">
      <c r="A325">
        <v>318</v>
      </c>
      <c r="B325">
        <v>4.2926600000000002E-3</v>
      </c>
      <c r="C325">
        <v>0.152725</v>
      </c>
      <c r="D325">
        <v>35.730899999999998</v>
      </c>
      <c r="E325">
        <v>35.578200000000002</v>
      </c>
      <c r="F325">
        <v>-9.0225099999999996E-4</v>
      </c>
      <c r="G325">
        <v>-1.6906600000000001E-2</v>
      </c>
      <c r="H325">
        <v>18.721299999999999</v>
      </c>
      <c r="I325">
        <v>18.738199999999999</v>
      </c>
      <c r="J325">
        <v>-1.92662E-3</v>
      </c>
      <c r="K325">
        <v>-3.15982E-2</v>
      </c>
      <c r="L325">
        <v>16.369299999999999</v>
      </c>
      <c r="M325">
        <v>16.4009</v>
      </c>
      <c r="N325">
        <v>-2.4873500000000002E-3</v>
      </c>
      <c r="O325">
        <v>-3.8279800000000003E-2</v>
      </c>
      <c r="P325">
        <v>15.3515</v>
      </c>
      <c r="Q325">
        <v>15.389799999999999</v>
      </c>
      <c r="R325">
        <v>152.58099999999999</v>
      </c>
      <c r="S325">
        <v>152.58199999999999</v>
      </c>
      <c r="T325">
        <v>4.1379000000000001</v>
      </c>
      <c r="U325">
        <v>14535.2</v>
      </c>
      <c r="V325">
        <f t="shared" si="8"/>
        <v>78.995652173913044</v>
      </c>
      <c r="W325">
        <f t="shared" si="9"/>
        <v>1.7720736666666668E-3</v>
      </c>
    </row>
    <row r="326" spans="1:23" x14ac:dyDescent="0.3">
      <c r="A326">
        <v>319</v>
      </c>
      <c r="B326">
        <v>4.2836799999999998E-3</v>
      </c>
      <c r="C326">
        <v>0.15240600000000001</v>
      </c>
      <c r="D326">
        <v>35.730600000000003</v>
      </c>
      <c r="E326">
        <v>35.578200000000002</v>
      </c>
      <c r="F326">
        <v>-9.2565200000000001E-4</v>
      </c>
      <c r="G326">
        <v>-1.7345099999999999E-2</v>
      </c>
      <c r="H326">
        <v>18.7209</v>
      </c>
      <c r="I326">
        <v>18.738199999999999</v>
      </c>
      <c r="J326">
        <v>-1.93227E-3</v>
      </c>
      <c r="K326">
        <v>-3.1690999999999997E-2</v>
      </c>
      <c r="L326">
        <v>16.369199999999999</v>
      </c>
      <c r="M326">
        <v>16.4009</v>
      </c>
      <c r="N326">
        <v>-2.3989100000000002E-3</v>
      </c>
      <c r="O326">
        <v>-3.6918800000000002E-2</v>
      </c>
      <c r="P326">
        <v>15.3529</v>
      </c>
      <c r="Q326">
        <v>15.389799999999999</v>
      </c>
      <c r="R326">
        <v>153.20099999999999</v>
      </c>
      <c r="S326">
        <v>153.20099999999999</v>
      </c>
      <c r="T326">
        <v>4.1581999999999999</v>
      </c>
      <c r="U326">
        <v>14606.4</v>
      </c>
      <c r="V326">
        <f t="shared" si="8"/>
        <v>79.382608695652166</v>
      </c>
      <c r="W326">
        <f t="shared" si="9"/>
        <v>1.7522773333333334E-3</v>
      </c>
    </row>
    <row r="327" spans="1:23" x14ac:dyDescent="0.3">
      <c r="A327">
        <v>320</v>
      </c>
      <c r="B327">
        <v>4.2678899999999999E-3</v>
      </c>
      <c r="C327">
        <v>0.15184400000000001</v>
      </c>
      <c r="D327">
        <v>35.729999999999997</v>
      </c>
      <c r="E327">
        <v>35.578200000000002</v>
      </c>
      <c r="F327">
        <v>-8.33146E-4</v>
      </c>
      <c r="G327">
        <v>-1.5611699999999999E-2</v>
      </c>
      <c r="H327">
        <v>18.7226</v>
      </c>
      <c r="I327">
        <v>18.738199999999999</v>
      </c>
      <c r="J327">
        <v>-1.8824600000000001E-3</v>
      </c>
      <c r="K327">
        <v>-3.0873999999999999E-2</v>
      </c>
      <c r="L327">
        <v>16.37</v>
      </c>
      <c r="M327">
        <v>16.4009</v>
      </c>
      <c r="N327">
        <v>-2.4134E-3</v>
      </c>
      <c r="O327">
        <v>-3.71417E-2</v>
      </c>
      <c r="P327">
        <v>15.352600000000001</v>
      </c>
      <c r="Q327">
        <v>15.389799999999999</v>
      </c>
      <c r="R327">
        <v>153.51499999999999</v>
      </c>
      <c r="S327">
        <v>153.51499999999999</v>
      </c>
      <c r="T327">
        <v>4.165</v>
      </c>
      <c r="U327">
        <v>14630.1</v>
      </c>
      <c r="V327">
        <f t="shared" si="8"/>
        <v>79.511413043478257</v>
      </c>
      <c r="W327">
        <f t="shared" si="9"/>
        <v>1.7096686666666667E-3</v>
      </c>
    </row>
    <row r="328" spans="1:23" x14ac:dyDescent="0.3">
      <c r="A328">
        <v>321</v>
      </c>
      <c r="B328">
        <v>4.2818600000000002E-3</v>
      </c>
      <c r="C328">
        <v>0.152341</v>
      </c>
      <c r="D328">
        <v>35.730499999999999</v>
      </c>
      <c r="E328">
        <v>35.578200000000002</v>
      </c>
      <c r="F328">
        <v>-8.6057099999999997E-4</v>
      </c>
      <c r="G328">
        <v>-1.61256E-2</v>
      </c>
      <c r="H328">
        <v>18.722100000000001</v>
      </c>
      <c r="I328">
        <v>18.738199999999999</v>
      </c>
      <c r="J328">
        <v>-1.87879E-3</v>
      </c>
      <c r="K328">
        <v>-3.0813799999999999E-2</v>
      </c>
      <c r="L328">
        <v>16.37</v>
      </c>
      <c r="M328">
        <v>16.4009</v>
      </c>
      <c r="N328">
        <v>-2.4342600000000002E-3</v>
      </c>
      <c r="O328">
        <v>-3.7462700000000002E-2</v>
      </c>
      <c r="P328">
        <v>15.3523</v>
      </c>
      <c r="Q328">
        <v>15.389799999999999</v>
      </c>
      <c r="R328">
        <v>153.82599999999999</v>
      </c>
      <c r="S328">
        <v>153.82599999999999</v>
      </c>
      <c r="T328">
        <v>4.1833</v>
      </c>
      <c r="U328">
        <v>14694.5</v>
      </c>
      <c r="V328">
        <f t="shared" ref="V328:V391" si="10">U328/A$2/B$2</f>
        <v>79.861413043478265</v>
      </c>
      <c r="W328">
        <f t="shared" ref="W328:W391" si="11">-AVERAGE(F328,J328,N328)</f>
        <v>1.7245403333333333E-3</v>
      </c>
    </row>
    <row r="329" spans="1:23" x14ac:dyDescent="0.3">
      <c r="A329">
        <v>322</v>
      </c>
      <c r="B329">
        <v>4.3231700000000003E-3</v>
      </c>
      <c r="C329">
        <v>0.153811</v>
      </c>
      <c r="D329">
        <v>35.731999999999999</v>
      </c>
      <c r="E329">
        <v>35.578200000000002</v>
      </c>
      <c r="F329">
        <v>-9.46936E-4</v>
      </c>
      <c r="G329">
        <v>-1.77439E-2</v>
      </c>
      <c r="H329">
        <v>18.720500000000001</v>
      </c>
      <c r="I329">
        <v>18.738199999999999</v>
      </c>
      <c r="J329">
        <v>-2.0198600000000001E-3</v>
      </c>
      <c r="K329">
        <v>-3.3127499999999997E-2</v>
      </c>
      <c r="L329">
        <v>16.367699999999999</v>
      </c>
      <c r="M329">
        <v>16.4009</v>
      </c>
      <c r="N329">
        <v>-2.5382999999999998E-3</v>
      </c>
      <c r="O329">
        <v>-3.9064000000000002E-2</v>
      </c>
      <c r="P329">
        <v>15.3507</v>
      </c>
      <c r="Q329">
        <v>15.389799999999999</v>
      </c>
      <c r="R329">
        <v>154.32499999999999</v>
      </c>
      <c r="S329">
        <v>154.32499999999999</v>
      </c>
      <c r="T329">
        <v>4.1993999999999998</v>
      </c>
      <c r="U329">
        <v>14751</v>
      </c>
      <c r="V329">
        <f t="shared" si="10"/>
        <v>80.168478260869563</v>
      </c>
      <c r="W329">
        <f t="shared" si="11"/>
        <v>1.8350319999999997E-3</v>
      </c>
    </row>
    <row r="330" spans="1:23" x14ac:dyDescent="0.3">
      <c r="A330">
        <v>323</v>
      </c>
      <c r="B330">
        <v>4.3344999999999998E-3</v>
      </c>
      <c r="C330">
        <v>0.15421399999999999</v>
      </c>
      <c r="D330">
        <v>35.732399999999998</v>
      </c>
      <c r="E330">
        <v>35.578200000000002</v>
      </c>
      <c r="F330">
        <v>-9.6284199999999999E-4</v>
      </c>
      <c r="G330">
        <v>-1.80419E-2</v>
      </c>
      <c r="H330">
        <v>18.720199999999998</v>
      </c>
      <c r="I330">
        <v>18.738199999999999</v>
      </c>
      <c r="J330">
        <v>-1.9462800000000001E-3</v>
      </c>
      <c r="K330">
        <v>-3.19206E-2</v>
      </c>
      <c r="L330">
        <v>16.3689</v>
      </c>
      <c r="M330">
        <v>16.4009</v>
      </c>
      <c r="N330">
        <v>-2.4337600000000001E-3</v>
      </c>
      <c r="O330">
        <v>-3.7455099999999998E-2</v>
      </c>
      <c r="P330">
        <v>15.3523</v>
      </c>
      <c r="Q330">
        <v>15.389799999999999</v>
      </c>
      <c r="R330">
        <v>154.637</v>
      </c>
      <c r="S330">
        <v>154.637</v>
      </c>
      <c r="T330">
        <v>4.2117000000000004</v>
      </c>
      <c r="U330">
        <v>14794</v>
      </c>
      <c r="V330">
        <f t="shared" si="10"/>
        <v>80.402173913043484</v>
      </c>
      <c r="W330">
        <f t="shared" si="11"/>
        <v>1.7809606666666668E-3</v>
      </c>
    </row>
    <row r="331" spans="1:23" x14ac:dyDescent="0.3">
      <c r="A331">
        <v>324</v>
      </c>
      <c r="B331">
        <v>4.3814600000000002E-3</v>
      </c>
      <c r="C331">
        <v>0.15588399999999999</v>
      </c>
      <c r="D331">
        <v>35.734000000000002</v>
      </c>
      <c r="E331">
        <v>35.578200000000002</v>
      </c>
      <c r="F331">
        <v>-9.3474300000000003E-4</v>
      </c>
      <c r="G331">
        <v>-1.75154E-2</v>
      </c>
      <c r="H331">
        <v>18.720700000000001</v>
      </c>
      <c r="I331">
        <v>18.738199999999999</v>
      </c>
      <c r="J331">
        <v>-1.9772000000000001E-3</v>
      </c>
      <c r="K331">
        <v>-3.24278E-2</v>
      </c>
      <c r="L331">
        <v>16.368400000000001</v>
      </c>
      <c r="M331">
        <v>16.4009</v>
      </c>
      <c r="N331">
        <v>-2.4833699999999999E-3</v>
      </c>
      <c r="O331">
        <v>-3.8218500000000002E-2</v>
      </c>
      <c r="P331">
        <v>15.351599999999999</v>
      </c>
      <c r="Q331">
        <v>15.389799999999999</v>
      </c>
      <c r="R331">
        <v>155.197</v>
      </c>
      <c r="S331">
        <v>155.19800000000001</v>
      </c>
      <c r="T331">
        <v>4.2252000000000001</v>
      </c>
      <c r="U331">
        <v>14841.5</v>
      </c>
      <c r="V331">
        <f t="shared" si="10"/>
        <v>80.660326086956516</v>
      </c>
      <c r="W331">
        <f t="shared" si="11"/>
        <v>1.7984376666666669E-3</v>
      </c>
    </row>
    <row r="332" spans="1:23" x14ac:dyDescent="0.3">
      <c r="A332">
        <v>325</v>
      </c>
      <c r="B332">
        <v>4.37916E-3</v>
      </c>
      <c r="C332">
        <v>0.155803</v>
      </c>
      <c r="D332">
        <v>35.734000000000002</v>
      </c>
      <c r="E332">
        <v>35.578200000000002</v>
      </c>
      <c r="F332">
        <v>-1.01216E-3</v>
      </c>
      <c r="G332">
        <v>-1.8966E-2</v>
      </c>
      <c r="H332">
        <v>18.7193</v>
      </c>
      <c r="I332">
        <v>18.738199999999999</v>
      </c>
      <c r="J332">
        <v>-2.04535E-3</v>
      </c>
      <c r="K332">
        <v>-3.3545600000000002E-2</v>
      </c>
      <c r="L332">
        <v>16.3673</v>
      </c>
      <c r="M332">
        <v>16.4009</v>
      </c>
      <c r="N332">
        <v>-2.6202700000000001E-3</v>
      </c>
      <c r="O332">
        <v>-4.0325399999999997E-2</v>
      </c>
      <c r="P332">
        <v>15.349500000000001</v>
      </c>
      <c r="Q332">
        <v>15.389799999999999</v>
      </c>
      <c r="R332">
        <v>155.447</v>
      </c>
      <c r="S332">
        <v>155.447</v>
      </c>
      <c r="T332">
        <v>4.2309999999999999</v>
      </c>
      <c r="U332">
        <v>14861.8</v>
      </c>
      <c r="V332">
        <f t="shared" si="10"/>
        <v>80.770652173913035</v>
      </c>
      <c r="W332">
        <f t="shared" si="11"/>
        <v>1.8925933333333335E-3</v>
      </c>
    </row>
    <row r="333" spans="1:23" x14ac:dyDescent="0.3">
      <c r="A333">
        <v>326</v>
      </c>
      <c r="B333">
        <v>4.4809400000000001E-3</v>
      </c>
      <c r="C333">
        <v>0.15942400000000001</v>
      </c>
      <c r="D333">
        <v>35.7376</v>
      </c>
      <c r="E333">
        <v>35.578200000000002</v>
      </c>
      <c r="F333">
        <v>-8.7078700000000004E-4</v>
      </c>
      <c r="G333">
        <v>-1.6317000000000002E-2</v>
      </c>
      <c r="H333">
        <v>18.721900000000002</v>
      </c>
      <c r="I333">
        <v>18.738199999999999</v>
      </c>
      <c r="J333">
        <v>-1.86141E-3</v>
      </c>
      <c r="K333">
        <v>-3.0528599999999999E-2</v>
      </c>
      <c r="L333">
        <v>16.3703</v>
      </c>
      <c r="M333">
        <v>16.4009</v>
      </c>
      <c r="N333">
        <v>-2.4935600000000001E-3</v>
      </c>
      <c r="O333">
        <v>-3.8375300000000001E-2</v>
      </c>
      <c r="P333">
        <v>15.3514</v>
      </c>
      <c r="Q333">
        <v>15.389799999999999</v>
      </c>
      <c r="R333">
        <v>156.011</v>
      </c>
      <c r="S333">
        <v>156.011</v>
      </c>
      <c r="T333">
        <v>4.2507000000000001</v>
      </c>
      <c r="U333">
        <v>14930.8</v>
      </c>
      <c r="V333">
        <f t="shared" si="10"/>
        <v>81.145652173913035</v>
      </c>
      <c r="W333">
        <f t="shared" si="11"/>
        <v>1.741919E-3</v>
      </c>
    </row>
    <row r="334" spans="1:23" x14ac:dyDescent="0.3">
      <c r="A334">
        <v>327</v>
      </c>
      <c r="B334">
        <v>4.4301499999999999E-3</v>
      </c>
      <c r="C334">
        <v>0.15761600000000001</v>
      </c>
      <c r="D334">
        <v>35.735799999999998</v>
      </c>
      <c r="E334">
        <v>35.578200000000002</v>
      </c>
      <c r="F334">
        <v>-9.8658499999999989E-4</v>
      </c>
      <c r="G334">
        <v>-1.8486900000000001E-2</v>
      </c>
      <c r="H334">
        <v>18.7197</v>
      </c>
      <c r="I334">
        <v>18.738199999999999</v>
      </c>
      <c r="J334">
        <v>-2.0161799999999998E-3</v>
      </c>
      <c r="K334">
        <v>-3.3066999999999999E-2</v>
      </c>
      <c r="L334">
        <v>16.367799999999999</v>
      </c>
      <c r="M334">
        <v>16.4009</v>
      </c>
      <c r="N334">
        <v>-2.5510099999999998E-3</v>
      </c>
      <c r="O334">
        <v>-3.92594E-2</v>
      </c>
      <c r="P334">
        <v>15.3505</v>
      </c>
      <c r="Q334">
        <v>15.389799999999999</v>
      </c>
      <c r="R334">
        <v>156.38300000000001</v>
      </c>
      <c r="S334">
        <v>156.38300000000001</v>
      </c>
      <c r="T334">
        <v>4.2660999999999998</v>
      </c>
      <c r="U334">
        <v>14985</v>
      </c>
      <c r="V334">
        <f t="shared" si="10"/>
        <v>81.440217391304344</v>
      </c>
      <c r="W334">
        <f t="shared" si="11"/>
        <v>1.8512583333333331E-3</v>
      </c>
    </row>
    <row r="335" spans="1:23" x14ac:dyDescent="0.3">
      <c r="A335">
        <v>328</v>
      </c>
      <c r="B335">
        <v>4.4081499999999996E-3</v>
      </c>
      <c r="C335">
        <v>0.156834</v>
      </c>
      <c r="D335">
        <v>35.734999999999999</v>
      </c>
      <c r="E335">
        <v>35.578200000000002</v>
      </c>
      <c r="F335">
        <v>-9.4641500000000004E-4</v>
      </c>
      <c r="G335">
        <v>-1.7734099999999999E-2</v>
      </c>
      <c r="H335">
        <v>18.720500000000001</v>
      </c>
      <c r="I335">
        <v>18.738199999999999</v>
      </c>
      <c r="J335">
        <v>-1.954E-3</v>
      </c>
      <c r="K335">
        <v>-3.2047199999999998E-2</v>
      </c>
      <c r="L335">
        <v>16.3688</v>
      </c>
      <c r="M335">
        <v>16.4009</v>
      </c>
      <c r="N335">
        <v>-2.4942499999999999E-3</v>
      </c>
      <c r="O335">
        <v>-3.8385900000000001E-2</v>
      </c>
      <c r="P335">
        <v>15.3514</v>
      </c>
      <c r="Q335">
        <v>15.389799999999999</v>
      </c>
      <c r="R335">
        <v>156.697</v>
      </c>
      <c r="S335">
        <v>156.697</v>
      </c>
      <c r="T335">
        <v>4.2781000000000002</v>
      </c>
      <c r="U335">
        <v>15026.8</v>
      </c>
      <c r="V335">
        <f t="shared" si="10"/>
        <v>81.667391304347817</v>
      </c>
      <c r="W335">
        <f t="shared" si="11"/>
        <v>1.7982216666666666E-3</v>
      </c>
    </row>
    <row r="336" spans="1:23" x14ac:dyDescent="0.3">
      <c r="A336">
        <v>329</v>
      </c>
      <c r="B336">
        <v>4.4459399999999998E-3</v>
      </c>
      <c r="C336">
        <v>0.15817800000000001</v>
      </c>
      <c r="D336">
        <v>35.7363</v>
      </c>
      <c r="E336">
        <v>35.578200000000002</v>
      </c>
      <c r="F336">
        <v>-8.7582000000000003E-4</v>
      </c>
      <c r="G336">
        <v>-1.64113E-2</v>
      </c>
      <c r="H336">
        <v>18.721800000000002</v>
      </c>
      <c r="I336">
        <v>18.738199999999999</v>
      </c>
      <c r="J336">
        <v>-1.9258599999999999E-3</v>
      </c>
      <c r="K336">
        <v>-3.1585700000000001E-2</v>
      </c>
      <c r="L336">
        <v>16.369299999999999</v>
      </c>
      <c r="M336">
        <v>16.4009</v>
      </c>
      <c r="N336">
        <v>-2.4640199999999999E-3</v>
      </c>
      <c r="O336">
        <v>-3.7920799999999998E-2</v>
      </c>
      <c r="P336">
        <v>15.351900000000001</v>
      </c>
      <c r="Q336">
        <v>15.389799999999999</v>
      </c>
      <c r="R336">
        <v>156.82</v>
      </c>
      <c r="S336">
        <v>156.82</v>
      </c>
      <c r="T336">
        <v>4.2774000000000001</v>
      </c>
      <c r="U336">
        <v>15024.6</v>
      </c>
      <c r="V336">
        <f t="shared" si="10"/>
        <v>81.655434782608694</v>
      </c>
      <c r="W336">
        <f t="shared" si="11"/>
        <v>1.7552333333333333E-3</v>
      </c>
    </row>
    <row r="337" spans="1:23" x14ac:dyDescent="0.3">
      <c r="A337">
        <v>330</v>
      </c>
      <c r="B337">
        <v>4.4529399999999998E-3</v>
      </c>
      <c r="C337">
        <v>0.15842700000000001</v>
      </c>
      <c r="D337">
        <v>35.736600000000003</v>
      </c>
      <c r="E337">
        <v>35.578200000000002</v>
      </c>
      <c r="F337">
        <v>-9.5073E-4</v>
      </c>
      <c r="G337">
        <v>-1.7815000000000001E-2</v>
      </c>
      <c r="H337">
        <v>18.720400000000001</v>
      </c>
      <c r="I337">
        <v>18.738199999999999</v>
      </c>
      <c r="J337">
        <v>-2.0109899999999998E-3</v>
      </c>
      <c r="K337">
        <v>-3.2981900000000001E-2</v>
      </c>
      <c r="L337">
        <v>16.367899999999999</v>
      </c>
      <c r="M337">
        <v>16.4009</v>
      </c>
      <c r="N337">
        <v>-2.5061599999999999E-3</v>
      </c>
      <c r="O337">
        <v>-3.8569199999999998E-2</v>
      </c>
      <c r="P337">
        <v>15.3512</v>
      </c>
      <c r="Q337">
        <v>15.389799999999999</v>
      </c>
      <c r="R337">
        <v>157.19399999999999</v>
      </c>
      <c r="S337">
        <v>157.19399999999999</v>
      </c>
      <c r="T337">
        <v>4.2868000000000004</v>
      </c>
      <c r="U337">
        <v>15057.3</v>
      </c>
      <c r="V337">
        <f t="shared" si="10"/>
        <v>81.833152173913035</v>
      </c>
      <c r="W337">
        <f t="shared" si="11"/>
        <v>1.8226266666666665E-3</v>
      </c>
    </row>
    <row r="338" spans="1:23" x14ac:dyDescent="0.3">
      <c r="A338">
        <v>331</v>
      </c>
      <c r="B338">
        <v>4.45978E-3</v>
      </c>
      <c r="C338">
        <v>0.15867100000000001</v>
      </c>
      <c r="D338">
        <v>35.736800000000002</v>
      </c>
      <c r="E338">
        <v>35.578200000000002</v>
      </c>
      <c r="F338">
        <v>-9.7344200000000004E-4</v>
      </c>
      <c r="G338">
        <v>-1.8240599999999999E-2</v>
      </c>
      <c r="H338">
        <v>18.72</v>
      </c>
      <c r="I338">
        <v>18.738199999999999</v>
      </c>
      <c r="J338">
        <v>-1.99314E-3</v>
      </c>
      <c r="K338">
        <v>-3.2689200000000002E-2</v>
      </c>
      <c r="L338">
        <v>16.368200000000002</v>
      </c>
      <c r="M338">
        <v>16.4009</v>
      </c>
      <c r="N338">
        <v>-2.5385799999999999E-3</v>
      </c>
      <c r="O338">
        <v>-3.9068199999999997E-2</v>
      </c>
      <c r="P338">
        <v>15.3507</v>
      </c>
      <c r="Q338">
        <v>15.389799999999999</v>
      </c>
      <c r="R338">
        <v>157.50700000000001</v>
      </c>
      <c r="S338">
        <v>157.50800000000001</v>
      </c>
      <c r="T338">
        <v>4.2992999999999997</v>
      </c>
      <c r="U338">
        <v>15101.4</v>
      </c>
      <c r="V338">
        <f t="shared" si="10"/>
        <v>82.072826086956525</v>
      </c>
      <c r="W338">
        <f t="shared" si="11"/>
        <v>1.835054E-3</v>
      </c>
    </row>
    <row r="339" spans="1:23" x14ac:dyDescent="0.3">
      <c r="A339">
        <v>332</v>
      </c>
      <c r="B339">
        <v>4.5069899999999998E-3</v>
      </c>
      <c r="C339">
        <v>0.16035099999999999</v>
      </c>
      <c r="D339">
        <v>35.738500000000002</v>
      </c>
      <c r="E339">
        <v>35.578200000000002</v>
      </c>
      <c r="F339">
        <v>-9.3946999999999998E-4</v>
      </c>
      <c r="G339">
        <v>-1.7604000000000002E-2</v>
      </c>
      <c r="H339">
        <v>18.720600000000001</v>
      </c>
      <c r="I339">
        <v>18.738199999999999</v>
      </c>
      <c r="J339">
        <v>-2.06375E-3</v>
      </c>
      <c r="K339">
        <v>-3.3847200000000001E-2</v>
      </c>
      <c r="L339">
        <v>16.367000000000001</v>
      </c>
      <c r="M339">
        <v>16.4009</v>
      </c>
      <c r="N339">
        <v>-2.5809800000000001E-3</v>
      </c>
      <c r="O339">
        <v>-3.9720699999999998E-2</v>
      </c>
      <c r="P339">
        <v>15.350099999999999</v>
      </c>
      <c r="Q339">
        <v>15.389799999999999</v>
      </c>
      <c r="R339">
        <v>157.94300000000001</v>
      </c>
      <c r="S339">
        <v>157.94300000000001</v>
      </c>
      <c r="T339">
        <v>4.3167</v>
      </c>
      <c r="U339">
        <v>15162.5</v>
      </c>
      <c r="V339">
        <f t="shared" si="10"/>
        <v>82.404891304347828</v>
      </c>
      <c r="W339">
        <f t="shared" si="11"/>
        <v>1.8614E-3</v>
      </c>
    </row>
    <row r="340" spans="1:23" x14ac:dyDescent="0.3">
      <c r="A340">
        <v>333</v>
      </c>
      <c r="B340">
        <v>4.4684900000000003E-3</v>
      </c>
      <c r="C340">
        <v>0.15898100000000001</v>
      </c>
      <c r="D340">
        <v>35.737099999999998</v>
      </c>
      <c r="E340">
        <v>35.578200000000002</v>
      </c>
      <c r="F340">
        <v>-9.7264900000000002E-4</v>
      </c>
      <c r="G340">
        <v>-1.8225700000000001E-2</v>
      </c>
      <c r="H340">
        <v>18.72</v>
      </c>
      <c r="I340">
        <v>18.738199999999999</v>
      </c>
      <c r="J340">
        <v>-2.03045E-3</v>
      </c>
      <c r="K340">
        <v>-3.3301200000000003E-2</v>
      </c>
      <c r="L340">
        <v>16.367599999999999</v>
      </c>
      <c r="M340">
        <v>16.4009</v>
      </c>
      <c r="N340">
        <v>-2.57887E-3</v>
      </c>
      <c r="O340">
        <v>-3.9688300000000003E-2</v>
      </c>
      <c r="P340">
        <v>15.350099999999999</v>
      </c>
      <c r="Q340">
        <v>15.389799999999999</v>
      </c>
      <c r="R340">
        <v>158.31800000000001</v>
      </c>
      <c r="S340">
        <v>158.31800000000001</v>
      </c>
      <c r="T340">
        <v>4.3261000000000003</v>
      </c>
      <c r="U340">
        <v>15195.2</v>
      </c>
      <c r="V340">
        <f t="shared" si="10"/>
        <v>82.582608695652183</v>
      </c>
      <c r="W340">
        <f t="shared" si="11"/>
        <v>1.8606563333333334E-3</v>
      </c>
    </row>
    <row r="341" spans="1:23" x14ac:dyDescent="0.3">
      <c r="A341">
        <v>334</v>
      </c>
      <c r="B341">
        <v>4.5616600000000004E-3</v>
      </c>
      <c r="C341">
        <v>0.16229499999999999</v>
      </c>
      <c r="D341">
        <v>35.740499999999997</v>
      </c>
      <c r="E341">
        <v>35.578200000000002</v>
      </c>
      <c r="F341">
        <v>-8.7441699999999995E-4</v>
      </c>
      <c r="G341">
        <v>-1.6385E-2</v>
      </c>
      <c r="H341">
        <v>18.721800000000002</v>
      </c>
      <c r="I341">
        <v>18.738199999999999</v>
      </c>
      <c r="J341">
        <v>-1.8807299999999999E-3</v>
      </c>
      <c r="K341">
        <v>-3.08457E-2</v>
      </c>
      <c r="L341">
        <v>16.37</v>
      </c>
      <c r="M341">
        <v>16.4009</v>
      </c>
      <c r="N341">
        <v>-2.49322E-3</v>
      </c>
      <c r="O341">
        <v>-3.8370000000000001E-2</v>
      </c>
      <c r="P341">
        <v>15.3514</v>
      </c>
      <c r="Q341">
        <v>15.389799999999999</v>
      </c>
      <c r="R341">
        <v>158.69200000000001</v>
      </c>
      <c r="S341">
        <v>158.69300000000001</v>
      </c>
      <c r="T341">
        <v>4.3364000000000003</v>
      </c>
      <c r="U341">
        <v>15231.4</v>
      </c>
      <c r="V341">
        <f t="shared" si="10"/>
        <v>82.779347826086948</v>
      </c>
      <c r="W341">
        <f t="shared" si="11"/>
        <v>1.7494556666666668E-3</v>
      </c>
    </row>
    <row r="342" spans="1:23" x14ac:dyDescent="0.3">
      <c r="A342">
        <v>335</v>
      </c>
      <c r="B342">
        <v>4.5773000000000003E-3</v>
      </c>
      <c r="C342">
        <v>0.162852</v>
      </c>
      <c r="D342">
        <v>35.741</v>
      </c>
      <c r="E342">
        <v>35.578200000000002</v>
      </c>
      <c r="F342">
        <v>-9.5082999999999995E-4</v>
      </c>
      <c r="G342">
        <v>-1.78169E-2</v>
      </c>
      <c r="H342">
        <v>18.720400000000001</v>
      </c>
      <c r="I342">
        <v>18.738199999999999</v>
      </c>
      <c r="J342">
        <v>-1.9633400000000001E-3</v>
      </c>
      <c r="K342">
        <v>-3.2200399999999997E-2</v>
      </c>
      <c r="L342">
        <v>16.3687</v>
      </c>
      <c r="M342">
        <v>16.4009</v>
      </c>
      <c r="N342">
        <v>-2.4549900000000002E-3</v>
      </c>
      <c r="O342">
        <v>-3.7781700000000001E-2</v>
      </c>
      <c r="P342">
        <v>15.352</v>
      </c>
      <c r="Q342">
        <v>15.389799999999999</v>
      </c>
      <c r="R342">
        <v>158.816</v>
      </c>
      <c r="S342">
        <v>158.816</v>
      </c>
      <c r="T342">
        <v>4.3467000000000002</v>
      </c>
      <c r="U342">
        <v>15267.6</v>
      </c>
      <c r="V342">
        <f t="shared" si="10"/>
        <v>82.97608695652174</v>
      </c>
      <c r="W342">
        <f t="shared" si="11"/>
        <v>1.7897199999999999E-3</v>
      </c>
    </row>
    <row r="343" spans="1:23" x14ac:dyDescent="0.3">
      <c r="A343">
        <v>336</v>
      </c>
      <c r="B343">
        <v>4.5551000000000003E-3</v>
      </c>
      <c r="C343">
        <v>0.16206200000000001</v>
      </c>
      <c r="D343">
        <v>35.740200000000002</v>
      </c>
      <c r="E343">
        <v>35.578200000000002</v>
      </c>
      <c r="F343">
        <v>-9.5474799999999995E-4</v>
      </c>
      <c r="G343">
        <v>-1.7890300000000001E-2</v>
      </c>
      <c r="H343">
        <v>18.720300000000002</v>
      </c>
      <c r="I343">
        <v>18.738199999999999</v>
      </c>
      <c r="J343">
        <v>-1.9354699999999999E-3</v>
      </c>
      <c r="K343">
        <v>-3.1743300000000002E-2</v>
      </c>
      <c r="L343">
        <v>16.3691</v>
      </c>
      <c r="M343">
        <v>16.4009</v>
      </c>
      <c r="N343">
        <v>-2.45144E-3</v>
      </c>
      <c r="O343">
        <v>-3.7727200000000002E-2</v>
      </c>
      <c r="P343">
        <v>15.3521</v>
      </c>
      <c r="Q343">
        <v>15.389799999999999</v>
      </c>
      <c r="R343">
        <v>158.94200000000001</v>
      </c>
      <c r="S343">
        <v>158.94300000000001</v>
      </c>
      <c r="T343">
        <v>4.3361000000000001</v>
      </c>
      <c r="U343">
        <v>15230.3</v>
      </c>
      <c r="V343">
        <f t="shared" si="10"/>
        <v>82.773369565217394</v>
      </c>
      <c r="W343">
        <f t="shared" si="11"/>
        <v>1.7805526666666667E-3</v>
      </c>
    </row>
    <row r="344" spans="1:23" x14ac:dyDescent="0.3">
      <c r="A344">
        <v>337</v>
      </c>
      <c r="B344">
        <v>4.5884400000000001E-3</v>
      </c>
      <c r="C344">
        <v>0.163248</v>
      </c>
      <c r="D344">
        <v>35.741399999999999</v>
      </c>
      <c r="E344">
        <v>35.578200000000002</v>
      </c>
      <c r="F344">
        <v>-9.2571299999999999E-4</v>
      </c>
      <c r="G344">
        <v>-1.7346199999999999E-2</v>
      </c>
      <c r="H344">
        <v>18.7209</v>
      </c>
      <c r="I344">
        <v>18.738199999999999</v>
      </c>
      <c r="J344">
        <v>-1.9800299999999998E-3</v>
      </c>
      <c r="K344">
        <v>-3.2474099999999999E-2</v>
      </c>
      <c r="L344">
        <v>16.368400000000001</v>
      </c>
      <c r="M344">
        <v>16.4009</v>
      </c>
      <c r="N344">
        <v>-2.4901300000000001E-3</v>
      </c>
      <c r="O344">
        <v>-3.8322500000000002E-2</v>
      </c>
      <c r="P344">
        <v>15.3515</v>
      </c>
      <c r="Q344">
        <v>15.389799999999999</v>
      </c>
      <c r="R344">
        <v>159.13</v>
      </c>
      <c r="S344">
        <v>159.13</v>
      </c>
      <c r="T344">
        <v>4.3470000000000004</v>
      </c>
      <c r="U344">
        <v>15268.7</v>
      </c>
      <c r="V344">
        <f t="shared" si="10"/>
        <v>82.982065217391309</v>
      </c>
      <c r="W344">
        <f t="shared" si="11"/>
        <v>1.7986243333333333E-3</v>
      </c>
    </row>
    <row r="345" spans="1:23" x14ac:dyDescent="0.3">
      <c r="A345">
        <v>338</v>
      </c>
      <c r="B345">
        <v>4.5797499999999996E-3</v>
      </c>
      <c r="C345">
        <v>0.162939</v>
      </c>
      <c r="D345">
        <v>35.741100000000003</v>
      </c>
      <c r="E345">
        <v>35.578200000000002</v>
      </c>
      <c r="F345">
        <v>-9.4580499999999997E-4</v>
      </c>
      <c r="G345">
        <v>-1.7722700000000001E-2</v>
      </c>
      <c r="H345">
        <v>18.720500000000001</v>
      </c>
      <c r="I345">
        <v>18.738199999999999</v>
      </c>
      <c r="J345">
        <v>-1.9976299999999998E-3</v>
      </c>
      <c r="K345">
        <v>-3.2762800000000002E-2</v>
      </c>
      <c r="L345">
        <v>16.368099999999998</v>
      </c>
      <c r="M345">
        <v>16.4009</v>
      </c>
      <c r="N345">
        <v>-2.5163E-3</v>
      </c>
      <c r="O345">
        <v>-3.87254E-2</v>
      </c>
      <c r="P345">
        <v>15.351100000000001</v>
      </c>
      <c r="Q345">
        <v>15.389799999999999</v>
      </c>
      <c r="R345">
        <v>159.505</v>
      </c>
      <c r="S345">
        <v>159.505</v>
      </c>
      <c r="T345">
        <v>4.3657000000000004</v>
      </c>
      <c r="U345">
        <v>15334.3</v>
      </c>
      <c r="V345">
        <f t="shared" si="10"/>
        <v>83.338586956521738</v>
      </c>
      <c r="W345">
        <f t="shared" si="11"/>
        <v>1.8199116666666668E-3</v>
      </c>
    </row>
    <row r="346" spans="1:23" x14ac:dyDescent="0.3">
      <c r="A346">
        <v>339</v>
      </c>
      <c r="B346">
        <v>4.5745899999999999E-3</v>
      </c>
      <c r="C346">
        <v>0.16275500000000001</v>
      </c>
      <c r="D346">
        <v>35.740900000000003</v>
      </c>
      <c r="E346">
        <v>35.578200000000002</v>
      </c>
      <c r="F346">
        <v>-9.5105600000000004E-4</v>
      </c>
      <c r="G346">
        <v>-1.7821099999999999E-2</v>
      </c>
      <c r="H346">
        <v>18.720400000000001</v>
      </c>
      <c r="I346">
        <v>18.738199999999999</v>
      </c>
      <c r="J346">
        <v>-2.01877E-3</v>
      </c>
      <c r="K346">
        <v>-3.31095E-2</v>
      </c>
      <c r="L346">
        <v>16.367699999999999</v>
      </c>
      <c r="M346">
        <v>16.4009</v>
      </c>
      <c r="N346">
        <v>-2.5689100000000002E-3</v>
      </c>
      <c r="O346">
        <v>-3.9534899999999998E-2</v>
      </c>
      <c r="P346">
        <v>15.350199999999999</v>
      </c>
      <c r="Q346">
        <v>15.389799999999999</v>
      </c>
      <c r="R346">
        <v>159.94</v>
      </c>
      <c r="S346">
        <v>159.941</v>
      </c>
      <c r="T346">
        <v>4.3869999999999996</v>
      </c>
      <c r="U346">
        <v>15408.9</v>
      </c>
      <c r="V346">
        <f t="shared" si="10"/>
        <v>83.744021739130432</v>
      </c>
      <c r="W346">
        <f t="shared" si="11"/>
        <v>1.8462453333333336E-3</v>
      </c>
    </row>
    <row r="347" spans="1:23" x14ac:dyDescent="0.3">
      <c r="A347">
        <v>340</v>
      </c>
      <c r="B347">
        <v>4.6470799999999996E-3</v>
      </c>
      <c r="C347">
        <v>0.16533500000000001</v>
      </c>
      <c r="D347">
        <v>35.743499999999997</v>
      </c>
      <c r="E347">
        <v>35.578200000000002</v>
      </c>
      <c r="F347">
        <v>-9.9236799999999998E-4</v>
      </c>
      <c r="G347">
        <v>-1.8595199999999999E-2</v>
      </c>
      <c r="H347">
        <v>18.7196</v>
      </c>
      <c r="I347">
        <v>18.738199999999999</v>
      </c>
      <c r="J347">
        <v>-2.00111E-3</v>
      </c>
      <c r="K347">
        <v>-3.2819899999999999E-2</v>
      </c>
      <c r="L347">
        <v>16.367999999999999</v>
      </c>
      <c r="M347">
        <v>16.4009</v>
      </c>
      <c r="N347">
        <v>-2.55324E-3</v>
      </c>
      <c r="O347">
        <v>-3.9293700000000001E-2</v>
      </c>
      <c r="P347">
        <v>15.3505</v>
      </c>
      <c r="Q347">
        <v>15.389799999999999</v>
      </c>
      <c r="R347">
        <v>160.37700000000001</v>
      </c>
      <c r="S347">
        <v>160.37799999999999</v>
      </c>
      <c r="T347">
        <v>4.3876999999999997</v>
      </c>
      <c r="U347">
        <v>15411.1</v>
      </c>
      <c r="V347">
        <f t="shared" si="10"/>
        <v>83.755978260869568</v>
      </c>
      <c r="W347">
        <f t="shared" si="11"/>
        <v>1.848906E-3</v>
      </c>
    </row>
    <row r="348" spans="1:23" x14ac:dyDescent="0.3">
      <c r="A348">
        <v>341</v>
      </c>
      <c r="B348">
        <v>4.6283799999999996E-3</v>
      </c>
      <c r="C348">
        <v>0.16466900000000001</v>
      </c>
      <c r="D348">
        <v>35.742800000000003</v>
      </c>
      <c r="E348">
        <v>35.578200000000002</v>
      </c>
      <c r="F348">
        <v>-9.4753700000000003E-4</v>
      </c>
      <c r="G348">
        <v>-1.7755199999999999E-2</v>
      </c>
      <c r="H348">
        <v>18.720500000000001</v>
      </c>
      <c r="I348">
        <v>18.738199999999999</v>
      </c>
      <c r="J348">
        <v>-2.00753E-3</v>
      </c>
      <c r="K348">
        <v>-3.2925299999999998E-2</v>
      </c>
      <c r="L348">
        <v>16.367899999999999</v>
      </c>
      <c r="M348">
        <v>16.4009</v>
      </c>
      <c r="N348">
        <v>-2.5756899999999998E-3</v>
      </c>
      <c r="O348">
        <v>-3.9639300000000002E-2</v>
      </c>
      <c r="P348">
        <v>15.350099999999999</v>
      </c>
      <c r="Q348">
        <v>15.389799999999999</v>
      </c>
      <c r="R348">
        <v>160.50399999999999</v>
      </c>
      <c r="S348">
        <v>160.50399999999999</v>
      </c>
      <c r="T348">
        <v>4.3973000000000004</v>
      </c>
      <c r="U348">
        <v>15445</v>
      </c>
      <c r="V348">
        <f t="shared" si="10"/>
        <v>83.940217391304344</v>
      </c>
      <c r="W348">
        <f t="shared" si="11"/>
        <v>1.8435856666666665E-3</v>
      </c>
    </row>
    <row r="349" spans="1:23" x14ac:dyDescent="0.3">
      <c r="A349">
        <v>342</v>
      </c>
      <c r="B349">
        <v>4.66951E-3</v>
      </c>
      <c r="C349">
        <v>0.166133</v>
      </c>
      <c r="D349">
        <v>35.744300000000003</v>
      </c>
      <c r="E349">
        <v>35.578200000000002</v>
      </c>
      <c r="F349">
        <v>-9.3312799999999997E-4</v>
      </c>
      <c r="G349">
        <v>-1.7485199999999999E-2</v>
      </c>
      <c r="H349">
        <v>18.720700000000001</v>
      </c>
      <c r="I349">
        <v>18.738199999999999</v>
      </c>
      <c r="J349">
        <v>-1.9033699999999999E-3</v>
      </c>
      <c r="K349">
        <v>-3.1216899999999999E-2</v>
      </c>
      <c r="L349">
        <v>16.369599999999998</v>
      </c>
      <c r="M349">
        <v>16.4009</v>
      </c>
      <c r="N349">
        <v>-2.4791000000000001E-3</v>
      </c>
      <c r="O349">
        <v>-3.8152800000000001E-2</v>
      </c>
      <c r="P349">
        <v>15.351599999999999</v>
      </c>
      <c r="Q349">
        <v>15.389799999999999</v>
      </c>
      <c r="R349">
        <v>161.25</v>
      </c>
      <c r="S349">
        <v>161.25</v>
      </c>
      <c r="T349">
        <v>4.4157000000000002</v>
      </c>
      <c r="U349">
        <v>15509.5</v>
      </c>
      <c r="V349">
        <f t="shared" si="10"/>
        <v>84.290760869565219</v>
      </c>
      <c r="W349">
        <f t="shared" si="11"/>
        <v>1.7718659999999998E-3</v>
      </c>
    </row>
    <row r="350" spans="1:23" x14ac:dyDescent="0.3">
      <c r="A350">
        <v>343</v>
      </c>
      <c r="B350">
        <v>4.6495E-3</v>
      </c>
      <c r="C350">
        <v>0.16542000000000001</v>
      </c>
      <c r="D350">
        <v>35.743600000000001</v>
      </c>
      <c r="E350">
        <v>35.578200000000002</v>
      </c>
      <c r="F350">
        <v>-9.32145E-4</v>
      </c>
      <c r="G350">
        <v>-1.7466700000000002E-2</v>
      </c>
      <c r="H350">
        <v>18.720800000000001</v>
      </c>
      <c r="I350">
        <v>18.738199999999999</v>
      </c>
      <c r="J350">
        <v>-1.9470100000000001E-3</v>
      </c>
      <c r="K350">
        <v>-3.1932599999999998E-2</v>
      </c>
      <c r="L350">
        <v>16.3689</v>
      </c>
      <c r="M350">
        <v>16.4009</v>
      </c>
      <c r="N350">
        <v>-2.5258899999999998E-3</v>
      </c>
      <c r="O350">
        <v>-3.8872900000000002E-2</v>
      </c>
      <c r="P350">
        <v>15.350899999999999</v>
      </c>
      <c r="Q350">
        <v>15.389799999999999</v>
      </c>
      <c r="R350">
        <v>161.625</v>
      </c>
      <c r="S350">
        <v>161.625</v>
      </c>
      <c r="T350">
        <v>4.4241000000000001</v>
      </c>
      <c r="U350">
        <v>15538.8</v>
      </c>
      <c r="V350">
        <f t="shared" si="10"/>
        <v>84.45</v>
      </c>
      <c r="W350">
        <f t="shared" si="11"/>
        <v>1.8016816666666666E-3</v>
      </c>
    </row>
    <row r="351" spans="1:23" x14ac:dyDescent="0.3">
      <c r="A351">
        <v>344</v>
      </c>
      <c r="B351">
        <v>4.64511E-3</v>
      </c>
      <c r="C351">
        <v>0.16526399999999999</v>
      </c>
      <c r="D351">
        <v>35.743400000000001</v>
      </c>
      <c r="E351">
        <v>35.578200000000002</v>
      </c>
      <c r="F351">
        <v>-9.4383599999999998E-4</v>
      </c>
      <c r="G351">
        <v>-1.7685800000000002E-2</v>
      </c>
      <c r="H351">
        <v>18.720500000000001</v>
      </c>
      <c r="I351">
        <v>18.738199999999999</v>
      </c>
      <c r="J351">
        <v>-2.0808200000000002E-3</v>
      </c>
      <c r="K351">
        <v>-3.4127200000000003E-2</v>
      </c>
      <c r="L351">
        <v>16.366700000000002</v>
      </c>
      <c r="M351">
        <v>16.4009</v>
      </c>
      <c r="N351">
        <v>-2.6641299999999998E-3</v>
      </c>
      <c r="O351">
        <v>-4.1000399999999999E-2</v>
      </c>
      <c r="P351">
        <v>15.348800000000001</v>
      </c>
      <c r="Q351">
        <v>15.389799999999999</v>
      </c>
      <c r="R351">
        <v>161.93799999999999</v>
      </c>
      <c r="S351">
        <v>161.93799999999999</v>
      </c>
      <c r="T351">
        <v>4.4386000000000001</v>
      </c>
      <c r="U351">
        <v>15589.7</v>
      </c>
      <c r="V351">
        <f t="shared" si="10"/>
        <v>84.726630434782606</v>
      </c>
      <c r="W351">
        <f t="shared" si="11"/>
        <v>1.8962619999999999E-3</v>
      </c>
    </row>
    <row r="352" spans="1:23" x14ac:dyDescent="0.3">
      <c r="A352">
        <v>345</v>
      </c>
      <c r="B352">
        <v>4.6938600000000002E-3</v>
      </c>
      <c r="C352">
        <v>0.16699900000000001</v>
      </c>
      <c r="D352">
        <v>35.745199999999997</v>
      </c>
      <c r="E352">
        <v>35.578200000000002</v>
      </c>
      <c r="F352">
        <v>-9.7716600000000002E-4</v>
      </c>
      <c r="G352">
        <v>-1.8310400000000001E-2</v>
      </c>
      <c r="H352">
        <v>18.719899999999999</v>
      </c>
      <c r="I352">
        <v>18.738199999999999</v>
      </c>
      <c r="J352">
        <v>-2.0356300000000001E-3</v>
      </c>
      <c r="K352">
        <v>-3.3386100000000002E-2</v>
      </c>
      <c r="L352">
        <v>16.3675</v>
      </c>
      <c r="M352">
        <v>16.4009</v>
      </c>
      <c r="N352">
        <v>-2.6448399999999999E-3</v>
      </c>
      <c r="O352">
        <v>-4.07036E-2</v>
      </c>
      <c r="P352">
        <v>15.3491</v>
      </c>
      <c r="Q352">
        <v>15.389799999999999</v>
      </c>
      <c r="R352">
        <v>162.316</v>
      </c>
      <c r="S352">
        <v>162.316</v>
      </c>
      <c r="T352">
        <v>4.4476000000000004</v>
      </c>
      <c r="U352">
        <v>15621.4</v>
      </c>
      <c r="V352">
        <f t="shared" si="10"/>
        <v>84.89891304347826</v>
      </c>
      <c r="W352">
        <f t="shared" si="11"/>
        <v>1.8858786666666667E-3</v>
      </c>
    </row>
    <row r="353" spans="1:23" x14ac:dyDescent="0.3">
      <c r="A353">
        <v>346</v>
      </c>
      <c r="B353">
        <v>4.6669600000000004E-3</v>
      </c>
      <c r="C353">
        <v>0.166042</v>
      </c>
      <c r="D353">
        <v>35.744199999999999</v>
      </c>
      <c r="E353">
        <v>35.578200000000002</v>
      </c>
      <c r="F353">
        <v>-9.8030199999999995E-4</v>
      </c>
      <c r="G353">
        <v>-1.8369099999999999E-2</v>
      </c>
      <c r="H353">
        <v>18.719899999999999</v>
      </c>
      <c r="I353">
        <v>18.738199999999999</v>
      </c>
      <c r="J353">
        <v>-2.0691799999999999E-3</v>
      </c>
      <c r="K353">
        <v>-3.3936399999999999E-2</v>
      </c>
      <c r="L353">
        <v>16.366900000000001</v>
      </c>
      <c r="M353">
        <v>16.4009</v>
      </c>
      <c r="N353">
        <v>-2.6889000000000001E-3</v>
      </c>
      <c r="O353">
        <v>-4.1381599999999998E-2</v>
      </c>
      <c r="P353">
        <v>15.3484</v>
      </c>
      <c r="Q353">
        <v>15.389799999999999</v>
      </c>
      <c r="R353">
        <v>162.81</v>
      </c>
      <c r="S353">
        <v>162.81100000000001</v>
      </c>
      <c r="T353">
        <v>4.4621000000000004</v>
      </c>
      <c r="U353">
        <v>15672.2</v>
      </c>
      <c r="V353">
        <f t="shared" si="10"/>
        <v>85.174999999999997</v>
      </c>
      <c r="W353">
        <f t="shared" si="11"/>
        <v>1.912794E-3</v>
      </c>
    </row>
    <row r="354" spans="1:23" x14ac:dyDescent="0.3">
      <c r="A354">
        <v>347</v>
      </c>
      <c r="B354">
        <v>4.6598500000000001E-3</v>
      </c>
      <c r="C354">
        <v>0.16578899999999999</v>
      </c>
      <c r="D354">
        <v>35.743899999999996</v>
      </c>
      <c r="E354">
        <v>35.578200000000002</v>
      </c>
      <c r="F354">
        <v>-1.1007E-3</v>
      </c>
      <c r="G354">
        <v>-2.06251E-2</v>
      </c>
      <c r="H354">
        <v>18.717600000000001</v>
      </c>
      <c r="I354">
        <v>18.738199999999999</v>
      </c>
      <c r="J354">
        <v>-2.1484999999999998E-3</v>
      </c>
      <c r="K354">
        <v>-3.5237299999999999E-2</v>
      </c>
      <c r="L354">
        <v>16.365600000000001</v>
      </c>
      <c r="M354">
        <v>16.4009</v>
      </c>
      <c r="N354">
        <v>-2.6083999999999999E-3</v>
      </c>
      <c r="O354">
        <v>-4.0142600000000001E-2</v>
      </c>
      <c r="P354">
        <v>15.349600000000001</v>
      </c>
      <c r="Q354">
        <v>15.389799999999999</v>
      </c>
      <c r="R354">
        <v>163.249</v>
      </c>
      <c r="S354">
        <v>163.249</v>
      </c>
      <c r="T354">
        <v>4.4810999999999996</v>
      </c>
      <c r="U354">
        <v>15738.9</v>
      </c>
      <c r="V354">
        <f t="shared" si="10"/>
        <v>85.537499999999994</v>
      </c>
      <c r="W354">
        <f t="shared" si="11"/>
        <v>1.9525333333333332E-3</v>
      </c>
    </row>
    <row r="355" spans="1:23" x14ac:dyDescent="0.3">
      <c r="A355">
        <v>348</v>
      </c>
      <c r="B355">
        <v>4.7081299999999996E-3</v>
      </c>
      <c r="C355">
        <v>0.16750699999999999</v>
      </c>
      <c r="D355">
        <v>35.745699999999999</v>
      </c>
      <c r="E355">
        <v>35.578200000000002</v>
      </c>
      <c r="F355">
        <v>-8.9327000000000004E-4</v>
      </c>
      <c r="G355">
        <v>-1.6738300000000001E-2</v>
      </c>
      <c r="H355">
        <v>18.721499999999999</v>
      </c>
      <c r="I355">
        <v>18.738199999999999</v>
      </c>
      <c r="J355">
        <v>-1.95032E-3</v>
      </c>
      <c r="K355">
        <v>-3.1987000000000002E-2</v>
      </c>
      <c r="L355">
        <v>16.3689</v>
      </c>
      <c r="M355">
        <v>16.4009</v>
      </c>
      <c r="N355">
        <v>-2.5527499999999999E-3</v>
      </c>
      <c r="O355">
        <v>-3.92862E-2</v>
      </c>
      <c r="P355">
        <v>15.3505</v>
      </c>
      <c r="Q355">
        <v>15.389799999999999</v>
      </c>
      <c r="R355">
        <v>163.68299999999999</v>
      </c>
      <c r="S355">
        <v>163.684</v>
      </c>
      <c r="T355">
        <v>4.5023999999999997</v>
      </c>
      <c r="U355">
        <v>15813.5</v>
      </c>
      <c r="V355">
        <f t="shared" si="10"/>
        <v>85.942934782608702</v>
      </c>
      <c r="W355">
        <f t="shared" si="11"/>
        <v>1.7987799999999998E-3</v>
      </c>
    </row>
    <row r="356" spans="1:23" x14ac:dyDescent="0.3">
      <c r="A356">
        <v>349</v>
      </c>
      <c r="B356">
        <v>4.7287500000000003E-3</v>
      </c>
      <c r="C356">
        <v>0.16824</v>
      </c>
      <c r="D356">
        <v>35.746400000000001</v>
      </c>
      <c r="E356">
        <v>35.578200000000002</v>
      </c>
      <c r="F356">
        <v>-1.05335E-3</v>
      </c>
      <c r="G356">
        <v>-1.9737899999999999E-2</v>
      </c>
      <c r="H356">
        <v>18.718499999999999</v>
      </c>
      <c r="I356">
        <v>18.738199999999999</v>
      </c>
      <c r="J356">
        <v>-2.1014699999999998E-3</v>
      </c>
      <c r="K356">
        <v>-3.4465900000000001E-2</v>
      </c>
      <c r="L356">
        <v>16.366399999999999</v>
      </c>
      <c r="M356">
        <v>16.4009</v>
      </c>
      <c r="N356">
        <v>-2.6999599999999999E-3</v>
      </c>
      <c r="O356">
        <v>-4.1551699999999997E-2</v>
      </c>
      <c r="P356">
        <v>15.3482</v>
      </c>
      <c r="Q356">
        <v>15.389799999999999</v>
      </c>
      <c r="R356">
        <v>164.06100000000001</v>
      </c>
      <c r="S356">
        <v>164.06200000000001</v>
      </c>
      <c r="T356">
        <v>4.5034000000000001</v>
      </c>
      <c r="U356">
        <v>15816.9</v>
      </c>
      <c r="V356">
        <f t="shared" si="10"/>
        <v>85.96141304347826</v>
      </c>
      <c r="W356">
        <f t="shared" si="11"/>
        <v>1.9515933333333335E-3</v>
      </c>
    </row>
    <row r="357" spans="1:23" x14ac:dyDescent="0.3">
      <c r="A357">
        <v>350</v>
      </c>
      <c r="B357">
        <v>4.6553699999999998E-3</v>
      </c>
      <c r="C357">
        <v>0.16563</v>
      </c>
      <c r="D357">
        <v>35.7438</v>
      </c>
      <c r="E357">
        <v>35.578200000000002</v>
      </c>
      <c r="F357">
        <v>-1.04765E-3</v>
      </c>
      <c r="G357">
        <v>-1.9631099999999999E-2</v>
      </c>
      <c r="H357">
        <v>18.718599999999999</v>
      </c>
      <c r="I357">
        <v>18.738199999999999</v>
      </c>
      <c r="J357">
        <v>-2.0894099999999999E-3</v>
      </c>
      <c r="K357">
        <v>-3.4268199999999999E-2</v>
      </c>
      <c r="L357">
        <v>16.366599999999998</v>
      </c>
      <c r="M357">
        <v>16.4009</v>
      </c>
      <c r="N357">
        <v>-2.6407800000000001E-3</v>
      </c>
      <c r="O357">
        <v>-4.0641099999999999E-2</v>
      </c>
      <c r="P357">
        <v>15.3491</v>
      </c>
      <c r="Q357">
        <v>15.389799999999999</v>
      </c>
      <c r="R357">
        <v>164.55799999999999</v>
      </c>
      <c r="S357">
        <v>164.559</v>
      </c>
      <c r="T357">
        <v>4.5201000000000002</v>
      </c>
      <c r="U357">
        <v>15875.7</v>
      </c>
      <c r="V357">
        <f t="shared" si="10"/>
        <v>86.280978260869574</v>
      </c>
      <c r="W357">
        <f t="shared" si="11"/>
        <v>1.9259466666666665E-3</v>
      </c>
    </row>
    <row r="358" spans="1:23" x14ac:dyDescent="0.3">
      <c r="A358">
        <v>351</v>
      </c>
      <c r="B358">
        <v>4.7838100000000003E-3</v>
      </c>
      <c r="C358">
        <v>0.17019899999999999</v>
      </c>
      <c r="D358">
        <v>35.748399999999997</v>
      </c>
      <c r="E358">
        <v>35.578200000000002</v>
      </c>
      <c r="F358">
        <v>-9.6434099999999996E-4</v>
      </c>
      <c r="G358">
        <v>-1.8069999999999999E-2</v>
      </c>
      <c r="H358">
        <v>18.720199999999998</v>
      </c>
      <c r="I358">
        <v>18.738199999999999</v>
      </c>
      <c r="J358">
        <v>-1.92363E-3</v>
      </c>
      <c r="K358">
        <v>-3.1549199999999999E-2</v>
      </c>
      <c r="L358">
        <v>16.369299999999999</v>
      </c>
      <c r="M358">
        <v>16.4009</v>
      </c>
      <c r="N358">
        <v>-2.46394E-3</v>
      </c>
      <c r="O358">
        <v>-3.7919500000000002E-2</v>
      </c>
      <c r="P358">
        <v>15.351900000000001</v>
      </c>
      <c r="Q358">
        <v>15.389799999999999</v>
      </c>
      <c r="R358">
        <v>164.87</v>
      </c>
      <c r="S358">
        <v>164.87</v>
      </c>
      <c r="T358">
        <v>4.5369000000000002</v>
      </c>
      <c r="U358">
        <v>15934.4</v>
      </c>
      <c r="V358">
        <f t="shared" si="10"/>
        <v>86.6</v>
      </c>
      <c r="W358">
        <f t="shared" si="11"/>
        <v>1.7839703333333333E-3</v>
      </c>
    </row>
    <row r="359" spans="1:23" x14ac:dyDescent="0.3">
      <c r="A359">
        <v>352</v>
      </c>
      <c r="B359">
        <v>4.6632899999999996E-3</v>
      </c>
      <c r="C359">
        <v>0.165911</v>
      </c>
      <c r="D359">
        <v>35.744100000000003</v>
      </c>
      <c r="E359">
        <v>35.578200000000002</v>
      </c>
      <c r="F359">
        <v>-1.17676E-3</v>
      </c>
      <c r="G359">
        <v>-2.2050500000000001E-2</v>
      </c>
      <c r="H359">
        <v>18.716200000000001</v>
      </c>
      <c r="I359">
        <v>18.738199999999999</v>
      </c>
      <c r="J359">
        <v>-2.1624600000000002E-3</v>
      </c>
      <c r="K359">
        <v>-3.5466299999999999E-2</v>
      </c>
      <c r="L359">
        <v>16.365400000000001</v>
      </c>
      <c r="M359">
        <v>16.4009</v>
      </c>
      <c r="N359">
        <v>-2.73968E-3</v>
      </c>
      <c r="O359">
        <v>-4.2163100000000002E-2</v>
      </c>
      <c r="P359">
        <v>15.3476</v>
      </c>
      <c r="Q359">
        <v>15.389799999999999</v>
      </c>
      <c r="R359">
        <v>165.245</v>
      </c>
      <c r="S359">
        <v>165.245</v>
      </c>
      <c r="T359">
        <v>4.5435999999999996</v>
      </c>
      <c r="U359">
        <v>15958.2</v>
      </c>
      <c r="V359">
        <f t="shared" si="10"/>
        <v>86.729347826086965</v>
      </c>
      <c r="W359">
        <f t="shared" si="11"/>
        <v>2.0263E-3</v>
      </c>
    </row>
    <row r="360" spans="1:23" x14ac:dyDescent="0.3">
      <c r="A360">
        <v>353</v>
      </c>
      <c r="B360">
        <v>4.6983299999999997E-3</v>
      </c>
      <c r="C360">
        <v>0.167158</v>
      </c>
      <c r="D360">
        <v>35.7453</v>
      </c>
      <c r="E360">
        <v>35.578200000000002</v>
      </c>
      <c r="F360">
        <v>-1.0914399999999999E-3</v>
      </c>
      <c r="G360">
        <v>-2.04516E-2</v>
      </c>
      <c r="H360">
        <v>18.7178</v>
      </c>
      <c r="I360">
        <v>18.738199999999999</v>
      </c>
      <c r="J360">
        <v>-2.2751899999999999E-3</v>
      </c>
      <c r="K360">
        <v>-3.7315099999999997E-2</v>
      </c>
      <c r="L360">
        <v>16.363499999999998</v>
      </c>
      <c r="M360">
        <v>16.4009</v>
      </c>
      <c r="N360">
        <v>-2.87171E-3</v>
      </c>
      <c r="O360">
        <v>-4.4194999999999998E-2</v>
      </c>
      <c r="P360">
        <v>15.345599999999999</v>
      </c>
      <c r="Q360">
        <v>15.389799999999999</v>
      </c>
      <c r="R360">
        <v>165.36799999999999</v>
      </c>
      <c r="S360">
        <v>165.369</v>
      </c>
      <c r="T360">
        <v>4.5475000000000003</v>
      </c>
      <c r="U360">
        <v>15971.7</v>
      </c>
      <c r="V360">
        <f t="shared" si="10"/>
        <v>86.802717391304355</v>
      </c>
      <c r="W360">
        <f t="shared" si="11"/>
        <v>2.0794466666666667E-3</v>
      </c>
    </row>
    <row r="361" spans="1:23" x14ac:dyDescent="0.3">
      <c r="A361">
        <v>354</v>
      </c>
      <c r="B361">
        <v>4.7272800000000004E-3</v>
      </c>
      <c r="C361">
        <v>0.168188</v>
      </c>
      <c r="D361">
        <v>35.746299999999998</v>
      </c>
      <c r="E361">
        <v>35.578200000000002</v>
      </c>
      <c r="F361">
        <v>-9.3508199999999995E-4</v>
      </c>
      <c r="G361">
        <v>-1.7521800000000001E-2</v>
      </c>
      <c r="H361">
        <v>18.720700000000001</v>
      </c>
      <c r="I361">
        <v>18.738199999999999</v>
      </c>
      <c r="J361">
        <v>-2.0333299999999999E-3</v>
      </c>
      <c r="K361">
        <v>-3.33484E-2</v>
      </c>
      <c r="L361">
        <v>16.3675</v>
      </c>
      <c r="M361">
        <v>16.4009</v>
      </c>
      <c r="N361">
        <v>-2.6755300000000002E-3</v>
      </c>
      <c r="O361">
        <v>-4.1175799999999999E-2</v>
      </c>
      <c r="P361">
        <v>15.348599999999999</v>
      </c>
      <c r="Q361">
        <v>15.389799999999999</v>
      </c>
      <c r="R361">
        <v>165.494</v>
      </c>
      <c r="S361">
        <v>165.494</v>
      </c>
      <c r="T361">
        <v>4.5510999999999999</v>
      </c>
      <c r="U361">
        <v>15984.2</v>
      </c>
      <c r="V361">
        <f t="shared" si="10"/>
        <v>86.870652173913044</v>
      </c>
      <c r="W361">
        <f t="shared" si="11"/>
        <v>1.881314E-3</v>
      </c>
    </row>
    <row r="362" spans="1:23" x14ac:dyDescent="0.3">
      <c r="A362">
        <v>355</v>
      </c>
      <c r="B362">
        <v>4.7264000000000004E-3</v>
      </c>
      <c r="C362">
        <v>0.168157</v>
      </c>
      <c r="D362">
        <v>35.746299999999998</v>
      </c>
      <c r="E362">
        <v>35.578200000000002</v>
      </c>
      <c r="F362">
        <v>-1.21287E-3</v>
      </c>
      <c r="G362">
        <v>-2.2727000000000001E-2</v>
      </c>
      <c r="H362">
        <v>18.715499999999999</v>
      </c>
      <c r="I362">
        <v>18.738199999999999</v>
      </c>
      <c r="J362">
        <v>-2.2719699999999999E-3</v>
      </c>
      <c r="K362">
        <v>-3.7262299999999998E-2</v>
      </c>
      <c r="L362">
        <v>16.363600000000002</v>
      </c>
      <c r="M362">
        <v>16.4009</v>
      </c>
      <c r="N362">
        <v>-2.8299100000000002E-3</v>
      </c>
      <c r="O362">
        <v>-4.3551800000000002E-2</v>
      </c>
      <c r="P362">
        <v>15.3462</v>
      </c>
      <c r="Q362">
        <v>15.389799999999999</v>
      </c>
      <c r="R362">
        <v>165.995</v>
      </c>
      <c r="S362">
        <v>165.995</v>
      </c>
      <c r="T362">
        <v>4.5646000000000004</v>
      </c>
      <c r="U362">
        <v>16031.6</v>
      </c>
      <c r="V362">
        <f t="shared" si="10"/>
        <v>87.128260869565224</v>
      </c>
      <c r="W362">
        <f t="shared" si="11"/>
        <v>2.1049166666666668E-3</v>
      </c>
    </row>
    <row r="363" spans="1:23" x14ac:dyDescent="0.3">
      <c r="A363">
        <v>356</v>
      </c>
      <c r="B363">
        <v>4.79E-3</v>
      </c>
      <c r="C363">
        <v>0.17041999999999999</v>
      </c>
      <c r="D363">
        <v>35.748600000000003</v>
      </c>
      <c r="E363">
        <v>35.578200000000002</v>
      </c>
      <c r="F363">
        <v>-9.9541100000000008E-4</v>
      </c>
      <c r="G363">
        <v>-1.8652200000000001E-2</v>
      </c>
      <c r="H363">
        <v>18.7196</v>
      </c>
      <c r="I363">
        <v>18.738199999999999</v>
      </c>
      <c r="J363">
        <v>-2.1234299999999999E-3</v>
      </c>
      <c r="K363">
        <v>-3.4826099999999999E-2</v>
      </c>
      <c r="L363">
        <v>16.366</v>
      </c>
      <c r="M363">
        <v>16.4009</v>
      </c>
      <c r="N363">
        <v>-2.7238000000000002E-3</v>
      </c>
      <c r="O363">
        <v>-4.1918700000000003E-2</v>
      </c>
      <c r="P363">
        <v>15.347899999999999</v>
      </c>
      <c r="Q363">
        <v>15.389799999999999</v>
      </c>
      <c r="R363">
        <v>166.30600000000001</v>
      </c>
      <c r="S363">
        <v>166.30600000000001</v>
      </c>
      <c r="T363">
        <v>4.5810000000000004</v>
      </c>
      <c r="U363">
        <v>16089.3</v>
      </c>
      <c r="V363">
        <f t="shared" si="10"/>
        <v>87.441847826086956</v>
      </c>
      <c r="W363">
        <f t="shared" si="11"/>
        <v>1.947547E-3</v>
      </c>
    </row>
    <row r="364" spans="1:23" x14ac:dyDescent="0.3">
      <c r="A364">
        <v>357</v>
      </c>
      <c r="B364">
        <v>4.7893500000000004E-3</v>
      </c>
      <c r="C364">
        <v>0.17039599999999999</v>
      </c>
      <c r="D364">
        <v>35.748600000000003</v>
      </c>
      <c r="E364">
        <v>35.578200000000002</v>
      </c>
      <c r="F364">
        <v>-9.17705E-4</v>
      </c>
      <c r="G364">
        <v>-1.7196199999999998E-2</v>
      </c>
      <c r="H364">
        <v>18.721</v>
      </c>
      <c r="I364">
        <v>18.738199999999999</v>
      </c>
      <c r="J364">
        <v>-2.0034499999999999E-3</v>
      </c>
      <c r="K364">
        <v>-3.28583E-2</v>
      </c>
      <c r="L364">
        <v>16.367999999999999</v>
      </c>
      <c r="M364">
        <v>16.4009</v>
      </c>
      <c r="N364">
        <v>-2.5787100000000001E-3</v>
      </c>
      <c r="O364">
        <v>-3.96858E-2</v>
      </c>
      <c r="P364">
        <v>15.350099999999999</v>
      </c>
      <c r="Q364">
        <v>15.389799999999999</v>
      </c>
      <c r="R364">
        <v>166.74199999999999</v>
      </c>
      <c r="S364">
        <v>166.74199999999999</v>
      </c>
      <c r="T364">
        <v>4.5926</v>
      </c>
      <c r="U364">
        <v>16130</v>
      </c>
      <c r="V364">
        <f t="shared" si="10"/>
        <v>87.663043478260875</v>
      </c>
      <c r="W364">
        <f t="shared" si="11"/>
        <v>1.8332883333333331E-3</v>
      </c>
    </row>
    <row r="365" spans="1:23" x14ac:dyDescent="0.3">
      <c r="A365">
        <v>358</v>
      </c>
      <c r="B365">
        <v>4.77743E-3</v>
      </c>
      <c r="C365">
        <v>0.16997200000000001</v>
      </c>
      <c r="D365">
        <v>35.748100000000001</v>
      </c>
      <c r="E365">
        <v>35.578200000000002</v>
      </c>
      <c r="F365">
        <v>-1.0448600000000001E-3</v>
      </c>
      <c r="G365">
        <v>-1.95788E-2</v>
      </c>
      <c r="H365">
        <v>18.718599999999999</v>
      </c>
      <c r="I365">
        <v>18.738199999999999</v>
      </c>
      <c r="J365">
        <v>-2.22836E-3</v>
      </c>
      <c r="K365">
        <v>-3.6547000000000003E-2</v>
      </c>
      <c r="L365">
        <v>16.3643</v>
      </c>
      <c r="M365">
        <v>16.4009</v>
      </c>
      <c r="N365">
        <v>-2.7778899999999999E-3</v>
      </c>
      <c r="O365">
        <v>-4.27511E-2</v>
      </c>
      <c r="P365">
        <v>15.347</v>
      </c>
      <c r="Q365">
        <v>15.389799999999999</v>
      </c>
      <c r="R365">
        <v>167.11799999999999</v>
      </c>
      <c r="S365">
        <v>167.11799999999999</v>
      </c>
      <c r="T365">
        <v>4.6106999999999996</v>
      </c>
      <c r="U365">
        <v>16193.3</v>
      </c>
      <c r="V365">
        <f t="shared" si="10"/>
        <v>88.0070652173913</v>
      </c>
      <c r="W365">
        <f t="shared" si="11"/>
        <v>2.0170366666666666E-3</v>
      </c>
    </row>
    <row r="366" spans="1:23" x14ac:dyDescent="0.3">
      <c r="A366">
        <v>359</v>
      </c>
      <c r="B366">
        <v>4.7646900000000002E-3</v>
      </c>
      <c r="C366">
        <v>0.169519</v>
      </c>
      <c r="D366">
        <v>35.747700000000002</v>
      </c>
      <c r="E366">
        <v>35.578200000000002</v>
      </c>
      <c r="F366">
        <v>-9.7338899999999996E-4</v>
      </c>
      <c r="G366">
        <v>-1.8239600000000002E-2</v>
      </c>
      <c r="H366">
        <v>18.72</v>
      </c>
      <c r="I366">
        <v>18.738199999999999</v>
      </c>
      <c r="J366">
        <v>-2.12875E-3</v>
      </c>
      <c r="K366">
        <v>-3.4913300000000001E-2</v>
      </c>
      <c r="L366">
        <v>16.3659</v>
      </c>
      <c r="M366">
        <v>16.4009</v>
      </c>
      <c r="N366">
        <v>-2.7514100000000001E-3</v>
      </c>
      <c r="O366">
        <v>-4.2343699999999998E-2</v>
      </c>
      <c r="P366">
        <v>15.3474</v>
      </c>
      <c r="Q366">
        <v>15.389799999999999</v>
      </c>
      <c r="R366">
        <v>167.553</v>
      </c>
      <c r="S366">
        <v>167.553</v>
      </c>
      <c r="T366">
        <v>4.6215999999999999</v>
      </c>
      <c r="U366">
        <v>16231.7</v>
      </c>
      <c r="V366">
        <f t="shared" si="10"/>
        <v>88.215760869565216</v>
      </c>
      <c r="W366">
        <f t="shared" si="11"/>
        <v>1.9511829999999998E-3</v>
      </c>
    </row>
    <row r="367" spans="1:23" x14ac:dyDescent="0.3">
      <c r="A367">
        <v>360</v>
      </c>
      <c r="B367">
        <v>4.8353500000000004E-3</v>
      </c>
      <c r="C367">
        <v>0.17203299999999999</v>
      </c>
      <c r="D367">
        <v>35.7502</v>
      </c>
      <c r="E367">
        <v>35.578200000000002</v>
      </c>
      <c r="F367">
        <v>-1.23456E-3</v>
      </c>
      <c r="G367">
        <v>-2.3133399999999998E-2</v>
      </c>
      <c r="H367">
        <v>18.7151</v>
      </c>
      <c r="I367">
        <v>18.738199999999999</v>
      </c>
      <c r="J367">
        <v>-2.2093999999999998E-3</v>
      </c>
      <c r="K367">
        <v>-3.6235999999999997E-2</v>
      </c>
      <c r="L367">
        <v>16.364599999999999</v>
      </c>
      <c r="M367">
        <v>16.4009</v>
      </c>
      <c r="N367">
        <v>-2.7384800000000002E-3</v>
      </c>
      <c r="O367">
        <v>-4.21447E-2</v>
      </c>
      <c r="P367">
        <v>15.3476</v>
      </c>
      <c r="Q367">
        <v>15.389799999999999</v>
      </c>
      <c r="R367">
        <v>167.803</v>
      </c>
      <c r="S367">
        <v>167.803</v>
      </c>
      <c r="T367">
        <v>4.6287000000000003</v>
      </c>
      <c r="U367">
        <v>16256.6</v>
      </c>
      <c r="V367">
        <f t="shared" si="10"/>
        <v>88.35108695652174</v>
      </c>
      <c r="W367">
        <f t="shared" si="11"/>
        <v>2.0608133333333335E-3</v>
      </c>
    </row>
    <row r="368" spans="1:23" x14ac:dyDescent="0.3">
      <c r="A368">
        <v>361</v>
      </c>
      <c r="B368">
        <v>4.8319799999999996E-3</v>
      </c>
      <c r="C368">
        <v>0.17191300000000001</v>
      </c>
      <c r="D368">
        <v>35.750100000000003</v>
      </c>
      <c r="E368">
        <v>35.578200000000002</v>
      </c>
      <c r="F368">
        <v>-1.2014E-3</v>
      </c>
      <c r="G368">
        <v>-2.2512000000000001E-2</v>
      </c>
      <c r="H368">
        <v>18.715699999999998</v>
      </c>
      <c r="I368">
        <v>18.738199999999999</v>
      </c>
      <c r="J368">
        <v>-2.2891500000000002E-3</v>
      </c>
      <c r="K368">
        <v>-3.7543899999999998E-2</v>
      </c>
      <c r="L368">
        <v>16.363299999999999</v>
      </c>
      <c r="M368">
        <v>16.4009</v>
      </c>
      <c r="N368">
        <v>-2.8080800000000001E-3</v>
      </c>
      <c r="O368">
        <v>-4.3215700000000003E-2</v>
      </c>
      <c r="P368">
        <v>15.3466</v>
      </c>
      <c r="Q368">
        <v>15.389799999999999</v>
      </c>
      <c r="R368">
        <v>168.17699999999999</v>
      </c>
      <c r="S368">
        <v>168.17699999999999</v>
      </c>
      <c r="T368">
        <v>4.6416000000000004</v>
      </c>
      <c r="U368">
        <v>16301.8</v>
      </c>
      <c r="V368">
        <f t="shared" si="10"/>
        <v>88.596739130434784</v>
      </c>
      <c r="W368">
        <f t="shared" si="11"/>
        <v>2.0995433333333333E-3</v>
      </c>
    </row>
    <row r="369" spans="1:23" x14ac:dyDescent="0.3">
      <c r="A369">
        <v>362</v>
      </c>
      <c r="B369">
        <v>4.8387899999999999E-3</v>
      </c>
      <c r="C369">
        <v>0.172155</v>
      </c>
      <c r="D369">
        <v>35.750300000000003</v>
      </c>
      <c r="E369">
        <v>35.578200000000002</v>
      </c>
      <c r="F369">
        <v>-1.04963E-3</v>
      </c>
      <c r="G369">
        <v>-1.96682E-2</v>
      </c>
      <c r="H369">
        <v>18.718599999999999</v>
      </c>
      <c r="I369">
        <v>18.738199999999999</v>
      </c>
      <c r="J369">
        <v>-2.1922399999999998E-3</v>
      </c>
      <c r="K369">
        <v>-3.59545E-2</v>
      </c>
      <c r="L369">
        <v>16.364899999999999</v>
      </c>
      <c r="M369">
        <v>16.4009</v>
      </c>
      <c r="N369">
        <v>-2.8460899999999999E-3</v>
      </c>
      <c r="O369">
        <v>-4.3800699999999998E-2</v>
      </c>
      <c r="P369">
        <v>15.346</v>
      </c>
      <c r="Q369">
        <v>15.389799999999999</v>
      </c>
      <c r="R369">
        <v>168.429</v>
      </c>
      <c r="S369">
        <v>168.429</v>
      </c>
      <c r="T369">
        <v>4.6383999999999999</v>
      </c>
      <c r="U369">
        <v>16290.5</v>
      </c>
      <c r="V369">
        <f t="shared" si="10"/>
        <v>88.535326086956516</v>
      </c>
      <c r="W369">
        <f t="shared" si="11"/>
        <v>2.0293199999999998E-3</v>
      </c>
    </row>
    <row r="370" spans="1:23" x14ac:dyDescent="0.3">
      <c r="A370">
        <v>363</v>
      </c>
      <c r="B370">
        <v>4.8640699999999999E-3</v>
      </c>
      <c r="C370">
        <v>0.17305499999999999</v>
      </c>
      <c r="D370">
        <v>35.751199999999997</v>
      </c>
      <c r="E370">
        <v>35.578200000000002</v>
      </c>
      <c r="F370">
        <v>-1.1442799999999999E-3</v>
      </c>
      <c r="G370">
        <v>-2.14418E-2</v>
      </c>
      <c r="H370">
        <v>18.716799999999999</v>
      </c>
      <c r="I370">
        <v>18.738199999999999</v>
      </c>
      <c r="J370">
        <v>-2.24954E-3</v>
      </c>
      <c r="K370">
        <v>-3.6894400000000001E-2</v>
      </c>
      <c r="L370">
        <v>16.364000000000001</v>
      </c>
      <c r="M370">
        <v>16.4009</v>
      </c>
      <c r="N370">
        <v>-2.8095799999999999E-3</v>
      </c>
      <c r="O370">
        <v>-4.3238899999999997E-2</v>
      </c>
      <c r="P370">
        <v>15.346500000000001</v>
      </c>
      <c r="Q370">
        <v>15.389799999999999</v>
      </c>
      <c r="R370">
        <v>168.739</v>
      </c>
      <c r="S370">
        <v>168.739</v>
      </c>
      <c r="T370">
        <v>4.6502999999999997</v>
      </c>
      <c r="U370">
        <v>16332.3</v>
      </c>
      <c r="V370">
        <f t="shared" si="10"/>
        <v>88.762500000000003</v>
      </c>
      <c r="W370">
        <f t="shared" si="11"/>
        <v>2.0677999999999998E-3</v>
      </c>
    </row>
    <row r="371" spans="1:23" x14ac:dyDescent="0.3">
      <c r="A371">
        <v>364</v>
      </c>
      <c r="B371">
        <v>4.89633E-3</v>
      </c>
      <c r="C371">
        <v>0.174202</v>
      </c>
      <c r="D371">
        <v>35.752400000000002</v>
      </c>
      <c r="E371">
        <v>35.578200000000002</v>
      </c>
      <c r="F371">
        <v>-9.8742899999999995E-4</v>
      </c>
      <c r="G371">
        <v>-1.85027E-2</v>
      </c>
      <c r="H371">
        <v>18.7197</v>
      </c>
      <c r="I371">
        <v>18.738199999999999</v>
      </c>
      <c r="J371">
        <v>-2.0443900000000001E-3</v>
      </c>
      <c r="K371">
        <v>-3.3529799999999998E-2</v>
      </c>
      <c r="L371">
        <v>16.3673</v>
      </c>
      <c r="M371">
        <v>16.4009</v>
      </c>
      <c r="N371">
        <v>-2.7265900000000001E-3</v>
      </c>
      <c r="O371">
        <v>-4.1961699999999998E-2</v>
      </c>
      <c r="P371">
        <v>15.347799999999999</v>
      </c>
      <c r="Q371">
        <v>15.389799999999999</v>
      </c>
      <c r="R371">
        <v>169.17699999999999</v>
      </c>
      <c r="S371">
        <v>169.17699999999999</v>
      </c>
      <c r="T371">
        <v>4.6692999999999998</v>
      </c>
      <c r="U371">
        <v>16399</v>
      </c>
      <c r="V371">
        <f t="shared" si="10"/>
        <v>89.125</v>
      </c>
      <c r="W371">
        <f t="shared" si="11"/>
        <v>1.9194696666666666E-3</v>
      </c>
    </row>
    <row r="372" spans="1:23" x14ac:dyDescent="0.3">
      <c r="A372">
        <v>365</v>
      </c>
      <c r="B372">
        <v>4.9126400000000002E-3</v>
      </c>
      <c r="C372">
        <v>0.17478299999999999</v>
      </c>
      <c r="D372">
        <v>35.752899999999997</v>
      </c>
      <c r="E372">
        <v>35.578200000000002</v>
      </c>
      <c r="F372">
        <v>-1.21923E-3</v>
      </c>
      <c r="G372">
        <v>-2.28463E-2</v>
      </c>
      <c r="H372">
        <v>18.715399999999999</v>
      </c>
      <c r="I372">
        <v>18.738199999999999</v>
      </c>
      <c r="J372">
        <v>-2.2678500000000001E-3</v>
      </c>
      <c r="K372">
        <v>-3.7194600000000001E-2</v>
      </c>
      <c r="L372">
        <v>16.363700000000001</v>
      </c>
      <c r="M372">
        <v>16.4009</v>
      </c>
      <c r="N372">
        <v>-2.86316E-3</v>
      </c>
      <c r="O372">
        <v>-4.4063400000000003E-2</v>
      </c>
      <c r="P372">
        <v>15.345700000000001</v>
      </c>
      <c r="Q372">
        <v>15.389799999999999</v>
      </c>
      <c r="R372">
        <v>169.67699999999999</v>
      </c>
      <c r="S372">
        <v>169.67699999999999</v>
      </c>
      <c r="T372">
        <v>4.6821999999999999</v>
      </c>
      <c r="U372">
        <v>16444.2</v>
      </c>
      <c r="V372">
        <f t="shared" si="10"/>
        <v>89.370652173913044</v>
      </c>
      <c r="W372">
        <f t="shared" si="11"/>
        <v>2.1167466666666668E-3</v>
      </c>
    </row>
    <row r="373" spans="1:23" x14ac:dyDescent="0.3">
      <c r="A373">
        <v>366</v>
      </c>
      <c r="B373">
        <v>4.8788299999999998E-3</v>
      </c>
      <c r="C373">
        <v>0.17358000000000001</v>
      </c>
      <c r="D373">
        <v>35.7517</v>
      </c>
      <c r="E373">
        <v>35.578200000000002</v>
      </c>
      <c r="F373">
        <v>-1.0902100000000001E-3</v>
      </c>
      <c r="G373">
        <v>-2.0428499999999999E-2</v>
      </c>
      <c r="H373">
        <v>18.7178</v>
      </c>
      <c r="I373">
        <v>18.738199999999999</v>
      </c>
      <c r="J373">
        <v>-2.2122399999999999E-3</v>
      </c>
      <c r="K373">
        <v>-3.6282599999999998E-2</v>
      </c>
      <c r="L373">
        <v>16.364599999999999</v>
      </c>
      <c r="M373">
        <v>16.4009</v>
      </c>
      <c r="N373">
        <v>-2.8483499999999999E-3</v>
      </c>
      <c r="O373">
        <v>-4.3835499999999999E-2</v>
      </c>
      <c r="P373">
        <v>15.3459</v>
      </c>
      <c r="Q373">
        <v>15.389799999999999</v>
      </c>
      <c r="R373">
        <v>169.988</v>
      </c>
      <c r="S373">
        <v>169.988</v>
      </c>
      <c r="T373">
        <v>4.7</v>
      </c>
      <c r="U373">
        <v>16506.400000000001</v>
      </c>
      <c r="V373">
        <f t="shared" si="10"/>
        <v>89.708695652173915</v>
      </c>
      <c r="W373">
        <f t="shared" si="11"/>
        <v>2.0502666666666666E-3</v>
      </c>
    </row>
    <row r="374" spans="1:23" x14ac:dyDescent="0.3">
      <c r="A374">
        <v>367</v>
      </c>
      <c r="B374">
        <v>4.8888899999999999E-3</v>
      </c>
      <c r="C374">
        <v>0.17393800000000001</v>
      </c>
      <c r="D374">
        <v>35.752099999999999</v>
      </c>
      <c r="E374">
        <v>35.578200000000002</v>
      </c>
      <c r="F374">
        <v>-1.1140200000000001E-3</v>
      </c>
      <c r="G374">
        <v>-2.08747E-2</v>
      </c>
      <c r="H374">
        <v>18.717400000000001</v>
      </c>
      <c r="I374">
        <v>18.738199999999999</v>
      </c>
      <c r="J374">
        <v>-2.1783800000000002E-3</v>
      </c>
      <c r="K374">
        <v>-3.5727299999999997E-2</v>
      </c>
      <c r="L374">
        <v>16.365100000000002</v>
      </c>
      <c r="M374">
        <v>16.4009</v>
      </c>
      <c r="N374">
        <v>-2.7920000000000002E-3</v>
      </c>
      <c r="O374">
        <v>-4.2968199999999998E-2</v>
      </c>
      <c r="P374">
        <v>15.3468</v>
      </c>
      <c r="Q374">
        <v>15.389799999999999</v>
      </c>
      <c r="R374">
        <v>170.23699999999999</v>
      </c>
      <c r="S374">
        <v>170.23699999999999</v>
      </c>
      <c r="T374">
        <v>4.7031999999999998</v>
      </c>
      <c r="U374">
        <v>16517.7</v>
      </c>
      <c r="V374">
        <f t="shared" si="10"/>
        <v>89.770108695652183</v>
      </c>
      <c r="W374">
        <f t="shared" si="11"/>
        <v>2.0281333333333333E-3</v>
      </c>
    </row>
    <row r="375" spans="1:23" x14ac:dyDescent="0.3">
      <c r="A375">
        <v>368</v>
      </c>
      <c r="B375">
        <v>4.9931799999999998E-3</v>
      </c>
      <c r="C375">
        <v>0.177648</v>
      </c>
      <c r="D375">
        <v>35.755800000000001</v>
      </c>
      <c r="E375">
        <v>35.578200000000002</v>
      </c>
      <c r="F375">
        <v>-1.1522399999999999E-3</v>
      </c>
      <c r="G375">
        <v>-2.15909E-2</v>
      </c>
      <c r="H375">
        <v>18.7166</v>
      </c>
      <c r="I375">
        <v>18.738199999999999</v>
      </c>
      <c r="J375">
        <v>-2.2681400000000001E-3</v>
      </c>
      <c r="K375">
        <v>-3.7199500000000003E-2</v>
      </c>
      <c r="L375">
        <v>16.363700000000001</v>
      </c>
      <c r="M375">
        <v>16.4009</v>
      </c>
      <c r="N375">
        <v>-2.8907899999999999E-3</v>
      </c>
      <c r="O375">
        <v>-4.4488699999999999E-2</v>
      </c>
      <c r="P375">
        <v>15.3453</v>
      </c>
      <c r="Q375">
        <v>15.389799999999999</v>
      </c>
      <c r="R375">
        <v>170.86</v>
      </c>
      <c r="S375">
        <v>170.86</v>
      </c>
      <c r="T375">
        <v>4.7321999999999997</v>
      </c>
      <c r="U375">
        <v>16619.400000000001</v>
      </c>
      <c r="V375">
        <f t="shared" si="10"/>
        <v>90.322826086956525</v>
      </c>
      <c r="W375">
        <f t="shared" si="11"/>
        <v>2.1037233333333332E-3</v>
      </c>
    </row>
    <row r="376" spans="1:23" x14ac:dyDescent="0.3">
      <c r="A376">
        <v>369</v>
      </c>
      <c r="B376">
        <v>4.92392E-3</v>
      </c>
      <c r="C376">
        <v>0.17518400000000001</v>
      </c>
      <c r="D376">
        <v>35.753300000000003</v>
      </c>
      <c r="E376">
        <v>35.578200000000002</v>
      </c>
      <c r="F376">
        <v>-1.0671700000000001E-3</v>
      </c>
      <c r="G376">
        <v>-1.9996900000000001E-2</v>
      </c>
      <c r="H376">
        <v>18.7182</v>
      </c>
      <c r="I376">
        <v>18.738199999999999</v>
      </c>
      <c r="J376">
        <v>-2.2340200000000002E-3</v>
      </c>
      <c r="K376">
        <v>-3.66398E-2</v>
      </c>
      <c r="L376">
        <v>16.3642</v>
      </c>
      <c r="M376">
        <v>16.4009</v>
      </c>
      <c r="N376">
        <v>-2.8405000000000001E-3</v>
      </c>
      <c r="O376">
        <v>-4.3714599999999999E-2</v>
      </c>
      <c r="P376">
        <v>15.3461</v>
      </c>
      <c r="Q376">
        <v>15.389799999999999</v>
      </c>
      <c r="R376">
        <v>171.11199999999999</v>
      </c>
      <c r="S376">
        <v>171.11199999999999</v>
      </c>
      <c r="T376">
        <v>4.7356999999999996</v>
      </c>
      <c r="U376">
        <v>16631.8</v>
      </c>
      <c r="V376">
        <f t="shared" si="10"/>
        <v>90.390217391304347</v>
      </c>
      <c r="W376">
        <f t="shared" si="11"/>
        <v>2.0472300000000001E-3</v>
      </c>
    </row>
    <row r="377" spans="1:23" x14ac:dyDescent="0.3">
      <c r="A377">
        <v>370</v>
      </c>
      <c r="B377">
        <v>4.9426000000000001E-3</v>
      </c>
      <c r="C377">
        <v>0.17584900000000001</v>
      </c>
      <c r="D377">
        <v>35.753999999999998</v>
      </c>
      <c r="E377">
        <v>35.578200000000002</v>
      </c>
      <c r="F377">
        <v>-1.0660000000000001E-3</v>
      </c>
      <c r="G377">
        <v>-1.9975E-2</v>
      </c>
      <c r="H377">
        <v>18.718299999999999</v>
      </c>
      <c r="I377">
        <v>18.738199999999999</v>
      </c>
      <c r="J377">
        <v>-2.21623E-3</v>
      </c>
      <c r="K377">
        <v>-3.6348100000000001E-2</v>
      </c>
      <c r="L377">
        <v>16.3645</v>
      </c>
      <c r="M377">
        <v>16.4009</v>
      </c>
      <c r="N377">
        <v>-2.8284199999999999E-3</v>
      </c>
      <c r="O377">
        <v>-4.3528699999999997E-2</v>
      </c>
      <c r="P377">
        <v>15.346299999999999</v>
      </c>
      <c r="Q377">
        <v>15.389799999999999</v>
      </c>
      <c r="R377">
        <v>171.547</v>
      </c>
      <c r="S377">
        <v>171.547</v>
      </c>
      <c r="T377">
        <v>4.7553999999999998</v>
      </c>
      <c r="U377">
        <v>16700.8</v>
      </c>
      <c r="V377">
        <f t="shared" si="10"/>
        <v>90.765217391304347</v>
      </c>
      <c r="W377">
        <f t="shared" si="11"/>
        <v>2.0368833333333333E-3</v>
      </c>
    </row>
    <row r="378" spans="1:23" x14ac:dyDescent="0.3">
      <c r="A378">
        <v>371</v>
      </c>
      <c r="B378">
        <v>4.9676199999999998E-3</v>
      </c>
      <c r="C378">
        <v>0.17673900000000001</v>
      </c>
      <c r="D378">
        <v>35.754899999999999</v>
      </c>
      <c r="E378">
        <v>35.578200000000002</v>
      </c>
      <c r="F378">
        <v>-1.13474E-3</v>
      </c>
      <c r="G378">
        <v>-2.1263000000000001E-2</v>
      </c>
      <c r="H378">
        <v>18.716999999999999</v>
      </c>
      <c r="I378">
        <v>18.738199999999999</v>
      </c>
      <c r="J378">
        <v>-2.2598900000000001E-3</v>
      </c>
      <c r="K378">
        <v>-3.7064199999999999E-2</v>
      </c>
      <c r="L378">
        <v>16.363800000000001</v>
      </c>
      <c r="M378">
        <v>16.4009</v>
      </c>
      <c r="N378">
        <v>-2.8768399999999999E-3</v>
      </c>
      <c r="O378">
        <v>-4.4274000000000001E-2</v>
      </c>
      <c r="P378">
        <v>15.345499999999999</v>
      </c>
      <c r="Q378">
        <v>15.389799999999999</v>
      </c>
      <c r="R378">
        <v>171.79599999999999</v>
      </c>
      <c r="S378">
        <v>171.79599999999999</v>
      </c>
      <c r="T378">
        <v>4.7567000000000004</v>
      </c>
      <c r="U378">
        <v>16705.3</v>
      </c>
      <c r="V378">
        <f t="shared" si="10"/>
        <v>90.789673913043472</v>
      </c>
      <c r="W378">
        <f t="shared" si="11"/>
        <v>2.09049E-3</v>
      </c>
    </row>
    <row r="379" spans="1:23" x14ac:dyDescent="0.3">
      <c r="A379">
        <v>372</v>
      </c>
      <c r="B379">
        <v>5.0166799999999999E-3</v>
      </c>
      <c r="C379">
        <v>0.178484</v>
      </c>
      <c r="D379">
        <v>35.756599999999999</v>
      </c>
      <c r="E379">
        <v>35.578200000000002</v>
      </c>
      <c r="F379">
        <v>-1.0877199999999999E-3</v>
      </c>
      <c r="G379">
        <v>-2.0381900000000001E-2</v>
      </c>
      <c r="H379">
        <v>18.7178</v>
      </c>
      <c r="I379">
        <v>18.738199999999999</v>
      </c>
      <c r="J379">
        <v>-2.2300900000000001E-3</v>
      </c>
      <c r="K379">
        <v>-3.6575400000000001E-2</v>
      </c>
      <c r="L379">
        <v>16.3643</v>
      </c>
      <c r="M379">
        <v>16.4009</v>
      </c>
      <c r="N379">
        <v>-2.8746700000000002E-3</v>
      </c>
      <c r="O379">
        <v>-4.4240500000000002E-2</v>
      </c>
      <c r="P379">
        <v>15.345499999999999</v>
      </c>
      <c r="Q379">
        <v>15.389799999999999</v>
      </c>
      <c r="R379">
        <v>172.29599999999999</v>
      </c>
      <c r="S379">
        <v>172.29599999999999</v>
      </c>
      <c r="T379">
        <v>4.7801999999999998</v>
      </c>
      <c r="U379">
        <v>16787.8</v>
      </c>
      <c r="V379">
        <f t="shared" si="10"/>
        <v>91.238043478260863</v>
      </c>
      <c r="W379">
        <f t="shared" si="11"/>
        <v>2.0641600000000002E-3</v>
      </c>
    </row>
    <row r="380" spans="1:23" x14ac:dyDescent="0.3">
      <c r="A380">
        <v>373</v>
      </c>
      <c r="B380">
        <v>5.0082800000000004E-3</v>
      </c>
      <c r="C380">
        <v>0.17818500000000001</v>
      </c>
      <c r="D380">
        <v>35.756300000000003</v>
      </c>
      <c r="E380">
        <v>35.578200000000002</v>
      </c>
      <c r="F380">
        <v>-1.1018899999999999E-3</v>
      </c>
      <c r="G380">
        <v>-2.06474E-2</v>
      </c>
      <c r="H380">
        <v>18.717600000000001</v>
      </c>
      <c r="I380">
        <v>18.738199999999999</v>
      </c>
      <c r="J380">
        <v>-2.2047899999999999E-3</v>
      </c>
      <c r="K380">
        <v>-3.6160400000000002E-2</v>
      </c>
      <c r="L380">
        <v>16.364699999999999</v>
      </c>
      <c r="M380">
        <v>16.4009</v>
      </c>
      <c r="N380">
        <v>-2.87872E-3</v>
      </c>
      <c r="O380">
        <v>-4.4302899999999999E-2</v>
      </c>
      <c r="P380">
        <v>15.345499999999999</v>
      </c>
      <c r="Q380">
        <v>15.389799999999999</v>
      </c>
      <c r="R380">
        <v>172.67</v>
      </c>
      <c r="S380">
        <v>172.67</v>
      </c>
      <c r="T380">
        <v>4.7895000000000003</v>
      </c>
      <c r="U380">
        <v>16820.599999999999</v>
      </c>
      <c r="V380">
        <f t="shared" si="10"/>
        <v>91.416304347826085</v>
      </c>
      <c r="W380">
        <f t="shared" si="11"/>
        <v>2.0617999999999999E-3</v>
      </c>
    </row>
    <row r="381" spans="1:23" x14ac:dyDescent="0.3">
      <c r="A381">
        <v>374</v>
      </c>
      <c r="B381">
        <v>5.0125200000000003E-3</v>
      </c>
      <c r="C381">
        <v>0.17833599999999999</v>
      </c>
      <c r="D381">
        <v>35.756500000000003</v>
      </c>
      <c r="E381">
        <v>35.578200000000002</v>
      </c>
      <c r="F381">
        <v>-1.1220500000000001E-3</v>
      </c>
      <c r="G381">
        <v>-2.10253E-2</v>
      </c>
      <c r="H381">
        <v>18.717199999999998</v>
      </c>
      <c r="I381">
        <v>18.738199999999999</v>
      </c>
      <c r="J381">
        <v>-2.2345500000000001E-3</v>
      </c>
      <c r="K381">
        <v>-3.6648500000000001E-2</v>
      </c>
      <c r="L381">
        <v>16.3642</v>
      </c>
      <c r="M381">
        <v>16.4009</v>
      </c>
      <c r="N381">
        <v>-2.8969099999999999E-3</v>
      </c>
      <c r="O381">
        <v>-4.4582900000000002E-2</v>
      </c>
      <c r="P381">
        <v>15.3452</v>
      </c>
      <c r="Q381">
        <v>15.389799999999999</v>
      </c>
      <c r="R381">
        <v>172.92099999999999</v>
      </c>
      <c r="S381">
        <v>172.92099999999999</v>
      </c>
      <c r="T381">
        <v>4.7918000000000003</v>
      </c>
      <c r="U381">
        <v>16828.5</v>
      </c>
      <c r="V381">
        <f t="shared" si="10"/>
        <v>91.459239130434781</v>
      </c>
      <c r="W381">
        <f t="shared" si="11"/>
        <v>2.0845033333333333E-3</v>
      </c>
    </row>
    <row r="382" spans="1:23" x14ac:dyDescent="0.3">
      <c r="A382">
        <v>375</v>
      </c>
      <c r="B382">
        <v>5.0288800000000003E-3</v>
      </c>
      <c r="C382">
        <v>0.17891799999999999</v>
      </c>
      <c r="D382">
        <v>35.757100000000001</v>
      </c>
      <c r="E382">
        <v>35.578200000000002</v>
      </c>
      <c r="F382">
        <v>-1.02968E-3</v>
      </c>
      <c r="G382">
        <v>-1.92944E-2</v>
      </c>
      <c r="H382">
        <v>18.718900000000001</v>
      </c>
      <c r="I382">
        <v>18.738199999999999</v>
      </c>
      <c r="J382">
        <v>-2.1602399999999999E-3</v>
      </c>
      <c r="K382">
        <v>-3.5429700000000001E-2</v>
      </c>
      <c r="L382">
        <v>16.365400000000001</v>
      </c>
      <c r="M382">
        <v>16.4009</v>
      </c>
      <c r="N382">
        <v>-2.88281E-3</v>
      </c>
      <c r="O382">
        <v>-4.4365799999999997E-2</v>
      </c>
      <c r="P382">
        <v>15.3454</v>
      </c>
      <c r="Q382">
        <v>15.389799999999999</v>
      </c>
      <c r="R382">
        <v>173.42099999999999</v>
      </c>
      <c r="S382">
        <v>173.42099999999999</v>
      </c>
      <c r="T382">
        <v>4.8094999999999999</v>
      </c>
      <c r="U382">
        <v>16890.599999999999</v>
      </c>
      <c r="V382">
        <f t="shared" si="10"/>
        <v>91.796739130434773</v>
      </c>
      <c r="W382">
        <f t="shared" si="11"/>
        <v>2.0242433333333334E-3</v>
      </c>
    </row>
    <row r="383" spans="1:23" x14ac:dyDescent="0.3">
      <c r="A383">
        <v>376</v>
      </c>
      <c r="B383">
        <v>5.06077E-3</v>
      </c>
      <c r="C383">
        <v>0.18005299999999999</v>
      </c>
      <c r="D383">
        <v>35.758200000000002</v>
      </c>
      <c r="E383">
        <v>35.578200000000002</v>
      </c>
      <c r="F383">
        <v>-1.15594E-3</v>
      </c>
      <c r="G383">
        <v>-2.1660200000000001E-2</v>
      </c>
      <c r="H383">
        <v>18.7166</v>
      </c>
      <c r="I383">
        <v>18.738199999999999</v>
      </c>
      <c r="J383">
        <v>-2.26771E-3</v>
      </c>
      <c r="K383">
        <v>-3.71924E-2</v>
      </c>
      <c r="L383">
        <v>16.363700000000001</v>
      </c>
      <c r="M383">
        <v>16.4009</v>
      </c>
      <c r="N383">
        <v>-2.89522E-3</v>
      </c>
      <c r="O383">
        <v>-4.4556800000000001E-2</v>
      </c>
      <c r="P383">
        <v>15.3452</v>
      </c>
      <c r="Q383">
        <v>15.389799999999999</v>
      </c>
      <c r="R383">
        <v>173.91800000000001</v>
      </c>
      <c r="S383">
        <v>173.91800000000001</v>
      </c>
      <c r="T383">
        <v>4.8285</v>
      </c>
      <c r="U383">
        <v>16957.3</v>
      </c>
      <c r="V383">
        <f t="shared" si="10"/>
        <v>92.159239130434784</v>
      </c>
      <c r="W383">
        <f t="shared" si="11"/>
        <v>2.1062900000000002E-3</v>
      </c>
    </row>
    <row r="384" spans="1:23" x14ac:dyDescent="0.3">
      <c r="A384">
        <v>377</v>
      </c>
      <c r="B384">
        <v>5.0884900000000002E-3</v>
      </c>
      <c r="C384">
        <v>0.18103900000000001</v>
      </c>
      <c r="D384">
        <v>35.7592</v>
      </c>
      <c r="E384">
        <v>35.578200000000002</v>
      </c>
      <c r="F384">
        <v>-1.13254E-3</v>
      </c>
      <c r="G384">
        <v>-2.1221799999999999E-2</v>
      </c>
      <c r="H384">
        <v>18.716999999999999</v>
      </c>
      <c r="I384">
        <v>18.738199999999999</v>
      </c>
      <c r="J384">
        <v>-2.2302699999999999E-3</v>
      </c>
      <c r="K384">
        <v>-3.6578399999999997E-2</v>
      </c>
      <c r="L384">
        <v>16.3643</v>
      </c>
      <c r="M384">
        <v>16.4009</v>
      </c>
      <c r="N384">
        <v>-2.84906E-3</v>
      </c>
      <c r="O384">
        <v>-4.3846400000000001E-2</v>
      </c>
      <c r="P384">
        <v>15.3459</v>
      </c>
      <c r="Q384">
        <v>15.389799999999999</v>
      </c>
      <c r="R384">
        <v>174.22900000000001</v>
      </c>
      <c r="S384">
        <v>174.22900000000001</v>
      </c>
      <c r="T384">
        <v>4.8304999999999998</v>
      </c>
      <c r="U384">
        <v>16964.099999999999</v>
      </c>
      <c r="V384">
        <f t="shared" si="10"/>
        <v>92.196195652173898</v>
      </c>
      <c r="W384">
        <f t="shared" si="11"/>
        <v>2.0706233333333333E-3</v>
      </c>
    </row>
    <row r="385" spans="1:23" x14ac:dyDescent="0.3">
      <c r="A385">
        <v>378</v>
      </c>
      <c r="B385">
        <v>5.0912500000000003E-3</v>
      </c>
      <c r="C385">
        <v>0.18113699999999999</v>
      </c>
      <c r="D385">
        <v>35.759300000000003</v>
      </c>
      <c r="E385">
        <v>35.578200000000002</v>
      </c>
      <c r="F385">
        <v>-1.15251E-3</v>
      </c>
      <c r="G385">
        <v>-2.1596000000000001E-2</v>
      </c>
      <c r="H385">
        <v>18.7166</v>
      </c>
      <c r="I385">
        <v>18.738199999999999</v>
      </c>
      <c r="J385">
        <v>-2.3104699999999998E-3</v>
      </c>
      <c r="K385">
        <v>-3.7893700000000002E-2</v>
      </c>
      <c r="L385">
        <v>16.363</v>
      </c>
      <c r="M385">
        <v>16.4009</v>
      </c>
      <c r="N385">
        <v>-2.96591E-3</v>
      </c>
      <c r="O385">
        <v>-4.5644700000000003E-2</v>
      </c>
      <c r="P385">
        <v>15.344099999999999</v>
      </c>
      <c r="Q385">
        <v>15.389799999999999</v>
      </c>
      <c r="R385">
        <v>174.667</v>
      </c>
      <c r="S385">
        <v>174.667</v>
      </c>
      <c r="T385">
        <v>4.8566000000000003</v>
      </c>
      <c r="U385">
        <v>17055.7</v>
      </c>
      <c r="V385">
        <f t="shared" si="10"/>
        <v>92.694021739130434</v>
      </c>
      <c r="W385">
        <f t="shared" si="11"/>
        <v>2.1429633333333331E-3</v>
      </c>
    </row>
    <row r="386" spans="1:23" x14ac:dyDescent="0.3">
      <c r="A386">
        <v>379</v>
      </c>
      <c r="B386">
        <v>5.1544399999999997E-3</v>
      </c>
      <c r="C386">
        <v>0.18338599999999999</v>
      </c>
      <c r="D386">
        <v>35.761499999999998</v>
      </c>
      <c r="E386">
        <v>35.578200000000002</v>
      </c>
      <c r="F386">
        <v>-1.13481E-3</v>
      </c>
      <c r="G386">
        <v>-2.12643E-2</v>
      </c>
      <c r="H386">
        <v>18.716999999999999</v>
      </c>
      <c r="I386">
        <v>18.738199999999999</v>
      </c>
      <c r="J386">
        <v>-2.2703799999999998E-3</v>
      </c>
      <c r="K386">
        <v>-3.7236199999999997E-2</v>
      </c>
      <c r="L386">
        <v>16.363600000000002</v>
      </c>
      <c r="M386">
        <v>16.4009</v>
      </c>
      <c r="N386">
        <v>-2.9036999999999999E-3</v>
      </c>
      <c r="O386">
        <v>-4.4687299999999999E-2</v>
      </c>
      <c r="P386">
        <v>15.3451</v>
      </c>
      <c r="Q386">
        <v>15.389799999999999</v>
      </c>
      <c r="R386">
        <v>174.916</v>
      </c>
      <c r="S386">
        <v>174.916</v>
      </c>
      <c r="T386">
        <v>4.8613999999999997</v>
      </c>
      <c r="U386">
        <v>17072.599999999999</v>
      </c>
      <c r="V386">
        <f t="shared" si="10"/>
        <v>92.785869565217382</v>
      </c>
      <c r="W386">
        <f t="shared" si="11"/>
        <v>2.102963333333333E-3</v>
      </c>
    </row>
    <row r="387" spans="1:23" x14ac:dyDescent="0.3">
      <c r="A387">
        <v>380</v>
      </c>
      <c r="B387">
        <v>5.13905E-3</v>
      </c>
      <c r="C387">
        <v>0.182838</v>
      </c>
      <c r="D387">
        <v>35.761000000000003</v>
      </c>
      <c r="E387">
        <v>35.578200000000002</v>
      </c>
      <c r="F387">
        <v>-1.1288800000000001E-3</v>
      </c>
      <c r="G387">
        <v>-2.11532E-2</v>
      </c>
      <c r="H387">
        <v>18.717099999999999</v>
      </c>
      <c r="I387">
        <v>18.738199999999999</v>
      </c>
      <c r="J387">
        <v>-2.24091E-3</v>
      </c>
      <c r="K387">
        <v>-3.6752800000000002E-2</v>
      </c>
      <c r="L387">
        <v>16.364100000000001</v>
      </c>
      <c r="M387">
        <v>16.4009</v>
      </c>
      <c r="N387">
        <v>-2.8775300000000001E-3</v>
      </c>
      <c r="O387">
        <v>-4.4284499999999997E-2</v>
      </c>
      <c r="P387">
        <v>15.345499999999999</v>
      </c>
      <c r="Q387">
        <v>15.389799999999999</v>
      </c>
      <c r="R387">
        <v>175.04300000000001</v>
      </c>
      <c r="S387">
        <v>175.04300000000001</v>
      </c>
      <c r="T387">
        <v>4.8653000000000004</v>
      </c>
      <c r="U387">
        <v>17086.2</v>
      </c>
      <c r="V387">
        <f t="shared" si="10"/>
        <v>92.859782608695653</v>
      </c>
      <c r="W387">
        <f t="shared" si="11"/>
        <v>2.0824400000000001E-3</v>
      </c>
    </row>
    <row r="388" spans="1:23" x14ac:dyDescent="0.3">
      <c r="A388">
        <v>381</v>
      </c>
      <c r="B388">
        <v>5.1272599999999998E-3</v>
      </c>
      <c r="C388">
        <v>0.182419</v>
      </c>
      <c r="D388">
        <v>35.760599999999997</v>
      </c>
      <c r="E388">
        <v>35.578200000000002</v>
      </c>
      <c r="F388">
        <v>-1.1201500000000001E-3</v>
      </c>
      <c r="G388">
        <v>-2.09897E-2</v>
      </c>
      <c r="H388">
        <v>18.717199999999998</v>
      </c>
      <c r="I388">
        <v>18.738199999999999</v>
      </c>
      <c r="J388">
        <v>-2.2684099999999998E-3</v>
      </c>
      <c r="K388">
        <v>-3.7203800000000002E-2</v>
      </c>
      <c r="L388">
        <v>16.363700000000001</v>
      </c>
      <c r="M388">
        <v>16.4009</v>
      </c>
      <c r="N388">
        <v>-2.9604000000000002E-3</v>
      </c>
      <c r="O388">
        <v>-4.5560000000000003E-2</v>
      </c>
      <c r="P388">
        <v>15.344200000000001</v>
      </c>
      <c r="Q388">
        <v>15.389799999999999</v>
      </c>
      <c r="R388">
        <v>175.66499999999999</v>
      </c>
      <c r="S388">
        <v>175.66499999999999</v>
      </c>
      <c r="T388">
        <v>4.8933</v>
      </c>
      <c r="U388">
        <v>17184.5</v>
      </c>
      <c r="V388">
        <f t="shared" si="10"/>
        <v>93.394021739130437</v>
      </c>
      <c r="W388">
        <f t="shared" si="11"/>
        <v>2.1163200000000001E-3</v>
      </c>
    </row>
    <row r="389" spans="1:23" x14ac:dyDescent="0.3">
      <c r="A389">
        <v>382</v>
      </c>
      <c r="B389">
        <v>5.1251400000000003E-3</v>
      </c>
      <c r="C389">
        <v>0.18234300000000001</v>
      </c>
      <c r="D389">
        <v>35.7605</v>
      </c>
      <c r="E389">
        <v>35.578200000000002</v>
      </c>
      <c r="F389">
        <v>-1.1609400000000001E-3</v>
      </c>
      <c r="G389">
        <v>-2.17539E-2</v>
      </c>
      <c r="H389">
        <v>18.7165</v>
      </c>
      <c r="I389">
        <v>18.738199999999999</v>
      </c>
      <c r="J389">
        <v>-2.29802E-3</v>
      </c>
      <c r="K389">
        <v>-3.7689500000000001E-2</v>
      </c>
      <c r="L389">
        <v>16.363199999999999</v>
      </c>
      <c r="M389">
        <v>16.4009</v>
      </c>
      <c r="N389">
        <v>-2.9539499999999999E-3</v>
      </c>
      <c r="O389">
        <v>-4.5460599999999997E-2</v>
      </c>
      <c r="P389">
        <v>15.3443</v>
      </c>
      <c r="Q389">
        <v>15.389799999999999</v>
      </c>
      <c r="R389">
        <v>176.10400000000001</v>
      </c>
      <c r="S389">
        <v>176.10400000000001</v>
      </c>
      <c r="T389">
        <v>4.9013999999999998</v>
      </c>
      <c r="U389">
        <v>17212.8</v>
      </c>
      <c r="V389">
        <f t="shared" si="10"/>
        <v>93.547826086956519</v>
      </c>
      <c r="W389">
        <f t="shared" si="11"/>
        <v>2.1376366666666668E-3</v>
      </c>
    </row>
    <row r="390" spans="1:23" x14ac:dyDescent="0.3">
      <c r="A390">
        <v>383</v>
      </c>
      <c r="B390">
        <v>5.1562500000000002E-3</v>
      </c>
      <c r="C390">
        <v>0.18345</v>
      </c>
      <c r="D390">
        <v>35.761600000000001</v>
      </c>
      <c r="E390">
        <v>35.578200000000002</v>
      </c>
      <c r="F390">
        <v>-1.14522E-3</v>
      </c>
      <c r="G390">
        <v>-2.1459300000000001E-2</v>
      </c>
      <c r="H390">
        <v>18.716799999999999</v>
      </c>
      <c r="I390">
        <v>18.738199999999999</v>
      </c>
      <c r="J390">
        <v>-2.32431E-3</v>
      </c>
      <c r="K390">
        <v>-3.81207E-2</v>
      </c>
      <c r="L390">
        <v>16.3627</v>
      </c>
      <c r="M390">
        <v>16.4009</v>
      </c>
      <c r="N390">
        <v>-2.98964E-3</v>
      </c>
      <c r="O390">
        <v>-4.6009799999999997E-2</v>
      </c>
      <c r="P390">
        <v>15.3438</v>
      </c>
      <c r="Q390">
        <v>15.389799999999999</v>
      </c>
      <c r="R390">
        <v>176.601</v>
      </c>
      <c r="S390">
        <v>176.601</v>
      </c>
      <c r="T390">
        <v>4.9194000000000004</v>
      </c>
      <c r="U390">
        <v>17276.099999999999</v>
      </c>
      <c r="V390">
        <f t="shared" si="10"/>
        <v>93.891847826086945</v>
      </c>
      <c r="W390">
        <f t="shared" si="11"/>
        <v>2.1530566666666667E-3</v>
      </c>
    </row>
    <row r="391" spans="1:23" x14ac:dyDescent="0.3">
      <c r="A391">
        <v>384</v>
      </c>
      <c r="B391">
        <v>5.1330200000000003E-3</v>
      </c>
      <c r="C391">
        <v>0.18262400000000001</v>
      </c>
      <c r="D391">
        <v>35.760800000000003</v>
      </c>
      <c r="E391">
        <v>35.578200000000002</v>
      </c>
      <c r="F391">
        <v>-1.2001E-3</v>
      </c>
      <c r="G391">
        <v>-2.2487799999999999E-2</v>
      </c>
      <c r="H391">
        <v>18.715699999999998</v>
      </c>
      <c r="I391">
        <v>18.738199999999999</v>
      </c>
      <c r="J391">
        <v>-2.4024099999999998E-3</v>
      </c>
      <c r="K391">
        <v>-3.9401499999999999E-2</v>
      </c>
      <c r="L391">
        <v>16.361499999999999</v>
      </c>
      <c r="M391">
        <v>16.4009</v>
      </c>
      <c r="N391">
        <v>-3.0702400000000001E-3</v>
      </c>
      <c r="O391">
        <v>-4.7250300000000002E-2</v>
      </c>
      <c r="P391">
        <v>15.342499999999999</v>
      </c>
      <c r="Q391">
        <v>15.389799999999999</v>
      </c>
      <c r="R391">
        <v>176.726</v>
      </c>
      <c r="S391">
        <v>176.726</v>
      </c>
      <c r="T391">
        <v>4.9259000000000004</v>
      </c>
      <c r="U391">
        <v>17298.7</v>
      </c>
      <c r="V391">
        <f t="shared" si="10"/>
        <v>94.014673913043481</v>
      </c>
      <c r="W391">
        <f t="shared" si="11"/>
        <v>2.2242500000000001E-3</v>
      </c>
    </row>
    <row r="392" spans="1:23" x14ac:dyDescent="0.3">
      <c r="A392">
        <v>385</v>
      </c>
      <c r="B392">
        <v>5.2453500000000002E-3</v>
      </c>
      <c r="C392">
        <v>0.18662000000000001</v>
      </c>
      <c r="D392">
        <v>35.764800000000001</v>
      </c>
      <c r="E392">
        <v>35.578200000000002</v>
      </c>
      <c r="F392">
        <v>-1.19392E-3</v>
      </c>
      <c r="G392">
        <v>-2.23719E-2</v>
      </c>
      <c r="H392">
        <v>18.715900000000001</v>
      </c>
      <c r="I392">
        <v>18.738199999999999</v>
      </c>
      <c r="J392">
        <v>-2.3062E-3</v>
      </c>
      <c r="K392">
        <v>-3.7823599999999999E-2</v>
      </c>
      <c r="L392">
        <v>16.363</v>
      </c>
      <c r="M392">
        <v>16.4009</v>
      </c>
      <c r="N392">
        <v>-2.9610600000000002E-3</v>
      </c>
      <c r="O392">
        <v>-4.5570100000000002E-2</v>
      </c>
      <c r="P392">
        <v>15.344200000000001</v>
      </c>
      <c r="Q392">
        <v>15.389799999999999</v>
      </c>
      <c r="R392">
        <v>177.16499999999999</v>
      </c>
      <c r="S392">
        <v>177.166</v>
      </c>
      <c r="T392">
        <v>4.9420000000000002</v>
      </c>
      <c r="U392">
        <v>17355.2</v>
      </c>
      <c r="V392">
        <f t="shared" ref="V392:V430" si="12">U392/A$2/B$2</f>
        <v>94.321739130434793</v>
      </c>
      <c r="W392">
        <f t="shared" ref="W392:W430" si="13">-AVERAGE(F392,J392,N392)</f>
        <v>2.1537266666666667E-3</v>
      </c>
    </row>
    <row r="393" spans="1:23" x14ac:dyDescent="0.3">
      <c r="A393">
        <v>386</v>
      </c>
      <c r="B393">
        <v>5.2167300000000002E-3</v>
      </c>
      <c r="C393">
        <v>0.18560199999999999</v>
      </c>
      <c r="D393">
        <v>35.763800000000003</v>
      </c>
      <c r="E393">
        <v>35.578200000000002</v>
      </c>
      <c r="F393">
        <v>-1.1081699999999999E-3</v>
      </c>
      <c r="G393">
        <v>-2.0765100000000002E-2</v>
      </c>
      <c r="H393">
        <v>18.717500000000001</v>
      </c>
      <c r="I393">
        <v>18.738199999999999</v>
      </c>
      <c r="J393">
        <v>-2.2739399999999999E-3</v>
      </c>
      <c r="K393">
        <v>-3.7294500000000001E-2</v>
      </c>
      <c r="L393">
        <v>16.363600000000002</v>
      </c>
      <c r="M393">
        <v>16.4009</v>
      </c>
      <c r="N393">
        <v>-2.95517E-3</v>
      </c>
      <c r="O393">
        <v>-4.5479400000000003E-2</v>
      </c>
      <c r="P393">
        <v>15.3443</v>
      </c>
      <c r="Q393">
        <v>15.389799999999999</v>
      </c>
      <c r="R393">
        <v>177.53899999999999</v>
      </c>
      <c r="S393">
        <v>177.54</v>
      </c>
      <c r="T393">
        <v>4.9474999999999998</v>
      </c>
      <c r="U393">
        <v>17374.400000000001</v>
      </c>
      <c r="V393">
        <f t="shared" si="12"/>
        <v>94.426086956521743</v>
      </c>
      <c r="W393">
        <f t="shared" si="13"/>
        <v>2.1124266666666665E-3</v>
      </c>
    </row>
    <row r="394" spans="1:23" x14ac:dyDescent="0.3">
      <c r="A394">
        <v>387</v>
      </c>
      <c r="B394">
        <v>5.1581999999999999E-3</v>
      </c>
      <c r="C394">
        <v>0.18351899999999999</v>
      </c>
      <c r="D394">
        <v>35.761699999999998</v>
      </c>
      <c r="E394">
        <v>35.578200000000002</v>
      </c>
      <c r="F394">
        <v>-1.15015E-3</v>
      </c>
      <c r="G394">
        <v>-2.1551799999999999E-2</v>
      </c>
      <c r="H394">
        <v>18.716699999999999</v>
      </c>
      <c r="I394">
        <v>18.738199999999999</v>
      </c>
      <c r="J394">
        <v>-2.3376600000000001E-3</v>
      </c>
      <c r="K394">
        <v>-3.8339600000000001E-2</v>
      </c>
      <c r="L394">
        <v>16.362500000000001</v>
      </c>
      <c r="M394">
        <v>16.4009</v>
      </c>
      <c r="N394">
        <v>-3.04544E-3</v>
      </c>
      <c r="O394">
        <v>-4.6868600000000003E-2</v>
      </c>
      <c r="P394">
        <v>15.3429</v>
      </c>
      <c r="Q394">
        <v>15.389799999999999</v>
      </c>
      <c r="R394">
        <v>177.661</v>
      </c>
      <c r="S394">
        <v>177.661</v>
      </c>
      <c r="T394">
        <v>4.9565000000000001</v>
      </c>
      <c r="U394">
        <v>17406</v>
      </c>
      <c r="V394">
        <f t="shared" si="12"/>
        <v>94.597826086956516</v>
      </c>
      <c r="W394">
        <f t="shared" si="13"/>
        <v>2.17775E-3</v>
      </c>
    </row>
    <row r="395" spans="1:23" x14ac:dyDescent="0.3">
      <c r="A395">
        <v>388</v>
      </c>
      <c r="B395">
        <v>5.2519200000000002E-3</v>
      </c>
      <c r="C395">
        <v>0.18685399999999999</v>
      </c>
      <c r="D395">
        <v>35.765000000000001</v>
      </c>
      <c r="E395">
        <v>35.578200000000002</v>
      </c>
      <c r="F395">
        <v>-1.15369E-3</v>
      </c>
      <c r="G395">
        <v>-2.1618100000000001E-2</v>
      </c>
      <c r="H395">
        <v>18.7166</v>
      </c>
      <c r="I395">
        <v>18.738199999999999</v>
      </c>
      <c r="J395">
        <v>-2.2932500000000001E-3</v>
      </c>
      <c r="K395">
        <v>-3.7611199999999997E-2</v>
      </c>
      <c r="L395">
        <v>16.363199999999999</v>
      </c>
      <c r="M395">
        <v>16.4009</v>
      </c>
      <c r="N395">
        <v>-2.9522400000000001E-3</v>
      </c>
      <c r="O395">
        <v>-4.54344E-2</v>
      </c>
      <c r="P395">
        <v>15.3443</v>
      </c>
      <c r="Q395">
        <v>15.389799999999999</v>
      </c>
      <c r="R395">
        <v>178.34800000000001</v>
      </c>
      <c r="S395">
        <v>178.34899999999999</v>
      </c>
      <c r="T395">
        <v>4.9839000000000002</v>
      </c>
      <c r="U395">
        <v>17502.099999999999</v>
      </c>
      <c r="V395">
        <f t="shared" si="12"/>
        <v>95.120108695652164</v>
      </c>
      <c r="W395">
        <f t="shared" si="13"/>
        <v>2.13306E-3</v>
      </c>
    </row>
    <row r="396" spans="1:23" x14ac:dyDescent="0.3">
      <c r="A396">
        <v>389</v>
      </c>
      <c r="B396">
        <v>5.2448E-3</v>
      </c>
      <c r="C396">
        <v>0.18659999999999999</v>
      </c>
      <c r="D396">
        <v>35.764800000000001</v>
      </c>
      <c r="E396">
        <v>35.578200000000002</v>
      </c>
      <c r="F396">
        <v>-1.1860600000000001E-3</v>
      </c>
      <c r="G396">
        <v>-2.22247E-2</v>
      </c>
      <c r="H396">
        <v>18.716000000000001</v>
      </c>
      <c r="I396">
        <v>18.738199999999999</v>
      </c>
      <c r="J396">
        <v>-2.3391499999999999E-3</v>
      </c>
      <c r="K396">
        <v>-3.8364099999999998E-2</v>
      </c>
      <c r="L396">
        <v>16.362500000000001</v>
      </c>
      <c r="M396">
        <v>16.4009</v>
      </c>
      <c r="N396">
        <v>-3.03871E-3</v>
      </c>
      <c r="O396">
        <v>-4.6765000000000001E-2</v>
      </c>
      <c r="P396">
        <v>15.343</v>
      </c>
      <c r="Q396">
        <v>15.389799999999999</v>
      </c>
      <c r="R396">
        <v>178.72200000000001</v>
      </c>
      <c r="S396">
        <v>178.72300000000001</v>
      </c>
      <c r="T396">
        <v>4.9886999999999997</v>
      </c>
      <c r="U396">
        <v>17519.099999999999</v>
      </c>
      <c r="V396">
        <f t="shared" si="12"/>
        <v>95.212499999999991</v>
      </c>
      <c r="W396">
        <f t="shared" si="13"/>
        <v>2.1879733333333333E-3</v>
      </c>
    </row>
    <row r="397" spans="1:23" x14ac:dyDescent="0.3">
      <c r="A397">
        <v>390</v>
      </c>
      <c r="B397">
        <v>5.2759399999999998E-3</v>
      </c>
      <c r="C397">
        <v>0.18770800000000001</v>
      </c>
      <c r="D397">
        <v>35.765900000000002</v>
      </c>
      <c r="E397">
        <v>35.578200000000002</v>
      </c>
      <c r="F397">
        <v>-1.1853E-3</v>
      </c>
      <c r="G397">
        <v>-2.2210400000000002E-2</v>
      </c>
      <c r="H397">
        <v>18.716000000000001</v>
      </c>
      <c r="I397">
        <v>18.738199999999999</v>
      </c>
      <c r="J397">
        <v>-2.3267100000000001E-3</v>
      </c>
      <c r="K397">
        <v>-3.8160100000000002E-2</v>
      </c>
      <c r="L397">
        <v>16.3627</v>
      </c>
      <c r="M397">
        <v>16.4009</v>
      </c>
      <c r="N397">
        <v>-3.01249E-3</v>
      </c>
      <c r="O397">
        <v>-4.6361600000000003E-2</v>
      </c>
      <c r="P397">
        <v>15.343400000000001</v>
      </c>
      <c r="Q397">
        <v>15.389799999999999</v>
      </c>
      <c r="R397">
        <v>179.161</v>
      </c>
      <c r="S397">
        <v>179.16200000000001</v>
      </c>
      <c r="T397">
        <v>5.0064000000000002</v>
      </c>
      <c r="U397">
        <v>17581.2</v>
      </c>
      <c r="V397">
        <f t="shared" si="12"/>
        <v>95.55</v>
      </c>
      <c r="W397">
        <f t="shared" si="13"/>
        <v>2.1748333333333337E-3</v>
      </c>
    </row>
    <row r="398" spans="1:23" x14ac:dyDescent="0.3">
      <c r="A398">
        <v>391</v>
      </c>
      <c r="B398">
        <v>5.2517900000000001E-3</v>
      </c>
      <c r="C398">
        <v>0.18684899999999999</v>
      </c>
      <c r="D398">
        <v>35.765000000000001</v>
      </c>
      <c r="E398">
        <v>35.578200000000002</v>
      </c>
      <c r="F398">
        <v>-1.2333000000000001E-3</v>
      </c>
      <c r="G398">
        <v>-2.31098E-2</v>
      </c>
      <c r="H398">
        <v>18.7151</v>
      </c>
      <c r="I398">
        <v>18.738199999999999</v>
      </c>
      <c r="J398">
        <v>-2.3906299999999999E-3</v>
      </c>
      <c r="K398">
        <v>-3.9208399999999997E-2</v>
      </c>
      <c r="L398">
        <v>16.361599999999999</v>
      </c>
      <c r="M398">
        <v>16.4009</v>
      </c>
      <c r="N398">
        <v>-3.0869600000000001E-3</v>
      </c>
      <c r="O398">
        <v>-4.7507599999999997E-2</v>
      </c>
      <c r="P398">
        <v>15.3423</v>
      </c>
      <c r="Q398">
        <v>15.389799999999999</v>
      </c>
      <c r="R398">
        <v>179.40799999999999</v>
      </c>
      <c r="S398">
        <v>179.40799999999999</v>
      </c>
      <c r="T398">
        <v>5.0193000000000003</v>
      </c>
      <c r="U398">
        <v>17626.5</v>
      </c>
      <c r="V398">
        <f t="shared" si="12"/>
        <v>95.796195652173907</v>
      </c>
      <c r="W398">
        <f t="shared" si="13"/>
        <v>2.2369633333333334E-3</v>
      </c>
    </row>
    <row r="399" spans="1:23" x14ac:dyDescent="0.3">
      <c r="A399">
        <v>392</v>
      </c>
      <c r="B399">
        <v>5.2682800000000002E-3</v>
      </c>
      <c r="C399">
        <v>0.18743599999999999</v>
      </c>
      <c r="D399">
        <v>35.765599999999999</v>
      </c>
      <c r="E399">
        <v>35.578200000000002</v>
      </c>
      <c r="F399">
        <v>-1.22065E-3</v>
      </c>
      <c r="G399">
        <v>-2.2872799999999999E-2</v>
      </c>
      <c r="H399">
        <v>18.715399999999999</v>
      </c>
      <c r="I399">
        <v>18.738199999999999</v>
      </c>
      <c r="J399">
        <v>-2.4178300000000002E-3</v>
      </c>
      <c r="K399">
        <v>-3.9654399999999999E-2</v>
      </c>
      <c r="L399">
        <v>16.3612</v>
      </c>
      <c r="M399">
        <v>16.4009</v>
      </c>
      <c r="N399">
        <v>-3.0565499999999999E-3</v>
      </c>
      <c r="O399">
        <v>-4.7039600000000001E-2</v>
      </c>
      <c r="P399">
        <v>15.342700000000001</v>
      </c>
      <c r="Q399">
        <v>15.389799999999999</v>
      </c>
      <c r="R399">
        <v>179.91</v>
      </c>
      <c r="S399">
        <v>179.911</v>
      </c>
      <c r="T399">
        <v>5.0338000000000003</v>
      </c>
      <c r="U399">
        <v>17677.3</v>
      </c>
      <c r="V399">
        <f t="shared" si="12"/>
        <v>96.072282608695645</v>
      </c>
      <c r="W399">
        <f t="shared" si="13"/>
        <v>2.2316766666666669E-3</v>
      </c>
    </row>
    <row r="400" spans="1:23" x14ac:dyDescent="0.3">
      <c r="A400">
        <v>393</v>
      </c>
      <c r="B400">
        <v>5.3706700000000001E-3</v>
      </c>
      <c r="C400">
        <v>0.191079</v>
      </c>
      <c r="D400">
        <v>35.769199999999998</v>
      </c>
      <c r="E400">
        <v>35.578200000000002</v>
      </c>
      <c r="F400">
        <v>-1.2112399999999999E-3</v>
      </c>
      <c r="G400">
        <v>-2.2696500000000001E-2</v>
      </c>
      <c r="H400">
        <v>18.715499999999999</v>
      </c>
      <c r="I400">
        <v>18.738199999999999</v>
      </c>
      <c r="J400">
        <v>-2.4207500000000002E-3</v>
      </c>
      <c r="K400">
        <v>-3.9702399999999999E-2</v>
      </c>
      <c r="L400">
        <v>16.3612</v>
      </c>
      <c r="M400">
        <v>16.4009</v>
      </c>
      <c r="N400">
        <v>-3.10692E-3</v>
      </c>
      <c r="O400">
        <v>-4.7814799999999998E-2</v>
      </c>
      <c r="P400">
        <v>15.342000000000001</v>
      </c>
      <c r="Q400">
        <v>15.389799999999999</v>
      </c>
      <c r="R400">
        <v>180.22</v>
      </c>
      <c r="S400">
        <v>180.221</v>
      </c>
      <c r="T400">
        <v>5.0419</v>
      </c>
      <c r="U400">
        <v>17705.599999999999</v>
      </c>
      <c r="V400">
        <f t="shared" si="12"/>
        <v>96.226086956521726</v>
      </c>
      <c r="W400">
        <f t="shared" si="13"/>
        <v>2.2463033333333334E-3</v>
      </c>
    </row>
    <row r="401" spans="1:23" x14ac:dyDescent="0.3">
      <c r="A401">
        <v>394</v>
      </c>
      <c r="B401">
        <v>5.3303300000000003E-3</v>
      </c>
      <c r="C401">
        <v>0.18964300000000001</v>
      </c>
      <c r="D401">
        <v>35.767800000000001</v>
      </c>
      <c r="E401">
        <v>35.578200000000002</v>
      </c>
      <c r="F401">
        <v>-1.2069800000000001E-3</v>
      </c>
      <c r="G401">
        <v>-2.2616799999999999E-2</v>
      </c>
      <c r="H401">
        <v>18.715599999999998</v>
      </c>
      <c r="I401">
        <v>18.738199999999999</v>
      </c>
      <c r="J401">
        <v>-2.36418E-3</v>
      </c>
      <c r="K401">
        <v>-3.8774500000000003E-2</v>
      </c>
      <c r="L401">
        <v>16.362100000000002</v>
      </c>
      <c r="M401">
        <v>16.4009</v>
      </c>
      <c r="N401">
        <v>-3.0739999999999999E-3</v>
      </c>
      <c r="O401">
        <v>-4.7308200000000002E-2</v>
      </c>
      <c r="P401">
        <v>15.342499999999999</v>
      </c>
      <c r="Q401">
        <v>15.389799999999999</v>
      </c>
      <c r="R401">
        <v>180.535</v>
      </c>
      <c r="S401">
        <v>180.535</v>
      </c>
      <c r="T401">
        <v>5.0509000000000004</v>
      </c>
      <c r="U401">
        <v>17737.2</v>
      </c>
      <c r="V401">
        <f t="shared" si="12"/>
        <v>96.397826086956528</v>
      </c>
      <c r="W401">
        <f t="shared" si="13"/>
        <v>2.2150533333333334E-3</v>
      </c>
    </row>
    <row r="402" spans="1:23" x14ac:dyDescent="0.3">
      <c r="A402">
        <v>395</v>
      </c>
      <c r="B402">
        <v>5.3090200000000002E-3</v>
      </c>
      <c r="C402">
        <v>0.188885</v>
      </c>
      <c r="D402">
        <v>35.767000000000003</v>
      </c>
      <c r="E402">
        <v>35.578200000000002</v>
      </c>
      <c r="F402">
        <v>-1.24088E-3</v>
      </c>
      <c r="G402">
        <v>-2.3251899999999999E-2</v>
      </c>
      <c r="H402">
        <v>18.715</v>
      </c>
      <c r="I402">
        <v>18.738199999999999</v>
      </c>
      <c r="J402">
        <v>-2.4264999999999998E-3</v>
      </c>
      <c r="K402">
        <v>-3.9796699999999997E-2</v>
      </c>
      <c r="L402">
        <v>16.3611</v>
      </c>
      <c r="M402">
        <v>16.4009</v>
      </c>
      <c r="N402">
        <v>-3.0988600000000002E-3</v>
      </c>
      <c r="O402">
        <v>-4.7690799999999998E-2</v>
      </c>
      <c r="P402">
        <v>15.3421</v>
      </c>
      <c r="Q402">
        <v>15.389799999999999</v>
      </c>
      <c r="R402">
        <v>180.78100000000001</v>
      </c>
      <c r="S402">
        <v>180.78100000000001</v>
      </c>
      <c r="T402">
        <v>5.0640999999999998</v>
      </c>
      <c r="U402">
        <v>17783.599999999999</v>
      </c>
      <c r="V402">
        <f t="shared" si="12"/>
        <v>96.649999999999991</v>
      </c>
      <c r="W402">
        <f t="shared" si="13"/>
        <v>2.2554133333333331E-3</v>
      </c>
    </row>
    <row r="403" spans="1:23" x14ac:dyDescent="0.3">
      <c r="A403">
        <v>396</v>
      </c>
      <c r="B403">
        <v>5.3195600000000001E-3</v>
      </c>
      <c r="C403">
        <v>0.18926000000000001</v>
      </c>
      <c r="D403">
        <v>35.767400000000002</v>
      </c>
      <c r="E403">
        <v>35.578200000000002</v>
      </c>
      <c r="F403">
        <v>-1.14247E-3</v>
      </c>
      <c r="G403">
        <v>-2.1407900000000001E-2</v>
      </c>
      <c r="H403">
        <v>18.716799999999999</v>
      </c>
      <c r="I403">
        <v>18.738199999999999</v>
      </c>
      <c r="J403">
        <v>-2.3365E-3</v>
      </c>
      <c r="K403">
        <v>-3.8320699999999999E-2</v>
      </c>
      <c r="L403">
        <v>16.362500000000001</v>
      </c>
      <c r="M403">
        <v>16.4009</v>
      </c>
      <c r="N403">
        <v>-3.0442099999999999E-3</v>
      </c>
      <c r="O403">
        <v>-4.6849700000000001E-2</v>
      </c>
      <c r="P403">
        <v>15.3429</v>
      </c>
      <c r="Q403">
        <v>15.389799999999999</v>
      </c>
      <c r="R403">
        <v>181.28200000000001</v>
      </c>
      <c r="S403">
        <v>181.28200000000001</v>
      </c>
      <c r="T403">
        <v>5.0811999999999999</v>
      </c>
      <c r="U403">
        <v>17843.5</v>
      </c>
      <c r="V403">
        <f t="shared" si="12"/>
        <v>96.975543478260875</v>
      </c>
      <c r="W403">
        <f t="shared" si="13"/>
        <v>2.1743933333333333E-3</v>
      </c>
    </row>
    <row r="404" spans="1:23" x14ac:dyDescent="0.3">
      <c r="A404">
        <v>397</v>
      </c>
      <c r="B404">
        <v>5.3435399999999999E-3</v>
      </c>
      <c r="C404">
        <v>0.190113</v>
      </c>
      <c r="D404">
        <v>35.768300000000004</v>
      </c>
      <c r="E404">
        <v>35.578200000000002</v>
      </c>
      <c r="F404">
        <v>-1.20998E-3</v>
      </c>
      <c r="G404">
        <v>-2.26728E-2</v>
      </c>
      <c r="H404">
        <v>18.715599999999998</v>
      </c>
      <c r="I404">
        <v>18.738199999999999</v>
      </c>
      <c r="J404">
        <v>-2.4088099999999999E-3</v>
      </c>
      <c r="K404">
        <v>-3.95065E-2</v>
      </c>
      <c r="L404">
        <v>16.3613</v>
      </c>
      <c r="M404">
        <v>16.4009</v>
      </c>
      <c r="N404">
        <v>-3.1070799999999999E-3</v>
      </c>
      <c r="O404">
        <v>-4.7817199999999997E-2</v>
      </c>
      <c r="P404">
        <v>15.342000000000001</v>
      </c>
      <c r="Q404">
        <v>15.389799999999999</v>
      </c>
      <c r="R404">
        <v>181.595</v>
      </c>
      <c r="S404">
        <v>181.595</v>
      </c>
      <c r="T404">
        <v>5.0979999999999999</v>
      </c>
      <c r="U404">
        <v>17902.2</v>
      </c>
      <c r="V404">
        <f t="shared" si="12"/>
        <v>97.294565217391309</v>
      </c>
      <c r="W404">
        <f t="shared" si="13"/>
        <v>2.2419566666666666E-3</v>
      </c>
    </row>
    <row r="405" spans="1:23" x14ac:dyDescent="0.3">
      <c r="A405">
        <v>398</v>
      </c>
      <c r="B405">
        <v>5.3625900000000004E-3</v>
      </c>
      <c r="C405">
        <v>0.19079099999999999</v>
      </c>
      <c r="D405">
        <v>35.768999999999998</v>
      </c>
      <c r="E405">
        <v>35.578200000000002</v>
      </c>
      <c r="F405">
        <v>-1.196E-3</v>
      </c>
      <c r="G405">
        <v>-2.2411E-2</v>
      </c>
      <c r="H405">
        <v>18.715800000000002</v>
      </c>
      <c r="I405">
        <v>18.738199999999999</v>
      </c>
      <c r="J405">
        <v>-2.3897300000000001E-3</v>
      </c>
      <c r="K405">
        <v>-3.9193699999999998E-2</v>
      </c>
      <c r="L405">
        <v>16.361699999999999</v>
      </c>
      <c r="M405">
        <v>16.4009</v>
      </c>
      <c r="N405">
        <v>-3.0725100000000001E-3</v>
      </c>
      <c r="O405">
        <v>-4.7285300000000002E-2</v>
      </c>
      <c r="P405">
        <v>15.342499999999999</v>
      </c>
      <c r="Q405">
        <v>15.389799999999999</v>
      </c>
      <c r="R405">
        <v>182.029</v>
      </c>
      <c r="S405">
        <v>182.029</v>
      </c>
      <c r="T405">
        <v>5.1006</v>
      </c>
      <c r="U405">
        <v>17911.3</v>
      </c>
      <c r="V405">
        <f t="shared" si="12"/>
        <v>97.344021739130426</v>
      </c>
      <c r="W405">
        <f t="shared" si="13"/>
        <v>2.2194133333333335E-3</v>
      </c>
    </row>
    <row r="406" spans="1:23" x14ac:dyDescent="0.3">
      <c r="A406">
        <v>399</v>
      </c>
      <c r="B406">
        <v>5.3847499999999998E-3</v>
      </c>
      <c r="C406">
        <v>0.19158</v>
      </c>
      <c r="D406">
        <v>35.7697</v>
      </c>
      <c r="E406">
        <v>35.578200000000002</v>
      </c>
      <c r="F406">
        <v>-1.30353E-3</v>
      </c>
      <c r="G406">
        <v>-2.44259E-2</v>
      </c>
      <c r="H406">
        <v>18.713799999999999</v>
      </c>
      <c r="I406">
        <v>18.738199999999999</v>
      </c>
      <c r="J406">
        <v>-2.4697199999999999E-3</v>
      </c>
      <c r="K406">
        <v>-4.0505600000000003E-2</v>
      </c>
      <c r="L406">
        <v>16.360299999999999</v>
      </c>
      <c r="M406">
        <v>16.4009</v>
      </c>
      <c r="N406">
        <v>-3.0783099999999999E-3</v>
      </c>
      <c r="O406">
        <v>-4.7374600000000003E-2</v>
      </c>
      <c r="P406">
        <v>15.3424</v>
      </c>
      <c r="Q406">
        <v>15.389799999999999</v>
      </c>
      <c r="R406">
        <v>182.405</v>
      </c>
      <c r="S406">
        <v>182.405</v>
      </c>
      <c r="T406">
        <v>5.1204999999999998</v>
      </c>
      <c r="U406">
        <v>17981.400000000001</v>
      </c>
      <c r="V406">
        <f t="shared" si="12"/>
        <v>97.725000000000009</v>
      </c>
      <c r="W406">
        <f t="shared" si="13"/>
        <v>2.2838533333333333E-3</v>
      </c>
    </row>
    <row r="407" spans="1:23" x14ac:dyDescent="0.3">
      <c r="A407">
        <v>400</v>
      </c>
      <c r="B407">
        <v>5.3690200000000004E-3</v>
      </c>
      <c r="C407">
        <v>0.19102</v>
      </c>
      <c r="D407">
        <v>35.769199999999998</v>
      </c>
      <c r="E407">
        <v>35.578200000000002</v>
      </c>
      <c r="F407">
        <v>-1.30251E-3</v>
      </c>
      <c r="G407">
        <v>-2.4406799999999999E-2</v>
      </c>
      <c r="H407">
        <v>18.713799999999999</v>
      </c>
      <c r="I407">
        <v>18.738199999999999</v>
      </c>
      <c r="J407">
        <v>-2.4440600000000001E-3</v>
      </c>
      <c r="K407">
        <v>-4.0084599999999998E-2</v>
      </c>
      <c r="L407">
        <v>16.360800000000001</v>
      </c>
      <c r="M407">
        <v>16.4009</v>
      </c>
      <c r="N407">
        <v>-3.1357799999999999E-3</v>
      </c>
      <c r="O407">
        <v>-4.8259000000000003E-2</v>
      </c>
      <c r="P407">
        <v>15.3415</v>
      </c>
      <c r="Q407">
        <v>15.389799999999999</v>
      </c>
      <c r="R407">
        <v>182.71700000000001</v>
      </c>
      <c r="S407">
        <v>182.71700000000001</v>
      </c>
      <c r="T407">
        <v>5.1349999999999998</v>
      </c>
      <c r="U407">
        <v>18032.2</v>
      </c>
      <c r="V407">
        <f t="shared" si="12"/>
        <v>98.001086956521746</v>
      </c>
      <c r="W407">
        <f t="shared" si="13"/>
        <v>2.2941166666666669E-3</v>
      </c>
    </row>
    <row r="408" spans="1:23" x14ac:dyDescent="0.3">
      <c r="A408">
        <v>401</v>
      </c>
      <c r="B408">
        <v>5.4028000000000001E-3</v>
      </c>
      <c r="C408">
        <v>0.192222</v>
      </c>
      <c r="D408">
        <v>35.770400000000002</v>
      </c>
      <c r="E408">
        <v>35.578200000000002</v>
      </c>
      <c r="F408">
        <v>-1.2105E-3</v>
      </c>
      <c r="G408">
        <v>-2.26827E-2</v>
      </c>
      <c r="H408">
        <v>18.715499999999999</v>
      </c>
      <c r="I408">
        <v>18.738199999999999</v>
      </c>
      <c r="J408">
        <v>-2.3338299999999998E-3</v>
      </c>
      <c r="K408">
        <v>-3.8276699999999997E-2</v>
      </c>
      <c r="L408">
        <v>16.3626</v>
      </c>
      <c r="M408">
        <v>16.4009</v>
      </c>
      <c r="N408">
        <v>-3.04842E-3</v>
      </c>
      <c r="O408">
        <v>-4.6914499999999998E-2</v>
      </c>
      <c r="P408">
        <v>15.3429</v>
      </c>
      <c r="Q408">
        <v>15.389799999999999</v>
      </c>
      <c r="R408">
        <v>183.09200000000001</v>
      </c>
      <c r="S408">
        <v>183.09200000000001</v>
      </c>
      <c r="T408">
        <v>5.1417999999999999</v>
      </c>
      <c r="U408">
        <v>18056</v>
      </c>
      <c r="V408">
        <f t="shared" si="12"/>
        <v>98.130434782608702</v>
      </c>
      <c r="W408">
        <f t="shared" si="13"/>
        <v>2.1975833333333331E-3</v>
      </c>
    </row>
    <row r="409" spans="1:23" x14ac:dyDescent="0.3">
      <c r="A409">
        <v>402</v>
      </c>
      <c r="B409">
        <v>5.44474E-3</v>
      </c>
      <c r="C409">
        <v>0.193714</v>
      </c>
      <c r="D409">
        <v>35.771900000000002</v>
      </c>
      <c r="E409">
        <v>35.578200000000002</v>
      </c>
      <c r="F409">
        <v>-1.2099599999999999E-3</v>
      </c>
      <c r="G409">
        <v>-2.2672600000000001E-2</v>
      </c>
      <c r="H409">
        <v>18.715599999999998</v>
      </c>
      <c r="I409">
        <v>18.738199999999999</v>
      </c>
      <c r="J409">
        <v>-2.4026199999999998E-3</v>
      </c>
      <c r="K409">
        <v>-3.9405000000000003E-2</v>
      </c>
      <c r="L409">
        <v>16.361499999999999</v>
      </c>
      <c r="M409">
        <v>16.4009</v>
      </c>
      <c r="N409">
        <v>-3.0881900000000002E-3</v>
      </c>
      <c r="O409">
        <v>-4.7526600000000002E-2</v>
      </c>
      <c r="P409">
        <v>15.3423</v>
      </c>
      <c r="Q409">
        <v>15.389799999999999</v>
      </c>
      <c r="R409">
        <v>183.59200000000001</v>
      </c>
      <c r="S409">
        <v>183.59200000000001</v>
      </c>
      <c r="T409">
        <v>5.1573000000000002</v>
      </c>
      <c r="U409">
        <v>18110.2</v>
      </c>
      <c r="V409">
        <f t="shared" si="12"/>
        <v>98.424999999999997</v>
      </c>
      <c r="W409">
        <f t="shared" si="13"/>
        <v>2.2335900000000001E-3</v>
      </c>
    </row>
    <row r="410" spans="1:23" x14ac:dyDescent="0.3">
      <c r="A410">
        <v>403</v>
      </c>
      <c r="B410">
        <v>5.4191100000000004E-3</v>
      </c>
      <c r="C410">
        <v>0.192802</v>
      </c>
      <c r="D410">
        <v>35.771000000000001</v>
      </c>
      <c r="E410">
        <v>35.578200000000002</v>
      </c>
      <c r="F410">
        <v>-1.27108E-3</v>
      </c>
      <c r="G410">
        <v>-2.3817700000000001E-2</v>
      </c>
      <c r="H410">
        <v>18.714400000000001</v>
      </c>
      <c r="I410">
        <v>18.738199999999999</v>
      </c>
      <c r="J410">
        <v>-2.3948699999999999E-3</v>
      </c>
      <c r="K410">
        <v>-3.9278E-2</v>
      </c>
      <c r="L410">
        <v>16.361599999999999</v>
      </c>
      <c r="M410">
        <v>16.4009</v>
      </c>
      <c r="N410">
        <v>-3.0818799999999999E-3</v>
      </c>
      <c r="O410">
        <v>-4.7429399999999997E-2</v>
      </c>
      <c r="P410">
        <v>15.3424</v>
      </c>
      <c r="Q410">
        <v>15.389799999999999</v>
      </c>
      <c r="R410">
        <v>183.964</v>
      </c>
      <c r="S410">
        <v>183.964</v>
      </c>
      <c r="T410">
        <v>5.1721000000000004</v>
      </c>
      <c r="U410">
        <v>18162.2</v>
      </c>
      <c r="V410">
        <f t="shared" si="12"/>
        <v>98.707608695652183</v>
      </c>
      <c r="W410">
        <f t="shared" si="13"/>
        <v>2.2492766666666665E-3</v>
      </c>
    </row>
    <row r="411" spans="1:23" x14ac:dyDescent="0.3">
      <c r="A411">
        <v>404</v>
      </c>
      <c r="B411">
        <v>5.5034799999999998E-3</v>
      </c>
      <c r="C411">
        <v>0.19580400000000001</v>
      </c>
      <c r="D411">
        <v>35.774000000000001</v>
      </c>
      <c r="E411">
        <v>35.578200000000002</v>
      </c>
      <c r="F411">
        <v>-1.2281099999999999E-3</v>
      </c>
      <c r="G411">
        <v>-2.3012500000000002E-2</v>
      </c>
      <c r="H411">
        <v>18.715199999999999</v>
      </c>
      <c r="I411">
        <v>18.738199999999999</v>
      </c>
      <c r="J411">
        <v>-2.38894E-3</v>
      </c>
      <c r="K411">
        <v>-3.9180600000000003E-2</v>
      </c>
      <c r="L411">
        <v>16.361699999999999</v>
      </c>
      <c r="M411">
        <v>16.4009</v>
      </c>
      <c r="N411">
        <v>-3.1477100000000002E-3</v>
      </c>
      <c r="O411">
        <v>-4.8442600000000002E-2</v>
      </c>
      <c r="P411">
        <v>15.3413</v>
      </c>
      <c r="Q411">
        <v>15.389799999999999</v>
      </c>
      <c r="R411">
        <v>184.464</v>
      </c>
      <c r="S411">
        <v>184.464</v>
      </c>
      <c r="T411">
        <v>5.1908000000000003</v>
      </c>
      <c r="U411">
        <v>18227.8</v>
      </c>
      <c r="V411">
        <f t="shared" si="12"/>
        <v>99.064130434782598</v>
      </c>
      <c r="W411">
        <f t="shared" si="13"/>
        <v>2.2549200000000001E-3</v>
      </c>
    </row>
    <row r="412" spans="1:23" x14ac:dyDescent="0.3">
      <c r="A412">
        <v>405</v>
      </c>
      <c r="B412">
        <v>5.4247399999999999E-3</v>
      </c>
      <c r="C412">
        <v>0.19300200000000001</v>
      </c>
      <c r="D412">
        <v>35.7712</v>
      </c>
      <c r="E412">
        <v>35.578200000000002</v>
      </c>
      <c r="F412">
        <v>-1.20331E-3</v>
      </c>
      <c r="G412">
        <v>-2.25478E-2</v>
      </c>
      <c r="H412">
        <v>18.715699999999998</v>
      </c>
      <c r="I412">
        <v>18.738199999999999</v>
      </c>
      <c r="J412">
        <v>-2.4308300000000001E-3</v>
      </c>
      <c r="K412">
        <v>-3.9867699999999999E-2</v>
      </c>
      <c r="L412">
        <v>16.361000000000001</v>
      </c>
      <c r="M412">
        <v>16.4009</v>
      </c>
      <c r="N412">
        <v>-3.1645200000000001E-3</v>
      </c>
      <c r="O412">
        <v>-4.8701300000000003E-2</v>
      </c>
      <c r="P412">
        <v>15.341100000000001</v>
      </c>
      <c r="Q412">
        <v>15.389799999999999</v>
      </c>
      <c r="R412">
        <v>184.59</v>
      </c>
      <c r="S412">
        <v>184.59</v>
      </c>
      <c r="T412">
        <v>5.1927000000000003</v>
      </c>
      <c r="U412">
        <v>18234.5</v>
      </c>
      <c r="V412">
        <f t="shared" si="12"/>
        <v>99.100543478260875</v>
      </c>
      <c r="W412">
        <f t="shared" si="13"/>
        <v>2.2662199999999998E-3</v>
      </c>
    </row>
    <row r="413" spans="1:23" x14ac:dyDescent="0.3">
      <c r="A413">
        <v>406</v>
      </c>
      <c r="B413">
        <v>5.4698000000000004E-3</v>
      </c>
      <c r="C413">
        <v>0.194605</v>
      </c>
      <c r="D413">
        <v>35.772799999999997</v>
      </c>
      <c r="E413">
        <v>35.578200000000002</v>
      </c>
      <c r="F413">
        <v>-1.23156E-3</v>
      </c>
      <c r="G413">
        <v>-2.3077299999999999E-2</v>
      </c>
      <c r="H413">
        <v>18.7151</v>
      </c>
      <c r="I413">
        <v>18.738199999999999</v>
      </c>
      <c r="J413">
        <v>-2.4788700000000002E-3</v>
      </c>
      <c r="K413">
        <v>-4.0655499999999997E-2</v>
      </c>
      <c r="L413">
        <v>16.360199999999999</v>
      </c>
      <c r="M413">
        <v>16.4009</v>
      </c>
      <c r="N413">
        <v>-3.2588199999999999E-3</v>
      </c>
      <c r="O413">
        <v>-5.0152500000000003E-2</v>
      </c>
      <c r="P413">
        <v>15.339600000000001</v>
      </c>
      <c r="Q413">
        <v>15.389799999999999</v>
      </c>
      <c r="R413">
        <v>185.15100000000001</v>
      </c>
      <c r="S413">
        <v>185.15100000000001</v>
      </c>
      <c r="T413">
        <v>5.2121000000000004</v>
      </c>
      <c r="U413">
        <v>18302.400000000001</v>
      </c>
      <c r="V413">
        <f t="shared" si="12"/>
        <v>99.469565217391306</v>
      </c>
      <c r="W413">
        <f t="shared" si="13"/>
        <v>2.3230833333333333E-3</v>
      </c>
    </row>
    <row r="414" spans="1:23" x14ac:dyDescent="0.3">
      <c r="A414">
        <v>407</v>
      </c>
      <c r="B414">
        <v>5.5348200000000002E-3</v>
      </c>
      <c r="C414">
        <v>0.19691900000000001</v>
      </c>
      <c r="D414">
        <v>35.775100000000002</v>
      </c>
      <c r="E414">
        <v>35.578200000000002</v>
      </c>
      <c r="F414">
        <v>-1.13323E-3</v>
      </c>
      <c r="G414">
        <v>-2.1234699999999999E-2</v>
      </c>
      <c r="H414">
        <v>18.716999999999999</v>
      </c>
      <c r="I414">
        <v>18.738199999999999</v>
      </c>
      <c r="J414">
        <v>-2.3535499999999998E-3</v>
      </c>
      <c r="K414">
        <v>-3.8600200000000001E-2</v>
      </c>
      <c r="L414">
        <v>16.362300000000001</v>
      </c>
      <c r="M414">
        <v>16.4009</v>
      </c>
      <c r="N414">
        <v>-3.0562100000000002E-3</v>
      </c>
      <c r="O414">
        <v>-4.7034399999999997E-2</v>
      </c>
      <c r="P414">
        <v>15.342700000000001</v>
      </c>
      <c r="Q414">
        <v>15.389799999999999</v>
      </c>
      <c r="R414">
        <v>185.524</v>
      </c>
      <c r="S414">
        <v>185.524</v>
      </c>
      <c r="T414">
        <v>5.2252999999999998</v>
      </c>
      <c r="U414">
        <v>18348.7</v>
      </c>
      <c r="V414">
        <f t="shared" si="12"/>
        <v>99.721195652173918</v>
      </c>
      <c r="W414">
        <f t="shared" si="13"/>
        <v>2.1809966666666669E-3</v>
      </c>
    </row>
    <row r="415" spans="1:23" x14ac:dyDescent="0.3">
      <c r="A415">
        <v>408</v>
      </c>
      <c r="B415">
        <v>5.4924700000000002E-3</v>
      </c>
      <c r="C415">
        <v>0.195412</v>
      </c>
      <c r="D415">
        <v>35.773600000000002</v>
      </c>
      <c r="E415">
        <v>35.578200000000002</v>
      </c>
      <c r="F415">
        <v>-1.26417E-3</v>
      </c>
      <c r="G415">
        <v>-2.36882E-2</v>
      </c>
      <c r="H415">
        <v>18.714500000000001</v>
      </c>
      <c r="I415">
        <v>18.738199999999999</v>
      </c>
      <c r="J415">
        <v>-2.4873400000000002E-3</v>
      </c>
      <c r="K415">
        <v>-4.0794499999999997E-2</v>
      </c>
      <c r="L415">
        <v>16.360099999999999</v>
      </c>
      <c r="M415">
        <v>16.4009</v>
      </c>
      <c r="N415">
        <v>-3.2243200000000001E-3</v>
      </c>
      <c r="O415">
        <v>-4.9621600000000002E-2</v>
      </c>
      <c r="P415">
        <v>15.340199999999999</v>
      </c>
      <c r="Q415">
        <v>15.389799999999999</v>
      </c>
      <c r="R415">
        <v>186.023</v>
      </c>
      <c r="S415">
        <v>186.023</v>
      </c>
      <c r="T415">
        <v>5.2423999999999999</v>
      </c>
      <c r="U415">
        <v>18408.599999999999</v>
      </c>
      <c r="V415">
        <f t="shared" si="12"/>
        <v>100.04673913043477</v>
      </c>
      <c r="W415">
        <f t="shared" si="13"/>
        <v>2.325276666666667E-3</v>
      </c>
    </row>
    <row r="416" spans="1:23" x14ac:dyDescent="0.3">
      <c r="A416">
        <v>409</v>
      </c>
      <c r="B416">
        <v>5.52433E-3</v>
      </c>
      <c r="C416">
        <v>0.196546</v>
      </c>
      <c r="D416">
        <v>35.774700000000003</v>
      </c>
      <c r="E416">
        <v>35.578200000000002</v>
      </c>
      <c r="F416">
        <v>-1.24266E-3</v>
      </c>
      <c r="G416">
        <v>-2.3285299999999998E-2</v>
      </c>
      <c r="H416">
        <v>18.7149</v>
      </c>
      <c r="I416">
        <v>18.738199999999999</v>
      </c>
      <c r="J416">
        <v>-2.4716400000000002E-3</v>
      </c>
      <c r="K416">
        <v>-4.05371E-2</v>
      </c>
      <c r="L416">
        <v>16.360299999999999</v>
      </c>
      <c r="M416">
        <v>16.4009</v>
      </c>
      <c r="N416">
        <v>-3.1764699999999998E-3</v>
      </c>
      <c r="O416">
        <v>-4.8885199999999997E-2</v>
      </c>
      <c r="P416">
        <v>15.3409</v>
      </c>
      <c r="Q416">
        <v>15.389799999999999</v>
      </c>
      <c r="R416">
        <v>186.33600000000001</v>
      </c>
      <c r="S416">
        <v>186.33600000000001</v>
      </c>
      <c r="T416">
        <v>5.2556000000000003</v>
      </c>
      <c r="U416">
        <v>18454.900000000001</v>
      </c>
      <c r="V416">
        <f t="shared" si="12"/>
        <v>100.2983695652174</v>
      </c>
      <c r="W416">
        <f t="shared" si="13"/>
        <v>2.2969233333333334E-3</v>
      </c>
    </row>
    <row r="417" spans="1:23" x14ac:dyDescent="0.3">
      <c r="A417">
        <v>410</v>
      </c>
      <c r="B417">
        <v>5.5218899999999998E-3</v>
      </c>
      <c r="C417">
        <v>0.19645899999999999</v>
      </c>
      <c r="D417">
        <v>35.7746</v>
      </c>
      <c r="E417">
        <v>35.578200000000002</v>
      </c>
      <c r="F417">
        <v>-1.2722300000000001E-3</v>
      </c>
      <c r="G417">
        <v>-2.38394E-2</v>
      </c>
      <c r="H417">
        <v>18.714400000000001</v>
      </c>
      <c r="I417">
        <v>18.738199999999999</v>
      </c>
      <c r="J417">
        <v>-2.45802E-3</v>
      </c>
      <c r="K417">
        <v>-4.0313599999999998E-2</v>
      </c>
      <c r="L417">
        <v>16.360499999999998</v>
      </c>
      <c r="M417">
        <v>16.4009</v>
      </c>
      <c r="N417">
        <v>-3.0670099999999998E-3</v>
      </c>
      <c r="O417">
        <v>-4.7200600000000002E-2</v>
      </c>
      <c r="P417">
        <v>15.342599999999999</v>
      </c>
      <c r="Q417">
        <v>15.389799999999999</v>
      </c>
      <c r="R417">
        <v>186.65</v>
      </c>
      <c r="S417">
        <v>186.65</v>
      </c>
      <c r="T417">
        <v>5.2610999999999999</v>
      </c>
      <c r="U417">
        <v>18474.2</v>
      </c>
      <c r="V417">
        <f t="shared" si="12"/>
        <v>100.40326086956522</v>
      </c>
      <c r="W417">
        <f t="shared" si="13"/>
        <v>2.2657533333333333E-3</v>
      </c>
    </row>
    <row r="418" spans="1:23" x14ac:dyDescent="0.3">
      <c r="A418">
        <v>411</v>
      </c>
      <c r="B418">
        <v>5.5074E-3</v>
      </c>
      <c r="C418">
        <v>0.19594300000000001</v>
      </c>
      <c r="D418">
        <v>35.774099999999997</v>
      </c>
      <c r="E418">
        <v>35.578200000000002</v>
      </c>
      <c r="F418">
        <v>-1.2827100000000001E-3</v>
      </c>
      <c r="G418">
        <v>-2.40357E-2</v>
      </c>
      <c r="H418">
        <v>18.714200000000002</v>
      </c>
      <c r="I418">
        <v>18.738199999999999</v>
      </c>
      <c r="J418">
        <v>-2.49694E-3</v>
      </c>
      <c r="K418">
        <v>-4.0952000000000002E-2</v>
      </c>
      <c r="L418">
        <v>16.3599</v>
      </c>
      <c r="M418">
        <v>16.4009</v>
      </c>
      <c r="N418">
        <v>-3.1788200000000002E-3</v>
      </c>
      <c r="O418">
        <v>-4.8921300000000001E-2</v>
      </c>
      <c r="P418">
        <v>15.3409</v>
      </c>
      <c r="Q418">
        <v>15.389799999999999</v>
      </c>
      <c r="R418">
        <v>187.024</v>
      </c>
      <c r="S418">
        <v>187.024</v>
      </c>
      <c r="T418">
        <v>5.2788000000000004</v>
      </c>
      <c r="U418">
        <v>18536.3</v>
      </c>
      <c r="V418">
        <f t="shared" si="12"/>
        <v>100.74076086956521</v>
      </c>
      <c r="W418">
        <f t="shared" si="13"/>
        <v>2.31949E-3</v>
      </c>
    </row>
    <row r="419" spans="1:23" x14ac:dyDescent="0.3">
      <c r="A419">
        <v>412</v>
      </c>
      <c r="B419">
        <v>5.48199E-3</v>
      </c>
      <c r="C419">
        <v>0.19503899999999999</v>
      </c>
      <c r="D419">
        <v>35.773200000000003</v>
      </c>
      <c r="E419">
        <v>35.578200000000002</v>
      </c>
      <c r="F419">
        <v>-1.3154200000000001E-3</v>
      </c>
      <c r="G419">
        <v>-2.46486E-2</v>
      </c>
      <c r="H419">
        <v>18.7136</v>
      </c>
      <c r="I419">
        <v>18.738199999999999</v>
      </c>
      <c r="J419">
        <v>-2.4912799999999998E-3</v>
      </c>
      <c r="K419">
        <v>-4.0859100000000002E-2</v>
      </c>
      <c r="L419">
        <v>16.36</v>
      </c>
      <c r="M419">
        <v>16.4009</v>
      </c>
      <c r="N419">
        <v>-3.2284499999999999E-3</v>
      </c>
      <c r="O419">
        <v>-4.9685100000000003E-2</v>
      </c>
      <c r="P419">
        <v>15.3401</v>
      </c>
      <c r="Q419">
        <v>15.389799999999999</v>
      </c>
      <c r="R419">
        <v>187.27099999999999</v>
      </c>
      <c r="S419">
        <v>187.27099999999999</v>
      </c>
      <c r="T419">
        <v>5.2830000000000004</v>
      </c>
      <c r="U419">
        <v>18551</v>
      </c>
      <c r="V419">
        <f t="shared" si="12"/>
        <v>100.82065217391305</v>
      </c>
      <c r="W419">
        <f t="shared" si="13"/>
        <v>2.34505E-3</v>
      </c>
    </row>
    <row r="420" spans="1:23" x14ac:dyDescent="0.3">
      <c r="A420">
        <v>413</v>
      </c>
      <c r="B420">
        <v>5.4198700000000002E-3</v>
      </c>
      <c r="C420">
        <v>0.192829</v>
      </c>
      <c r="D420">
        <v>35.771000000000001</v>
      </c>
      <c r="E420">
        <v>35.578200000000002</v>
      </c>
      <c r="F420">
        <v>-1.2311500000000001E-3</v>
      </c>
      <c r="G420">
        <v>-2.30695E-2</v>
      </c>
      <c r="H420">
        <v>18.715199999999999</v>
      </c>
      <c r="I420">
        <v>18.738199999999999</v>
      </c>
      <c r="J420">
        <v>-2.3743000000000002E-3</v>
      </c>
      <c r="K420">
        <v>-3.8940500000000003E-2</v>
      </c>
      <c r="L420">
        <v>16.361899999999999</v>
      </c>
      <c r="M420">
        <v>16.4009</v>
      </c>
      <c r="N420">
        <v>-3.0798100000000001E-3</v>
      </c>
      <c r="O420">
        <v>-4.7397500000000002E-2</v>
      </c>
      <c r="P420">
        <v>15.3424</v>
      </c>
      <c r="Q420">
        <v>15.389799999999999</v>
      </c>
      <c r="R420">
        <v>187.89599999999999</v>
      </c>
      <c r="S420">
        <v>187.89599999999999</v>
      </c>
      <c r="T420">
        <v>5.2556000000000003</v>
      </c>
      <c r="U420">
        <v>18454.900000000001</v>
      </c>
      <c r="V420">
        <f t="shared" si="12"/>
        <v>100.2983695652174</v>
      </c>
      <c r="W420">
        <f t="shared" si="13"/>
        <v>2.2284200000000001E-3</v>
      </c>
    </row>
    <row r="421" spans="1:23" x14ac:dyDescent="0.3">
      <c r="A421">
        <v>414</v>
      </c>
      <c r="B421">
        <v>5.3404999999999998E-3</v>
      </c>
      <c r="C421">
        <v>0.19000500000000001</v>
      </c>
      <c r="D421">
        <v>35.7682</v>
      </c>
      <c r="E421">
        <v>35.578200000000002</v>
      </c>
      <c r="F421">
        <v>-1.2164000000000001E-3</v>
      </c>
      <c r="G421">
        <v>-2.27932E-2</v>
      </c>
      <c r="H421">
        <v>18.715399999999999</v>
      </c>
      <c r="I421">
        <v>18.738199999999999</v>
      </c>
      <c r="J421">
        <v>-2.3173400000000002E-3</v>
      </c>
      <c r="K421">
        <v>-3.8006400000000003E-2</v>
      </c>
      <c r="L421">
        <v>16.3629</v>
      </c>
      <c r="M421">
        <v>16.4009</v>
      </c>
      <c r="N421">
        <v>-3.1416E-3</v>
      </c>
      <c r="O421">
        <v>-4.8348500000000003E-2</v>
      </c>
      <c r="P421">
        <v>15.3414</v>
      </c>
      <c r="Q421">
        <v>15.389799999999999</v>
      </c>
      <c r="R421">
        <v>188.083</v>
      </c>
      <c r="S421">
        <v>188.083</v>
      </c>
      <c r="T421">
        <v>5.2404000000000002</v>
      </c>
      <c r="U421">
        <v>18401.8</v>
      </c>
      <c r="V421">
        <f t="shared" si="12"/>
        <v>100.00978260869564</v>
      </c>
      <c r="W421">
        <f t="shared" si="13"/>
        <v>2.2251133333333335E-3</v>
      </c>
    </row>
    <row r="422" spans="1:23" x14ac:dyDescent="0.3">
      <c r="A422">
        <v>415</v>
      </c>
      <c r="B422">
        <v>5.3291199999999997E-3</v>
      </c>
      <c r="C422">
        <v>0.18959999999999999</v>
      </c>
      <c r="D422">
        <v>35.767800000000001</v>
      </c>
      <c r="E422">
        <v>35.578200000000002</v>
      </c>
      <c r="F422">
        <v>-1.3223499999999999E-3</v>
      </c>
      <c r="G422">
        <v>-2.4778499999999998E-2</v>
      </c>
      <c r="H422">
        <v>18.7134</v>
      </c>
      <c r="I422">
        <v>18.738199999999999</v>
      </c>
      <c r="J422">
        <v>-2.4424400000000001E-3</v>
      </c>
      <c r="K422">
        <v>-4.0058099999999999E-2</v>
      </c>
      <c r="L422">
        <v>16.360800000000001</v>
      </c>
      <c r="M422">
        <v>16.4009</v>
      </c>
      <c r="N422">
        <v>-3.2157900000000001E-3</v>
      </c>
      <c r="O422">
        <v>-4.9490399999999997E-2</v>
      </c>
      <c r="P422">
        <v>15.340299999999999</v>
      </c>
      <c r="Q422">
        <v>15.389799999999999</v>
      </c>
      <c r="R422">
        <v>188.20699999999999</v>
      </c>
      <c r="S422">
        <v>188.20699999999999</v>
      </c>
      <c r="T422">
        <v>5.2321</v>
      </c>
      <c r="U422">
        <v>18372.400000000001</v>
      </c>
      <c r="V422">
        <f t="shared" si="12"/>
        <v>99.850000000000009</v>
      </c>
      <c r="W422">
        <f t="shared" si="13"/>
        <v>2.32686E-3</v>
      </c>
    </row>
    <row r="423" spans="1:23" x14ac:dyDescent="0.3">
      <c r="A423">
        <v>416</v>
      </c>
      <c r="B423">
        <v>4.9975099999999999E-4</v>
      </c>
      <c r="C423">
        <v>1.7780199999999999E-2</v>
      </c>
      <c r="D423">
        <v>35.5959</v>
      </c>
      <c r="E423">
        <v>35.578200000000002</v>
      </c>
      <c r="F423">
        <v>-3.0066700000000001E-4</v>
      </c>
      <c r="G423">
        <v>-5.6339600000000004E-3</v>
      </c>
      <c r="H423">
        <v>18.732600000000001</v>
      </c>
      <c r="I423">
        <v>18.738199999999999</v>
      </c>
      <c r="J423">
        <v>-1.5854000000000001E-4</v>
      </c>
      <c r="K423">
        <v>-2.6001900000000001E-3</v>
      </c>
      <c r="L423">
        <v>16.398299999999999</v>
      </c>
      <c r="M423">
        <v>16.4009</v>
      </c>
      <c r="N423">
        <v>-7.3867799999999999E-4</v>
      </c>
      <c r="O423">
        <v>-1.1368100000000001E-2</v>
      </c>
      <c r="P423">
        <v>15.378399999999999</v>
      </c>
      <c r="Q423">
        <v>15.389799999999999</v>
      </c>
      <c r="R423">
        <v>188.334</v>
      </c>
      <c r="S423">
        <v>188.334</v>
      </c>
      <c r="T423">
        <v>2.7843</v>
      </c>
      <c r="U423">
        <v>9788.0499999999993</v>
      </c>
      <c r="V423">
        <f t="shared" si="12"/>
        <v>53.195923913043472</v>
      </c>
      <c r="W423">
        <f t="shared" si="13"/>
        <v>3.9929500000000003E-4</v>
      </c>
    </row>
    <row r="424" spans="1:23" x14ac:dyDescent="0.3">
      <c r="A424">
        <v>417</v>
      </c>
      <c r="B424">
        <v>3.9185100000000003E-4</v>
      </c>
      <c r="C424">
        <v>1.39413E-2</v>
      </c>
      <c r="D424">
        <v>35.592100000000002</v>
      </c>
      <c r="E424">
        <v>35.578200000000002</v>
      </c>
      <c r="F424">
        <v>-2.5389299999999999E-4</v>
      </c>
      <c r="G424">
        <v>-4.7574999999999996E-3</v>
      </c>
      <c r="H424">
        <v>18.733499999999999</v>
      </c>
      <c r="I424">
        <v>18.738199999999999</v>
      </c>
      <c r="J424" s="1">
        <v>-8.3822700000000006E-5</v>
      </c>
      <c r="K424">
        <v>-1.37476E-3</v>
      </c>
      <c r="L424">
        <v>16.3995</v>
      </c>
      <c r="M424">
        <v>16.4009</v>
      </c>
      <c r="N424">
        <v>-5.8560100000000005E-4</v>
      </c>
      <c r="O424">
        <v>-9.0122699999999993E-3</v>
      </c>
      <c r="P424">
        <v>15.380800000000001</v>
      </c>
      <c r="Q424">
        <v>15.389799999999999</v>
      </c>
      <c r="R424">
        <v>188.45699999999999</v>
      </c>
      <c r="S424">
        <v>188.45699999999999</v>
      </c>
      <c r="T424">
        <v>1.2868999999999999</v>
      </c>
      <c r="U424">
        <v>4536.8500000000004</v>
      </c>
      <c r="V424">
        <f t="shared" si="12"/>
        <v>24.656793478260873</v>
      </c>
      <c r="W424">
        <f t="shared" si="13"/>
        <v>3.0777223333333333E-4</v>
      </c>
    </row>
    <row r="425" spans="1:23" x14ac:dyDescent="0.3">
      <c r="A425">
        <v>418</v>
      </c>
      <c r="B425">
        <v>3.9697499999999999E-4</v>
      </c>
      <c r="C425">
        <v>1.4123699999999999E-2</v>
      </c>
      <c r="D425">
        <v>35.592300000000002</v>
      </c>
      <c r="E425">
        <v>35.578200000000002</v>
      </c>
      <c r="F425">
        <v>-2.5347299999999999E-4</v>
      </c>
      <c r="G425">
        <v>-4.7496300000000003E-3</v>
      </c>
      <c r="H425">
        <v>18.733499999999999</v>
      </c>
      <c r="I425">
        <v>18.738199999999999</v>
      </c>
      <c r="J425" s="1">
        <v>-4.1016700000000003E-5</v>
      </c>
      <c r="K425">
        <v>-6.7270800000000005E-4</v>
      </c>
      <c r="L425">
        <v>16.400200000000002</v>
      </c>
      <c r="M425">
        <v>16.4009</v>
      </c>
      <c r="N425">
        <v>-4.5703999999999997E-4</v>
      </c>
      <c r="O425">
        <v>-7.0337400000000001E-3</v>
      </c>
      <c r="P425">
        <v>15.3827</v>
      </c>
      <c r="Q425">
        <v>15.389799999999999</v>
      </c>
      <c r="R425">
        <v>188.583</v>
      </c>
      <c r="S425">
        <v>188.583</v>
      </c>
      <c r="T425">
        <v>0.58079999999999998</v>
      </c>
      <c r="U425">
        <v>2060.4499999999998</v>
      </c>
      <c r="V425">
        <f t="shared" si="12"/>
        <v>11.198097826086956</v>
      </c>
      <c r="W425">
        <f t="shared" si="13"/>
        <v>2.5050989999999998E-4</v>
      </c>
    </row>
    <row r="426" spans="1:23" x14ac:dyDescent="0.3">
      <c r="A426">
        <v>419</v>
      </c>
      <c r="B426">
        <v>3.4741399999999999E-4</v>
      </c>
      <c r="C426">
        <v>1.2360299999999999E-2</v>
      </c>
      <c r="D426">
        <v>35.590499999999999</v>
      </c>
      <c r="E426">
        <v>35.578200000000002</v>
      </c>
      <c r="F426">
        <v>-2.7586E-4</v>
      </c>
      <c r="G426">
        <v>-5.1691300000000001E-3</v>
      </c>
      <c r="H426">
        <v>18.7331</v>
      </c>
      <c r="I426">
        <v>18.738199999999999</v>
      </c>
      <c r="J426" s="1">
        <v>-2.7361100000000001E-5</v>
      </c>
      <c r="K426">
        <v>-4.4874500000000001E-4</v>
      </c>
      <c r="L426">
        <v>16.400400000000001</v>
      </c>
      <c r="M426">
        <v>16.4009</v>
      </c>
      <c r="N426">
        <v>-3.6026500000000002E-4</v>
      </c>
      <c r="O426">
        <v>-5.5443999999999997E-3</v>
      </c>
      <c r="P426">
        <v>15.3842</v>
      </c>
      <c r="Q426">
        <v>15.389799999999999</v>
      </c>
      <c r="R426">
        <v>188.71</v>
      </c>
      <c r="S426">
        <v>188.71</v>
      </c>
      <c r="T426">
        <v>0.2601</v>
      </c>
      <c r="U426">
        <v>935.84199999999998</v>
      </c>
      <c r="V426">
        <f t="shared" si="12"/>
        <v>5.0860978260869567</v>
      </c>
      <c r="W426">
        <f t="shared" si="13"/>
        <v>2.2116203333333336E-4</v>
      </c>
    </row>
    <row r="427" spans="1:23" x14ac:dyDescent="0.3">
      <c r="A427">
        <v>420</v>
      </c>
      <c r="B427">
        <v>2.4405299999999999E-4</v>
      </c>
      <c r="C427">
        <v>8.6829699999999999E-3</v>
      </c>
      <c r="D427">
        <v>35.586799999999997</v>
      </c>
      <c r="E427">
        <v>35.578200000000002</v>
      </c>
      <c r="F427">
        <v>-2.0857100000000001E-4</v>
      </c>
      <c r="G427">
        <v>-3.9082500000000003E-3</v>
      </c>
      <c r="H427">
        <v>18.734300000000001</v>
      </c>
      <c r="I427">
        <v>18.738199999999999</v>
      </c>
      <c r="J427" s="1">
        <v>-6.6511699999999995E-5</v>
      </c>
      <c r="K427">
        <v>-1.09085E-3</v>
      </c>
      <c r="L427">
        <v>16.399799999999999</v>
      </c>
      <c r="M427">
        <v>16.4009</v>
      </c>
      <c r="N427">
        <v>-4.3164400000000002E-4</v>
      </c>
      <c r="O427">
        <v>-6.6429000000000002E-3</v>
      </c>
      <c r="P427">
        <v>15.383100000000001</v>
      </c>
      <c r="Q427">
        <v>15.389799999999999</v>
      </c>
      <c r="R427">
        <v>188.83099999999999</v>
      </c>
      <c r="S427">
        <v>188.83099999999999</v>
      </c>
      <c r="T427">
        <v>0.1235</v>
      </c>
      <c r="U427">
        <v>456.61200000000002</v>
      </c>
      <c r="V427">
        <f t="shared" si="12"/>
        <v>2.4815869565217392</v>
      </c>
      <c r="W427">
        <f t="shared" si="13"/>
        <v>2.3557556666666665E-4</v>
      </c>
    </row>
    <row r="428" spans="1:23" x14ac:dyDescent="0.3">
      <c r="A428">
        <v>421</v>
      </c>
      <c r="B428">
        <v>3.1202299999999998E-4</v>
      </c>
      <c r="C428">
        <v>1.11012E-2</v>
      </c>
      <c r="D428">
        <v>35.589300000000001</v>
      </c>
      <c r="E428">
        <v>35.578200000000002</v>
      </c>
      <c r="F428">
        <v>-1.2906300000000001E-4</v>
      </c>
      <c r="G428">
        <v>-2.4184100000000002E-3</v>
      </c>
      <c r="H428">
        <v>18.735800000000001</v>
      </c>
      <c r="I428">
        <v>18.738199999999999</v>
      </c>
      <c r="J428" s="1">
        <v>2.2835000000000001E-5</v>
      </c>
      <c r="K428">
        <v>3.74514E-4</v>
      </c>
      <c r="L428">
        <v>16.401199999999999</v>
      </c>
      <c r="M428">
        <v>16.4009</v>
      </c>
      <c r="N428">
        <v>-3.7619599999999997E-4</v>
      </c>
      <c r="O428">
        <v>-5.78957E-3</v>
      </c>
      <c r="P428">
        <v>15.384</v>
      </c>
      <c r="Q428">
        <v>15.389799999999999</v>
      </c>
      <c r="R428">
        <v>188.95699999999999</v>
      </c>
      <c r="S428">
        <v>188.95699999999999</v>
      </c>
      <c r="T428">
        <v>4.58E-2</v>
      </c>
      <c r="U428">
        <v>184.21899999999999</v>
      </c>
      <c r="V428">
        <f t="shared" si="12"/>
        <v>1.0011902173913043</v>
      </c>
      <c r="W428">
        <f t="shared" si="13"/>
        <v>1.60808E-4</v>
      </c>
    </row>
    <row r="429" spans="1:23" x14ac:dyDescent="0.3">
      <c r="A429">
        <v>422</v>
      </c>
      <c r="B429">
        <v>2.9140299999999997E-4</v>
      </c>
      <c r="C429">
        <v>1.0367599999999999E-2</v>
      </c>
      <c r="D429">
        <v>35.588500000000003</v>
      </c>
      <c r="E429">
        <v>35.578200000000002</v>
      </c>
      <c r="F429">
        <v>-2.6833800000000002E-4</v>
      </c>
      <c r="G429">
        <v>-5.0281800000000001E-3</v>
      </c>
      <c r="H429">
        <v>18.7332</v>
      </c>
      <c r="I429">
        <v>18.738199999999999</v>
      </c>
      <c r="J429" s="1">
        <v>-7.5932899999999999E-5</v>
      </c>
      <c r="K429">
        <v>-1.24536E-3</v>
      </c>
      <c r="L429">
        <v>16.3996</v>
      </c>
      <c r="M429">
        <v>16.4009</v>
      </c>
      <c r="N429">
        <v>-3.9067699999999997E-4</v>
      </c>
      <c r="O429">
        <v>-6.01244E-3</v>
      </c>
      <c r="P429">
        <v>15.383800000000001</v>
      </c>
      <c r="Q429">
        <v>15.389799999999999</v>
      </c>
      <c r="R429">
        <v>189.084</v>
      </c>
      <c r="S429">
        <v>189.084</v>
      </c>
      <c r="T429">
        <v>2.3599999999999999E-2</v>
      </c>
      <c r="U429">
        <v>106.23099999999999</v>
      </c>
      <c r="V429">
        <f t="shared" si="12"/>
        <v>0.57734239130434784</v>
      </c>
      <c r="W429">
        <f t="shared" si="13"/>
        <v>2.4498263333333335E-4</v>
      </c>
    </row>
    <row r="430" spans="1:23" x14ac:dyDescent="0.3">
      <c r="A430">
        <v>423</v>
      </c>
      <c r="B430">
        <v>1.6830600000000001E-4</v>
      </c>
      <c r="C430">
        <v>5.9880300000000001E-3</v>
      </c>
      <c r="D430">
        <v>35.584099999999999</v>
      </c>
      <c r="E430">
        <v>35.578200000000002</v>
      </c>
      <c r="F430">
        <v>-2.15878E-4</v>
      </c>
      <c r="G430">
        <v>-4.0451699999999998E-3</v>
      </c>
      <c r="H430">
        <v>18.734200000000001</v>
      </c>
      <c r="I430">
        <v>18.738199999999999</v>
      </c>
      <c r="J430" s="1">
        <v>-7.5512800000000007E-5</v>
      </c>
      <c r="K430">
        <v>-1.23847E-3</v>
      </c>
      <c r="L430">
        <v>16.3996</v>
      </c>
      <c r="M430">
        <v>16.4009</v>
      </c>
      <c r="N430">
        <v>-4.2987899999999998E-4</v>
      </c>
      <c r="O430">
        <v>-6.6157400000000002E-3</v>
      </c>
      <c r="P430">
        <v>15.3832</v>
      </c>
      <c r="Q430">
        <v>15.389799999999999</v>
      </c>
      <c r="R430">
        <v>189.39400000000001</v>
      </c>
      <c r="S430">
        <v>189.39400000000001</v>
      </c>
      <c r="T430">
        <v>1.6000000000000001E-3</v>
      </c>
      <c r="U430">
        <v>29.3733</v>
      </c>
      <c r="V430">
        <f t="shared" si="12"/>
        <v>0.15963750000000002</v>
      </c>
      <c r="W430">
        <f t="shared" si="13"/>
        <v>2.4042326666666664E-4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2D9454-C985-49B6-A2E5-61D04B591750}">
  <dimension ref="A1:AD469"/>
  <sheetViews>
    <sheetView topLeftCell="K1" zoomScaleNormal="100" workbookViewId="0">
      <selection activeCell="V12" sqref="V12"/>
    </sheetView>
  </sheetViews>
  <sheetFormatPr defaultRowHeight="14.4" x14ac:dyDescent="0.3"/>
  <cols>
    <col min="1" max="16384" width="8.88671875" style="6"/>
  </cols>
  <sheetData>
    <row r="1" spans="1:30" x14ac:dyDescent="0.3">
      <c r="A1" t="s">
        <v>15</v>
      </c>
      <c r="B1" t="s">
        <v>16</v>
      </c>
    </row>
    <row r="2" spans="1:30" x14ac:dyDescent="0.3">
      <c r="A2">
        <v>23.2</v>
      </c>
      <c r="B2">
        <v>8</v>
      </c>
    </row>
    <row r="3" spans="1:30" x14ac:dyDescent="0.3">
      <c r="B3">
        <f>MATCH(V5,V7:V1048570,0)-1</f>
        <v>453</v>
      </c>
    </row>
    <row r="4" spans="1:30" ht="15.6" x14ac:dyDescent="0.35">
      <c r="B4" t="s">
        <v>18</v>
      </c>
      <c r="U4" t="s">
        <v>24</v>
      </c>
      <c r="V4" t="s">
        <v>17</v>
      </c>
      <c r="W4"/>
      <c r="X4" t="s">
        <v>23</v>
      </c>
      <c r="Y4" s="2" t="s">
        <v>19</v>
      </c>
      <c r="Z4" s="2" t="s">
        <v>19</v>
      </c>
      <c r="AA4" s="2" t="s">
        <v>19</v>
      </c>
      <c r="AB4"/>
      <c r="AC4"/>
      <c r="AD4"/>
    </row>
    <row r="5" spans="1:30" x14ac:dyDescent="0.3">
      <c r="A5" s="6" t="s">
        <v>0</v>
      </c>
      <c r="B5">
        <f>INDEX(B7:B1048570,MATCH(V5,V7:V1048570,0))</f>
        <v>6.5814599999999999E-3</v>
      </c>
      <c r="F5" s="6" t="s">
        <v>1</v>
      </c>
      <c r="J5" s="6" t="s">
        <v>2</v>
      </c>
      <c r="N5" s="6" t="s">
        <v>3</v>
      </c>
      <c r="R5" s="6" t="s">
        <v>4</v>
      </c>
      <c r="U5">
        <f>MAX(U8:U1048571)</f>
        <v>20199</v>
      </c>
      <c r="V5">
        <f>MAX(V8:V1048571)</f>
        <v>108.83081896551724</v>
      </c>
      <c r="W5"/>
      <c r="X5">
        <f>INDEX(LINEST(V7:V458,B7:B458),1)</f>
        <v>16318.191060531728</v>
      </c>
      <c r="Y5">
        <f>-INDEX(LINEST(F80:F400,B80:B400),1)</f>
        <v>0.4728998257831914</v>
      </c>
      <c r="Z5">
        <f>-INDEX(LINEST(J80:J400,B80:B400),1)</f>
        <v>0.46392280972327771</v>
      </c>
      <c r="AA5">
        <f>-INDEX(LINEST(N80:N400,B80:B400),1)</f>
        <v>0.6095764358433502</v>
      </c>
      <c r="AB5" s="3">
        <f>AVERAGE(Y5:AA5)</f>
        <v>0.51546635711660638</v>
      </c>
      <c r="AC5" s="5">
        <f>STDEV(Y5:AA5)</f>
        <v>8.1625222160802868E-2</v>
      </c>
      <c r="AD5" s="4">
        <f>AC5/AB5</f>
        <v>0.15835218154176839</v>
      </c>
    </row>
    <row r="6" spans="1:30" x14ac:dyDescent="0.3">
      <c r="A6" s="6" t="s">
        <v>5</v>
      </c>
      <c r="B6" s="6" t="s">
        <v>6</v>
      </c>
      <c r="C6" s="6" t="s">
        <v>7</v>
      </c>
      <c r="D6" s="6" t="s">
        <v>8</v>
      </c>
      <c r="E6" s="6" t="s">
        <v>9</v>
      </c>
      <c r="F6" s="6" t="s">
        <v>6</v>
      </c>
      <c r="G6" s="6" t="s">
        <v>7</v>
      </c>
      <c r="H6" s="6" t="s">
        <v>8</v>
      </c>
      <c r="I6" s="6" t="s">
        <v>9</v>
      </c>
      <c r="J6" s="6" t="s">
        <v>6</v>
      </c>
      <c r="K6" s="6" t="s">
        <v>7</v>
      </c>
      <c r="L6" s="6" t="s">
        <v>8</v>
      </c>
      <c r="M6" s="6" t="s">
        <v>9</v>
      </c>
      <c r="N6" s="6" t="s">
        <v>6</v>
      </c>
      <c r="O6" s="6" t="s">
        <v>7</v>
      </c>
      <c r="P6" s="6" t="s">
        <v>8</v>
      </c>
      <c r="Q6" s="6" t="s">
        <v>9</v>
      </c>
      <c r="R6" s="6" t="s">
        <v>10</v>
      </c>
      <c r="S6" s="6" t="s">
        <v>11</v>
      </c>
      <c r="T6" s="6" t="s">
        <v>12</v>
      </c>
      <c r="U6" s="6" t="s">
        <v>13</v>
      </c>
      <c r="V6" t="s">
        <v>14</v>
      </c>
      <c r="W6" t="s">
        <v>25</v>
      </c>
    </row>
    <row r="7" spans="1:30" x14ac:dyDescent="0.3">
      <c r="A7" s="6">
        <v>0</v>
      </c>
      <c r="B7" s="6">
        <v>0</v>
      </c>
      <c r="C7" s="6">
        <v>0</v>
      </c>
      <c r="D7" s="6">
        <v>38.923900000000003</v>
      </c>
      <c r="E7" s="6">
        <v>38.923900000000003</v>
      </c>
      <c r="F7" s="6">
        <v>0</v>
      </c>
      <c r="G7" s="6">
        <v>0</v>
      </c>
      <c r="H7" s="6">
        <v>19.466100000000001</v>
      </c>
      <c r="I7" s="6">
        <v>19.466100000000001</v>
      </c>
      <c r="J7" s="6">
        <v>0</v>
      </c>
      <c r="K7" s="6">
        <v>0</v>
      </c>
      <c r="L7" s="6">
        <v>18.2714</v>
      </c>
      <c r="M7" s="6">
        <v>18.2714</v>
      </c>
      <c r="N7" s="6">
        <v>0</v>
      </c>
      <c r="O7" s="6">
        <v>0</v>
      </c>
      <c r="P7" s="6">
        <v>18.641400000000001</v>
      </c>
      <c r="Q7" s="6">
        <v>18.641400000000001</v>
      </c>
      <c r="R7" s="6">
        <v>0</v>
      </c>
      <c r="S7" s="6">
        <v>3.0000000000000001E-3</v>
      </c>
      <c r="T7" s="6">
        <v>5.2900000000000003E-2</v>
      </c>
      <c r="U7" s="6">
        <v>209.08500000000001</v>
      </c>
      <c r="V7">
        <f>U7/A$2/B$2</f>
        <v>1.1265355603448277</v>
      </c>
      <c r="W7">
        <f>-AVERAGE(F7,J7,N7)</f>
        <v>0</v>
      </c>
    </row>
    <row r="8" spans="1:30" x14ac:dyDescent="0.3">
      <c r="A8" s="6">
        <v>1</v>
      </c>
      <c r="B8" s="7">
        <v>3.2257E-5</v>
      </c>
      <c r="C8" s="6">
        <v>1.2555699999999999E-3</v>
      </c>
      <c r="D8" s="6">
        <v>38.9251</v>
      </c>
      <c r="E8" s="6">
        <v>38.923900000000003</v>
      </c>
      <c r="F8" s="7">
        <v>-1.71208E-5</v>
      </c>
      <c r="G8" s="6">
        <v>-3.3327500000000001E-4</v>
      </c>
      <c r="H8" s="6">
        <v>19.465699999999998</v>
      </c>
      <c r="I8" s="6">
        <v>19.466100000000001</v>
      </c>
      <c r="J8" s="7">
        <v>4.0325099999999998E-5</v>
      </c>
      <c r="K8" s="6">
        <v>7.3679400000000003E-4</v>
      </c>
      <c r="L8" s="6">
        <v>18.272099999999998</v>
      </c>
      <c r="M8" s="6">
        <v>18.2714</v>
      </c>
      <c r="N8" s="7">
        <v>4.3908E-5</v>
      </c>
      <c r="O8" s="6">
        <v>8.1850599999999999E-4</v>
      </c>
      <c r="P8" s="6">
        <v>18.642199999999999</v>
      </c>
      <c r="Q8" s="6">
        <v>18.641400000000001</v>
      </c>
      <c r="R8" s="6">
        <v>0.95099999999999996</v>
      </c>
      <c r="S8" s="6">
        <v>0.95099999999999996</v>
      </c>
      <c r="T8" s="6">
        <v>5.6399999999999999E-2</v>
      </c>
      <c r="U8" s="6">
        <v>221.518</v>
      </c>
      <c r="V8">
        <f t="shared" ref="V8:V71" si="0">U8/A$2/B$2</f>
        <v>1.1935237068965519</v>
      </c>
      <c r="W8">
        <f t="shared" ref="W8:W71" si="1">-AVERAGE(F8,J8,N8)</f>
        <v>-2.2370766666666666E-5</v>
      </c>
    </row>
    <row r="9" spans="1:30" x14ac:dyDescent="0.3">
      <c r="A9" s="6">
        <v>2</v>
      </c>
      <c r="B9" s="7">
        <v>3.7366800000000003E-5</v>
      </c>
      <c r="C9" s="6">
        <v>1.4544600000000001E-3</v>
      </c>
      <c r="D9" s="6">
        <v>38.9253</v>
      </c>
      <c r="E9" s="6">
        <v>38.923900000000003</v>
      </c>
      <c r="F9" s="7">
        <v>-4.0262400000000003E-5</v>
      </c>
      <c r="G9" s="6">
        <v>-7.8375000000000005E-4</v>
      </c>
      <c r="H9" s="6">
        <v>19.465299999999999</v>
      </c>
      <c r="I9" s="6">
        <v>19.466100000000001</v>
      </c>
      <c r="J9" s="7">
        <v>-5.9643599999999999E-5</v>
      </c>
      <c r="K9" s="6">
        <v>-1.0897700000000001E-3</v>
      </c>
      <c r="L9" s="6">
        <v>18.270299999999999</v>
      </c>
      <c r="M9" s="6">
        <v>18.2714</v>
      </c>
      <c r="N9" s="6">
        <v>-1.1453199999999999E-4</v>
      </c>
      <c r="O9" s="6">
        <v>-2.1350399999999999E-3</v>
      </c>
      <c r="P9" s="6">
        <v>18.639199999999999</v>
      </c>
      <c r="Q9" s="6">
        <v>18.641400000000001</v>
      </c>
      <c r="R9" s="6">
        <v>2.6379999999999999</v>
      </c>
      <c r="S9" s="6">
        <v>2.6379999999999999</v>
      </c>
      <c r="T9" s="6">
        <v>4.87E-2</v>
      </c>
      <c r="U9" s="6">
        <v>194.39099999999999</v>
      </c>
      <c r="V9">
        <f t="shared" si="0"/>
        <v>1.047365301724138</v>
      </c>
      <c r="W9">
        <f t="shared" si="1"/>
        <v>7.1479333333333332E-5</v>
      </c>
    </row>
    <row r="10" spans="1:30" x14ac:dyDescent="0.3">
      <c r="A10" s="6">
        <v>3</v>
      </c>
      <c r="B10" s="7">
        <v>7.1578500000000006E-5</v>
      </c>
      <c r="C10" s="6">
        <v>2.7861100000000001E-3</v>
      </c>
      <c r="D10" s="6">
        <v>38.926600000000001</v>
      </c>
      <c r="E10" s="6">
        <v>38.923900000000003</v>
      </c>
      <c r="F10" s="7">
        <v>-1.4369500000000001E-6</v>
      </c>
      <c r="G10" s="7">
        <v>-2.7971799999999999E-5</v>
      </c>
      <c r="H10" s="6">
        <v>19.466000000000001</v>
      </c>
      <c r="I10" s="6">
        <v>19.466100000000001</v>
      </c>
      <c r="J10" s="7">
        <v>7.0354500000000005E-5</v>
      </c>
      <c r="K10" s="6">
        <v>1.2854699999999999E-3</v>
      </c>
      <c r="L10" s="6">
        <v>18.272600000000001</v>
      </c>
      <c r="M10" s="6">
        <v>18.2714</v>
      </c>
      <c r="N10" s="7">
        <v>-7.0492400000000003E-5</v>
      </c>
      <c r="O10" s="6">
        <v>-1.31408E-3</v>
      </c>
      <c r="P10" s="6">
        <v>18.6401</v>
      </c>
      <c r="Q10" s="6">
        <v>18.641400000000001</v>
      </c>
      <c r="R10" s="6">
        <v>3.012</v>
      </c>
      <c r="S10" s="6">
        <v>3.012</v>
      </c>
      <c r="T10" s="6">
        <v>4.2900000000000001E-2</v>
      </c>
      <c r="U10" s="6">
        <v>174.047</v>
      </c>
      <c r="V10">
        <f t="shared" si="0"/>
        <v>0.93775323275862066</v>
      </c>
      <c r="W10">
        <f t="shared" si="1"/>
        <v>5.2495000000000026E-7</v>
      </c>
    </row>
    <row r="11" spans="1:30" x14ac:dyDescent="0.3">
      <c r="A11" s="6">
        <v>4</v>
      </c>
      <c r="B11" s="7">
        <v>2.1960999999999999E-5</v>
      </c>
      <c r="C11" s="6">
        <v>8.5480500000000004E-4</v>
      </c>
      <c r="D11" s="6">
        <v>38.924700000000001</v>
      </c>
      <c r="E11" s="6">
        <v>38.923900000000003</v>
      </c>
      <c r="F11" s="7">
        <v>-4.67077E-5</v>
      </c>
      <c r="G11" s="6">
        <v>-9.09215E-4</v>
      </c>
      <c r="H11" s="6">
        <v>19.465199999999999</v>
      </c>
      <c r="I11" s="6">
        <v>19.466100000000001</v>
      </c>
      <c r="J11" s="7">
        <v>3.9950600000000003E-5</v>
      </c>
      <c r="K11" s="6">
        <v>7.2995099999999995E-4</v>
      </c>
      <c r="L11" s="6">
        <v>18.272099999999998</v>
      </c>
      <c r="M11" s="6">
        <v>18.2714</v>
      </c>
      <c r="N11" s="7">
        <v>1.9011199999999998E-5</v>
      </c>
      <c r="O11" s="6">
        <v>3.5439400000000001E-4</v>
      </c>
      <c r="P11" s="6">
        <v>18.6417</v>
      </c>
      <c r="Q11" s="6">
        <v>18.641400000000001</v>
      </c>
      <c r="R11" s="6">
        <v>3.198</v>
      </c>
      <c r="S11" s="6">
        <v>3.1989999999999998</v>
      </c>
      <c r="T11" s="6">
        <v>4.7100000000000003E-2</v>
      </c>
      <c r="U11" s="6">
        <v>188.74</v>
      </c>
      <c r="V11">
        <f t="shared" si="0"/>
        <v>1.0169181034482759</v>
      </c>
      <c r="W11">
        <f t="shared" si="1"/>
        <v>-4.0847000000000009E-6</v>
      </c>
    </row>
    <row r="12" spans="1:30" x14ac:dyDescent="0.3">
      <c r="A12" s="6">
        <v>5</v>
      </c>
      <c r="B12" s="7">
        <v>8.6544299999999997E-5</v>
      </c>
      <c r="C12" s="6">
        <v>3.36864E-3</v>
      </c>
      <c r="D12" s="6">
        <v>38.927199999999999</v>
      </c>
      <c r="E12" s="6">
        <v>38.923900000000003</v>
      </c>
      <c r="F12" s="7">
        <v>9.7425799999999998E-5</v>
      </c>
      <c r="G12" s="6">
        <v>1.8965E-3</v>
      </c>
      <c r="H12" s="6">
        <v>19.468</v>
      </c>
      <c r="I12" s="6">
        <v>19.466100000000001</v>
      </c>
      <c r="J12" s="6">
        <v>1.6718899999999999E-4</v>
      </c>
      <c r="K12" s="6">
        <v>3.0547600000000001E-3</v>
      </c>
      <c r="L12" s="6">
        <v>18.2744</v>
      </c>
      <c r="M12" s="6">
        <v>18.2714</v>
      </c>
      <c r="N12" s="6">
        <v>1.00997E-4</v>
      </c>
      <c r="O12" s="6">
        <v>1.8827200000000001E-3</v>
      </c>
      <c r="P12" s="6">
        <v>18.6432</v>
      </c>
      <c r="Q12" s="6">
        <v>18.641400000000001</v>
      </c>
      <c r="R12" s="6">
        <v>3.3239999999999998</v>
      </c>
      <c r="S12" s="6">
        <v>3.3250000000000002</v>
      </c>
      <c r="T12" s="6">
        <v>5.1900000000000002E-2</v>
      </c>
      <c r="U12" s="6">
        <v>205.69399999999999</v>
      </c>
      <c r="V12">
        <f t="shared" si="0"/>
        <v>1.1082650862068966</v>
      </c>
      <c r="W12">
        <f t="shared" si="1"/>
        <v>-1.218706E-4</v>
      </c>
    </row>
    <row r="13" spans="1:30" x14ac:dyDescent="0.3">
      <c r="A13" s="6">
        <v>6</v>
      </c>
      <c r="B13" s="7">
        <v>-3.5736700000000002E-6</v>
      </c>
      <c r="C13" s="6">
        <v>-1.3910100000000001E-4</v>
      </c>
      <c r="D13" s="6">
        <v>38.923699999999997</v>
      </c>
      <c r="E13" s="6">
        <v>38.923900000000003</v>
      </c>
      <c r="F13" s="7">
        <v>3.5329800000000002E-5</v>
      </c>
      <c r="G13" s="6">
        <v>6.8773100000000002E-4</v>
      </c>
      <c r="H13" s="6">
        <v>19.466799999999999</v>
      </c>
      <c r="I13" s="6">
        <v>19.466100000000001</v>
      </c>
      <c r="J13" s="6">
        <v>1.2135E-4</v>
      </c>
      <c r="K13" s="6">
        <v>2.2172200000000002E-3</v>
      </c>
      <c r="L13" s="6">
        <v>18.273599999999998</v>
      </c>
      <c r="M13" s="6">
        <v>18.2714</v>
      </c>
      <c r="N13" s="7">
        <v>6.5613999999999999E-5</v>
      </c>
      <c r="O13" s="6">
        <v>1.22313E-3</v>
      </c>
      <c r="P13" s="6">
        <v>18.642600000000002</v>
      </c>
      <c r="Q13" s="6">
        <v>18.641400000000001</v>
      </c>
      <c r="R13" s="6">
        <v>4.7080000000000002</v>
      </c>
      <c r="S13" s="6">
        <v>4.7080000000000002</v>
      </c>
      <c r="T13" s="6">
        <v>5.0299999999999997E-2</v>
      </c>
      <c r="U13" s="6">
        <v>200.04300000000001</v>
      </c>
      <c r="V13">
        <f t="shared" si="0"/>
        <v>1.0778178879310345</v>
      </c>
      <c r="W13">
        <f t="shared" si="1"/>
        <v>-7.4097933333333341E-5</v>
      </c>
    </row>
    <row r="14" spans="1:30" x14ac:dyDescent="0.3">
      <c r="A14" s="6">
        <v>7</v>
      </c>
      <c r="B14" s="7">
        <v>5.6288700000000002E-5</v>
      </c>
      <c r="C14" s="6">
        <v>2.19097E-3</v>
      </c>
      <c r="D14" s="6">
        <v>38.926000000000002</v>
      </c>
      <c r="E14" s="6">
        <v>38.923900000000003</v>
      </c>
      <c r="F14" s="7">
        <v>2.0919300000000001E-5</v>
      </c>
      <c r="G14" s="6">
        <v>4.0721699999999997E-4</v>
      </c>
      <c r="H14" s="6">
        <v>19.4665</v>
      </c>
      <c r="I14" s="6">
        <v>19.466100000000001</v>
      </c>
      <c r="J14" s="7">
        <v>4.1099300000000001E-5</v>
      </c>
      <c r="K14" s="6">
        <v>7.5093899999999995E-4</v>
      </c>
      <c r="L14" s="6">
        <v>18.272099999999998</v>
      </c>
      <c r="M14" s="6">
        <v>18.2714</v>
      </c>
      <c r="N14" s="7">
        <v>-1.2182500000000001E-5</v>
      </c>
      <c r="O14" s="6">
        <v>-2.27099E-4</v>
      </c>
      <c r="P14" s="6">
        <v>18.641100000000002</v>
      </c>
      <c r="Q14" s="6">
        <v>18.641400000000001</v>
      </c>
      <c r="R14" s="6">
        <v>5.3819999999999997</v>
      </c>
      <c r="S14" s="6">
        <v>5.383</v>
      </c>
      <c r="T14" s="6">
        <v>7.3800000000000004E-2</v>
      </c>
      <c r="U14" s="6">
        <v>282.55200000000002</v>
      </c>
      <c r="V14">
        <f t="shared" si="0"/>
        <v>1.5223706896551725</v>
      </c>
      <c r="W14">
        <f t="shared" si="1"/>
        <v>-1.6612033333333333E-5</v>
      </c>
    </row>
    <row r="15" spans="1:30" x14ac:dyDescent="0.3">
      <c r="A15" s="6">
        <v>8</v>
      </c>
      <c r="B15" s="7">
        <v>9.43517E-5</v>
      </c>
      <c r="C15" s="6">
        <v>3.6725299999999998E-3</v>
      </c>
      <c r="D15" s="6">
        <v>38.927500000000002</v>
      </c>
      <c r="E15" s="6">
        <v>38.923900000000003</v>
      </c>
      <c r="F15" s="7">
        <v>3.2234399999999998E-5</v>
      </c>
      <c r="G15" s="6">
        <v>6.2747699999999998E-4</v>
      </c>
      <c r="H15" s="6">
        <v>19.466699999999999</v>
      </c>
      <c r="I15" s="6">
        <v>19.466100000000001</v>
      </c>
      <c r="J15" s="7">
        <v>7.3119800000000004E-5</v>
      </c>
      <c r="K15" s="6">
        <v>1.3359999999999999E-3</v>
      </c>
      <c r="L15" s="6">
        <v>18.2727</v>
      </c>
      <c r="M15" s="6">
        <v>18.2714</v>
      </c>
      <c r="N15" s="7">
        <v>-2.19801E-5</v>
      </c>
      <c r="O15" s="6">
        <v>-4.09739E-4</v>
      </c>
      <c r="P15" s="6">
        <v>18.640999999999998</v>
      </c>
      <c r="Q15" s="6">
        <v>18.641400000000001</v>
      </c>
      <c r="R15" s="6">
        <v>5.57</v>
      </c>
      <c r="S15" s="6">
        <v>5.5709999999999997</v>
      </c>
      <c r="T15" s="6">
        <v>9.5399999999999999E-2</v>
      </c>
      <c r="U15" s="6">
        <v>358.279</v>
      </c>
      <c r="V15">
        <f t="shared" si="0"/>
        <v>1.9303825431034483</v>
      </c>
      <c r="W15">
        <f t="shared" si="1"/>
        <v>-2.779136666666667E-5</v>
      </c>
    </row>
    <row r="16" spans="1:30" x14ac:dyDescent="0.3">
      <c r="A16" s="6">
        <v>9</v>
      </c>
      <c r="B16" s="6">
        <v>1.5118999999999999E-4</v>
      </c>
      <c r="C16" s="6">
        <v>5.8848800000000003E-3</v>
      </c>
      <c r="D16" s="6">
        <v>38.929699999999997</v>
      </c>
      <c r="E16" s="6">
        <v>38.923900000000003</v>
      </c>
      <c r="F16" s="7">
        <v>-1.6160599999999999E-5</v>
      </c>
      <c r="G16" s="6">
        <v>-3.1458300000000001E-4</v>
      </c>
      <c r="H16" s="6">
        <v>19.465699999999998</v>
      </c>
      <c r="I16" s="6">
        <v>19.466100000000001</v>
      </c>
      <c r="J16" s="7">
        <v>6.2103899999999993E-5</v>
      </c>
      <c r="K16" s="6">
        <v>1.1347200000000001E-3</v>
      </c>
      <c r="L16" s="6">
        <v>18.272500000000001</v>
      </c>
      <c r="M16" s="6">
        <v>18.2714</v>
      </c>
      <c r="N16" s="7">
        <v>-1.7017500000000001E-5</v>
      </c>
      <c r="O16" s="6">
        <v>-3.1723E-4</v>
      </c>
      <c r="P16" s="6">
        <v>18.640999999999998</v>
      </c>
      <c r="Q16" s="6">
        <v>18.641400000000001</v>
      </c>
      <c r="R16" s="6">
        <v>5.7030000000000003</v>
      </c>
      <c r="S16" s="6">
        <v>5.7030000000000003</v>
      </c>
      <c r="T16" s="6">
        <v>0.12989999999999999</v>
      </c>
      <c r="U16" s="6">
        <v>479.21699999999998</v>
      </c>
      <c r="V16">
        <f t="shared" si="0"/>
        <v>2.581988146551724</v>
      </c>
      <c r="W16">
        <f t="shared" si="1"/>
        <v>-9.6419333333333317E-6</v>
      </c>
    </row>
    <row r="17" spans="1:23" x14ac:dyDescent="0.3">
      <c r="A17" s="6">
        <v>10</v>
      </c>
      <c r="B17" s="6">
        <v>1.2964500000000001E-4</v>
      </c>
      <c r="C17" s="6">
        <v>5.0462700000000003E-3</v>
      </c>
      <c r="D17" s="6">
        <v>38.928899999999999</v>
      </c>
      <c r="E17" s="6">
        <v>38.923900000000003</v>
      </c>
      <c r="F17" s="7">
        <v>-7.1320499999999996E-5</v>
      </c>
      <c r="G17" s="6">
        <v>-1.3883299999999999E-3</v>
      </c>
      <c r="H17" s="6">
        <v>19.464700000000001</v>
      </c>
      <c r="I17" s="6">
        <v>19.466100000000001</v>
      </c>
      <c r="J17" s="7">
        <v>-2.4723E-5</v>
      </c>
      <c r="K17" s="6">
        <v>-4.51722E-4</v>
      </c>
      <c r="L17" s="6">
        <v>18.270900000000001</v>
      </c>
      <c r="M17" s="6">
        <v>18.2714</v>
      </c>
      <c r="N17" s="7">
        <v>-8.3866800000000001E-5</v>
      </c>
      <c r="O17" s="6">
        <v>-1.56339E-3</v>
      </c>
      <c r="P17" s="6">
        <v>18.639800000000001</v>
      </c>
      <c r="Q17" s="6">
        <v>18.641400000000001</v>
      </c>
      <c r="R17" s="6">
        <v>5.819</v>
      </c>
      <c r="S17" s="6">
        <v>5.819</v>
      </c>
      <c r="T17" s="6">
        <v>0.1157</v>
      </c>
      <c r="U17" s="6">
        <v>429.48599999999999</v>
      </c>
      <c r="V17">
        <f t="shared" si="0"/>
        <v>2.3140409482758622</v>
      </c>
      <c r="W17">
        <f t="shared" si="1"/>
        <v>5.9970099999999997E-5</v>
      </c>
    </row>
    <row r="18" spans="1:23" x14ac:dyDescent="0.3">
      <c r="A18" s="6">
        <v>11</v>
      </c>
      <c r="B18" s="6">
        <v>1.11093E-4</v>
      </c>
      <c r="C18" s="6">
        <v>4.3241800000000004E-3</v>
      </c>
      <c r="D18" s="6">
        <v>38.928199999999997</v>
      </c>
      <c r="E18" s="6">
        <v>38.923900000000003</v>
      </c>
      <c r="F18" s="7">
        <v>-5.6991699999999998E-5</v>
      </c>
      <c r="G18" s="6">
        <v>-1.1094E-3</v>
      </c>
      <c r="H18" s="6">
        <v>19.465</v>
      </c>
      <c r="I18" s="6">
        <v>19.466100000000001</v>
      </c>
      <c r="J18" s="7">
        <v>-1.13793E-5</v>
      </c>
      <c r="K18" s="6">
        <v>-2.07915E-4</v>
      </c>
      <c r="L18" s="6">
        <v>18.271100000000001</v>
      </c>
      <c r="M18" s="6">
        <v>18.2714</v>
      </c>
      <c r="N18" s="7">
        <v>-9.2588200000000002E-5</v>
      </c>
      <c r="O18" s="6">
        <v>-1.7259700000000001E-3</v>
      </c>
      <c r="P18" s="6">
        <v>18.639600000000002</v>
      </c>
      <c r="Q18" s="6">
        <v>18.641400000000001</v>
      </c>
      <c r="R18" s="6">
        <v>5.944</v>
      </c>
      <c r="S18" s="6">
        <v>5.9450000000000003</v>
      </c>
      <c r="T18" s="6">
        <v>0.13800000000000001</v>
      </c>
      <c r="U18" s="6">
        <v>507.47399999999999</v>
      </c>
      <c r="V18">
        <f t="shared" si="0"/>
        <v>2.7342349137931037</v>
      </c>
      <c r="W18">
        <f t="shared" si="1"/>
        <v>5.365306666666667E-5</v>
      </c>
    </row>
    <row r="19" spans="1:23" x14ac:dyDescent="0.3">
      <c r="A19" s="6">
        <v>12</v>
      </c>
      <c r="B19" s="6">
        <v>1.3529300000000001E-4</v>
      </c>
      <c r="C19" s="6">
        <v>5.26612E-3</v>
      </c>
      <c r="D19" s="6">
        <v>38.929099999999998</v>
      </c>
      <c r="E19" s="6">
        <v>38.923900000000003</v>
      </c>
      <c r="F19" s="7">
        <v>-6.4300000000000004E-5</v>
      </c>
      <c r="G19" s="6">
        <v>-1.2516700000000001E-3</v>
      </c>
      <c r="H19" s="6">
        <v>19.4648</v>
      </c>
      <c r="I19" s="6">
        <v>19.466100000000001</v>
      </c>
      <c r="J19" s="7">
        <v>1.0249599999999999E-5</v>
      </c>
      <c r="K19" s="6">
        <v>1.87274E-4</v>
      </c>
      <c r="L19" s="6">
        <v>18.2715</v>
      </c>
      <c r="M19" s="6">
        <v>18.2714</v>
      </c>
      <c r="N19" s="7">
        <v>-3.9273999999999997E-5</v>
      </c>
      <c r="O19" s="6">
        <v>-7.3211999999999995E-4</v>
      </c>
      <c r="P19" s="6">
        <v>18.640599999999999</v>
      </c>
      <c r="Q19" s="6">
        <v>18.641400000000001</v>
      </c>
      <c r="R19" s="6">
        <v>6.07</v>
      </c>
      <c r="S19" s="6">
        <v>6.07</v>
      </c>
      <c r="T19" s="6">
        <v>0.15570000000000001</v>
      </c>
      <c r="U19" s="6">
        <v>569.63800000000003</v>
      </c>
      <c r="V19">
        <f t="shared" si="0"/>
        <v>3.0691702586206899</v>
      </c>
      <c r="W19">
        <f t="shared" si="1"/>
        <v>3.1108133333333335E-5</v>
      </c>
    </row>
    <row r="20" spans="1:23" x14ac:dyDescent="0.3">
      <c r="A20" s="6">
        <v>13</v>
      </c>
      <c r="B20" s="6">
        <v>2.1248099999999999E-4</v>
      </c>
      <c r="C20" s="6">
        <v>8.2705999999999995E-3</v>
      </c>
      <c r="D20" s="6">
        <v>38.932099999999998</v>
      </c>
      <c r="E20" s="6">
        <v>38.923900000000003</v>
      </c>
      <c r="F20" s="7">
        <v>-4.3294399999999997E-5</v>
      </c>
      <c r="G20" s="6">
        <v>-8.4277099999999997E-4</v>
      </c>
      <c r="H20" s="6">
        <v>19.465199999999999</v>
      </c>
      <c r="I20" s="6">
        <v>19.466100000000001</v>
      </c>
      <c r="J20" s="7">
        <v>-3.1159300000000001E-6</v>
      </c>
      <c r="K20" s="7">
        <v>-5.6932199999999997E-5</v>
      </c>
      <c r="L20" s="6">
        <v>18.2713</v>
      </c>
      <c r="M20" s="6">
        <v>18.2714</v>
      </c>
      <c r="N20" s="7">
        <v>-6.3987799999999997E-5</v>
      </c>
      <c r="O20" s="6">
        <v>-1.19282E-3</v>
      </c>
      <c r="P20" s="6">
        <v>18.6402</v>
      </c>
      <c r="Q20" s="6">
        <v>18.641400000000001</v>
      </c>
      <c r="R20" s="6">
        <v>6.1920000000000002</v>
      </c>
      <c r="S20" s="6">
        <v>6.1920000000000002</v>
      </c>
      <c r="T20" s="6">
        <v>0.16339999999999999</v>
      </c>
      <c r="U20" s="6">
        <v>596.76400000000001</v>
      </c>
      <c r="V20">
        <f t="shared" si="0"/>
        <v>3.2153232758620689</v>
      </c>
      <c r="W20">
        <f t="shared" si="1"/>
        <v>3.6799376666666666E-5</v>
      </c>
    </row>
    <row r="21" spans="1:23" x14ac:dyDescent="0.3">
      <c r="A21" s="6">
        <v>14</v>
      </c>
      <c r="B21" s="6">
        <v>1.20159E-4</v>
      </c>
      <c r="C21" s="6">
        <v>4.6770600000000002E-3</v>
      </c>
      <c r="D21" s="6">
        <v>38.9285</v>
      </c>
      <c r="E21" s="6">
        <v>38.923900000000003</v>
      </c>
      <c r="F21" s="7">
        <v>-1.33589E-5</v>
      </c>
      <c r="G21" s="6">
        <v>-2.6004499999999998E-4</v>
      </c>
      <c r="H21" s="6">
        <v>19.465800000000002</v>
      </c>
      <c r="I21" s="6">
        <v>19.466100000000001</v>
      </c>
      <c r="J21" s="7">
        <v>2.82442E-5</v>
      </c>
      <c r="K21" s="6">
        <v>5.1606000000000004E-4</v>
      </c>
      <c r="L21" s="6">
        <v>18.271899999999999</v>
      </c>
      <c r="M21" s="6">
        <v>18.2714</v>
      </c>
      <c r="N21" s="6">
        <v>-1.1671300000000001E-4</v>
      </c>
      <c r="O21" s="6">
        <v>-2.1756800000000001E-3</v>
      </c>
      <c r="P21" s="6">
        <v>18.639199999999999</v>
      </c>
      <c r="Q21" s="6">
        <v>18.641400000000001</v>
      </c>
      <c r="R21" s="6">
        <v>6.3819999999999997</v>
      </c>
      <c r="S21" s="6">
        <v>6.3819999999999997</v>
      </c>
      <c r="T21" s="6">
        <v>0.17660000000000001</v>
      </c>
      <c r="U21" s="6">
        <v>643.10500000000002</v>
      </c>
      <c r="V21">
        <f t="shared" si="0"/>
        <v>3.4650053879310345</v>
      </c>
      <c r="W21">
        <f t="shared" si="1"/>
        <v>3.3942566666666669E-5</v>
      </c>
    </row>
    <row r="22" spans="1:23" x14ac:dyDescent="0.3">
      <c r="A22" s="6">
        <v>15</v>
      </c>
      <c r="B22" s="6">
        <v>2.0402899999999999E-4</v>
      </c>
      <c r="C22" s="6">
        <v>7.94161E-3</v>
      </c>
      <c r="D22" s="6">
        <v>38.931800000000003</v>
      </c>
      <c r="E22" s="6">
        <v>38.923900000000003</v>
      </c>
      <c r="F22" s="7">
        <v>-2.9922900000000001E-5</v>
      </c>
      <c r="G22" s="6">
        <v>-5.8248100000000004E-4</v>
      </c>
      <c r="H22" s="6">
        <v>19.465499999999999</v>
      </c>
      <c r="I22" s="6">
        <v>19.466100000000001</v>
      </c>
      <c r="J22" s="7">
        <v>2.9210400000000001E-5</v>
      </c>
      <c r="K22" s="6">
        <v>5.33713E-4</v>
      </c>
      <c r="L22" s="6">
        <v>18.271899999999999</v>
      </c>
      <c r="M22" s="6">
        <v>18.2714</v>
      </c>
      <c r="N22" s="7">
        <v>-9.7775400000000006E-5</v>
      </c>
      <c r="O22" s="6">
        <v>-1.82267E-3</v>
      </c>
      <c r="P22" s="6">
        <v>18.639500000000002</v>
      </c>
      <c r="Q22" s="6">
        <v>18.641400000000001</v>
      </c>
      <c r="R22" s="6">
        <v>6.6310000000000002</v>
      </c>
      <c r="S22" s="6">
        <v>6.6319999999999997</v>
      </c>
      <c r="T22" s="6">
        <v>0.1905</v>
      </c>
      <c r="U22" s="6">
        <v>691.70600000000002</v>
      </c>
      <c r="V22">
        <f t="shared" si="0"/>
        <v>3.7268642241379313</v>
      </c>
      <c r="W22">
        <f t="shared" si="1"/>
        <v>3.2829300000000001E-5</v>
      </c>
    </row>
    <row r="23" spans="1:23" x14ac:dyDescent="0.3">
      <c r="A23" s="6">
        <v>16</v>
      </c>
      <c r="B23" s="6">
        <v>1.6258000000000001E-4</v>
      </c>
      <c r="C23" s="6">
        <v>6.3282599999999996E-3</v>
      </c>
      <c r="D23" s="6">
        <v>38.930199999999999</v>
      </c>
      <c r="E23" s="6">
        <v>38.923900000000003</v>
      </c>
      <c r="F23" s="6">
        <v>-1.89586E-4</v>
      </c>
      <c r="G23" s="6">
        <v>-3.6905000000000002E-3</v>
      </c>
      <c r="H23" s="6">
        <v>19.462399999999999</v>
      </c>
      <c r="I23" s="6">
        <v>19.466100000000001</v>
      </c>
      <c r="J23" s="6">
        <v>-1.20501E-4</v>
      </c>
      <c r="K23" s="6">
        <v>-2.20171E-3</v>
      </c>
      <c r="L23" s="6">
        <v>18.269200000000001</v>
      </c>
      <c r="M23" s="6">
        <v>18.2714</v>
      </c>
      <c r="N23" s="6">
        <v>-1.32454E-4</v>
      </c>
      <c r="O23" s="6">
        <v>-2.46912E-3</v>
      </c>
      <c r="P23" s="6">
        <v>18.6389</v>
      </c>
      <c r="Q23" s="6">
        <v>18.641400000000001</v>
      </c>
      <c r="R23" s="6">
        <v>6.8819999999999997</v>
      </c>
      <c r="S23" s="6">
        <v>6.8819999999999997</v>
      </c>
      <c r="T23" s="6">
        <v>0.1963</v>
      </c>
      <c r="U23" s="6">
        <v>712.05100000000004</v>
      </c>
      <c r="V23">
        <f t="shared" si="0"/>
        <v>3.8364816810344831</v>
      </c>
      <c r="W23">
        <f t="shared" si="1"/>
        <v>1.4751366666666666E-4</v>
      </c>
    </row>
    <row r="24" spans="1:23" x14ac:dyDescent="0.3">
      <c r="A24" s="6">
        <v>17</v>
      </c>
      <c r="B24" s="6">
        <v>2.2034499999999999E-4</v>
      </c>
      <c r="C24" s="6">
        <v>8.5766799999999997E-3</v>
      </c>
      <c r="D24" s="6">
        <v>38.932400000000001</v>
      </c>
      <c r="E24" s="6">
        <v>38.923900000000003</v>
      </c>
      <c r="F24" s="7">
        <v>8.7848400000000004E-6</v>
      </c>
      <c r="G24" s="6">
        <v>1.71006E-4</v>
      </c>
      <c r="H24" s="6">
        <v>19.466200000000001</v>
      </c>
      <c r="I24" s="6">
        <v>19.466100000000001</v>
      </c>
      <c r="J24" s="7">
        <v>8.8832999999999995E-5</v>
      </c>
      <c r="K24" s="6">
        <v>1.6230999999999999E-3</v>
      </c>
      <c r="L24" s="6">
        <v>18.273</v>
      </c>
      <c r="M24" s="6">
        <v>18.2714</v>
      </c>
      <c r="N24" s="7">
        <v>1.9661999999999999E-5</v>
      </c>
      <c r="O24" s="6">
        <v>3.6652599999999999E-4</v>
      </c>
      <c r="P24" s="6">
        <v>18.6417</v>
      </c>
      <c r="Q24" s="6">
        <v>18.641400000000001</v>
      </c>
      <c r="R24" s="6">
        <v>7.2539999999999996</v>
      </c>
      <c r="S24" s="6">
        <v>7.2539999999999996</v>
      </c>
      <c r="T24" s="6">
        <v>0.22140000000000001</v>
      </c>
      <c r="U24" s="6">
        <v>800.21100000000001</v>
      </c>
      <c r="V24">
        <f t="shared" si="0"/>
        <v>4.3114816810344827</v>
      </c>
      <c r="W24">
        <f t="shared" si="1"/>
        <v>-3.9093279999999999E-5</v>
      </c>
    </row>
    <row r="25" spans="1:23" x14ac:dyDescent="0.3">
      <c r="A25" s="6">
        <v>18</v>
      </c>
      <c r="B25" s="6">
        <v>2.0136700000000001E-4</v>
      </c>
      <c r="C25" s="6">
        <v>7.8379799999999996E-3</v>
      </c>
      <c r="D25" s="6">
        <v>38.931699999999999</v>
      </c>
      <c r="E25" s="6">
        <v>38.923900000000003</v>
      </c>
      <c r="F25" s="6">
        <v>-1.1050199999999999E-4</v>
      </c>
      <c r="G25" s="6">
        <v>-2.1510399999999999E-3</v>
      </c>
      <c r="H25" s="6">
        <v>19.463899999999999</v>
      </c>
      <c r="I25" s="6">
        <v>19.466100000000001</v>
      </c>
      <c r="J25" s="7">
        <v>-3.0167799999999999E-5</v>
      </c>
      <c r="K25" s="6">
        <v>-5.5120699999999996E-4</v>
      </c>
      <c r="L25" s="6">
        <v>18.270800000000001</v>
      </c>
      <c r="M25" s="6">
        <v>18.2714</v>
      </c>
      <c r="N25" s="6">
        <v>-1.2386100000000001E-4</v>
      </c>
      <c r="O25" s="6">
        <v>-2.3089299999999998E-3</v>
      </c>
      <c r="P25" s="6">
        <v>18.639099999999999</v>
      </c>
      <c r="Q25" s="6">
        <v>18.641400000000001</v>
      </c>
      <c r="R25" s="6">
        <v>7.5670000000000002</v>
      </c>
      <c r="S25" s="6">
        <v>7.5670000000000002</v>
      </c>
      <c r="T25" s="6">
        <v>0.2263</v>
      </c>
      <c r="U25" s="6">
        <v>817.16499999999996</v>
      </c>
      <c r="V25">
        <f t="shared" si="0"/>
        <v>4.4028286637931036</v>
      </c>
      <c r="W25">
        <f t="shared" si="1"/>
        <v>8.817693333333334E-5</v>
      </c>
    </row>
    <row r="26" spans="1:23" x14ac:dyDescent="0.3">
      <c r="A26" s="6">
        <v>19</v>
      </c>
      <c r="B26" s="6">
        <v>2.29185E-4</v>
      </c>
      <c r="C26" s="6">
        <v>8.9207499999999999E-3</v>
      </c>
      <c r="D26" s="6">
        <v>38.9328</v>
      </c>
      <c r="E26" s="6">
        <v>38.923900000000003</v>
      </c>
      <c r="F26" s="7">
        <v>4.5870500000000001E-5</v>
      </c>
      <c r="G26" s="6">
        <v>8.9291900000000005E-4</v>
      </c>
      <c r="H26" s="6">
        <v>19.466999999999999</v>
      </c>
      <c r="I26" s="6">
        <v>19.466100000000001</v>
      </c>
      <c r="J26" s="7">
        <v>8.8864500000000003E-5</v>
      </c>
      <c r="K26" s="6">
        <v>1.62367E-3</v>
      </c>
      <c r="L26" s="6">
        <v>18.273</v>
      </c>
      <c r="M26" s="6">
        <v>18.2714</v>
      </c>
      <c r="N26" s="7">
        <v>-6.3065999999999996E-5</v>
      </c>
      <c r="O26" s="6">
        <v>-1.1756399999999999E-3</v>
      </c>
      <c r="P26" s="6">
        <v>18.6402</v>
      </c>
      <c r="Q26" s="6">
        <v>18.641400000000001</v>
      </c>
      <c r="R26" s="6">
        <v>7.8179999999999996</v>
      </c>
      <c r="S26" s="6">
        <v>7.8179999999999996</v>
      </c>
      <c r="T26" s="6">
        <v>0.23369999999999999</v>
      </c>
      <c r="U26" s="6">
        <v>843.16099999999994</v>
      </c>
      <c r="V26">
        <f t="shared" si="0"/>
        <v>4.5428933189655174</v>
      </c>
      <c r="W26">
        <f t="shared" si="1"/>
        <v>-2.3889666666666669E-5</v>
      </c>
    </row>
    <row r="27" spans="1:23" x14ac:dyDescent="0.3">
      <c r="A27" s="6">
        <v>20</v>
      </c>
      <c r="B27" s="6">
        <v>1.89421E-4</v>
      </c>
      <c r="C27" s="6">
        <v>7.3730000000000002E-3</v>
      </c>
      <c r="D27" s="6">
        <v>38.931199999999997</v>
      </c>
      <c r="E27" s="6">
        <v>38.923900000000003</v>
      </c>
      <c r="F27" s="7">
        <v>-4.5224900000000001E-5</v>
      </c>
      <c r="G27" s="6">
        <v>-8.8035100000000003E-4</v>
      </c>
      <c r="H27" s="6">
        <v>19.465199999999999</v>
      </c>
      <c r="I27" s="6">
        <v>19.466100000000001</v>
      </c>
      <c r="J27" s="7">
        <v>4.7782000000000003E-7</v>
      </c>
      <c r="K27" s="7">
        <v>8.73042E-6</v>
      </c>
      <c r="L27" s="6">
        <v>18.2714</v>
      </c>
      <c r="M27" s="6">
        <v>18.2714</v>
      </c>
      <c r="N27" s="7">
        <v>-9.6897499999999998E-5</v>
      </c>
      <c r="O27" s="6">
        <v>-1.8063E-3</v>
      </c>
      <c r="P27" s="6">
        <v>18.639600000000002</v>
      </c>
      <c r="Q27" s="6">
        <v>18.641400000000001</v>
      </c>
      <c r="R27" s="6">
        <v>8.1920000000000002</v>
      </c>
      <c r="S27" s="6">
        <v>8.1920000000000002</v>
      </c>
      <c r="T27" s="6">
        <v>0.24079999999999999</v>
      </c>
      <c r="U27" s="6">
        <v>868.02700000000004</v>
      </c>
      <c r="V27">
        <f t="shared" si="0"/>
        <v>4.6768696120689661</v>
      </c>
      <c r="W27">
        <f t="shared" si="1"/>
        <v>4.7214859999999998E-5</v>
      </c>
    </row>
    <row r="28" spans="1:23" x14ac:dyDescent="0.3">
      <c r="A28" s="6">
        <v>21</v>
      </c>
      <c r="B28" s="6">
        <v>2.48881E-4</v>
      </c>
      <c r="C28" s="6">
        <v>9.6874200000000004E-3</v>
      </c>
      <c r="D28" s="6">
        <v>38.933500000000002</v>
      </c>
      <c r="E28" s="6">
        <v>38.923900000000003</v>
      </c>
      <c r="F28" s="7">
        <v>-3.8385600000000001E-5</v>
      </c>
      <c r="G28" s="6">
        <v>-7.4721599999999998E-4</v>
      </c>
      <c r="H28" s="6">
        <v>19.465299999999999</v>
      </c>
      <c r="I28" s="6">
        <v>19.466100000000001</v>
      </c>
      <c r="J28" s="7">
        <v>1.08586E-5</v>
      </c>
      <c r="K28" s="6">
        <v>1.984E-4</v>
      </c>
      <c r="L28" s="6">
        <v>18.271599999999999</v>
      </c>
      <c r="M28" s="6">
        <v>18.2714</v>
      </c>
      <c r="N28" s="7">
        <v>-9.0484900000000005E-5</v>
      </c>
      <c r="O28" s="6">
        <v>-1.68676E-3</v>
      </c>
      <c r="P28" s="6">
        <v>18.639700000000001</v>
      </c>
      <c r="Q28" s="6">
        <v>18.641400000000001</v>
      </c>
      <c r="R28" s="6">
        <v>8.4420000000000002</v>
      </c>
      <c r="S28" s="6">
        <v>8.4420000000000002</v>
      </c>
      <c r="T28" s="6">
        <v>0.26240000000000002</v>
      </c>
      <c r="U28" s="6">
        <v>943.75400000000002</v>
      </c>
      <c r="V28">
        <f t="shared" si="0"/>
        <v>5.0848814655172418</v>
      </c>
      <c r="W28">
        <f t="shared" si="1"/>
        <v>3.9337300000000007E-5</v>
      </c>
    </row>
    <row r="29" spans="1:23" x14ac:dyDescent="0.3">
      <c r="A29" s="6">
        <v>22</v>
      </c>
      <c r="B29" s="6">
        <v>2.5966599999999998E-4</v>
      </c>
      <c r="C29" s="6">
        <v>1.01072E-2</v>
      </c>
      <c r="D29" s="6">
        <v>38.933999999999997</v>
      </c>
      <c r="E29" s="6">
        <v>38.923900000000003</v>
      </c>
      <c r="F29" s="7">
        <v>-6.0149999999999998E-5</v>
      </c>
      <c r="G29" s="6">
        <v>-1.17088E-3</v>
      </c>
      <c r="H29" s="6">
        <v>19.4649</v>
      </c>
      <c r="I29" s="6">
        <v>19.466100000000001</v>
      </c>
      <c r="J29" s="7">
        <v>-4.1317599999999999E-5</v>
      </c>
      <c r="K29" s="6">
        <v>-7.5492799999999998E-4</v>
      </c>
      <c r="L29" s="6">
        <v>18.270600000000002</v>
      </c>
      <c r="M29" s="6">
        <v>18.2714</v>
      </c>
      <c r="N29" s="6">
        <v>-1.20246E-4</v>
      </c>
      <c r="O29" s="6">
        <v>-2.2415500000000001E-3</v>
      </c>
      <c r="P29" s="6">
        <v>18.639099999999999</v>
      </c>
      <c r="Q29" s="6">
        <v>18.641400000000001</v>
      </c>
      <c r="R29" s="6">
        <v>8.8759999999999994</v>
      </c>
      <c r="S29" s="6">
        <v>8.8759999999999994</v>
      </c>
      <c r="T29" s="6">
        <v>0.29459999999999997</v>
      </c>
      <c r="U29" s="6">
        <v>1056.78</v>
      </c>
      <c r="V29">
        <f t="shared" si="0"/>
        <v>5.6938577586206893</v>
      </c>
      <c r="W29">
        <f t="shared" si="1"/>
        <v>7.3904533333333337E-5</v>
      </c>
    </row>
    <row r="30" spans="1:23" x14ac:dyDescent="0.3">
      <c r="A30" s="6">
        <v>23</v>
      </c>
      <c r="B30" s="6">
        <v>3.1008799999999998E-4</v>
      </c>
      <c r="C30" s="6">
        <v>1.20698E-2</v>
      </c>
      <c r="D30" s="6">
        <v>38.935899999999997</v>
      </c>
      <c r="E30" s="6">
        <v>38.923900000000003</v>
      </c>
      <c r="F30" s="7">
        <v>-8.4278599999999996E-5</v>
      </c>
      <c r="G30" s="6">
        <v>-1.64057E-3</v>
      </c>
      <c r="H30" s="6">
        <v>19.464400000000001</v>
      </c>
      <c r="I30" s="6">
        <v>19.466100000000001</v>
      </c>
      <c r="J30" s="7">
        <v>4.3704500000000001E-5</v>
      </c>
      <c r="K30" s="6">
        <v>7.9854100000000005E-4</v>
      </c>
      <c r="L30" s="6">
        <v>18.272200000000002</v>
      </c>
      <c r="M30" s="6">
        <v>18.2714</v>
      </c>
      <c r="N30" s="7">
        <v>-7.6104800000000004E-5</v>
      </c>
      <c r="O30" s="6">
        <v>-1.4187E-3</v>
      </c>
      <c r="P30" s="6">
        <v>18.639900000000001</v>
      </c>
      <c r="Q30" s="6">
        <v>18.641400000000001</v>
      </c>
      <c r="R30" s="6">
        <v>9.1270000000000007</v>
      </c>
      <c r="S30" s="6">
        <v>9.1270000000000007</v>
      </c>
      <c r="T30" s="6">
        <v>0.2898</v>
      </c>
      <c r="U30" s="6">
        <v>1039.83</v>
      </c>
      <c r="V30">
        <f t="shared" si="0"/>
        <v>5.6025323275862071</v>
      </c>
      <c r="W30">
        <f t="shared" si="1"/>
        <v>3.8892966666666668E-5</v>
      </c>
    </row>
    <row r="31" spans="1:23" x14ac:dyDescent="0.3">
      <c r="A31" s="6">
        <v>24</v>
      </c>
      <c r="B31" s="6">
        <v>3.0299800000000002E-4</v>
      </c>
      <c r="C31" s="6">
        <v>1.17939E-2</v>
      </c>
      <c r="D31" s="6">
        <v>38.935600000000001</v>
      </c>
      <c r="E31" s="6">
        <v>38.923900000000003</v>
      </c>
      <c r="F31" s="6">
        <v>-1.3535399999999999E-4</v>
      </c>
      <c r="G31" s="6">
        <v>-2.6348000000000001E-3</v>
      </c>
      <c r="H31" s="6">
        <v>19.4634</v>
      </c>
      <c r="I31" s="6">
        <v>19.466100000000001</v>
      </c>
      <c r="J31" s="7">
        <v>-6.4552099999999995E-5</v>
      </c>
      <c r="K31" s="6">
        <v>-1.1794500000000001E-3</v>
      </c>
      <c r="L31" s="6">
        <v>18.270199999999999</v>
      </c>
      <c r="M31" s="6">
        <v>18.2714</v>
      </c>
      <c r="N31" s="6">
        <v>-1.17019E-4</v>
      </c>
      <c r="O31" s="6">
        <v>-2.1814E-3</v>
      </c>
      <c r="P31" s="6">
        <v>18.639199999999999</v>
      </c>
      <c r="Q31" s="6">
        <v>18.641400000000001</v>
      </c>
      <c r="R31" s="6">
        <v>9.5009999999999994</v>
      </c>
      <c r="S31" s="6">
        <v>9.5009999999999994</v>
      </c>
      <c r="T31" s="6">
        <v>0.31519999999999998</v>
      </c>
      <c r="U31" s="6">
        <v>1129.1199999999999</v>
      </c>
      <c r="V31">
        <f t="shared" si="0"/>
        <v>6.0836206896551719</v>
      </c>
      <c r="W31">
        <f t="shared" si="1"/>
        <v>1.056417E-4</v>
      </c>
    </row>
    <row r="32" spans="1:23" x14ac:dyDescent="0.3">
      <c r="A32" s="6">
        <v>25</v>
      </c>
      <c r="B32" s="6">
        <v>2.9239499999999998E-4</v>
      </c>
      <c r="C32" s="6">
        <v>1.13811E-2</v>
      </c>
      <c r="D32" s="6">
        <v>38.935200000000002</v>
      </c>
      <c r="E32" s="6">
        <v>38.923900000000003</v>
      </c>
      <c r="F32" s="7">
        <v>-1.89842E-5</v>
      </c>
      <c r="G32" s="6">
        <v>-3.6954799999999998E-4</v>
      </c>
      <c r="H32" s="6">
        <v>19.465699999999998</v>
      </c>
      <c r="I32" s="6">
        <v>19.466100000000001</v>
      </c>
      <c r="J32" s="7">
        <v>-5.4230800000000001E-6</v>
      </c>
      <c r="K32" s="7">
        <v>-9.9086999999999995E-5</v>
      </c>
      <c r="L32" s="6">
        <v>18.2713</v>
      </c>
      <c r="M32" s="6">
        <v>18.2714</v>
      </c>
      <c r="N32" s="6">
        <v>-1.09288E-4</v>
      </c>
      <c r="O32" s="6">
        <v>-2.0372799999999998E-3</v>
      </c>
      <c r="P32" s="6">
        <v>18.639299999999999</v>
      </c>
      <c r="Q32" s="6">
        <v>18.641400000000001</v>
      </c>
      <c r="R32" s="6">
        <v>9.875</v>
      </c>
      <c r="S32" s="6">
        <v>9.875</v>
      </c>
      <c r="T32" s="6">
        <v>0.3165</v>
      </c>
      <c r="U32" s="6">
        <v>1133.6400000000001</v>
      </c>
      <c r="V32">
        <f t="shared" si="0"/>
        <v>6.1079741379310351</v>
      </c>
      <c r="W32">
        <f t="shared" si="1"/>
        <v>4.4565093333333329E-5</v>
      </c>
    </row>
    <row r="33" spans="1:23" x14ac:dyDescent="0.3">
      <c r="A33" s="6">
        <v>26</v>
      </c>
      <c r="B33" s="6">
        <v>2.8607900000000001E-4</v>
      </c>
      <c r="C33" s="6">
        <v>1.1135300000000001E-2</v>
      </c>
      <c r="D33" s="6">
        <v>38.935000000000002</v>
      </c>
      <c r="E33" s="6">
        <v>38.923900000000003</v>
      </c>
      <c r="F33" s="6">
        <v>-1.2861799999999999E-4</v>
      </c>
      <c r="G33" s="6">
        <v>-2.5036799999999999E-3</v>
      </c>
      <c r="H33" s="6">
        <v>19.4636</v>
      </c>
      <c r="I33" s="6">
        <v>19.466100000000001</v>
      </c>
      <c r="J33" s="7">
        <v>-6.1031099999999999E-5</v>
      </c>
      <c r="K33" s="6">
        <v>-1.11512E-3</v>
      </c>
      <c r="L33" s="6">
        <v>18.270199999999999</v>
      </c>
      <c r="M33" s="6">
        <v>18.2714</v>
      </c>
      <c r="N33" s="6">
        <v>-1.7574299999999999E-4</v>
      </c>
      <c r="O33" s="6">
        <v>-3.2760900000000002E-3</v>
      </c>
      <c r="P33" s="6">
        <v>18.638100000000001</v>
      </c>
      <c r="Q33" s="6">
        <v>18.641400000000001</v>
      </c>
      <c r="R33" s="6">
        <v>10.186999999999999</v>
      </c>
      <c r="S33" s="6">
        <v>10.186999999999999</v>
      </c>
      <c r="T33" s="6">
        <v>0.33260000000000001</v>
      </c>
      <c r="U33" s="6">
        <v>1190.1500000000001</v>
      </c>
      <c r="V33">
        <f t="shared" si="0"/>
        <v>6.4124461206896557</v>
      </c>
      <c r="W33">
        <f t="shared" si="1"/>
        <v>1.2179736666666667E-4</v>
      </c>
    </row>
    <row r="34" spans="1:23" x14ac:dyDescent="0.3">
      <c r="A34" s="6">
        <v>27</v>
      </c>
      <c r="B34" s="6">
        <v>3.3840999999999998E-4</v>
      </c>
      <c r="C34" s="6">
        <v>1.31722E-2</v>
      </c>
      <c r="D34" s="6">
        <v>38.936999999999998</v>
      </c>
      <c r="E34" s="6">
        <v>38.923900000000003</v>
      </c>
      <c r="F34" s="6">
        <v>-1.2685999999999999E-4</v>
      </c>
      <c r="G34" s="6">
        <v>-2.4694600000000001E-3</v>
      </c>
      <c r="H34" s="6">
        <v>19.4636</v>
      </c>
      <c r="I34" s="6">
        <v>19.466100000000001</v>
      </c>
      <c r="J34" s="7">
        <v>-8.9030700000000001E-5</v>
      </c>
      <c r="K34" s="6">
        <v>-1.62671E-3</v>
      </c>
      <c r="L34" s="6">
        <v>18.2697</v>
      </c>
      <c r="M34" s="6">
        <v>18.2714</v>
      </c>
      <c r="N34" s="6">
        <v>-2.2222999999999999E-4</v>
      </c>
      <c r="O34" s="6">
        <v>-4.1426700000000002E-3</v>
      </c>
      <c r="P34" s="6">
        <v>18.6372</v>
      </c>
      <c r="Q34" s="6">
        <v>18.641400000000001</v>
      </c>
      <c r="R34" s="6">
        <v>10.747999999999999</v>
      </c>
      <c r="S34" s="6">
        <v>10.747999999999999</v>
      </c>
      <c r="T34" s="6">
        <v>0.35260000000000002</v>
      </c>
      <c r="U34" s="6">
        <v>1260.23</v>
      </c>
      <c r="V34">
        <f t="shared" si="0"/>
        <v>6.7900323275862071</v>
      </c>
      <c r="W34">
        <f t="shared" si="1"/>
        <v>1.4604023333333332E-4</v>
      </c>
    </row>
    <row r="35" spans="1:23" x14ac:dyDescent="0.3">
      <c r="A35" s="6">
        <v>28</v>
      </c>
      <c r="B35" s="6">
        <v>3.8794200000000001E-4</v>
      </c>
      <c r="C35" s="6">
        <v>1.5100199999999999E-2</v>
      </c>
      <c r="D35" s="6">
        <v>38.939</v>
      </c>
      <c r="E35" s="6">
        <v>38.923900000000003</v>
      </c>
      <c r="F35" s="6">
        <v>-1.14564E-4</v>
      </c>
      <c r="G35" s="6">
        <v>-2.2301000000000001E-3</v>
      </c>
      <c r="H35" s="6">
        <v>19.463799999999999</v>
      </c>
      <c r="I35" s="6">
        <v>19.466100000000001</v>
      </c>
      <c r="J35" s="7">
        <v>-4.7417300000000003E-6</v>
      </c>
      <c r="K35" s="7">
        <v>-8.6637800000000006E-5</v>
      </c>
      <c r="L35" s="6">
        <v>18.2713</v>
      </c>
      <c r="M35" s="6">
        <v>18.2714</v>
      </c>
      <c r="N35" s="6">
        <v>-1.37606E-4</v>
      </c>
      <c r="O35" s="6">
        <v>-2.5651699999999999E-3</v>
      </c>
      <c r="P35" s="6">
        <v>18.6388</v>
      </c>
      <c r="Q35" s="6">
        <v>18.641400000000001</v>
      </c>
      <c r="R35" s="6">
        <v>11.436999999999999</v>
      </c>
      <c r="S35" s="6">
        <v>11.436999999999999</v>
      </c>
      <c r="T35" s="6">
        <v>0.37740000000000001</v>
      </c>
      <c r="U35" s="6">
        <v>1347.26</v>
      </c>
      <c r="V35">
        <f t="shared" si="0"/>
        <v>7.2589439655172416</v>
      </c>
      <c r="W35">
        <f t="shared" si="1"/>
        <v>8.5637243333333321E-5</v>
      </c>
    </row>
    <row r="36" spans="1:23" x14ac:dyDescent="0.3">
      <c r="A36" s="6">
        <v>29</v>
      </c>
      <c r="B36" s="6">
        <v>3.3313800000000002E-4</v>
      </c>
      <c r="C36" s="6">
        <v>1.2966999999999999E-2</v>
      </c>
      <c r="D36" s="6">
        <v>38.936799999999998</v>
      </c>
      <c r="E36" s="6">
        <v>38.923900000000003</v>
      </c>
      <c r="F36" s="6">
        <v>-1.5518899999999999E-4</v>
      </c>
      <c r="G36" s="6">
        <v>-3.0209199999999999E-3</v>
      </c>
      <c r="H36" s="6">
        <v>19.463000000000001</v>
      </c>
      <c r="I36" s="6">
        <v>19.466100000000001</v>
      </c>
      <c r="J36" s="6">
        <v>-1.08583E-4</v>
      </c>
      <c r="K36" s="6">
        <v>-1.9839599999999999E-3</v>
      </c>
      <c r="L36" s="6">
        <v>18.269400000000001</v>
      </c>
      <c r="M36" s="6">
        <v>18.2714</v>
      </c>
      <c r="N36" s="6">
        <v>-2.2613000000000001E-4</v>
      </c>
      <c r="O36" s="6">
        <v>-4.2153700000000004E-3</v>
      </c>
      <c r="P36" s="6">
        <v>18.6371</v>
      </c>
      <c r="Q36" s="6">
        <v>18.641400000000001</v>
      </c>
      <c r="R36" s="6">
        <v>11.747999999999999</v>
      </c>
      <c r="S36" s="6">
        <v>11.747999999999999</v>
      </c>
      <c r="T36" s="6">
        <v>0.3765</v>
      </c>
      <c r="U36" s="6">
        <v>1343.87</v>
      </c>
      <c r="V36">
        <f t="shared" si="0"/>
        <v>7.2406788793103445</v>
      </c>
      <c r="W36">
        <f t="shared" si="1"/>
        <v>1.6330066666666665E-4</v>
      </c>
    </row>
    <row r="37" spans="1:23" x14ac:dyDescent="0.3">
      <c r="A37" s="6">
        <v>30</v>
      </c>
      <c r="B37" s="6">
        <v>4.5851099999999999E-4</v>
      </c>
      <c r="C37" s="6">
        <v>1.7846999999999998E-2</v>
      </c>
      <c r="D37" s="6">
        <v>38.941699999999997</v>
      </c>
      <c r="E37" s="6">
        <v>38.923900000000003</v>
      </c>
      <c r="F37" s="7">
        <v>-3.2354000000000002E-5</v>
      </c>
      <c r="G37" s="6">
        <v>-6.2980499999999999E-4</v>
      </c>
      <c r="H37" s="6">
        <v>19.465399999999999</v>
      </c>
      <c r="I37" s="6">
        <v>19.466100000000001</v>
      </c>
      <c r="J37" s="7">
        <v>5.5983499999999997E-5</v>
      </c>
      <c r="K37" s="6">
        <v>1.02289E-3</v>
      </c>
      <c r="L37" s="6">
        <v>18.272400000000001</v>
      </c>
      <c r="M37" s="6">
        <v>18.2714</v>
      </c>
      <c r="N37" s="7">
        <v>-6.0462599999999999E-5</v>
      </c>
      <c r="O37" s="6">
        <v>-1.12711E-3</v>
      </c>
      <c r="P37" s="6">
        <v>18.6402</v>
      </c>
      <c r="Q37" s="6">
        <v>18.641400000000001</v>
      </c>
      <c r="R37" s="6">
        <v>12.188000000000001</v>
      </c>
      <c r="S37" s="6">
        <v>12.188000000000001</v>
      </c>
      <c r="T37" s="6">
        <v>0.39679999999999999</v>
      </c>
      <c r="U37" s="6">
        <v>1415.07</v>
      </c>
      <c r="V37">
        <f t="shared" si="0"/>
        <v>7.6242995689655171</v>
      </c>
      <c r="W37">
        <f t="shared" si="1"/>
        <v>1.2277700000000001E-5</v>
      </c>
    </row>
    <row r="38" spans="1:23" x14ac:dyDescent="0.3">
      <c r="A38" s="6">
        <v>31</v>
      </c>
      <c r="B38" s="6">
        <v>4.4288999999999998E-4</v>
      </c>
      <c r="C38" s="6">
        <v>1.7239000000000001E-2</v>
      </c>
      <c r="D38" s="6">
        <v>38.941099999999999</v>
      </c>
      <c r="E38" s="6">
        <v>38.923900000000003</v>
      </c>
      <c r="F38" s="6">
        <v>-2.2781E-4</v>
      </c>
      <c r="G38" s="6">
        <v>-4.4345699999999997E-3</v>
      </c>
      <c r="H38" s="6">
        <v>19.461600000000001</v>
      </c>
      <c r="I38" s="6">
        <v>19.466100000000001</v>
      </c>
      <c r="J38" s="6">
        <v>-1.5881599999999999E-4</v>
      </c>
      <c r="K38" s="6">
        <v>-2.9017800000000001E-3</v>
      </c>
      <c r="L38" s="6">
        <v>18.2685</v>
      </c>
      <c r="M38" s="6">
        <v>18.2714</v>
      </c>
      <c r="N38" s="6">
        <v>-2.7780300000000002E-4</v>
      </c>
      <c r="O38" s="6">
        <v>-5.17863E-3</v>
      </c>
      <c r="P38" s="6">
        <v>18.636199999999999</v>
      </c>
      <c r="Q38" s="6">
        <v>18.641400000000001</v>
      </c>
      <c r="R38" s="6">
        <v>12.497</v>
      </c>
      <c r="S38" s="6">
        <v>12.497</v>
      </c>
      <c r="T38" s="6">
        <v>0.40639999999999998</v>
      </c>
      <c r="U38" s="6">
        <v>1448.98</v>
      </c>
      <c r="V38">
        <f t="shared" si="0"/>
        <v>7.8070043103448281</v>
      </c>
      <c r="W38">
        <f t="shared" si="1"/>
        <v>2.2147633333333334E-4</v>
      </c>
    </row>
    <row r="39" spans="1:23" x14ac:dyDescent="0.3">
      <c r="A39" s="6">
        <v>32</v>
      </c>
      <c r="B39" s="6">
        <v>4.1921800000000001E-4</v>
      </c>
      <c r="C39" s="6">
        <v>1.6317600000000002E-2</v>
      </c>
      <c r="D39" s="6">
        <v>38.940199999999997</v>
      </c>
      <c r="E39" s="6">
        <v>38.923900000000003</v>
      </c>
      <c r="F39" s="6">
        <v>-1.8157899999999999E-4</v>
      </c>
      <c r="G39" s="6">
        <v>-3.53463E-3</v>
      </c>
      <c r="H39" s="6">
        <v>19.462499999999999</v>
      </c>
      <c r="I39" s="6">
        <v>19.466100000000001</v>
      </c>
      <c r="J39" s="7">
        <v>-8.2405399999999995E-5</v>
      </c>
      <c r="K39" s="6">
        <v>-1.50566E-3</v>
      </c>
      <c r="L39" s="6">
        <v>18.2698</v>
      </c>
      <c r="M39" s="6">
        <v>18.2714</v>
      </c>
      <c r="N39" s="6">
        <v>-2.1423500000000001E-4</v>
      </c>
      <c r="O39" s="6">
        <v>-3.9936399999999997E-3</v>
      </c>
      <c r="P39" s="6">
        <v>18.6374</v>
      </c>
      <c r="Q39" s="6">
        <v>18.641400000000001</v>
      </c>
      <c r="R39" s="6">
        <v>12.87</v>
      </c>
      <c r="S39" s="6">
        <v>12.87</v>
      </c>
      <c r="T39" s="6">
        <v>0.41930000000000001</v>
      </c>
      <c r="U39" s="6">
        <v>1494.19</v>
      </c>
      <c r="V39">
        <f t="shared" si="0"/>
        <v>8.0505926724137939</v>
      </c>
      <c r="W39">
        <f t="shared" si="1"/>
        <v>1.5940646666666667E-4</v>
      </c>
    </row>
    <row r="40" spans="1:23" x14ac:dyDescent="0.3">
      <c r="A40" s="6">
        <v>33</v>
      </c>
      <c r="B40" s="6">
        <v>4.4313600000000001E-4</v>
      </c>
      <c r="C40" s="6">
        <v>1.7248599999999999E-2</v>
      </c>
      <c r="D40" s="6">
        <v>38.941099999999999</v>
      </c>
      <c r="E40" s="6">
        <v>38.923900000000003</v>
      </c>
      <c r="F40" s="6">
        <v>-2.0976299999999999E-4</v>
      </c>
      <c r="G40" s="6">
        <v>-4.0832500000000001E-3</v>
      </c>
      <c r="H40" s="6">
        <v>19.462</v>
      </c>
      <c r="I40" s="6">
        <v>19.466100000000001</v>
      </c>
      <c r="J40" s="7">
        <v>-8.1614500000000003E-5</v>
      </c>
      <c r="K40" s="6">
        <v>-1.49121E-3</v>
      </c>
      <c r="L40" s="6">
        <v>18.2699</v>
      </c>
      <c r="M40" s="6">
        <v>18.2714</v>
      </c>
      <c r="N40" s="6">
        <v>-1.9615299999999999E-4</v>
      </c>
      <c r="O40" s="6">
        <v>-3.65657E-3</v>
      </c>
      <c r="P40" s="6">
        <v>18.637699999999999</v>
      </c>
      <c r="Q40" s="6">
        <v>18.641400000000001</v>
      </c>
      <c r="R40" s="6">
        <v>13.244</v>
      </c>
      <c r="S40" s="6">
        <v>13.244</v>
      </c>
      <c r="T40" s="6">
        <v>0.43480000000000002</v>
      </c>
      <c r="U40" s="6">
        <v>1548.44</v>
      </c>
      <c r="V40">
        <f t="shared" si="0"/>
        <v>8.3428879310344826</v>
      </c>
      <c r="W40">
        <f t="shared" si="1"/>
        <v>1.6251016666666665E-4</v>
      </c>
    </row>
    <row r="41" spans="1:23" x14ac:dyDescent="0.3">
      <c r="A41" s="6">
        <v>34</v>
      </c>
      <c r="B41" s="6">
        <v>4.0531699999999998E-4</v>
      </c>
      <c r="C41" s="6">
        <v>1.5776499999999999E-2</v>
      </c>
      <c r="D41" s="6">
        <v>38.939599999999999</v>
      </c>
      <c r="E41" s="6">
        <v>38.923900000000003</v>
      </c>
      <c r="F41" s="6">
        <v>-1.86479E-4</v>
      </c>
      <c r="G41" s="6">
        <v>-3.6300099999999999E-3</v>
      </c>
      <c r="H41" s="6">
        <v>19.462399999999999</v>
      </c>
      <c r="I41" s="6">
        <v>19.466100000000001</v>
      </c>
      <c r="J41" s="6">
        <v>-1.3659300000000001E-4</v>
      </c>
      <c r="K41" s="6">
        <v>-2.4957500000000001E-3</v>
      </c>
      <c r="L41" s="6">
        <v>18.268899999999999</v>
      </c>
      <c r="M41" s="6">
        <v>18.2714</v>
      </c>
      <c r="N41" s="6">
        <v>-3.16373E-4</v>
      </c>
      <c r="O41" s="6">
        <v>-5.8976200000000001E-3</v>
      </c>
      <c r="P41" s="6">
        <v>18.6355</v>
      </c>
      <c r="Q41" s="6">
        <v>18.641400000000001</v>
      </c>
      <c r="R41" s="6">
        <v>13.557</v>
      </c>
      <c r="S41" s="6">
        <v>13.557</v>
      </c>
      <c r="T41" s="6">
        <v>0.44829999999999998</v>
      </c>
      <c r="U41" s="6">
        <v>1595.91</v>
      </c>
      <c r="V41">
        <f t="shared" si="0"/>
        <v>8.5986530172413804</v>
      </c>
      <c r="W41">
        <f t="shared" si="1"/>
        <v>2.1314833333333332E-4</v>
      </c>
    </row>
    <row r="42" spans="1:23" x14ac:dyDescent="0.3">
      <c r="A42" s="6">
        <v>35</v>
      </c>
      <c r="B42" s="6">
        <v>4.5894300000000001E-4</v>
      </c>
      <c r="C42" s="6">
        <v>1.7863799999999999E-2</v>
      </c>
      <c r="D42" s="6">
        <v>38.941699999999997</v>
      </c>
      <c r="E42" s="6">
        <v>38.923900000000003</v>
      </c>
      <c r="F42" s="6">
        <v>-1.25353E-4</v>
      </c>
      <c r="G42" s="6">
        <v>-2.44012E-3</v>
      </c>
      <c r="H42" s="6">
        <v>19.4636</v>
      </c>
      <c r="I42" s="6">
        <v>19.466100000000001</v>
      </c>
      <c r="J42" s="7">
        <v>-5.2865200000000003E-5</v>
      </c>
      <c r="K42" s="6">
        <v>-9.6591899999999998E-4</v>
      </c>
      <c r="L42" s="6">
        <v>18.270399999999999</v>
      </c>
      <c r="M42" s="6">
        <v>18.2714</v>
      </c>
      <c r="N42" s="6">
        <v>-2.6122E-4</v>
      </c>
      <c r="O42" s="6">
        <v>-4.8694899999999998E-3</v>
      </c>
      <c r="P42" s="6">
        <v>18.636500000000002</v>
      </c>
      <c r="Q42" s="6">
        <v>18.641400000000001</v>
      </c>
      <c r="R42" s="6">
        <v>13.682</v>
      </c>
      <c r="S42" s="6">
        <v>13.682</v>
      </c>
      <c r="T42" s="6">
        <v>0.4496</v>
      </c>
      <c r="U42" s="6">
        <v>1600.44</v>
      </c>
      <c r="V42">
        <f t="shared" si="0"/>
        <v>8.6230603448275875</v>
      </c>
      <c r="W42">
        <f t="shared" si="1"/>
        <v>1.4647940000000001E-4</v>
      </c>
    </row>
    <row r="43" spans="1:23" x14ac:dyDescent="0.3">
      <c r="A43" s="6">
        <v>36</v>
      </c>
      <c r="B43" s="6">
        <v>4.8116599999999999E-4</v>
      </c>
      <c r="C43" s="6">
        <v>1.87288E-2</v>
      </c>
      <c r="D43" s="6">
        <v>38.942599999999999</v>
      </c>
      <c r="E43" s="6">
        <v>38.923900000000003</v>
      </c>
      <c r="F43" s="6">
        <v>-2.08524E-4</v>
      </c>
      <c r="G43" s="6">
        <v>-4.0591300000000002E-3</v>
      </c>
      <c r="H43" s="6">
        <v>19.462</v>
      </c>
      <c r="I43" s="6">
        <v>19.466100000000001</v>
      </c>
      <c r="J43" s="7">
        <v>-6.8422200000000004E-5</v>
      </c>
      <c r="K43" s="6">
        <v>-1.2501700000000001E-3</v>
      </c>
      <c r="L43" s="6">
        <v>18.270099999999999</v>
      </c>
      <c r="M43" s="6">
        <v>18.2714</v>
      </c>
      <c r="N43" s="6">
        <v>-2.0733000000000001E-4</v>
      </c>
      <c r="O43" s="6">
        <v>-3.86491E-3</v>
      </c>
      <c r="P43" s="6">
        <v>18.637499999999999</v>
      </c>
      <c r="Q43" s="6">
        <v>18.641400000000001</v>
      </c>
      <c r="R43" s="6">
        <v>13.994</v>
      </c>
      <c r="S43" s="6">
        <v>13.994</v>
      </c>
      <c r="T43" s="6">
        <v>0.46150000000000002</v>
      </c>
      <c r="U43" s="6">
        <v>1642.26</v>
      </c>
      <c r="V43">
        <f t="shared" si="0"/>
        <v>8.8483836206896562</v>
      </c>
      <c r="W43">
        <f t="shared" si="1"/>
        <v>1.6142540000000001E-4</v>
      </c>
    </row>
    <row r="44" spans="1:23" x14ac:dyDescent="0.3">
      <c r="A44" s="6">
        <v>37</v>
      </c>
      <c r="B44" s="6">
        <v>5.3707899999999999E-4</v>
      </c>
      <c r="C44" s="6">
        <v>2.0905199999999999E-2</v>
      </c>
      <c r="D44" s="6">
        <v>38.944800000000001</v>
      </c>
      <c r="E44" s="6">
        <v>38.923900000000003</v>
      </c>
      <c r="F44" s="6">
        <v>-1.7754399999999999E-4</v>
      </c>
      <c r="G44" s="6">
        <v>-3.4560799999999998E-3</v>
      </c>
      <c r="H44" s="6">
        <v>19.462599999999998</v>
      </c>
      <c r="I44" s="6">
        <v>19.466100000000001</v>
      </c>
      <c r="J44" s="7">
        <v>-9.5915099999999999E-5</v>
      </c>
      <c r="K44" s="6">
        <v>-1.7524999999999999E-3</v>
      </c>
      <c r="L44" s="6">
        <v>18.269600000000001</v>
      </c>
      <c r="M44" s="6">
        <v>18.2714</v>
      </c>
      <c r="N44" s="6">
        <v>-2.5619999999999999E-4</v>
      </c>
      <c r="O44" s="6">
        <v>-4.7759100000000004E-3</v>
      </c>
      <c r="P44" s="6">
        <v>18.636600000000001</v>
      </c>
      <c r="Q44" s="6">
        <v>18.641400000000001</v>
      </c>
      <c r="R44" s="6">
        <v>14.367000000000001</v>
      </c>
      <c r="S44" s="6">
        <v>14.367000000000001</v>
      </c>
      <c r="T44" s="6">
        <v>0.47149999999999997</v>
      </c>
      <c r="U44" s="6">
        <v>1677.29</v>
      </c>
      <c r="V44">
        <f t="shared" si="0"/>
        <v>9.0371228448275858</v>
      </c>
      <c r="W44">
        <f t="shared" si="1"/>
        <v>1.7655303333333336E-4</v>
      </c>
    </row>
    <row r="45" spans="1:23" x14ac:dyDescent="0.3">
      <c r="A45" s="6">
        <v>38</v>
      </c>
      <c r="B45" s="6">
        <v>4.2487100000000001E-4</v>
      </c>
      <c r="C45" s="6">
        <v>1.65376E-2</v>
      </c>
      <c r="D45" s="6">
        <v>38.940399999999997</v>
      </c>
      <c r="E45" s="6">
        <v>38.923900000000003</v>
      </c>
      <c r="F45" s="6">
        <v>-1.5098499999999999E-4</v>
      </c>
      <c r="G45" s="6">
        <v>-2.9390900000000001E-3</v>
      </c>
      <c r="H45" s="6">
        <v>19.463100000000001</v>
      </c>
      <c r="I45" s="6">
        <v>19.466100000000001</v>
      </c>
      <c r="J45" s="6">
        <v>-1.0956299999999999E-4</v>
      </c>
      <c r="K45" s="6">
        <v>-2.0018599999999998E-3</v>
      </c>
      <c r="L45" s="6">
        <v>18.269400000000001</v>
      </c>
      <c r="M45" s="6">
        <v>18.2714</v>
      </c>
      <c r="N45" s="6">
        <v>-2.5165400000000003E-4</v>
      </c>
      <c r="O45" s="6">
        <v>-4.6911699999999997E-3</v>
      </c>
      <c r="P45" s="6">
        <v>18.636700000000001</v>
      </c>
      <c r="Q45" s="6">
        <v>18.641400000000001</v>
      </c>
      <c r="R45" s="6">
        <v>14.622</v>
      </c>
      <c r="S45" s="6">
        <v>14.622</v>
      </c>
      <c r="T45" s="6">
        <v>0.47989999999999999</v>
      </c>
      <c r="U45" s="6">
        <v>1706.68</v>
      </c>
      <c r="V45">
        <f t="shared" si="0"/>
        <v>9.1954741379310345</v>
      </c>
      <c r="W45">
        <f t="shared" si="1"/>
        <v>1.70734E-4</v>
      </c>
    </row>
    <row r="46" spans="1:23" x14ac:dyDescent="0.3">
      <c r="A46" s="6">
        <v>39</v>
      </c>
      <c r="B46" s="6">
        <v>5.4637800000000003E-4</v>
      </c>
      <c r="C46" s="6">
        <v>2.1267100000000001E-2</v>
      </c>
      <c r="D46" s="6">
        <v>38.945099999999996</v>
      </c>
      <c r="E46" s="6">
        <v>38.923900000000003</v>
      </c>
      <c r="F46" s="6">
        <v>-2.1909300000000001E-4</v>
      </c>
      <c r="G46" s="6">
        <v>-4.2648800000000004E-3</v>
      </c>
      <c r="H46" s="6">
        <v>19.4618</v>
      </c>
      <c r="I46" s="6">
        <v>19.466100000000001</v>
      </c>
      <c r="J46" s="6">
        <v>-1.8845E-4</v>
      </c>
      <c r="K46" s="6">
        <v>-3.4432299999999998E-3</v>
      </c>
      <c r="L46" s="6">
        <v>18.267900000000001</v>
      </c>
      <c r="M46" s="6">
        <v>18.2714</v>
      </c>
      <c r="N46" s="6">
        <v>-3.04784E-4</v>
      </c>
      <c r="O46" s="6">
        <v>-5.6815900000000003E-3</v>
      </c>
      <c r="P46" s="6">
        <v>18.6357</v>
      </c>
      <c r="Q46" s="6">
        <v>18.641400000000001</v>
      </c>
      <c r="R46" s="6">
        <v>15.430999999999999</v>
      </c>
      <c r="S46" s="6">
        <v>15.430999999999999</v>
      </c>
      <c r="T46" s="6">
        <v>0.51249999999999996</v>
      </c>
      <c r="U46" s="6">
        <v>1820.84</v>
      </c>
      <c r="V46">
        <f t="shared" si="0"/>
        <v>9.8105603448275858</v>
      </c>
      <c r="W46">
        <f t="shared" si="1"/>
        <v>2.3744233333333333E-4</v>
      </c>
    </row>
    <row r="47" spans="1:23" x14ac:dyDescent="0.3">
      <c r="A47" s="6">
        <v>40</v>
      </c>
      <c r="B47" s="6">
        <v>5.4157800000000002E-4</v>
      </c>
      <c r="C47" s="6">
        <v>2.10803E-2</v>
      </c>
      <c r="D47" s="6">
        <v>38.944899999999997</v>
      </c>
      <c r="E47" s="6">
        <v>38.923900000000003</v>
      </c>
      <c r="F47" s="6">
        <v>-1.9474800000000001E-4</v>
      </c>
      <c r="G47" s="6">
        <v>-3.7909799999999998E-3</v>
      </c>
      <c r="H47" s="6">
        <v>19.462299999999999</v>
      </c>
      <c r="I47" s="6">
        <v>19.466100000000001</v>
      </c>
      <c r="J47" s="7">
        <v>-7.6467899999999993E-5</v>
      </c>
      <c r="K47" s="6">
        <v>-1.3971700000000001E-3</v>
      </c>
      <c r="L47" s="6">
        <v>18.27</v>
      </c>
      <c r="M47" s="6">
        <v>18.2714</v>
      </c>
      <c r="N47" s="6">
        <v>-2.4496000000000001E-4</v>
      </c>
      <c r="O47" s="6">
        <v>-4.56639E-3</v>
      </c>
      <c r="P47" s="6">
        <v>18.636800000000001</v>
      </c>
      <c r="Q47" s="6">
        <v>18.641400000000001</v>
      </c>
      <c r="R47" s="6">
        <v>15.802</v>
      </c>
      <c r="S47" s="6">
        <v>15.802</v>
      </c>
      <c r="T47" s="6">
        <v>0.52659999999999996</v>
      </c>
      <c r="U47" s="6">
        <v>1870.57</v>
      </c>
      <c r="V47">
        <f t="shared" si="0"/>
        <v>10.078502155172414</v>
      </c>
      <c r="W47">
        <f t="shared" si="1"/>
        <v>1.7205863333333334E-4</v>
      </c>
    </row>
    <row r="48" spans="1:23" x14ac:dyDescent="0.3">
      <c r="A48" s="6">
        <v>41</v>
      </c>
      <c r="B48" s="6">
        <v>5.6832400000000004E-4</v>
      </c>
      <c r="C48" s="6">
        <v>2.2121399999999999E-2</v>
      </c>
      <c r="D48" s="6">
        <v>38.945999999999998</v>
      </c>
      <c r="E48" s="6">
        <v>38.923900000000003</v>
      </c>
      <c r="F48" s="6">
        <v>-2.38946E-4</v>
      </c>
      <c r="G48" s="6">
        <v>-4.6513300000000004E-3</v>
      </c>
      <c r="H48" s="6">
        <v>19.461400000000001</v>
      </c>
      <c r="I48" s="6">
        <v>19.466100000000001</v>
      </c>
      <c r="J48" s="6">
        <v>-1.6683299999999999E-4</v>
      </c>
      <c r="K48" s="6">
        <v>-3.0482700000000001E-3</v>
      </c>
      <c r="L48" s="6">
        <v>18.2683</v>
      </c>
      <c r="M48" s="6">
        <v>18.2714</v>
      </c>
      <c r="N48" s="6">
        <v>-3.2236400000000001E-4</v>
      </c>
      <c r="O48" s="6">
        <v>-6.0093100000000003E-3</v>
      </c>
      <c r="P48" s="6">
        <v>18.635400000000001</v>
      </c>
      <c r="Q48" s="6">
        <v>18.641400000000001</v>
      </c>
      <c r="R48" s="6">
        <v>15.929</v>
      </c>
      <c r="S48" s="6">
        <v>15.929</v>
      </c>
      <c r="T48" s="6">
        <v>0.52759999999999996</v>
      </c>
      <c r="U48" s="6">
        <v>1873.96</v>
      </c>
      <c r="V48">
        <f t="shared" si="0"/>
        <v>10.096767241379311</v>
      </c>
      <c r="W48">
        <f t="shared" si="1"/>
        <v>2.4271433333333334E-4</v>
      </c>
    </row>
    <row r="49" spans="1:23" x14ac:dyDescent="0.3">
      <c r="A49" s="6">
        <v>42</v>
      </c>
      <c r="B49" s="6">
        <v>5.7848700000000003E-4</v>
      </c>
      <c r="C49" s="6">
        <v>2.2516899999999999E-2</v>
      </c>
      <c r="D49" s="6">
        <v>38.946399999999997</v>
      </c>
      <c r="E49" s="6">
        <v>38.923900000000003</v>
      </c>
      <c r="F49" s="6">
        <v>-1.29701E-4</v>
      </c>
      <c r="G49" s="6">
        <v>-2.5247799999999999E-3</v>
      </c>
      <c r="H49" s="6">
        <v>19.4635</v>
      </c>
      <c r="I49" s="6">
        <v>19.466100000000001</v>
      </c>
      <c r="J49" s="7">
        <v>3.1595800000000001E-6</v>
      </c>
      <c r="K49" s="7">
        <v>5.7729799999999997E-5</v>
      </c>
      <c r="L49" s="6">
        <v>18.2714</v>
      </c>
      <c r="M49" s="6">
        <v>18.2714</v>
      </c>
      <c r="N49" s="6">
        <v>-1.1338800000000001E-4</v>
      </c>
      <c r="O49" s="6">
        <v>-2.1137E-3</v>
      </c>
      <c r="P49" s="6">
        <v>18.639199999999999</v>
      </c>
      <c r="Q49" s="6">
        <v>18.641400000000001</v>
      </c>
      <c r="R49" s="6">
        <v>16.425999999999998</v>
      </c>
      <c r="S49" s="6">
        <v>16.425999999999998</v>
      </c>
      <c r="T49" s="6">
        <v>0.54310000000000003</v>
      </c>
      <c r="U49" s="6">
        <v>1928.21</v>
      </c>
      <c r="V49">
        <f t="shared" si="0"/>
        <v>10.3890625</v>
      </c>
      <c r="W49">
        <f t="shared" si="1"/>
        <v>7.9976473333333338E-5</v>
      </c>
    </row>
    <row r="50" spans="1:23" x14ac:dyDescent="0.3">
      <c r="A50" s="6">
        <v>43</v>
      </c>
      <c r="B50" s="6">
        <v>4.88934E-4</v>
      </c>
      <c r="C50" s="6">
        <v>1.9031200000000002E-2</v>
      </c>
      <c r="D50" s="6">
        <v>38.942900000000002</v>
      </c>
      <c r="E50" s="6">
        <v>38.923900000000003</v>
      </c>
      <c r="F50" s="6">
        <v>-2.6468299999999999E-4</v>
      </c>
      <c r="G50" s="6">
        <v>-5.15234E-3</v>
      </c>
      <c r="H50" s="6">
        <v>19.460899999999999</v>
      </c>
      <c r="I50" s="6">
        <v>19.466100000000001</v>
      </c>
      <c r="J50" s="6">
        <v>-2.3928E-4</v>
      </c>
      <c r="K50" s="6">
        <v>-4.3719800000000001E-3</v>
      </c>
      <c r="L50" s="6">
        <v>18.266999999999999</v>
      </c>
      <c r="M50" s="6">
        <v>18.2714</v>
      </c>
      <c r="N50" s="6">
        <v>-3.7472299999999998E-4</v>
      </c>
      <c r="O50" s="6">
        <v>-6.9853500000000004E-3</v>
      </c>
      <c r="P50" s="6">
        <v>18.634399999999999</v>
      </c>
      <c r="Q50" s="6">
        <v>18.641400000000001</v>
      </c>
      <c r="R50" s="6">
        <v>16.864999999999998</v>
      </c>
      <c r="S50" s="6">
        <v>16.864999999999998</v>
      </c>
      <c r="T50" s="6">
        <v>0.56469999999999998</v>
      </c>
      <c r="U50" s="6">
        <v>2003.94</v>
      </c>
      <c r="V50">
        <f t="shared" si="0"/>
        <v>10.797090517241379</v>
      </c>
      <c r="W50">
        <f t="shared" si="1"/>
        <v>2.9289533333333331E-4</v>
      </c>
    </row>
    <row r="51" spans="1:23" x14ac:dyDescent="0.3">
      <c r="A51" s="6">
        <v>44</v>
      </c>
      <c r="B51" s="6">
        <v>5.8260799999999998E-4</v>
      </c>
      <c r="C51" s="6">
        <v>2.2677300000000001E-2</v>
      </c>
      <c r="D51" s="6">
        <v>38.9465</v>
      </c>
      <c r="E51" s="6">
        <v>38.923900000000003</v>
      </c>
      <c r="F51" s="6">
        <v>-3.0176600000000002E-4</v>
      </c>
      <c r="G51" s="6">
        <v>-5.8741899999999996E-3</v>
      </c>
      <c r="H51" s="6">
        <v>19.4602</v>
      </c>
      <c r="I51" s="6">
        <v>19.466100000000001</v>
      </c>
      <c r="J51" s="6">
        <v>-2.3095099999999999E-4</v>
      </c>
      <c r="K51" s="6">
        <v>-4.2197800000000002E-3</v>
      </c>
      <c r="L51" s="6">
        <v>18.267099999999999</v>
      </c>
      <c r="M51" s="6">
        <v>18.2714</v>
      </c>
      <c r="N51" s="6">
        <v>-3.70606E-4</v>
      </c>
      <c r="O51" s="6">
        <v>-6.90859E-3</v>
      </c>
      <c r="P51" s="6">
        <v>18.634499999999999</v>
      </c>
      <c r="Q51" s="6">
        <v>18.641400000000001</v>
      </c>
      <c r="R51" s="6">
        <v>17.175000000000001</v>
      </c>
      <c r="S51" s="6">
        <v>17.175000000000001</v>
      </c>
      <c r="T51" s="6">
        <v>0.57179999999999997</v>
      </c>
      <c r="U51" s="6">
        <v>2028.8</v>
      </c>
      <c r="V51">
        <f t="shared" si="0"/>
        <v>10.931034482758621</v>
      </c>
      <c r="W51">
        <f t="shared" si="1"/>
        <v>3.011076666666667E-4</v>
      </c>
    </row>
    <row r="52" spans="1:23" x14ac:dyDescent="0.3">
      <c r="A52" s="6">
        <v>45</v>
      </c>
      <c r="B52" s="6">
        <v>6.3686899999999998E-4</v>
      </c>
      <c r="C52" s="6">
        <v>2.47894E-2</v>
      </c>
      <c r="D52" s="6">
        <v>38.948599999999999</v>
      </c>
      <c r="E52" s="6">
        <v>38.923900000000003</v>
      </c>
      <c r="F52" s="6">
        <v>-2.6179399999999998E-4</v>
      </c>
      <c r="G52" s="6">
        <v>-5.0961000000000001E-3</v>
      </c>
      <c r="H52" s="6">
        <v>19.460999999999999</v>
      </c>
      <c r="I52" s="6">
        <v>19.466100000000001</v>
      </c>
      <c r="J52" s="6">
        <v>-1.5777799999999999E-4</v>
      </c>
      <c r="K52" s="6">
        <v>-2.8828199999999999E-3</v>
      </c>
      <c r="L52" s="6">
        <v>18.2685</v>
      </c>
      <c r="M52" s="6">
        <v>18.2714</v>
      </c>
      <c r="N52" s="6">
        <v>-3.7539000000000002E-4</v>
      </c>
      <c r="O52" s="6">
        <v>-6.9977800000000003E-3</v>
      </c>
      <c r="P52" s="6">
        <v>18.634399999999999</v>
      </c>
      <c r="Q52" s="6">
        <v>18.641400000000001</v>
      </c>
      <c r="R52" s="6">
        <v>17.611999999999998</v>
      </c>
      <c r="S52" s="6">
        <v>17.611999999999998</v>
      </c>
      <c r="T52" s="6">
        <v>0.58299999999999996</v>
      </c>
      <c r="U52" s="6">
        <v>2068.36</v>
      </c>
      <c r="V52">
        <f t="shared" si="0"/>
        <v>11.144181034482759</v>
      </c>
      <c r="W52">
        <f t="shared" si="1"/>
        <v>2.6498733333333332E-4</v>
      </c>
    </row>
    <row r="53" spans="1:23" x14ac:dyDescent="0.3">
      <c r="A53" s="6">
        <v>46</v>
      </c>
      <c r="B53" s="6">
        <v>6.0461300000000005E-4</v>
      </c>
      <c r="C53" s="6">
        <v>2.35339E-2</v>
      </c>
      <c r="D53" s="6">
        <v>38.947400000000002</v>
      </c>
      <c r="E53" s="6">
        <v>38.923900000000003</v>
      </c>
      <c r="F53" s="6">
        <v>-2.8730900000000002E-4</v>
      </c>
      <c r="G53" s="6">
        <v>-5.5927800000000003E-3</v>
      </c>
      <c r="H53" s="6">
        <v>19.4605</v>
      </c>
      <c r="I53" s="6">
        <v>19.466100000000001</v>
      </c>
      <c r="J53" s="6">
        <v>-1.9845799999999999E-4</v>
      </c>
      <c r="K53" s="6">
        <v>-3.6260900000000002E-3</v>
      </c>
      <c r="L53" s="6">
        <v>18.267700000000001</v>
      </c>
      <c r="M53" s="6">
        <v>18.2714</v>
      </c>
      <c r="N53" s="6">
        <v>-3.1526599999999997E-4</v>
      </c>
      <c r="O53" s="6">
        <v>-5.8769800000000004E-3</v>
      </c>
      <c r="P53" s="6">
        <v>18.6355</v>
      </c>
      <c r="Q53" s="6">
        <v>18.641400000000001</v>
      </c>
      <c r="R53" s="6">
        <v>18.113</v>
      </c>
      <c r="S53" s="6">
        <v>18.114000000000001</v>
      </c>
      <c r="T53" s="6">
        <v>0.60329999999999995</v>
      </c>
      <c r="U53" s="6">
        <v>2139.5700000000002</v>
      </c>
      <c r="V53">
        <f t="shared" si="0"/>
        <v>11.527855603448277</v>
      </c>
      <c r="W53">
        <f t="shared" si="1"/>
        <v>2.67011E-4</v>
      </c>
    </row>
    <row r="54" spans="1:23" x14ac:dyDescent="0.3">
      <c r="A54" s="6">
        <v>47</v>
      </c>
      <c r="B54" s="6">
        <v>6.7904900000000004E-4</v>
      </c>
      <c r="C54" s="6">
        <v>2.6431199999999998E-2</v>
      </c>
      <c r="D54" s="6">
        <v>38.950299999999999</v>
      </c>
      <c r="E54" s="6">
        <v>38.923900000000003</v>
      </c>
      <c r="F54" s="6">
        <v>-3.7177400000000001E-4</v>
      </c>
      <c r="G54" s="6">
        <v>-7.2369699999999997E-3</v>
      </c>
      <c r="H54" s="6">
        <v>19.4588</v>
      </c>
      <c r="I54" s="6">
        <v>19.466100000000001</v>
      </c>
      <c r="J54" s="6">
        <v>-3.0653000000000001E-4</v>
      </c>
      <c r="K54" s="6">
        <v>-5.6007299999999999E-3</v>
      </c>
      <c r="L54" s="6">
        <v>18.265799999999999</v>
      </c>
      <c r="M54" s="6">
        <v>18.2714</v>
      </c>
      <c r="N54" s="6">
        <v>-4.3371399999999997E-4</v>
      </c>
      <c r="O54" s="6">
        <v>-8.0850100000000001E-3</v>
      </c>
      <c r="P54" s="6">
        <v>18.633299999999998</v>
      </c>
      <c r="Q54" s="6">
        <v>18.641400000000001</v>
      </c>
      <c r="R54" s="6">
        <v>18.361000000000001</v>
      </c>
      <c r="S54" s="6">
        <v>18.361000000000001</v>
      </c>
      <c r="T54" s="6">
        <v>0.60499999999999998</v>
      </c>
      <c r="U54" s="6">
        <v>2145.2199999999998</v>
      </c>
      <c r="V54">
        <f t="shared" si="0"/>
        <v>11.558297413793102</v>
      </c>
      <c r="W54">
        <f t="shared" si="1"/>
        <v>3.7067266666666665E-4</v>
      </c>
    </row>
    <row r="55" spans="1:23" x14ac:dyDescent="0.3">
      <c r="A55" s="6">
        <v>48</v>
      </c>
      <c r="B55" s="6">
        <v>6.4364200000000004E-4</v>
      </c>
      <c r="C55" s="6">
        <v>2.5052999999999999E-2</v>
      </c>
      <c r="D55" s="6">
        <v>38.948900000000002</v>
      </c>
      <c r="E55" s="6">
        <v>38.923900000000003</v>
      </c>
      <c r="F55" s="6">
        <v>-1.92898E-4</v>
      </c>
      <c r="G55" s="6">
        <v>-3.7549599999999999E-3</v>
      </c>
      <c r="H55" s="6">
        <v>19.462299999999999</v>
      </c>
      <c r="I55" s="6">
        <v>19.466100000000001</v>
      </c>
      <c r="J55" s="6">
        <v>-1.0929699999999999E-4</v>
      </c>
      <c r="K55" s="6">
        <v>-1.99701E-3</v>
      </c>
      <c r="L55" s="6">
        <v>18.269400000000001</v>
      </c>
      <c r="M55" s="6">
        <v>18.2714</v>
      </c>
      <c r="N55" s="6">
        <v>-3.8226599999999998E-4</v>
      </c>
      <c r="O55" s="6">
        <v>-7.1259599999999998E-3</v>
      </c>
      <c r="P55" s="6">
        <v>18.6342</v>
      </c>
      <c r="Q55" s="6">
        <v>18.641400000000001</v>
      </c>
      <c r="R55" s="6">
        <v>18.8</v>
      </c>
      <c r="S55" s="6">
        <v>18.8</v>
      </c>
      <c r="T55" s="6">
        <v>0.62909999999999999</v>
      </c>
      <c r="U55" s="6">
        <v>2229.9899999999998</v>
      </c>
      <c r="V55">
        <f t="shared" si="0"/>
        <v>12.015032327586207</v>
      </c>
      <c r="W55">
        <f t="shared" si="1"/>
        <v>2.2815366666666665E-4</v>
      </c>
    </row>
    <row r="56" spans="1:23" x14ac:dyDescent="0.3">
      <c r="A56" s="6">
        <v>49</v>
      </c>
      <c r="B56" s="6">
        <v>7.1472099999999998E-4</v>
      </c>
      <c r="C56" s="6">
        <v>2.7819699999999999E-2</v>
      </c>
      <c r="D56" s="6">
        <v>38.951700000000002</v>
      </c>
      <c r="E56" s="6">
        <v>38.923900000000003</v>
      </c>
      <c r="F56" s="6">
        <v>-3.1463599999999997E-4</v>
      </c>
      <c r="G56" s="6">
        <v>-6.1247200000000002E-3</v>
      </c>
      <c r="H56" s="6">
        <v>19.459900000000001</v>
      </c>
      <c r="I56" s="6">
        <v>19.466100000000001</v>
      </c>
      <c r="J56" s="6">
        <v>-2.49645E-4</v>
      </c>
      <c r="K56" s="6">
        <v>-4.5613499999999996E-3</v>
      </c>
      <c r="L56" s="6">
        <v>18.2668</v>
      </c>
      <c r="M56" s="6">
        <v>18.2714</v>
      </c>
      <c r="N56" s="6">
        <v>-4.5071299999999999E-4</v>
      </c>
      <c r="O56" s="6">
        <v>-8.4019100000000003E-3</v>
      </c>
      <c r="P56" s="6">
        <v>18.632999999999999</v>
      </c>
      <c r="Q56" s="6">
        <v>18.641400000000001</v>
      </c>
      <c r="R56" s="6">
        <v>19.234000000000002</v>
      </c>
      <c r="S56" s="6">
        <v>19.234000000000002</v>
      </c>
      <c r="T56" s="6">
        <v>0.63719999999999999</v>
      </c>
      <c r="U56" s="6">
        <v>2258.25</v>
      </c>
      <c r="V56">
        <f t="shared" si="0"/>
        <v>12.16729525862069</v>
      </c>
      <c r="W56">
        <f t="shared" si="1"/>
        <v>3.383313333333333E-4</v>
      </c>
    </row>
    <row r="57" spans="1:23" x14ac:dyDescent="0.3">
      <c r="A57" s="6">
        <v>50</v>
      </c>
      <c r="B57" s="6">
        <v>6.6863800000000004E-4</v>
      </c>
      <c r="C57" s="6">
        <v>2.6026000000000001E-2</v>
      </c>
      <c r="D57" s="6">
        <v>38.9499</v>
      </c>
      <c r="E57" s="6">
        <v>38.923900000000003</v>
      </c>
      <c r="F57" s="6">
        <v>-1.82084E-4</v>
      </c>
      <c r="G57" s="6">
        <v>-3.5444500000000002E-3</v>
      </c>
      <c r="H57" s="6">
        <v>19.462499999999999</v>
      </c>
      <c r="I57" s="6">
        <v>19.466100000000001</v>
      </c>
      <c r="J57" s="6">
        <v>-1.8915100000000001E-4</v>
      </c>
      <c r="K57" s="6">
        <v>-3.45605E-3</v>
      </c>
      <c r="L57" s="6">
        <v>18.267900000000001</v>
      </c>
      <c r="M57" s="6">
        <v>18.2714</v>
      </c>
      <c r="N57" s="6">
        <v>-3.5945999999999998E-4</v>
      </c>
      <c r="O57" s="6">
        <v>-6.7008199999999997E-3</v>
      </c>
      <c r="P57" s="6">
        <v>18.634699999999999</v>
      </c>
      <c r="Q57" s="6">
        <v>18.641400000000001</v>
      </c>
      <c r="R57" s="6">
        <v>19.422000000000001</v>
      </c>
      <c r="S57" s="6">
        <v>19.422000000000001</v>
      </c>
      <c r="T57" s="6">
        <v>0.64559999999999995</v>
      </c>
      <c r="U57" s="6">
        <v>2287.63</v>
      </c>
      <c r="V57">
        <f t="shared" si="0"/>
        <v>12.325592672413794</v>
      </c>
      <c r="W57">
        <f t="shared" si="1"/>
        <v>2.4356499999999998E-4</v>
      </c>
    </row>
    <row r="58" spans="1:23" x14ac:dyDescent="0.3">
      <c r="A58" s="6">
        <v>51</v>
      </c>
      <c r="B58" s="6">
        <v>7.0459699999999995E-4</v>
      </c>
      <c r="C58" s="6">
        <v>2.7425600000000001E-2</v>
      </c>
      <c r="D58" s="6">
        <v>38.951300000000003</v>
      </c>
      <c r="E58" s="6">
        <v>38.923900000000003</v>
      </c>
      <c r="F58" s="6">
        <v>-2.5954400000000001E-4</v>
      </c>
      <c r="G58" s="6">
        <v>-5.05231E-3</v>
      </c>
      <c r="H58" s="6">
        <v>19.460999999999999</v>
      </c>
      <c r="I58" s="6">
        <v>19.466100000000001</v>
      </c>
      <c r="J58" s="6">
        <v>-2.6256800000000002E-4</v>
      </c>
      <c r="K58" s="6">
        <v>-4.7974799999999998E-3</v>
      </c>
      <c r="L58" s="6">
        <v>18.2666</v>
      </c>
      <c r="M58" s="6">
        <v>18.2714</v>
      </c>
      <c r="N58" s="6">
        <v>-4.4914599999999999E-4</v>
      </c>
      <c r="O58" s="6">
        <v>-8.3727000000000003E-3</v>
      </c>
      <c r="P58" s="6">
        <v>18.632999999999999</v>
      </c>
      <c r="Q58" s="6">
        <v>18.641400000000001</v>
      </c>
      <c r="R58" s="6">
        <v>19.983000000000001</v>
      </c>
      <c r="S58" s="6">
        <v>19.983000000000001</v>
      </c>
      <c r="T58" s="6">
        <v>0.66779999999999995</v>
      </c>
      <c r="U58" s="6">
        <v>2365.62</v>
      </c>
      <c r="V58">
        <f t="shared" si="0"/>
        <v>12.745797413793102</v>
      </c>
      <c r="W58">
        <f t="shared" si="1"/>
        <v>3.2375266666666665E-4</v>
      </c>
    </row>
    <row r="59" spans="1:23" x14ac:dyDescent="0.3">
      <c r="A59" s="6">
        <v>52</v>
      </c>
      <c r="B59" s="6">
        <v>7.5142500000000001E-4</v>
      </c>
      <c r="C59" s="6">
        <v>2.9248300000000001E-2</v>
      </c>
      <c r="D59" s="6">
        <v>38.953099999999999</v>
      </c>
      <c r="E59" s="6">
        <v>38.923900000000003</v>
      </c>
      <c r="F59" s="6">
        <v>-3.2966899999999999E-4</v>
      </c>
      <c r="G59" s="6">
        <v>-6.4173499999999996E-3</v>
      </c>
      <c r="H59" s="6">
        <v>19.459599999999998</v>
      </c>
      <c r="I59" s="6">
        <v>19.466100000000001</v>
      </c>
      <c r="J59" s="6">
        <v>-2.7588800000000001E-4</v>
      </c>
      <c r="K59" s="6">
        <v>-5.0408400000000004E-3</v>
      </c>
      <c r="L59" s="6">
        <v>18.266300000000001</v>
      </c>
      <c r="M59" s="6">
        <v>18.2714</v>
      </c>
      <c r="N59" s="6">
        <v>-4.1395800000000002E-4</v>
      </c>
      <c r="O59" s="6">
        <v>-7.7167299999999998E-3</v>
      </c>
      <c r="P59" s="6">
        <v>18.633600000000001</v>
      </c>
      <c r="Q59" s="6">
        <v>18.641400000000001</v>
      </c>
      <c r="R59" s="6">
        <v>20.234000000000002</v>
      </c>
      <c r="S59" s="6">
        <v>20.234000000000002</v>
      </c>
      <c r="T59" s="6">
        <v>0.67069999999999996</v>
      </c>
      <c r="U59" s="6">
        <v>2375.79</v>
      </c>
      <c r="V59">
        <f t="shared" si="0"/>
        <v>12.800592672413794</v>
      </c>
      <c r="W59">
        <f t="shared" si="1"/>
        <v>3.398383333333334E-4</v>
      </c>
    </row>
    <row r="60" spans="1:23" x14ac:dyDescent="0.3">
      <c r="A60" s="6">
        <v>53</v>
      </c>
      <c r="B60" s="6">
        <v>7.6102600000000004E-4</v>
      </c>
      <c r="C60" s="6">
        <v>2.9622099999999998E-2</v>
      </c>
      <c r="D60" s="6">
        <v>38.953499999999998</v>
      </c>
      <c r="E60" s="6">
        <v>38.923900000000003</v>
      </c>
      <c r="F60" s="6">
        <v>-3.0610499999999998E-4</v>
      </c>
      <c r="G60" s="6">
        <v>-5.9586700000000001E-3</v>
      </c>
      <c r="H60" s="6">
        <v>19.460100000000001</v>
      </c>
      <c r="I60" s="6">
        <v>19.466100000000001</v>
      </c>
      <c r="J60" s="6">
        <v>-3.2340400000000001E-4</v>
      </c>
      <c r="K60" s="6">
        <v>-5.90904E-3</v>
      </c>
      <c r="L60" s="6">
        <v>18.2654</v>
      </c>
      <c r="M60" s="6">
        <v>18.2714</v>
      </c>
      <c r="N60" s="6">
        <v>-5.2641600000000004E-4</v>
      </c>
      <c r="O60" s="6">
        <v>-9.8130999999999999E-3</v>
      </c>
      <c r="P60" s="6">
        <v>18.631599999999999</v>
      </c>
      <c r="Q60" s="6">
        <v>18.641400000000001</v>
      </c>
      <c r="R60" s="6">
        <v>20.608000000000001</v>
      </c>
      <c r="S60" s="6">
        <v>20.608000000000001</v>
      </c>
      <c r="T60" s="6">
        <v>0.68520000000000003</v>
      </c>
      <c r="U60" s="6">
        <v>2426.66</v>
      </c>
      <c r="V60">
        <f t="shared" si="0"/>
        <v>13.07467672413793</v>
      </c>
      <c r="W60">
        <f t="shared" si="1"/>
        <v>3.8530833333333333E-4</v>
      </c>
    </row>
    <row r="61" spans="1:23" x14ac:dyDescent="0.3">
      <c r="A61" s="6">
        <v>54</v>
      </c>
      <c r="B61" s="6">
        <v>7.85971E-4</v>
      </c>
      <c r="C61" s="6">
        <v>3.0592999999999999E-2</v>
      </c>
      <c r="D61" s="6">
        <v>38.9544</v>
      </c>
      <c r="E61" s="6">
        <v>38.923900000000003</v>
      </c>
      <c r="F61" s="6">
        <v>-3.5186199999999999E-4</v>
      </c>
      <c r="G61" s="6">
        <v>-6.8493599999999996E-3</v>
      </c>
      <c r="H61" s="6">
        <v>19.459199999999999</v>
      </c>
      <c r="I61" s="6">
        <v>19.466100000000001</v>
      </c>
      <c r="J61" s="6">
        <v>-2.3420299999999999E-4</v>
      </c>
      <c r="K61" s="6">
        <v>-4.2792000000000004E-3</v>
      </c>
      <c r="L61" s="6">
        <v>18.267099999999999</v>
      </c>
      <c r="M61" s="6">
        <v>18.2714</v>
      </c>
      <c r="N61" s="6">
        <v>-3.9679800000000002E-4</v>
      </c>
      <c r="O61" s="6">
        <v>-7.39685E-3</v>
      </c>
      <c r="P61" s="6">
        <v>18.634</v>
      </c>
      <c r="Q61" s="6">
        <v>18.641400000000001</v>
      </c>
      <c r="R61" s="6">
        <v>21.111000000000001</v>
      </c>
      <c r="S61" s="6">
        <v>21.111000000000001</v>
      </c>
      <c r="T61" s="6">
        <v>0.70679999999999998</v>
      </c>
      <c r="U61" s="6">
        <v>2502.38</v>
      </c>
      <c r="V61">
        <f t="shared" si="0"/>
        <v>13.482650862068967</v>
      </c>
      <c r="W61">
        <f t="shared" si="1"/>
        <v>3.27621E-4</v>
      </c>
    </row>
    <row r="62" spans="1:23" x14ac:dyDescent="0.3">
      <c r="A62" s="6">
        <v>55</v>
      </c>
      <c r="B62" s="6">
        <v>7.3733200000000005E-4</v>
      </c>
      <c r="C62" s="6">
        <v>2.8699800000000001E-2</v>
      </c>
      <c r="D62" s="6">
        <v>38.952599999999997</v>
      </c>
      <c r="E62" s="6">
        <v>38.923900000000003</v>
      </c>
      <c r="F62" s="6">
        <v>-3.2400199999999999E-4</v>
      </c>
      <c r="G62" s="6">
        <v>-6.3070399999999999E-3</v>
      </c>
      <c r="H62" s="6">
        <v>19.459800000000001</v>
      </c>
      <c r="I62" s="6">
        <v>19.466100000000001</v>
      </c>
      <c r="J62" s="6">
        <v>-2.5519699999999998E-4</v>
      </c>
      <c r="K62" s="6">
        <v>-4.66279E-3</v>
      </c>
      <c r="L62" s="6">
        <v>18.2667</v>
      </c>
      <c r="M62" s="6">
        <v>18.2714</v>
      </c>
      <c r="N62" s="6">
        <v>-4.6749699999999999E-4</v>
      </c>
      <c r="O62" s="6">
        <v>-8.71479E-3</v>
      </c>
      <c r="P62" s="6">
        <v>18.6326</v>
      </c>
      <c r="Q62" s="6">
        <v>18.641400000000001</v>
      </c>
      <c r="R62" s="6">
        <v>21.358000000000001</v>
      </c>
      <c r="S62" s="6">
        <v>21.359000000000002</v>
      </c>
      <c r="T62" s="6">
        <v>0.71230000000000004</v>
      </c>
      <c r="U62" s="6">
        <v>2521.6</v>
      </c>
      <c r="V62">
        <f t="shared" si="0"/>
        <v>13.586206896551724</v>
      </c>
      <c r="W62">
        <f t="shared" si="1"/>
        <v>3.4889866666666663E-4</v>
      </c>
    </row>
    <row r="63" spans="1:23" x14ac:dyDescent="0.3">
      <c r="A63" s="6">
        <v>56</v>
      </c>
      <c r="B63" s="6">
        <v>6.8946800000000005E-4</v>
      </c>
      <c r="C63" s="6">
        <v>2.6836800000000001E-2</v>
      </c>
      <c r="D63" s="6">
        <v>38.950699999999998</v>
      </c>
      <c r="E63" s="6">
        <v>38.923900000000003</v>
      </c>
      <c r="F63" s="6">
        <v>-3.4986400000000002E-4</v>
      </c>
      <c r="G63" s="6">
        <v>-6.8104699999999999E-3</v>
      </c>
      <c r="H63" s="6">
        <v>19.459299999999999</v>
      </c>
      <c r="I63" s="6">
        <v>19.466100000000001</v>
      </c>
      <c r="J63" s="6">
        <v>-2.80198E-4</v>
      </c>
      <c r="K63" s="6">
        <v>-5.1196000000000002E-3</v>
      </c>
      <c r="L63" s="6">
        <v>18.266200000000001</v>
      </c>
      <c r="M63" s="6">
        <v>18.2714</v>
      </c>
      <c r="N63" s="6">
        <v>-4.3952599999999998E-4</v>
      </c>
      <c r="O63" s="6">
        <v>-8.1933600000000002E-3</v>
      </c>
      <c r="P63" s="6">
        <v>18.633199999999999</v>
      </c>
      <c r="Q63" s="6">
        <v>18.641400000000001</v>
      </c>
      <c r="R63" s="6">
        <v>21.481000000000002</v>
      </c>
      <c r="S63" s="6">
        <v>21.481000000000002</v>
      </c>
      <c r="T63" s="6">
        <v>0.71289999999999998</v>
      </c>
      <c r="U63" s="6">
        <v>2523.86</v>
      </c>
      <c r="V63">
        <f t="shared" si="0"/>
        <v>13.598383620689656</v>
      </c>
      <c r="W63">
        <f t="shared" si="1"/>
        <v>3.5652933333333334E-4</v>
      </c>
    </row>
    <row r="64" spans="1:23" x14ac:dyDescent="0.3">
      <c r="A64" s="6">
        <v>57</v>
      </c>
      <c r="B64" s="6">
        <v>8.2822400000000002E-4</v>
      </c>
      <c r="C64" s="6">
        <v>3.2237700000000001E-2</v>
      </c>
      <c r="D64" s="6">
        <v>38.956099999999999</v>
      </c>
      <c r="E64" s="6">
        <v>38.923900000000003</v>
      </c>
      <c r="F64" s="6">
        <v>-3.3061599999999999E-4</v>
      </c>
      <c r="G64" s="6">
        <v>-6.4357900000000003E-3</v>
      </c>
      <c r="H64" s="6">
        <v>19.459599999999998</v>
      </c>
      <c r="I64" s="6">
        <v>19.466100000000001</v>
      </c>
      <c r="J64" s="6">
        <v>-2.5426499999999999E-4</v>
      </c>
      <c r="K64" s="6">
        <v>-4.6457599999999996E-3</v>
      </c>
      <c r="L64" s="6">
        <v>18.2667</v>
      </c>
      <c r="M64" s="6">
        <v>18.2714</v>
      </c>
      <c r="N64" s="6">
        <v>-4.3109700000000002E-4</v>
      </c>
      <c r="O64" s="6">
        <v>-8.0362300000000001E-3</v>
      </c>
      <c r="P64" s="6">
        <v>18.633299999999998</v>
      </c>
      <c r="Q64" s="6">
        <v>18.641400000000001</v>
      </c>
      <c r="R64" s="6">
        <v>21.92</v>
      </c>
      <c r="S64" s="6">
        <v>21.920999999999999</v>
      </c>
      <c r="T64" s="6">
        <v>0.74160000000000004</v>
      </c>
      <c r="U64" s="6">
        <v>2624.45</v>
      </c>
      <c r="V64">
        <f t="shared" si="0"/>
        <v>14.140355603448276</v>
      </c>
      <c r="W64">
        <f t="shared" si="1"/>
        <v>3.3865933333333337E-4</v>
      </c>
    </row>
    <row r="65" spans="1:23" x14ac:dyDescent="0.3">
      <c r="A65" s="6">
        <v>58</v>
      </c>
      <c r="B65" s="6">
        <v>7.73728E-4</v>
      </c>
      <c r="C65" s="6">
        <v>3.0116500000000001E-2</v>
      </c>
      <c r="D65" s="6">
        <v>38.954000000000001</v>
      </c>
      <c r="E65" s="6">
        <v>38.923900000000003</v>
      </c>
      <c r="F65" s="6">
        <v>-3.8285199999999999E-4</v>
      </c>
      <c r="G65" s="6">
        <v>-7.4526200000000001E-3</v>
      </c>
      <c r="H65" s="6">
        <v>19.458600000000001</v>
      </c>
      <c r="I65" s="6">
        <v>19.466100000000001</v>
      </c>
      <c r="J65" s="6">
        <v>-2.4730100000000001E-4</v>
      </c>
      <c r="K65" s="6">
        <v>-4.5185199999999998E-3</v>
      </c>
      <c r="L65" s="6">
        <v>18.2668</v>
      </c>
      <c r="M65" s="6">
        <v>18.2714</v>
      </c>
      <c r="N65" s="6">
        <v>-4.1095900000000002E-4</v>
      </c>
      <c r="O65" s="6">
        <v>-7.6608400000000004E-3</v>
      </c>
      <c r="P65" s="6">
        <v>18.633700000000001</v>
      </c>
      <c r="Q65" s="6">
        <v>18.641400000000001</v>
      </c>
      <c r="R65" s="6">
        <v>22.295000000000002</v>
      </c>
      <c r="S65" s="6">
        <v>22.295000000000002</v>
      </c>
      <c r="T65" s="6">
        <v>0.74870000000000003</v>
      </c>
      <c r="U65" s="6">
        <v>2649.32</v>
      </c>
      <c r="V65">
        <f t="shared" si="0"/>
        <v>14.274353448275864</v>
      </c>
      <c r="W65">
        <f t="shared" si="1"/>
        <v>3.4703733333333334E-4</v>
      </c>
    </row>
    <row r="66" spans="1:23" x14ac:dyDescent="0.3">
      <c r="A66" s="6">
        <v>59</v>
      </c>
      <c r="B66" s="6">
        <v>8.5323799999999998E-4</v>
      </c>
      <c r="C66" s="6">
        <v>3.3211299999999999E-2</v>
      </c>
      <c r="D66" s="6">
        <v>38.957099999999997</v>
      </c>
      <c r="E66" s="6">
        <v>38.923900000000003</v>
      </c>
      <c r="F66" s="6">
        <v>-3.4389400000000002E-4</v>
      </c>
      <c r="G66" s="6">
        <v>-6.6942700000000004E-3</v>
      </c>
      <c r="H66" s="6">
        <v>19.459399999999999</v>
      </c>
      <c r="I66" s="6">
        <v>19.466100000000001</v>
      </c>
      <c r="J66" s="6">
        <v>-2.9278699999999997E-4</v>
      </c>
      <c r="K66" s="6">
        <v>-5.3496100000000003E-3</v>
      </c>
      <c r="L66" s="6">
        <v>18.265999999999998</v>
      </c>
      <c r="M66" s="6">
        <v>18.2714</v>
      </c>
      <c r="N66" s="6">
        <v>-4.56229E-4</v>
      </c>
      <c r="O66" s="6">
        <v>-8.5047400000000002E-3</v>
      </c>
      <c r="P66" s="6">
        <v>18.632899999999999</v>
      </c>
      <c r="Q66" s="6">
        <v>18.641400000000001</v>
      </c>
      <c r="R66" s="6">
        <v>22.606000000000002</v>
      </c>
      <c r="S66" s="6">
        <v>22.606999999999999</v>
      </c>
      <c r="T66" s="6">
        <v>0.75580000000000003</v>
      </c>
      <c r="U66" s="6">
        <v>2674.18</v>
      </c>
      <c r="V66">
        <f t="shared" si="0"/>
        <v>14.408297413793102</v>
      </c>
      <c r="W66">
        <f t="shared" si="1"/>
        <v>3.6430333333333339E-4</v>
      </c>
    </row>
    <row r="67" spans="1:23" x14ac:dyDescent="0.3">
      <c r="A67" s="6">
        <v>60</v>
      </c>
      <c r="B67" s="6">
        <v>8.6057799999999997E-4</v>
      </c>
      <c r="C67" s="6">
        <v>3.3496999999999999E-2</v>
      </c>
      <c r="D67" s="6">
        <v>38.9574</v>
      </c>
      <c r="E67" s="6">
        <v>38.923900000000003</v>
      </c>
      <c r="F67" s="6">
        <v>-3.2076099999999997E-4</v>
      </c>
      <c r="G67" s="6">
        <v>-6.2439599999999998E-3</v>
      </c>
      <c r="H67" s="6">
        <v>19.459800000000001</v>
      </c>
      <c r="I67" s="6">
        <v>19.466100000000001</v>
      </c>
      <c r="J67" s="6">
        <v>-2.6778099999999998E-4</v>
      </c>
      <c r="K67" s="6">
        <v>-4.8927299999999996E-3</v>
      </c>
      <c r="L67" s="6">
        <v>18.266500000000001</v>
      </c>
      <c r="M67" s="6">
        <v>18.2714</v>
      </c>
      <c r="N67" s="6">
        <v>-4.6321999999999997E-4</v>
      </c>
      <c r="O67" s="6">
        <v>-8.63506E-3</v>
      </c>
      <c r="P67" s="6">
        <v>18.6327</v>
      </c>
      <c r="Q67" s="6">
        <v>18.641400000000001</v>
      </c>
      <c r="R67" s="6">
        <v>22.733000000000001</v>
      </c>
      <c r="S67" s="6">
        <v>22.733000000000001</v>
      </c>
      <c r="T67" s="6">
        <v>0.76</v>
      </c>
      <c r="U67" s="6">
        <v>2688.88</v>
      </c>
      <c r="V67">
        <f t="shared" si="0"/>
        <v>14.487500000000001</v>
      </c>
      <c r="W67">
        <f t="shared" si="1"/>
        <v>3.5058733333333329E-4</v>
      </c>
    </row>
    <row r="68" spans="1:23" x14ac:dyDescent="0.3">
      <c r="A68" s="6">
        <v>61</v>
      </c>
      <c r="B68" s="6">
        <v>8.1855999999999997E-4</v>
      </c>
      <c r="C68" s="6">
        <v>3.1861500000000001E-2</v>
      </c>
      <c r="D68" s="6">
        <v>38.9557</v>
      </c>
      <c r="E68" s="6">
        <v>38.923900000000003</v>
      </c>
      <c r="F68" s="6">
        <v>-3.51116E-4</v>
      </c>
      <c r="G68" s="6">
        <v>-6.83485E-3</v>
      </c>
      <c r="H68" s="6">
        <v>19.459199999999999</v>
      </c>
      <c r="I68" s="6">
        <v>19.466100000000001</v>
      </c>
      <c r="J68" s="6">
        <v>-2.5727999999999998E-4</v>
      </c>
      <c r="K68" s="6">
        <v>-4.7008600000000003E-3</v>
      </c>
      <c r="L68" s="6">
        <v>18.2667</v>
      </c>
      <c r="M68" s="6">
        <v>18.2714</v>
      </c>
      <c r="N68" s="6">
        <v>-4.6757599999999998E-4</v>
      </c>
      <c r="O68" s="6">
        <v>-8.71625E-3</v>
      </c>
      <c r="P68" s="6">
        <v>18.6326</v>
      </c>
      <c r="Q68" s="6">
        <v>18.641400000000001</v>
      </c>
      <c r="R68" s="6">
        <v>23.478000000000002</v>
      </c>
      <c r="S68" s="6">
        <v>23.478999999999999</v>
      </c>
      <c r="T68" s="6">
        <v>0.79120000000000001</v>
      </c>
      <c r="U68" s="6">
        <v>2798.51</v>
      </c>
      <c r="V68">
        <f t="shared" si="0"/>
        <v>15.078178879310347</v>
      </c>
      <c r="W68">
        <f t="shared" si="1"/>
        <v>3.5865733333333329E-4</v>
      </c>
    </row>
    <row r="69" spans="1:23" x14ac:dyDescent="0.3">
      <c r="A69" s="6">
        <v>62</v>
      </c>
      <c r="B69" s="6">
        <v>8.5024000000000005E-4</v>
      </c>
      <c r="C69" s="6">
        <v>3.3094600000000002E-2</v>
      </c>
      <c r="D69" s="6">
        <v>38.957000000000001</v>
      </c>
      <c r="E69" s="6">
        <v>38.923900000000003</v>
      </c>
      <c r="F69" s="6">
        <v>-3.0558499999999998E-4</v>
      </c>
      <c r="G69" s="6">
        <v>-5.9485299999999996E-3</v>
      </c>
      <c r="H69" s="6">
        <v>19.460100000000001</v>
      </c>
      <c r="I69" s="6">
        <v>19.466100000000001</v>
      </c>
      <c r="J69" s="6">
        <v>-2.6929299999999998E-4</v>
      </c>
      <c r="K69" s="6">
        <v>-4.9203500000000004E-3</v>
      </c>
      <c r="L69" s="6">
        <v>18.266400000000001</v>
      </c>
      <c r="M69" s="6">
        <v>18.2714</v>
      </c>
      <c r="N69" s="6">
        <v>-4.1280100000000002E-4</v>
      </c>
      <c r="O69" s="6">
        <v>-7.6951700000000003E-3</v>
      </c>
      <c r="P69" s="6">
        <v>18.633700000000001</v>
      </c>
      <c r="Q69" s="6">
        <v>18.641400000000001</v>
      </c>
      <c r="R69" s="6">
        <v>23.791</v>
      </c>
      <c r="S69" s="6">
        <v>23.792000000000002</v>
      </c>
      <c r="T69" s="6">
        <v>0.78220000000000001</v>
      </c>
      <c r="U69" s="6">
        <v>2766.86</v>
      </c>
      <c r="V69">
        <f t="shared" si="0"/>
        <v>14.907650862068966</v>
      </c>
      <c r="W69">
        <f t="shared" si="1"/>
        <v>3.2922633333333333E-4</v>
      </c>
    </row>
    <row r="70" spans="1:23" x14ac:dyDescent="0.3">
      <c r="A70" s="6">
        <v>63</v>
      </c>
      <c r="B70" s="6">
        <v>9.3157899999999998E-4</v>
      </c>
      <c r="C70" s="6">
        <v>3.6260599999999997E-2</v>
      </c>
      <c r="D70" s="6">
        <v>38.960099999999997</v>
      </c>
      <c r="E70" s="6">
        <v>38.923900000000003</v>
      </c>
      <c r="F70" s="6">
        <v>-3.55705E-4</v>
      </c>
      <c r="G70" s="6">
        <v>-6.9241800000000003E-3</v>
      </c>
      <c r="H70" s="6">
        <v>19.459099999999999</v>
      </c>
      <c r="I70" s="6">
        <v>19.466100000000001</v>
      </c>
      <c r="J70" s="6">
        <v>-2.6627699999999999E-4</v>
      </c>
      <c r="K70" s="6">
        <v>-4.8652299999999999E-3</v>
      </c>
      <c r="L70" s="6">
        <v>18.266500000000001</v>
      </c>
      <c r="M70" s="6">
        <v>18.2714</v>
      </c>
      <c r="N70" s="6">
        <v>-4.5112700000000001E-4</v>
      </c>
      <c r="O70" s="6">
        <v>-8.4096199999999996E-3</v>
      </c>
      <c r="P70" s="6">
        <v>18.632999999999999</v>
      </c>
      <c r="Q70" s="6">
        <v>18.641400000000001</v>
      </c>
      <c r="R70" s="6">
        <v>24.042000000000002</v>
      </c>
      <c r="S70" s="6">
        <v>24.042000000000002</v>
      </c>
      <c r="T70" s="6">
        <v>0.80059999999999998</v>
      </c>
      <c r="U70" s="6">
        <v>2831.29</v>
      </c>
      <c r="V70">
        <f t="shared" si="0"/>
        <v>15.254795258620691</v>
      </c>
      <c r="W70">
        <f t="shared" si="1"/>
        <v>3.5770300000000001E-4</v>
      </c>
    </row>
    <row r="71" spans="1:23" x14ac:dyDescent="0.3">
      <c r="A71" s="6">
        <v>64</v>
      </c>
      <c r="B71" s="6">
        <v>9.0960200000000002E-4</v>
      </c>
      <c r="C71" s="6">
        <v>3.5405199999999998E-2</v>
      </c>
      <c r="D71" s="6">
        <v>38.959299999999999</v>
      </c>
      <c r="E71" s="6">
        <v>38.923900000000003</v>
      </c>
      <c r="F71" s="6">
        <v>-3.5171699999999998E-4</v>
      </c>
      <c r="G71" s="6">
        <v>-6.8465499999999999E-3</v>
      </c>
      <c r="H71" s="6">
        <v>19.459199999999999</v>
      </c>
      <c r="I71" s="6">
        <v>19.466100000000001</v>
      </c>
      <c r="J71" s="6">
        <v>-2.2771E-4</v>
      </c>
      <c r="K71" s="6">
        <v>-4.1605699999999997E-3</v>
      </c>
      <c r="L71" s="6">
        <v>18.267199999999999</v>
      </c>
      <c r="M71" s="6">
        <v>18.2714</v>
      </c>
      <c r="N71" s="6">
        <v>-4.5056499999999999E-4</v>
      </c>
      <c r="O71" s="6">
        <v>-8.3991399999999994E-3</v>
      </c>
      <c r="P71" s="6">
        <v>18.632999999999999</v>
      </c>
      <c r="Q71" s="6">
        <v>18.641400000000001</v>
      </c>
      <c r="R71" s="6">
        <v>24.228999999999999</v>
      </c>
      <c r="S71" s="6">
        <v>24.23</v>
      </c>
      <c r="T71" s="6">
        <v>0.81089999999999995</v>
      </c>
      <c r="U71" s="6">
        <v>2867.46</v>
      </c>
      <c r="V71">
        <f t="shared" si="0"/>
        <v>15.449676724137932</v>
      </c>
      <c r="W71">
        <f t="shared" si="1"/>
        <v>3.4333066666666668E-4</v>
      </c>
    </row>
    <row r="72" spans="1:23" x14ac:dyDescent="0.3">
      <c r="A72" s="6">
        <v>65</v>
      </c>
      <c r="B72" s="6">
        <v>8.3813699999999997E-4</v>
      </c>
      <c r="C72" s="6">
        <v>3.26235E-2</v>
      </c>
      <c r="D72" s="6">
        <v>38.956499999999998</v>
      </c>
      <c r="E72" s="6">
        <v>38.923900000000003</v>
      </c>
      <c r="F72" s="6">
        <v>-4.1478400000000002E-4</v>
      </c>
      <c r="G72" s="6">
        <v>-8.0742100000000001E-3</v>
      </c>
      <c r="H72" s="6">
        <v>19.457999999999998</v>
      </c>
      <c r="I72" s="6">
        <v>19.466100000000001</v>
      </c>
      <c r="J72" s="6">
        <v>-3.6563600000000002E-4</v>
      </c>
      <c r="K72" s="6">
        <v>-6.6806599999999997E-3</v>
      </c>
      <c r="L72" s="6">
        <v>18.264700000000001</v>
      </c>
      <c r="M72" s="6">
        <v>18.2714</v>
      </c>
      <c r="N72" s="6">
        <v>-5.1834299999999999E-4</v>
      </c>
      <c r="O72" s="6">
        <v>-9.6626200000000002E-3</v>
      </c>
      <c r="P72" s="6">
        <v>18.631699999999999</v>
      </c>
      <c r="Q72" s="6">
        <v>18.641400000000001</v>
      </c>
      <c r="R72" s="6">
        <v>24.356000000000002</v>
      </c>
      <c r="S72" s="6">
        <v>24.358000000000001</v>
      </c>
      <c r="T72" s="6">
        <v>0.81569999999999998</v>
      </c>
      <c r="U72" s="6">
        <v>2884.41</v>
      </c>
      <c r="V72">
        <f t="shared" ref="V72:V135" si="2">U72/A$2/B$2</f>
        <v>15.541002155172414</v>
      </c>
      <c r="W72">
        <f t="shared" ref="W72:W135" si="3">-AVERAGE(F72,J72,N72)</f>
        <v>4.3292100000000001E-4</v>
      </c>
    </row>
    <row r="73" spans="1:23" x14ac:dyDescent="0.3">
      <c r="A73" s="6">
        <v>66</v>
      </c>
      <c r="B73" s="6">
        <v>9.3192399999999999E-4</v>
      </c>
      <c r="C73" s="6">
        <v>3.6274099999999997E-2</v>
      </c>
      <c r="D73" s="6">
        <v>38.960099999999997</v>
      </c>
      <c r="E73" s="6">
        <v>38.923900000000003</v>
      </c>
      <c r="F73" s="6">
        <v>-2.5484599999999998E-4</v>
      </c>
      <c r="G73" s="6">
        <v>-4.9608500000000002E-3</v>
      </c>
      <c r="H73" s="6">
        <v>19.461099999999998</v>
      </c>
      <c r="I73" s="6">
        <v>19.466100000000001</v>
      </c>
      <c r="J73" s="6">
        <v>-2.34066E-4</v>
      </c>
      <c r="K73" s="6">
        <v>-4.2767100000000004E-3</v>
      </c>
      <c r="L73" s="6">
        <v>18.267099999999999</v>
      </c>
      <c r="M73" s="6">
        <v>18.2714</v>
      </c>
      <c r="N73" s="6">
        <v>-4.9003299999999996E-4</v>
      </c>
      <c r="O73" s="6">
        <v>-9.1348799999999997E-3</v>
      </c>
      <c r="P73" s="6">
        <v>18.632200000000001</v>
      </c>
      <c r="Q73" s="6">
        <v>18.641400000000001</v>
      </c>
      <c r="R73" s="6">
        <v>24.913</v>
      </c>
      <c r="S73" s="6">
        <v>24.914000000000001</v>
      </c>
      <c r="T73" s="6">
        <v>0.82189999999999996</v>
      </c>
      <c r="U73" s="6">
        <v>2905.89</v>
      </c>
      <c r="V73">
        <f t="shared" si="2"/>
        <v>15.656734913793104</v>
      </c>
      <c r="W73">
        <f t="shared" si="3"/>
        <v>3.2631499999999998E-4</v>
      </c>
    </row>
    <row r="74" spans="1:23" x14ac:dyDescent="0.3">
      <c r="A74" s="6">
        <v>67</v>
      </c>
      <c r="B74" s="6">
        <v>8.9687199999999995E-4</v>
      </c>
      <c r="C74" s="6">
        <v>3.4909700000000002E-2</v>
      </c>
      <c r="D74" s="6">
        <v>38.958799999999997</v>
      </c>
      <c r="E74" s="6">
        <v>38.923900000000003</v>
      </c>
      <c r="F74" s="6">
        <v>-3.4367799999999998E-4</v>
      </c>
      <c r="G74" s="6">
        <v>-6.6900600000000003E-3</v>
      </c>
      <c r="H74" s="6">
        <v>19.459399999999999</v>
      </c>
      <c r="I74" s="6">
        <v>19.466100000000001</v>
      </c>
      <c r="J74" s="6">
        <v>-3.8566199999999999E-4</v>
      </c>
      <c r="K74" s="6">
        <v>-7.0465600000000003E-3</v>
      </c>
      <c r="L74" s="6">
        <v>18.264299999999999</v>
      </c>
      <c r="M74" s="6">
        <v>18.2714</v>
      </c>
      <c r="N74" s="6">
        <v>-6.2528499999999995E-4</v>
      </c>
      <c r="O74" s="6">
        <v>-1.16562E-2</v>
      </c>
      <c r="P74" s="6">
        <v>18.6297</v>
      </c>
      <c r="Q74" s="6">
        <v>18.641400000000001</v>
      </c>
      <c r="R74" s="6">
        <v>25.289000000000001</v>
      </c>
      <c r="S74" s="6">
        <v>25.29</v>
      </c>
      <c r="T74" s="6">
        <v>0.83730000000000004</v>
      </c>
      <c r="U74" s="6">
        <v>2960.14</v>
      </c>
      <c r="V74">
        <f t="shared" si="2"/>
        <v>15.949030172413792</v>
      </c>
      <c r="W74">
        <f t="shared" si="3"/>
        <v>4.5154166666666666E-4</v>
      </c>
    </row>
    <row r="75" spans="1:23" x14ac:dyDescent="0.3">
      <c r="A75" s="6">
        <v>68</v>
      </c>
      <c r="B75" s="6">
        <v>9.6727300000000005E-4</v>
      </c>
      <c r="C75" s="6">
        <v>3.7650000000000003E-2</v>
      </c>
      <c r="D75" s="6">
        <v>38.961500000000001</v>
      </c>
      <c r="E75" s="6">
        <v>38.923900000000003</v>
      </c>
      <c r="F75" s="6">
        <v>-4.8194699999999999E-4</v>
      </c>
      <c r="G75" s="6">
        <v>-9.3816200000000002E-3</v>
      </c>
      <c r="H75" s="6">
        <v>19.456700000000001</v>
      </c>
      <c r="I75" s="6">
        <v>19.466100000000001</v>
      </c>
      <c r="J75" s="6">
        <v>-3.9569900000000001E-4</v>
      </c>
      <c r="K75" s="6">
        <v>-7.2299499999999997E-3</v>
      </c>
      <c r="L75" s="6">
        <v>18.264099999999999</v>
      </c>
      <c r="M75" s="6">
        <v>18.2714</v>
      </c>
      <c r="N75" s="6">
        <v>-5.9389899999999995E-4</v>
      </c>
      <c r="O75" s="6">
        <v>-1.10711E-2</v>
      </c>
      <c r="P75" s="6">
        <v>18.630299999999998</v>
      </c>
      <c r="Q75" s="6">
        <v>18.641400000000001</v>
      </c>
      <c r="R75" s="6">
        <v>25.725999999999999</v>
      </c>
      <c r="S75" s="6">
        <v>25.725999999999999</v>
      </c>
      <c r="T75" s="6">
        <v>0.84960000000000002</v>
      </c>
      <c r="U75" s="6">
        <v>3003.09</v>
      </c>
      <c r="V75">
        <f t="shared" si="2"/>
        <v>16.180441810344828</v>
      </c>
      <c r="W75">
        <f t="shared" si="3"/>
        <v>4.9051499999999996E-4</v>
      </c>
    </row>
    <row r="76" spans="1:23" x14ac:dyDescent="0.3">
      <c r="A76" s="6">
        <v>69</v>
      </c>
      <c r="B76" s="6">
        <v>8.9384700000000002E-4</v>
      </c>
      <c r="C76" s="6">
        <v>3.4791999999999997E-2</v>
      </c>
      <c r="D76" s="6">
        <v>38.958599999999997</v>
      </c>
      <c r="E76" s="6">
        <v>38.923900000000003</v>
      </c>
      <c r="F76" s="6">
        <v>-3.5702299999999999E-4</v>
      </c>
      <c r="G76" s="6">
        <v>-6.9498399999999997E-3</v>
      </c>
      <c r="H76" s="6">
        <v>19.459099999999999</v>
      </c>
      <c r="I76" s="6">
        <v>19.466100000000001</v>
      </c>
      <c r="J76" s="6">
        <v>-3.30055E-4</v>
      </c>
      <c r="K76" s="6">
        <v>-6.0305599999999999E-3</v>
      </c>
      <c r="L76" s="6">
        <v>18.2653</v>
      </c>
      <c r="M76" s="6">
        <v>18.2714</v>
      </c>
      <c r="N76" s="6">
        <v>-5.9233400000000002E-4</v>
      </c>
      <c r="O76" s="6">
        <v>-1.10419E-2</v>
      </c>
      <c r="P76" s="6">
        <v>18.630299999999998</v>
      </c>
      <c r="Q76" s="6">
        <v>18.641400000000001</v>
      </c>
      <c r="R76" s="6">
        <v>25.911999999999999</v>
      </c>
      <c r="S76" s="6">
        <v>25.911999999999999</v>
      </c>
      <c r="T76" s="6">
        <v>0.8679</v>
      </c>
      <c r="U76" s="6">
        <v>3067.51</v>
      </c>
      <c r="V76">
        <f t="shared" si="2"/>
        <v>16.527532327586208</v>
      </c>
      <c r="W76">
        <f t="shared" si="3"/>
        <v>4.2647066666666672E-4</v>
      </c>
    </row>
    <row r="77" spans="1:23" x14ac:dyDescent="0.3">
      <c r="A77" s="6">
        <v>70</v>
      </c>
      <c r="B77" s="6">
        <v>9.4019999999999998E-4</v>
      </c>
      <c r="C77" s="6">
        <v>3.6596200000000002E-2</v>
      </c>
      <c r="D77" s="6">
        <v>38.960500000000003</v>
      </c>
      <c r="E77" s="6">
        <v>38.923900000000003</v>
      </c>
      <c r="F77" s="6">
        <v>-4.0021300000000001E-4</v>
      </c>
      <c r="G77" s="6">
        <v>-7.7905600000000002E-3</v>
      </c>
      <c r="H77" s="6">
        <v>19.458300000000001</v>
      </c>
      <c r="I77" s="6">
        <v>19.466100000000001</v>
      </c>
      <c r="J77" s="6">
        <v>-3.5260800000000002E-4</v>
      </c>
      <c r="K77" s="6">
        <v>-6.4426199999999996E-3</v>
      </c>
      <c r="L77" s="6">
        <v>18.264900000000001</v>
      </c>
      <c r="M77" s="6">
        <v>18.2714</v>
      </c>
      <c r="N77" s="6">
        <v>-5.9557999999999996E-4</v>
      </c>
      <c r="O77" s="6">
        <v>-1.11024E-2</v>
      </c>
      <c r="P77" s="6">
        <v>18.630299999999998</v>
      </c>
      <c r="Q77" s="6">
        <v>18.641400000000001</v>
      </c>
      <c r="R77" s="6">
        <v>26.472999999999999</v>
      </c>
      <c r="S77" s="6">
        <v>26.472999999999999</v>
      </c>
      <c r="T77" s="6">
        <v>0.87790000000000001</v>
      </c>
      <c r="U77" s="6">
        <v>3102.55</v>
      </c>
      <c r="V77">
        <f t="shared" si="2"/>
        <v>16.716325431034484</v>
      </c>
      <c r="W77">
        <f t="shared" si="3"/>
        <v>4.49467E-4</v>
      </c>
    </row>
    <row r="78" spans="1:23" x14ac:dyDescent="0.3">
      <c r="A78" s="6">
        <v>71</v>
      </c>
      <c r="B78" s="6">
        <v>1.0412500000000001E-3</v>
      </c>
      <c r="C78" s="6">
        <v>4.05294E-2</v>
      </c>
      <c r="D78" s="6">
        <v>38.964399999999998</v>
      </c>
      <c r="E78" s="6">
        <v>38.923900000000003</v>
      </c>
      <c r="F78" s="6">
        <v>-4.5869800000000001E-4</v>
      </c>
      <c r="G78" s="6">
        <v>-8.9290399999999992E-3</v>
      </c>
      <c r="H78" s="6">
        <v>19.457100000000001</v>
      </c>
      <c r="I78" s="6">
        <v>19.466100000000001</v>
      </c>
      <c r="J78" s="6">
        <v>-3.1022200000000003E-4</v>
      </c>
      <c r="K78" s="6">
        <v>-5.6681700000000002E-3</v>
      </c>
      <c r="L78" s="6">
        <v>18.265699999999999</v>
      </c>
      <c r="M78" s="6">
        <v>18.2714</v>
      </c>
      <c r="N78" s="6">
        <v>-5.1417699999999999E-4</v>
      </c>
      <c r="O78" s="6">
        <v>-9.5849500000000001E-3</v>
      </c>
      <c r="P78" s="6">
        <v>18.631799999999998</v>
      </c>
      <c r="Q78" s="6">
        <v>18.641400000000001</v>
      </c>
      <c r="R78" s="6">
        <v>26.788</v>
      </c>
      <c r="S78" s="6">
        <v>26.788</v>
      </c>
      <c r="T78" s="6">
        <v>0.89180000000000004</v>
      </c>
      <c r="U78" s="6">
        <v>3151.15</v>
      </c>
      <c r="V78">
        <f t="shared" si="2"/>
        <v>16.978178879310345</v>
      </c>
      <c r="W78">
        <f t="shared" si="3"/>
        <v>4.2769899999999997E-4</v>
      </c>
    </row>
    <row r="79" spans="1:23" x14ac:dyDescent="0.3">
      <c r="A79" s="6">
        <v>72</v>
      </c>
      <c r="B79" s="6">
        <v>1.0034499999999999E-3</v>
      </c>
      <c r="C79" s="6">
        <v>3.9058000000000002E-2</v>
      </c>
      <c r="D79" s="6">
        <v>38.962899999999998</v>
      </c>
      <c r="E79" s="6">
        <v>38.923900000000003</v>
      </c>
      <c r="F79" s="6">
        <v>-5.4546499999999997E-4</v>
      </c>
      <c r="G79" s="6">
        <v>-1.0618000000000001E-2</v>
      </c>
      <c r="H79" s="6">
        <v>19.455400000000001</v>
      </c>
      <c r="I79" s="6">
        <v>19.466100000000001</v>
      </c>
      <c r="J79" s="6">
        <v>-4.0312900000000001E-4</v>
      </c>
      <c r="K79" s="6">
        <v>-7.3657200000000001E-3</v>
      </c>
      <c r="L79" s="6">
        <v>18.263999999999999</v>
      </c>
      <c r="M79" s="6">
        <v>18.2714</v>
      </c>
      <c r="N79" s="6">
        <v>-6.1581899999999998E-4</v>
      </c>
      <c r="O79" s="6">
        <v>-1.1479700000000001E-2</v>
      </c>
      <c r="P79" s="6">
        <v>18.629899999999999</v>
      </c>
      <c r="Q79" s="6">
        <v>18.641400000000001</v>
      </c>
      <c r="R79" s="6">
        <v>27.411000000000001</v>
      </c>
      <c r="S79" s="6">
        <v>27.411000000000001</v>
      </c>
      <c r="T79" s="6">
        <v>0.90659999999999996</v>
      </c>
      <c r="U79" s="6">
        <v>3203.15</v>
      </c>
      <c r="V79">
        <f t="shared" si="2"/>
        <v>17.258351293103448</v>
      </c>
      <c r="W79">
        <f t="shared" si="3"/>
        <v>5.2147100000000002E-4</v>
      </c>
    </row>
    <row r="80" spans="1:23" x14ac:dyDescent="0.3">
      <c r="A80" s="6">
        <v>73</v>
      </c>
      <c r="B80" s="6">
        <v>1.06869E-3</v>
      </c>
      <c r="C80" s="6">
        <v>4.1597599999999998E-2</v>
      </c>
      <c r="D80" s="6">
        <v>38.965499999999999</v>
      </c>
      <c r="E80" s="6">
        <v>38.923900000000003</v>
      </c>
      <c r="F80" s="6">
        <v>-4.71767E-4</v>
      </c>
      <c r="G80" s="6">
        <v>-9.1834499999999993E-3</v>
      </c>
      <c r="H80" s="6">
        <v>19.456900000000001</v>
      </c>
      <c r="I80" s="6">
        <v>19.466100000000001</v>
      </c>
      <c r="J80" s="6">
        <v>-4.0798599999999999E-4</v>
      </c>
      <c r="K80" s="6">
        <v>-7.4544499999999996E-3</v>
      </c>
      <c r="L80" s="6">
        <v>18.2639</v>
      </c>
      <c r="M80" s="6">
        <v>18.2714</v>
      </c>
      <c r="N80" s="6">
        <v>-6.1909499999999995E-4</v>
      </c>
      <c r="O80" s="6">
        <v>-1.15408E-2</v>
      </c>
      <c r="P80" s="6">
        <v>18.629799999999999</v>
      </c>
      <c r="Q80" s="6">
        <v>18.641400000000001</v>
      </c>
      <c r="R80" s="6">
        <v>27.786999999999999</v>
      </c>
      <c r="S80" s="6">
        <v>27.786999999999999</v>
      </c>
      <c r="T80" s="6">
        <v>0.92559999999999998</v>
      </c>
      <c r="U80" s="6">
        <v>3269.83</v>
      </c>
      <c r="V80">
        <f t="shared" si="2"/>
        <v>17.617618534482759</v>
      </c>
      <c r="W80">
        <f t="shared" si="3"/>
        <v>4.9961600000000004E-4</v>
      </c>
    </row>
    <row r="81" spans="1:23" x14ac:dyDescent="0.3">
      <c r="A81" s="6">
        <v>74</v>
      </c>
      <c r="B81" s="6">
        <v>1.05872E-3</v>
      </c>
      <c r="C81" s="6">
        <v>4.1209500000000003E-2</v>
      </c>
      <c r="D81" s="6">
        <v>38.9651</v>
      </c>
      <c r="E81" s="6">
        <v>38.923900000000003</v>
      </c>
      <c r="F81" s="6">
        <v>-4.12545E-4</v>
      </c>
      <c r="G81" s="6">
        <v>-8.0306300000000004E-3</v>
      </c>
      <c r="H81" s="6">
        <v>19.457999999999998</v>
      </c>
      <c r="I81" s="6">
        <v>19.466100000000001</v>
      </c>
      <c r="J81" s="6">
        <v>-3.7536699999999999E-4</v>
      </c>
      <c r="K81" s="6">
        <v>-6.8584700000000002E-3</v>
      </c>
      <c r="L81" s="6">
        <v>18.264500000000002</v>
      </c>
      <c r="M81" s="6">
        <v>18.2714</v>
      </c>
      <c r="N81" s="6">
        <v>-5.8300799999999999E-4</v>
      </c>
      <c r="O81" s="6">
        <v>-1.08681E-2</v>
      </c>
      <c r="P81" s="6">
        <v>18.630500000000001</v>
      </c>
      <c r="Q81" s="6">
        <v>18.641400000000001</v>
      </c>
      <c r="R81" s="6">
        <v>28.096</v>
      </c>
      <c r="S81" s="6">
        <v>28.096</v>
      </c>
      <c r="T81" s="6">
        <v>0.94179999999999997</v>
      </c>
      <c r="U81" s="6">
        <v>3326.34</v>
      </c>
      <c r="V81">
        <f t="shared" si="2"/>
        <v>17.922090517241379</v>
      </c>
      <c r="W81">
        <f t="shared" si="3"/>
        <v>4.5697333333333327E-4</v>
      </c>
    </row>
    <row r="82" spans="1:23" x14ac:dyDescent="0.3">
      <c r="A82" s="6">
        <v>75</v>
      </c>
      <c r="B82" s="6">
        <v>1.0695399999999999E-3</v>
      </c>
      <c r="C82" s="6">
        <v>4.1630500000000001E-2</v>
      </c>
      <c r="D82" s="6">
        <v>38.965499999999999</v>
      </c>
      <c r="E82" s="6">
        <v>38.923900000000003</v>
      </c>
      <c r="F82" s="6">
        <v>-5.0530900000000001E-4</v>
      </c>
      <c r="G82" s="6">
        <v>-9.8363700000000005E-3</v>
      </c>
      <c r="H82" s="6">
        <v>19.456199999999999</v>
      </c>
      <c r="I82" s="6">
        <v>19.466100000000001</v>
      </c>
      <c r="J82" s="6">
        <v>-4.3211999999999998E-4</v>
      </c>
      <c r="K82" s="6">
        <v>-7.8954100000000003E-3</v>
      </c>
      <c r="L82" s="6">
        <v>18.263500000000001</v>
      </c>
      <c r="M82" s="6">
        <v>18.2714</v>
      </c>
      <c r="N82" s="6">
        <v>-5.9824499999999996E-4</v>
      </c>
      <c r="O82" s="6">
        <v>-1.11521E-2</v>
      </c>
      <c r="P82" s="6">
        <v>18.630199999999999</v>
      </c>
      <c r="Q82" s="6">
        <v>18.641400000000001</v>
      </c>
      <c r="R82" s="6">
        <v>28.472000000000001</v>
      </c>
      <c r="S82" s="6">
        <v>28.472000000000001</v>
      </c>
      <c r="T82" s="6">
        <v>0.94269999999999998</v>
      </c>
      <c r="U82" s="6">
        <v>3329.73</v>
      </c>
      <c r="V82">
        <f t="shared" si="2"/>
        <v>17.940355603448275</v>
      </c>
      <c r="W82">
        <f t="shared" si="3"/>
        <v>5.1189133333333326E-4</v>
      </c>
    </row>
    <row r="83" spans="1:23" x14ac:dyDescent="0.3">
      <c r="A83" s="6">
        <v>76</v>
      </c>
      <c r="B83" s="6">
        <v>1.0937500000000001E-3</v>
      </c>
      <c r="C83" s="6">
        <v>4.2573199999999999E-2</v>
      </c>
      <c r="D83" s="6">
        <v>38.9664</v>
      </c>
      <c r="E83" s="6">
        <v>38.923900000000003</v>
      </c>
      <c r="F83" s="6">
        <v>-4.30858E-4</v>
      </c>
      <c r="G83" s="6">
        <v>-8.3871199999999996E-3</v>
      </c>
      <c r="H83" s="6">
        <v>19.457699999999999</v>
      </c>
      <c r="I83" s="6">
        <v>19.466100000000001</v>
      </c>
      <c r="J83" s="6">
        <v>-3.4203700000000001E-4</v>
      </c>
      <c r="K83" s="6">
        <v>-6.24947E-3</v>
      </c>
      <c r="L83" s="6">
        <v>18.2651</v>
      </c>
      <c r="M83" s="6">
        <v>18.2714</v>
      </c>
      <c r="N83" s="6">
        <v>-5.7176899999999997E-4</v>
      </c>
      <c r="O83" s="6">
        <v>-1.0658600000000001E-2</v>
      </c>
      <c r="P83" s="6">
        <v>18.630700000000001</v>
      </c>
      <c r="Q83" s="6">
        <v>18.641400000000001</v>
      </c>
      <c r="R83" s="6">
        <v>29.158000000000001</v>
      </c>
      <c r="S83" s="6">
        <v>29.158000000000001</v>
      </c>
      <c r="T83" s="6">
        <v>0.97330000000000005</v>
      </c>
      <c r="U83" s="6">
        <v>3437.11</v>
      </c>
      <c r="V83">
        <f t="shared" si="2"/>
        <v>18.518911637931037</v>
      </c>
      <c r="W83">
        <f t="shared" si="3"/>
        <v>4.4822133333333332E-4</v>
      </c>
    </row>
    <row r="84" spans="1:23" x14ac:dyDescent="0.3">
      <c r="A84" s="6">
        <v>77</v>
      </c>
      <c r="B84" s="6">
        <v>1.09815E-3</v>
      </c>
      <c r="C84" s="6">
        <v>4.2744299999999999E-2</v>
      </c>
      <c r="D84" s="6">
        <v>38.9666</v>
      </c>
      <c r="E84" s="6">
        <v>38.923900000000003</v>
      </c>
      <c r="F84" s="6">
        <v>-3.7125500000000002E-4</v>
      </c>
      <c r="G84" s="6">
        <v>-7.2268799999999998E-3</v>
      </c>
      <c r="H84" s="6">
        <v>19.4588</v>
      </c>
      <c r="I84" s="6">
        <v>19.466100000000001</v>
      </c>
      <c r="J84" s="6">
        <v>-3.3468700000000002E-4</v>
      </c>
      <c r="K84" s="6">
        <v>-6.1151799999999996E-3</v>
      </c>
      <c r="L84" s="6">
        <v>18.2652</v>
      </c>
      <c r="M84" s="6">
        <v>18.2714</v>
      </c>
      <c r="N84" s="6">
        <v>-6.3075499999999999E-4</v>
      </c>
      <c r="O84" s="6">
        <v>-1.17581E-2</v>
      </c>
      <c r="P84" s="6">
        <v>18.6296</v>
      </c>
      <c r="Q84" s="6">
        <v>18.641400000000001</v>
      </c>
      <c r="R84" s="6">
        <v>29.468</v>
      </c>
      <c r="S84" s="6">
        <v>29.468</v>
      </c>
      <c r="T84" s="6">
        <v>0.9849</v>
      </c>
      <c r="U84" s="6">
        <v>3477.8</v>
      </c>
      <c r="V84">
        <f t="shared" si="2"/>
        <v>18.738146551724139</v>
      </c>
      <c r="W84">
        <f t="shared" si="3"/>
        <v>4.4556566666666668E-4</v>
      </c>
    </row>
    <row r="85" spans="1:23" x14ac:dyDescent="0.3">
      <c r="A85" s="6">
        <v>78</v>
      </c>
      <c r="B85" s="6">
        <v>1.1367700000000001E-3</v>
      </c>
      <c r="C85" s="6">
        <v>4.4247399999999999E-2</v>
      </c>
      <c r="D85" s="6">
        <v>38.9681</v>
      </c>
      <c r="E85" s="6">
        <v>38.923900000000003</v>
      </c>
      <c r="F85" s="6">
        <v>-4.0127300000000001E-4</v>
      </c>
      <c r="G85" s="6">
        <v>-7.8112099999999999E-3</v>
      </c>
      <c r="H85" s="6">
        <v>19.458300000000001</v>
      </c>
      <c r="I85" s="6">
        <v>19.466100000000001</v>
      </c>
      <c r="J85" s="6">
        <v>-3.4807799999999998E-4</v>
      </c>
      <c r="K85" s="6">
        <v>-6.3598500000000002E-3</v>
      </c>
      <c r="L85" s="6">
        <v>18.265000000000001</v>
      </c>
      <c r="M85" s="6">
        <v>18.2714</v>
      </c>
      <c r="N85" s="6">
        <v>-5.7798500000000004E-4</v>
      </c>
      <c r="O85" s="6">
        <v>-1.07744E-2</v>
      </c>
      <c r="P85" s="6">
        <v>18.630600000000001</v>
      </c>
      <c r="Q85" s="6">
        <v>18.641400000000001</v>
      </c>
      <c r="R85" s="6">
        <v>30.28</v>
      </c>
      <c r="S85" s="6">
        <v>30.28</v>
      </c>
      <c r="T85" s="6">
        <v>1.0101</v>
      </c>
      <c r="U85" s="6">
        <v>3565.96</v>
      </c>
      <c r="V85">
        <f t="shared" si="2"/>
        <v>19.21314655172414</v>
      </c>
      <c r="W85">
        <f t="shared" si="3"/>
        <v>4.424453333333334E-4</v>
      </c>
    </row>
    <row r="86" spans="1:23" x14ac:dyDescent="0.3">
      <c r="A86" s="6">
        <v>79</v>
      </c>
      <c r="B86" s="6">
        <v>1.1829200000000001E-3</v>
      </c>
      <c r="C86" s="6">
        <v>4.6044000000000002E-2</v>
      </c>
      <c r="D86" s="6">
        <v>38.969900000000003</v>
      </c>
      <c r="E86" s="6">
        <v>38.923900000000003</v>
      </c>
      <c r="F86" s="6">
        <v>-4.0809400000000001E-4</v>
      </c>
      <c r="G86" s="6">
        <v>-7.9439699999999999E-3</v>
      </c>
      <c r="H86" s="6">
        <v>19.458100000000002</v>
      </c>
      <c r="I86" s="6">
        <v>19.466100000000001</v>
      </c>
      <c r="J86" s="6">
        <v>-3.48733E-4</v>
      </c>
      <c r="K86" s="6">
        <v>-6.3718200000000003E-3</v>
      </c>
      <c r="L86" s="6">
        <v>18.265000000000001</v>
      </c>
      <c r="M86" s="6">
        <v>18.2714</v>
      </c>
      <c r="N86" s="6">
        <v>-5.8737600000000002E-4</v>
      </c>
      <c r="O86" s="6">
        <v>-1.0949499999999999E-2</v>
      </c>
      <c r="P86" s="6">
        <v>18.630400000000002</v>
      </c>
      <c r="Q86" s="6">
        <v>18.641400000000001</v>
      </c>
      <c r="R86" s="6">
        <v>30.529</v>
      </c>
      <c r="S86" s="6">
        <v>30.529</v>
      </c>
      <c r="T86" s="6">
        <v>1.0209999999999999</v>
      </c>
      <c r="U86" s="6">
        <v>3604.39</v>
      </c>
      <c r="V86">
        <f t="shared" si="2"/>
        <v>19.420204741379312</v>
      </c>
      <c r="W86">
        <f t="shared" si="3"/>
        <v>4.4806766666666666E-4</v>
      </c>
    </row>
    <row r="87" spans="1:23" x14ac:dyDescent="0.3">
      <c r="A87" s="6">
        <v>80</v>
      </c>
      <c r="B87" s="6">
        <v>1.1151799999999999E-3</v>
      </c>
      <c r="C87" s="6">
        <v>4.34072E-2</v>
      </c>
      <c r="D87" s="6">
        <v>38.967300000000002</v>
      </c>
      <c r="E87" s="6">
        <v>38.923900000000003</v>
      </c>
      <c r="F87" s="6">
        <v>-5.0352000000000003E-4</v>
      </c>
      <c r="G87" s="6">
        <v>-9.8015499999999992E-3</v>
      </c>
      <c r="H87" s="6">
        <v>19.456299999999999</v>
      </c>
      <c r="I87" s="6">
        <v>19.466100000000001</v>
      </c>
      <c r="J87" s="6">
        <v>-4.5772500000000003E-4</v>
      </c>
      <c r="K87" s="6">
        <v>-8.3632499999999992E-3</v>
      </c>
      <c r="L87" s="6">
        <v>18.263000000000002</v>
      </c>
      <c r="M87" s="6">
        <v>18.2714</v>
      </c>
      <c r="N87" s="6">
        <v>-6.9177099999999999E-4</v>
      </c>
      <c r="O87" s="6">
        <v>-1.2895500000000001E-2</v>
      </c>
      <c r="P87" s="6">
        <v>18.628499999999999</v>
      </c>
      <c r="Q87" s="6">
        <v>18.641400000000001</v>
      </c>
      <c r="R87" s="6">
        <v>30.907</v>
      </c>
      <c r="S87" s="6">
        <v>30.907</v>
      </c>
      <c r="T87" s="6">
        <v>1.0329999999999999</v>
      </c>
      <c r="U87" s="6">
        <v>3646.21</v>
      </c>
      <c r="V87">
        <f t="shared" si="2"/>
        <v>19.645528017241379</v>
      </c>
      <c r="W87">
        <f t="shared" si="3"/>
        <v>5.510053333333334E-4</v>
      </c>
    </row>
    <row r="88" spans="1:23" x14ac:dyDescent="0.3">
      <c r="A88" s="6">
        <v>81</v>
      </c>
      <c r="B88" s="6">
        <v>1.0974400000000001E-3</v>
      </c>
      <c r="C88" s="6">
        <v>4.27166E-2</v>
      </c>
      <c r="D88" s="6">
        <v>38.9666</v>
      </c>
      <c r="E88" s="6">
        <v>38.923900000000003</v>
      </c>
      <c r="F88" s="6">
        <v>-5.4573800000000004E-4</v>
      </c>
      <c r="G88" s="6">
        <v>-1.06234E-2</v>
      </c>
      <c r="H88" s="6">
        <v>19.455400000000001</v>
      </c>
      <c r="I88" s="6">
        <v>19.466100000000001</v>
      </c>
      <c r="J88" s="6">
        <v>-5.1841599999999995E-4</v>
      </c>
      <c r="K88" s="6">
        <v>-9.4721500000000004E-3</v>
      </c>
      <c r="L88" s="6">
        <v>18.261900000000001</v>
      </c>
      <c r="M88" s="6">
        <v>18.2714</v>
      </c>
      <c r="N88" s="6">
        <v>-7.5188499999999999E-4</v>
      </c>
      <c r="O88" s="6">
        <v>-1.4016199999999999E-2</v>
      </c>
      <c r="P88" s="6">
        <v>18.627300000000002</v>
      </c>
      <c r="Q88" s="6">
        <v>18.641400000000001</v>
      </c>
      <c r="R88" s="6">
        <v>31.277999999999999</v>
      </c>
      <c r="S88" s="6">
        <v>31.277999999999999</v>
      </c>
      <c r="T88" s="6">
        <v>1.05</v>
      </c>
      <c r="U88" s="6">
        <v>3706.11</v>
      </c>
      <c r="V88">
        <f t="shared" si="2"/>
        <v>19.968265086206898</v>
      </c>
      <c r="W88">
        <f t="shared" si="3"/>
        <v>6.0534633333333325E-4</v>
      </c>
    </row>
    <row r="89" spans="1:23" x14ac:dyDescent="0.3">
      <c r="A89" s="6">
        <v>82</v>
      </c>
      <c r="B89" s="6">
        <v>1.1653E-3</v>
      </c>
      <c r="C89" s="6">
        <v>4.5358099999999998E-2</v>
      </c>
      <c r="D89" s="6">
        <v>38.969200000000001</v>
      </c>
      <c r="E89" s="6">
        <v>38.923900000000003</v>
      </c>
      <c r="F89" s="6">
        <v>-6.5891599999999995E-4</v>
      </c>
      <c r="G89" s="6">
        <v>-1.2826499999999999E-2</v>
      </c>
      <c r="H89" s="6">
        <v>19.453199999999999</v>
      </c>
      <c r="I89" s="6">
        <v>19.466100000000001</v>
      </c>
      <c r="J89" s="6">
        <v>-5.7402799999999997E-4</v>
      </c>
      <c r="K89" s="6">
        <v>-1.0488300000000001E-2</v>
      </c>
      <c r="L89" s="6">
        <v>18.260899999999999</v>
      </c>
      <c r="M89" s="6">
        <v>18.2714</v>
      </c>
      <c r="N89" s="6">
        <v>-8.0145300000000004E-4</v>
      </c>
      <c r="O89" s="6">
        <v>-1.4940200000000001E-2</v>
      </c>
      <c r="P89" s="6">
        <v>18.6264</v>
      </c>
      <c r="Q89" s="6">
        <v>18.641400000000001</v>
      </c>
      <c r="R89" s="6">
        <v>31.405000000000001</v>
      </c>
      <c r="S89" s="6">
        <v>31.405000000000001</v>
      </c>
      <c r="T89" s="6">
        <v>1.0562</v>
      </c>
      <c r="U89" s="6">
        <v>3727.59</v>
      </c>
      <c r="V89">
        <f t="shared" si="2"/>
        <v>20.083997844827589</v>
      </c>
      <c r="W89">
        <f t="shared" si="3"/>
        <v>6.7813233333333328E-4</v>
      </c>
    </row>
    <row r="90" spans="1:23" x14ac:dyDescent="0.3">
      <c r="A90" s="6">
        <v>83</v>
      </c>
      <c r="B90" s="6">
        <v>1.2129300000000001E-3</v>
      </c>
      <c r="C90" s="6">
        <v>4.7211999999999997E-2</v>
      </c>
      <c r="D90" s="6">
        <v>38.9711</v>
      </c>
      <c r="E90" s="6">
        <v>38.923900000000003</v>
      </c>
      <c r="F90" s="6">
        <v>-4.40137E-4</v>
      </c>
      <c r="G90" s="6">
        <v>-8.5677300000000008E-3</v>
      </c>
      <c r="H90" s="6">
        <v>19.4575</v>
      </c>
      <c r="I90" s="6">
        <v>19.466100000000001</v>
      </c>
      <c r="J90" s="6">
        <v>-4.3935399999999998E-4</v>
      </c>
      <c r="K90" s="6">
        <v>-8.0275899999999994E-3</v>
      </c>
      <c r="L90" s="6">
        <v>18.263300000000001</v>
      </c>
      <c r="M90" s="6">
        <v>18.2714</v>
      </c>
      <c r="N90" s="6">
        <v>-6.7742099999999999E-4</v>
      </c>
      <c r="O90" s="6">
        <v>-1.2628E-2</v>
      </c>
      <c r="P90" s="6">
        <v>18.628699999999998</v>
      </c>
      <c r="Q90" s="6">
        <v>18.641400000000001</v>
      </c>
      <c r="R90" s="6">
        <v>32.213999999999999</v>
      </c>
      <c r="S90" s="6">
        <v>32.213999999999999</v>
      </c>
      <c r="T90" s="6">
        <v>1.0845</v>
      </c>
      <c r="U90" s="6">
        <v>3827.05</v>
      </c>
      <c r="V90">
        <f t="shared" si="2"/>
        <v>20.619881465517242</v>
      </c>
      <c r="W90">
        <f t="shared" si="3"/>
        <v>5.1897066666666675E-4</v>
      </c>
    </row>
    <row r="91" spans="1:23" x14ac:dyDescent="0.3">
      <c r="A91" s="6">
        <v>84</v>
      </c>
      <c r="B91" s="6">
        <v>1.1256199999999999E-3</v>
      </c>
      <c r="C91" s="6">
        <v>4.3813600000000001E-2</v>
      </c>
      <c r="D91" s="6">
        <v>38.967700000000001</v>
      </c>
      <c r="E91" s="6">
        <v>38.923900000000003</v>
      </c>
      <c r="F91" s="6">
        <v>-4.6482400000000002E-4</v>
      </c>
      <c r="G91" s="6">
        <v>-9.0483000000000004E-3</v>
      </c>
      <c r="H91" s="6">
        <v>19.457000000000001</v>
      </c>
      <c r="I91" s="6">
        <v>19.466100000000001</v>
      </c>
      <c r="J91" s="6">
        <v>-4.0040900000000001E-4</v>
      </c>
      <c r="K91" s="6">
        <v>-7.3160100000000004E-3</v>
      </c>
      <c r="L91" s="6">
        <v>18.263999999999999</v>
      </c>
      <c r="M91" s="6">
        <v>18.2714</v>
      </c>
      <c r="N91" s="6">
        <v>-7.0361999999999996E-4</v>
      </c>
      <c r="O91" s="6">
        <v>-1.31164E-2</v>
      </c>
      <c r="P91" s="6">
        <v>18.6282</v>
      </c>
      <c r="Q91" s="6">
        <v>18.641400000000001</v>
      </c>
      <c r="R91" s="6">
        <v>32.401000000000003</v>
      </c>
      <c r="S91" s="6">
        <v>32.401000000000003</v>
      </c>
      <c r="T91" s="6">
        <v>1.089</v>
      </c>
      <c r="U91" s="6">
        <v>3842.87</v>
      </c>
      <c r="V91">
        <f t="shared" si="2"/>
        <v>20.705118534482757</v>
      </c>
      <c r="W91">
        <f t="shared" si="3"/>
        <v>5.2295099999999991E-4</v>
      </c>
    </row>
    <row r="92" spans="1:23" x14ac:dyDescent="0.3">
      <c r="A92" s="6">
        <v>85</v>
      </c>
      <c r="B92" s="6">
        <v>1.25595E-3</v>
      </c>
      <c r="C92" s="6">
        <v>4.8886400000000003E-2</v>
      </c>
      <c r="D92" s="6">
        <v>38.972700000000003</v>
      </c>
      <c r="E92" s="6">
        <v>38.923900000000003</v>
      </c>
      <c r="F92" s="6">
        <v>-5.7735100000000004E-4</v>
      </c>
      <c r="G92" s="6">
        <v>-1.1238700000000001E-2</v>
      </c>
      <c r="H92" s="6">
        <v>19.454799999999999</v>
      </c>
      <c r="I92" s="6">
        <v>19.466100000000001</v>
      </c>
      <c r="J92" s="6">
        <v>-5.2341099999999999E-4</v>
      </c>
      <c r="K92" s="6">
        <v>-9.5634299999999995E-3</v>
      </c>
      <c r="L92" s="6">
        <v>18.261800000000001</v>
      </c>
      <c r="M92" s="6">
        <v>18.2714</v>
      </c>
      <c r="N92" s="6">
        <v>-7.7243699999999995E-4</v>
      </c>
      <c r="O92" s="6">
        <v>-1.43993E-2</v>
      </c>
      <c r="P92" s="6">
        <v>18.626999999999999</v>
      </c>
      <c r="Q92" s="6">
        <v>18.641400000000001</v>
      </c>
      <c r="R92" s="6">
        <v>32.651000000000003</v>
      </c>
      <c r="S92" s="6">
        <v>32.651000000000003</v>
      </c>
      <c r="T92" s="6">
        <v>1.0931999999999999</v>
      </c>
      <c r="U92" s="6">
        <v>3857.57</v>
      </c>
      <c r="V92">
        <f t="shared" si="2"/>
        <v>20.784321120689658</v>
      </c>
      <c r="W92">
        <f t="shared" si="3"/>
        <v>6.2439966666666662E-4</v>
      </c>
    </row>
    <row r="93" spans="1:23" x14ac:dyDescent="0.3">
      <c r="A93" s="6">
        <v>86</v>
      </c>
      <c r="B93" s="6">
        <v>1.2611199999999999E-3</v>
      </c>
      <c r="C93" s="6">
        <v>4.9087699999999998E-2</v>
      </c>
      <c r="D93" s="6">
        <v>38.972900000000003</v>
      </c>
      <c r="E93" s="6">
        <v>38.923900000000003</v>
      </c>
      <c r="F93" s="6">
        <v>-5.1676800000000002E-4</v>
      </c>
      <c r="G93" s="6">
        <v>-1.00594E-2</v>
      </c>
      <c r="H93" s="6">
        <v>19.456</v>
      </c>
      <c r="I93" s="6">
        <v>19.466100000000001</v>
      </c>
      <c r="J93" s="6">
        <v>-4.59266E-4</v>
      </c>
      <c r="K93" s="6">
        <v>-8.3914000000000002E-3</v>
      </c>
      <c r="L93" s="6">
        <v>18.263000000000002</v>
      </c>
      <c r="M93" s="6">
        <v>18.2714</v>
      </c>
      <c r="N93" s="6">
        <v>-6.9324399999999998E-4</v>
      </c>
      <c r="O93" s="6">
        <v>-1.2923E-2</v>
      </c>
      <c r="P93" s="6">
        <v>18.628399999999999</v>
      </c>
      <c r="Q93" s="6">
        <v>18.641400000000001</v>
      </c>
      <c r="R93" s="6">
        <v>33.027000000000001</v>
      </c>
      <c r="S93" s="6">
        <v>33.027999999999999</v>
      </c>
      <c r="T93" s="6">
        <v>1.1119000000000001</v>
      </c>
      <c r="U93" s="6">
        <v>3923.12</v>
      </c>
      <c r="V93">
        <f t="shared" si="2"/>
        <v>21.137499999999999</v>
      </c>
      <c r="W93">
        <f t="shared" si="3"/>
        <v>5.5642599999999995E-4</v>
      </c>
    </row>
    <row r="94" spans="1:23" x14ac:dyDescent="0.3">
      <c r="A94" s="6">
        <v>87</v>
      </c>
      <c r="B94" s="6">
        <v>1.2479399999999999E-3</v>
      </c>
      <c r="C94" s="6">
        <v>4.8574699999999998E-2</v>
      </c>
      <c r="D94" s="6">
        <v>38.9724</v>
      </c>
      <c r="E94" s="6">
        <v>38.923900000000003</v>
      </c>
      <c r="F94" s="6">
        <v>-5.9758999999999995E-4</v>
      </c>
      <c r="G94" s="6">
        <v>-1.1632699999999999E-2</v>
      </c>
      <c r="H94" s="6">
        <v>19.4544</v>
      </c>
      <c r="I94" s="6">
        <v>19.466100000000001</v>
      </c>
      <c r="J94" s="6">
        <v>-4.9589399999999998E-4</v>
      </c>
      <c r="K94" s="6">
        <v>-9.0606599999999999E-3</v>
      </c>
      <c r="L94" s="6">
        <v>18.2623</v>
      </c>
      <c r="M94" s="6">
        <v>18.2714</v>
      </c>
      <c r="N94" s="6">
        <v>-7.4677499999999998E-4</v>
      </c>
      <c r="O94" s="6">
        <v>-1.39209E-2</v>
      </c>
      <c r="P94" s="6">
        <v>18.627400000000002</v>
      </c>
      <c r="Q94" s="6">
        <v>18.641400000000001</v>
      </c>
      <c r="R94" s="6">
        <v>33.524999999999999</v>
      </c>
      <c r="S94" s="6">
        <v>33.524999999999999</v>
      </c>
      <c r="T94" s="6">
        <v>1.1261000000000001</v>
      </c>
      <c r="U94" s="6">
        <v>3972.85</v>
      </c>
      <c r="V94">
        <f t="shared" si="2"/>
        <v>21.405441810344829</v>
      </c>
      <c r="W94">
        <f t="shared" si="3"/>
        <v>6.1341966666666667E-4</v>
      </c>
    </row>
    <row r="95" spans="1:23" x14ac:dyDescent="0.3">
      <c r="A95" s="6">
        <v>88</v>
      </c>
      <c r="B95" s="6">
        <v>1.3054500000000001E-3</v>
      </c>
      <c r="C95" s="6">
        <v>5.08131E-2</v>
      </c>
      <c r="D95" s="6">
        <v>38.974699999999999</v>
      </c>
      <c r="E95" s="6">
        <v>38.923900000000003</v>
      </c>
      <c r="F95" s="6">
        <v>-5.2424199999999996E-4</v>
      </c>
      <c r="G95" s="6">
        <v>-1.0204899999999999E-2</v>
      </c>
      <c r="H95" s="6">
        <v>19.4559</v>
      </c>
      <c r="I95" s="6">
        <v>19.466100000000001</v>
      </c>
      <c r="J95" s="6">
        <v>-4.7885899999999999E-4</v>
      </c>
      <c r="K95" s="6">
        <v>-8.7493899999999993E-3</v>
      </c>
      <c r="L95" s="6">
        <v>18.262599999999999</v>
      </c>
      <c r="M95" s="6">
        <v>18.2714</v>
      </c>
      <c r="N95" s="6">
        <v>-7.1761000000000004E-4</v>
      </c>
      <c r="O95" s="6">
        <v>-1.3377200000000001E-2</v>
      </c>
      <c r="P95" s="6">
        <v>18.628</v>
      </c>
      <c r="Q95" s="6">
        <v>18.641400000000001</v>
      </c>
      <c r="R95" s="6">
        <v>33.901000000000003</v>
      </c>
      <c r="S95" s="6">
        <v>33.901000000000003</v>
      </c>
      <c r="T95" s="6">
        <v>1.1429</v>
      </c>
      <c r="U95" s="6">
        <v>4031.63</v>
      </c>
      <c r="V95">
        <f t="shared" si="2"/>
        <v>21.722144396551727</v>
      </c>
      <c r="W95">
        <f t="shared" si="3"/>
        <v>5.7357033333333329E-4</v>
      </c>
    </row>
    <row r="96" spans="1:23" x14ac:dyDescent="0.3">
      <c r="A96" s="6">
        <v>89</v>
      </c>
      <c r="B96" s="6">
        <v>1.25624E-3</v>
      </c>
      <c r="C96" s="6">
        <v>4.8897599999999999E-2</v>
      </c>
      <c r="D96" s="6">
        <v>38.972799999999999</v>
      </c>
      <c r="E96" s="6">
        <v>38.923900000000003</v>
      </c>
      <c r="F96" s="6">
        <v>-4.8362299999999997E-4</v>
      </c>
      <c r="G96" s="6">
        <v>-9.4142300000000009E-3</v>
      </c>
      <c r="H96" s="6">
        <v>19.456600000000002</v>
      </c>
      <c r="I96" s="6">
        <v>19.466100000000001</v>
      </c>
      <c r="J96" s="6">
        <v>-4.4439600000000001E-4</v>
      </c>
      <c r="K96" s="6">
        <v>-8.1197200000000004E-3</v>
      </c>
      <c r="L96" s="6">
        <v>18.263200000000001</v>
      </c>
      <c r="M96" s="6">
        <v>18.2714</v>
      </c>
      <c r="N96" s="6">
        <v>-7.3901900000000005E-4</v>
      </c>
      <c r="O96" s="6">
        <v>-1.37763E-2</v>
      </c>
      <c r="P96" s="6">
        <v>18.627600000000001</v>
      </c>
      <c r="Q96" s="6">
        <v>18.641400000000001</v>
      </c>
      <c r="R96" s="6">
        <v>34.026000000000003</v>
      </c>
      <c r="S96" s="6">
        <v>34.026000000000003</v>
      </c>
      <c r="T96" s="6">
        <v>1.1474</v>
      </c>
      <c r="U96" s="6">
        <v>4047.45</v>
      </c>
      <c r="V96">
        <f t="shared" si="2"/>
        <v>21.807381465517242</v>
      </c>
      <c r="W96">
        <f t="shared" si="3"/>
        <v>5.5567933333333338E-4</v>
      </c>
    </row>
    <row r="97" spans="1:23" x14ac:dyDescent="0.3">
      <c r="A97" s="6">
        <v>90</v>
      </c>
      <c r="B97" s="6">
        <v>1.2589000000000001E-3</v>
      </c>
      <c r="C97" s="6">
        <v>4.9001200000000002E-2</v>
      </c>
      <c r="D97" s="6">
        <v>38.972900000000003</v>
      </c>
      <c r="E97" s="6">
        <v>38.923900000000003</v>
      </c>
      <c r="F97" s="6">
        <v>-5.8988200000000001E-4</v>
      </c>
      <c r="G97" s="6">
        <v>-1.14827E-2</v>
      </c>
      <c r="H97" s="6">
        <v>19.454599999999999</v>
      </c>
      <c r="I97" s="6">
        <v>19.466100000000001</v>
      </c>
      <c r="J97" s="6">
        <v>-5.7377600000000002E-4</v>
      </c>
      <c r="K97" s="6">
        <v>-1.04837E-2</v>
      </c>
      <c r="L97" s="6">
        <v>18.260899999999999</v>
      </c>
      <c r="M97" s="6">
        <v>18.2714</v>
      </c>
      <c r="N97" s="6">
        <v>-8.6569000000000001E-4</v>
      </c>
      <c r="O97" s="6">
        <v>-1.6137599999999998E-2</v>
      </c>
      <c r="P97" s="6">
        <v>18.6252</v>
      </c>
      <c r="Q97" s="6">
        <v>18.641400000000001</v>
      </c>
      <c r="R97" s="6">
        <v>34.587000000000003</v>
      </c>
      <c r="S97" s="6">
        <v>34.587000000000003</v>
      </c>
      <c r="T97" s="6">
        <v>1.1640999999999999</v>
      </c>
      <c r="U97" s="6">
        <v>4106.22</v>
      </c>
      <c r="V97">
        <f t="shared" si="2"/>
        <v>22.124030172413796</v>
      </c>
      <c r="W97">
        <f t="shared" si="3"/>
        <v>6.7644933333333346E-4</v>
      </c>
    </row>
    <row r="98" spans="1:23" x14ac:dyDescent="0.3">
      <c r="A98" s="6">
        <v>91</v>
      </c>
      <c r="B98" s="6">
        <v>1.27717E-3</v>
      </c>
      <c r="C98" s="6">
        <v>4.9712300000000001E-2</v>
      </c>
      <c r="D98" s="6">
        <v>38.973599999999998</v>
      </c>
      <c r="E98" s="6">
        <v>38.923900000000003</v>
      </c>
      <c r="F98" s="6">
        <v>-5.7695499999999998E-4</v>
      </c>
      <c r="G98" s="6">
        <v>-1.1231E-2</v>
      </c>
      <c r="H98" s="6">
        <v>19.454799999999999</v>
      </c>
      <c r="I98" s="6">
        <v>19.466100000000001</v>
      </c>
      <c r="J98" s="6">
        <v>-5.3459000000000004E-4</v>
      </c>
      <c r="K98" s="6">
        <v>-9.7676800000000008E-3</v>
      </c>
      <c r="L98" s="6">
        <v>18.261600000000001</v>
      </c>
      <c r="M98" s="6">
        <v>18.2714</v>
      </c>
      <c r="N98" s="6">
        <v>-7.6912599999999997E-4</v>
      </c>
      <c r="O98" s="6">
        <v>-1.43375E-2</v>
      </c>
      <c r="P98" s="6">
        <v>18.626999999999999</v>
      </c>
      <c r="Q98" s="6">
        <v>18.641400000000001</v>
      </c>
      <c r="R98" s="6">
        <v>34.837000000000003</v>
      </c>
      <c r="S98" s="6">
        <v>34.837000000000003</v>
      </c>
      <c r="T98" s="6">
        <v>1.1744000000000001</v>
      </c>
      <c r="U98" s="6">
        <v>4142.3900000000003</v>
      </c>
      <c r="V98">
        <f t="shared" si="2"/>
        <v>22.318911637931038</v>
      </c>
      <c r="W98">
        <f t="shared" si="3"/>
        <v>6.2689033333333333E-4</v>
      </c>
    </row>
    <row r="99" spans="1:23" x14ac:dyDescent="0.3">
      <c r="A99" s="6">
        <v>92</v>
      </c>
      <c r="B99" s="6">
        <v>1.2873400000000001E-3</v>
      </c>
      <c r="C99" s="6">
        <v>5.0108300000000001E-2</v>
      </c>
      <c r="D99" s="6">
        <v>38.973999999999997</v>
      </c>
      <c r="E99" s="6">
        <v>38.923900000000003</v>
      </c>
      <c r="F99" s="6">
        <v>-5.8407200000000004E-4</v>
      </c>
      <c r="G99" s="6">
        <v>-1.1369600000000001E-2</v>
      </c>
      <c r="H99" s="6">
        <v>19.454699999999999</v>
      </c>
      <c r="I99" s="6">
        <v>19.466100000000001</v>
      </c>
      <c r="J99" s="6">
        <v>-5.3140700000000002E-4</v>
      </c>
      <c r="K99" s="6">
        <v>-9.7095299999999992E-3</v>
      </c>
      <c r="L99" s="6">
        <v>18.261600000000001</v>
      </c>
      <c r="M99" s="6">
        <v>18.2714</v>
      </c>
      <c r="N99" s="6">
        <v>-7.9661499999999998E-4</v>
      </c>
      <c r="O99" s="6">
        <v>-1.485E-2</v>
      </c>
      <c r="P99" s="6">
        <v>18.6265</v>
      </c>
      <c r="Q99" s="6">
        <v>18.641400000000001</v>
      </c>
      <c r="R99" s="6">
        <v>35.209000000000003</v>
      </c>
      <c r="S99" s="6">
        <v>35.21</v>
      </c>
      <c r="T99" s="6">
        <v>1.1801999999999999</v>
      </c>
      <c r="U99" s="6">
        <v>4162.74</v>
      </c>
      <c r="V99">
        <f t="shared" si="2"/>
        <v>22.428556034482757</v>
      </c>
      <c r="W99">
        <f t="shared" si="3"/>
        <v>6.3736466666666671E-4</v>
      </c>
    </row>
    <row r="100" spans="1:23" x14ac:dyDescent="0.3">
      <c r="A100" s="6">
        <v>93</v>
      </c>
      <c r="B100" s="6">
        <v>1.3513100000000001E-3</v>
      </c>
      <c r="C100" s="6">
        <v>5.2598199999999998E-2</v>
      </c>
      <c r="D100" s="6">
        <v>38.976500000000001</v>
      </c>
      <c r="E100" s="6">
        <v>38.923900000000003</v>
      </c>
      <c r="F100" s="6">
        <v>-7.0512899999999998E-4</v>
      </c>
      <c r="G100" s="6">
        <v>-1.37261E-2</v>
      </c>
      <c r="H100" s="6">
        <v>19.452300000000001</v>
      </c>
      <c r="I100" s="6">
        <v>19.466100000000001</v>
      </c>
      <c r="J100" s="6">
        <v>-6.0057600000000002E-4</v>
      </c>
      <c r="K100" s="6">
        <v>-1.09733E-2</v>
      </c>
      <c r="L100" s="6">
        <v>18.260400000000001</v>
      </c>
      <c r="M100" s="6">
        <v>18.2714</v>
      </c>
      <c r="N100" s="6">
        <v>-8.6125999999999998E-4</v>
      </c>
      <c r="O100" s="6">
        <v>-1.6055099999999999E-2</v>
      </c>
      <c r="P100" s="6">
        <v>18.625299999999999</v>
      </c>
      <c r="Q100" s="6">
        <v>18.641400000000001</v>
      </c>
      <c r="R100" s="6">
        <v>35.648000000000003</v>
      </c>
      <c r="S100" s="6">
        <v>35.648000000000003</v>
      </c>
      <c r="T100" s="6">
        <v>1.2067000000000001</v>
      </c>
      <c r="U100" s="6">
        <v>4255.42</v>
      </c>
      <c r="V100">
        <f t="shared" si="2"/>
        <v>22.927909482758622</v>
      </c>
      <c r="W100">
        <f t="shared" si="3"/>
        <v>7.2232166666666659E-4</v>
      </c>
    </row>
    <row r="101" spans="1:23" x14ac:dyDescent="0.3">
      <c r="A101" s="6">
        <v>94</v>
      </c>
      <c r="B101" s="6">
        <v>1.3460499999999999E-3</v>
      </c>
      <c r="C101" s="6">
        <v>5.2393299999999997E-2</v>
      </c>
      <c r="D101" s="6">
        <v>38.976199999999999</v>
      </c>
      <c r="E101" s="6">
        <v>38.923900000000003</v>
      </c>
      <c r="F101" s="6">
        <v>-5.6742700000000001E-4</v>
      </c>
      <c r="G101" s="6">
        <v>-1.1045599999999999E-2</v>
      </c>
      <c r="H101" s="6">
        <v>19.454999999999998</v>
      </c>
      <c r="I101" s="6">
        <v>19.466100000000001</v>
      </c>
      <c r="J101" s="6">
        <v>-5.0637999999999996E-4</v>
      </c>
      <c r="K101" s="6">
        <v>-9.2522500000000001E-3</v>
      </c>
      <c r="L101" s="6">
        <v>18.2621</v>
      </c>
      <c r="M101" s="6">
        <v>18.2714</v>
      </c>
      <c r="N101" s="6">
        <v>-7.7177400000000003E-4</v>
      </c>
      <c r="O101" s="6">
        <v>-1.4386899999999999E-2</v>
      </c>
      <c r="P101" s="6">
        <v>18.626999999999999</v>
      </c>
      <c r="Q101" s="6">
        <v>18.641400000000001</v>
      </c>
      <c r="R101" s="6">
        <v>36.020000000000003</v>
      </c>
      <c r="S101" s="6">
        <v>36.020000000000003</v>
      </c>
      <c r="T101" s="6">
        <v>1.2157</v>
      </c>
      <c r="U101" s="6">
        <v>4287.07</v>
      </c>
      <c r="V101">
        <f t="shared" si="2"/>
        <v>23.098437499999999</v>
      </c>
      <c r="W101">
        <f t="shared" si="3"/>
        <v>6.1519366666666663E-4</v>
      </c>
    </row>
    <row r="102" spans="1:23" x14ac:dyDescent="0.3">
      <c r="A102" s="6">
        <v>95</v>
      </c>
      <c r="B102" s="6">
        <v>1.39989E-3</v>
      </c>
      <c r="C102" s="6">
        <v>5.4489099999999999E-2</v>
      </c>
      <c r="D102" s="6">
        <v>38.978299999999997</v>
      </c>
      <c r="E102" s="6">
        <v>38.923900000000003</v>
      </c>
      <c r="F102" s="6">
        <v>-5.58674E-4</v>
      </c>
      <c r="G102" s="6">
        <v>-1.08752E-2</v>
      </c>
      <c r="H102" s="6">
        <v>19.455200000000001</v>
      </c>
      <c r="I102" s="6">
        <v>19.466100000000001</v>
      </c>
      <c r="J102" s="6">
        <v>-5.1983499999999996E-4</v>
      </c>
      <c r="K102" s="6">
        <v>-9.4981000000000006E-3</v>
      </c>
      <c r="L102" s="6">
        <v>18.261900000000001</v>
      </c>
      <c r="M102" s="6">
        <v>18.2714</v>
      </c>
      <c r="N102" s="6">
        <v>-8.12902E-4</v>
      </c>
      <c r="O102" s="6">
        <v>-1.51536E-2</v>
      </c>
      <c r="P102" s="6">
        <v>18.626200000000001</v>
      </c>
      <c r="Q102" s="6">
        <v>18.641400000000001</v>
      </c>
      <c r="R102" s="6">
        <v>36.271999999999998</v>
      </c>
      <c r="S102" s="6">
        <v>36.271999999999998</v>
      </c>
      <c r="T102" s="6">
        <v>1.2238</v>
      </c>
      <c r="U102" s="6">
        <v>4315.32</v>
      </c>
      <c r="V102">
        <f t="shared" si="2"/>
        <v>23.250646551724138</v>
      </c>
      <c r="W102">
        <f t="shared" si="3"/>
        <v>6.3047033333333332E-4</v>
      </c>
    </row>
    <row r="103" spans="1:23" x14ac:dyDescent="0.3">
      <c r="A103" s="6">
        <v>96</v>
      </c>
      <c r="B103" s="6">
        <v>1.4116300000000001E-3</v>
      </c>
      <c r="C103" s="6">
        <v>5.4946200000000001E-2</v>
      </c>
      <c r="D103" s="6">
        <v>38.9788</v>
      </c>
      <c r="E103" s="6">
        <v>38.923900000000003</v>
      </c>
      <c r="F103" s="6">
        <v>-5.9446300000000004E-4</v>
      </c>
      <c r="G103" s="6">
        <v>-1.15719E-2</v>
      </c>
      <c r="H103" s="6">
        <v>19.454499999999999</v>
      </c>
      <c r="I103" s="6">
        <v>19.466100000000001</v>
      </c>
      <c r="J103" s="6">
        <v>-5.2450299999999995E-4</v>
      </c>
      <c r="K103" s="6">
        <v>-9.5833800000000007E-3</v>
      </c>
      <c r="L103" s="6">
        <v>18.261800000000001</v>
      </c>
      <c r="M103" s="6">
        <v>18.2714</v>
      </c>
      <c r="N103" s="6">
        <v>-7.89882E-4</v>
      </c>
      <c r="O103" s="6">
        <v>-1.47245E-2</v>
      </c>
      <c r="P103" s="6">
        <v>18.6266</v>
      </c>
      <c r="Q103" s="6">
        <v>18.641400000000001</v>
      </c>
      <c r="R103" s="6">
        <v>36.584000000000003</v>
      </c>
      <c r="S103" s="6">
        <v>36.584000000000003</v>
      </c>
      <c r="T103" s="6">
        <v>1.2423999999999999</v>
      </c>
      <c r="U103" s="6">
        <v>4380.88</v>
      </c>
      <c r="V103">
        <f t="shared" si="2"/>
        <v>23.60387931034483</v>
      </c>
      <c r="W103">
        <f t="shared" si="3"/>
        <v>6.3628266666666659E-4</v>
      </c>
    </row>
    <row r="104" spans="1:23" x14ac:dyDescent="0.3">
      <c r="A104" s="6">
        <v>97</v>
      </c>
      <c r="B104" s="6">
        <v>1.4011200000000001E-3</v>
      </c>
      <c r="C104" s="6">
        <v>5.4536899999999999E-2</v>
      </c>
      <c r="D104" s="6">
        <v>38.978400000000001</v>
      </c>
      <c r="E104" s="6">
        <v>38.923900000000003</v>
      </c>
      <c r="F104" s="6">
        <v>-6.2424599999999996E-4</v>
      </c>
      <c r="G104" s="6">
        <v>-1.21516E-2</v>
      </c>
      <c r="H104" s="6">
        <v>19.453900000000001</v>
      </c>
      <c r="I104" s="6">
        <v>19.466100000000001</v>
      </c>
      <c r="J104" s="6">
        <v>-5.0623499999999995E-4</v>
      </c>
      <c r="K104" s="6">
        <v>-9.2495900000000002E-3</v>
      </c>
      <c r="L104" s="6">
        <v>18.2621</v>
      </c>
      <c r="M104" s="6">
        <v>18.2714</v>
      </c>
      <c r="N104" s="6">
        <v>-7.2168500000000001E-4</v>
      </c>
      <c r="O104" s="6">
        <v>-1.34532E-2</v>
      </c>
      <c r="P104" s="6">
        <v>18.6279</v>
      </c>
      <c r="Q104" s="6">
        <v>18.641400000000001</v>
      </c>
      <c r="R104" s="6">
        <v>36.957000000000001</v>
      </c>
      <c r="S104" s="6">
        <v>36.957999999999998</v>
      </c>
      <c r="T104" s="6">
        <v>1.2565999999999999</v>
      </c>
      <c r="U104" s="6">
        <v>4430.6099999999997</v>
      </c>
      <c r="V104">
        <f t="shared" si="2"/>
        <v>23.871821120689653</v>
      </c>
      <c r="W104">
        <f t="shared" si="3"/>
        <v>6.1738866666666671E-4</v>
      </c>
    </row>
    <row r="105" spans="1:23" x14ac:dyDescent="0.3">
      <c r="A105" s="6">
        <v>98</v>
      </c>
      <c r="B105" s="6">
        <v>1.4138499999999999E-3</v>
      </c>
      <c r="C105" s="6">
        <v>5.5032400000000002E-2</v>
      </c>
      <c r="D105" s="6">
        <v>38.978900000000003</v>
      </c>
      <c r="E105" s="6">
        <v>38.923900000000003</v>
      </c>
      <c r="F105" s="6">
        <v>-6.7363099999999995E-4</v>
      </c>
      <c r="G105" s="6">
        <v>-1.3113E-2</v>
      </c>
      <c r="H105" s="6">
        <v>19.4529</v>
      </c>
      <c r="I105" s="6">
        <v>19.466100000000001</v>
      </c>
      <c r="J105" s="6">
        <v>-6.1696600000000004E-4</v>
      </c>
      <c r="K105" s="6">
        <v>-1.1272799999999999E-2</v>
      </c>
      <c r="L105" s="6">
        <v>18.260100000000001</v>
      </c>
      <c r="M105" s="6">
        <v>18.2714</v>
      </c>
      <c r="N105" s="6">
        <v>-8.8389600000000001E-4</v>
      </c>
      <c r="O105" s="6">
        <v>-1.6476999999999999E-2</v>
      </c>
      <c r="P105" s="6">
        <v>18.6249</v>
      </c>
      <c r="Q105" s="6">
        <v>18.641400000000001</v>
      </c>
      <c r="R105" s="6">
        <v>37.268999999999998</v>
      </c>
      <c r="S105" s="6">
        <v>37.268999999999998</v>
      </c>
      <c r="T105" s="6">
        <v>1.2588999999999999</v>
      </c>
      <c r="U105" s="6">
        <v>4438.5200000000004</v>
      </c>
      <c r="V105">
        <f t="shared" si="2"/>
        <v>23.914439655172416</v>
      </c>
      <c r="W105">
        <f t="shared" si="3"/>
        <v>7.24831E-4</v>
      </c>
    </row>
    <row r="106" spans="1:23" x14ac:dyDescent="0.3">
      <c r="A106" s="6">
        <v>99</v>
      </c>
      <c r="B106" s="6">
        <v>1.43417E-3</v>
      </c>
      <c r="C106" s="6">
        <v>5.5823499999999998E-2</v>
      </c>
      <c r="D106" s="6">
        <v>38.979700000000001</v>
      </c>
      <c r="E106" s="6">
        <v>38.923900000000003</v>
      </c>
      <c r="F106" s="6">
        <v>-6.1901199999999995E-4</v>
      </c>
      <c r="G106" s="6">
        <v>-1.20497E-2</v>
      </c>
      <c r="H106" s="6">
        <v>19.454000000000001</v>
      </c>
      <c r="I106" s="6">
        <v>19.466100000000001</v>
      </c>
      <c r="J106" s="6">
        <v>-5.9192700000000001E-4</v>
      </c>
      <c r="K106" s="6">
        <v>-1.08153E-2</v>
      </c>
      <c r="L106" s="6">
        <v>18.2605</v>
      </c>
      <c r="M106" s="6">
        <v>18.2714</v>
      </c>
      <c r="N106" s="6">
        <v>-9.0373000000000005E-4</v>
      </c>
      <c r="O106" s="6">
        <v>-1.6846799999999999E-2</v>
      </c>
      <c r="P106" s="6">
        <v>18.624500000000001</v>
      </c>
      <c r="Q106" s="6">
        <v>18.641400000000001</v>
      </c>
      <c r="R106" s="6">
        <v>37.58</v>
      </c>
      <c r="S106" s="6">
        <v>37.58</v>
      </c>
      <c r="T106" s="6">
        <v>1.2810999999999999</v>
      </c>
      <c r="U106" s="6">
        <v>4516.51</v>
      </c>
      <c r="V106">
        <f t="shared" si="2"/>
        <v>24.334644396551727</v>
      </c>
      <c r="W106">
        <f t="shared" si="3"/>
        <v>7.0488966666666663E-4</v>
      </c>
    </row>
    <row r="107" spans="1:23" x14ac:dyDescent="0.3">
      <c r="A107" s="6">
        <v>100</v>
      </c>
      <c r="B107" s="6">
        <v>1.43812E-3</v>
      </c>
      <c r="C107" s="6">
        <v>5.5977399999999997E-2</v>
      </c>
      <c r="D107" s="6">
        <v>38.979799999999997</v>
      </c>
      <c r="E107" s="6">
        <v>38.923900000000003</v>
      </c>
      <c r="F107" s="6">
        <v>-6.01546E-4</v>
      </c>
      <c r="G107" s="6">
        <v>-1.17097E-2</v>
      </c>
      <c r="H107" s="6">
        <v>19.4544</v>
      </c>
      <c r="I107" s="6">
        <v>19.466100000000001</v>
      </c>
      <c r="J107" s="6">
        <v>-5.4653799999999995E-4</v>
      </c>
      <c r="K107" s="6">
        <v>-9.9859800000000002E-3</v>
      </c>
      <c r="L107" s="6">
        <v>18.261399999999998</v>
      </c>
      <c r="M107" s="6">
        <v>18.2714</v>
      </c>
      <c r="N107" s="6">
        <v>-8.4004999999999995E-4</v>
      </c>
      <c r="O107" s="6">
        <v>-1.5659699999999999E-2</v>
      </c>
      <c r="P107" s="6">
        <v>18.625699999999998</v>
      </c>
      <c r="Q107" s="6">
        <v>18.641400000000001</v>
      </c>
      <c r="R107" s="6">
        <v>37.954000000000001</v>
      </c>
      <c r="S107" s="6">
        <v>37.954000000000001</v>
      </c>
      <c r="T107" s="6">
        <v>1.2891999999999999</v>
      </c>
      <c r="U107" s="6">
        <v>4544.76</v>
      </c>
      <c r="V107">
        <f t="shared" si="2"/>
        <v>24.486853448275863</v>
      </c>
      <c r="W107">
        <f t="shared" si="3"/>
        <v>6.6271133333333334E-4</v>
      </c>
    </row>
    <row r="108" spans="1:23" x14ac:dyDescent="0.3">
      <c r="A108" s="6">
        <v>101</v>
      </c>
      <c r="B108" s="6">
        <v>1.40372E-3</v>
      </c>
      <c r="C108" s="6">
        <v>5.4638199999999998E-2</v>
      </c>
      <c r="D108" s="6">
        <v>38.978499999999997</v>
      </c>
      <c r="E108" s="6">
        <v>38.923900000000003</v>
      </c>
      <c r="F108" s="6">
        <v>-6.93342E-4</v>
      </c>
      <c r="G108" s="6">
        <v>-1.3496599999999999E-2</v>
      </c>
      <c r="H108" s="6">
        <v>19.4526</v>
      </c>
      <c r="I108" s="6">
        <v>19.466100000000001</v>
      </c>
      <c r="J108" s="6">
        <v>-6.43054E-4</v>
      </c>
      <c r="K108" s="6">
        <v>-1.17495E-2</v>
      </c>
      <c r="L108" s="6">
        <v>18.259599999999999</v>
      </c>
      <c r="M108" s="6">
        <v>18.2714</v>
      </c>
      <c r="N108" s="6">
        <v>-9.5204999999999997E-4</v>
      </c>
      <c r="O108" s="6">
        <v>-1.7747499999999999E-2</v>
      </c>
      <c r="P108" s="6">
        <v>18.6236</v>
      </c>
      <c r="Q108" s="6">
        <v>18.641400000000001</v>
      </c>
      <c r="R108" s="6">
        <v>38.206000000000003</v>
      </c>
      <c r="S108" s="6">
        <v>38.206000000000003</v>
      </c>
      <c r="T108" s="6">
        <v>1.3104</v>
      </c>
      <c r="U108" s="6">
        <v>4619.3599999999997</v>
      </c>
      <c r="V108">
        <f t="shared" si="2"/>
        <v>24.888793103448275</v>
      </c>
      <c r="W108">
        <f t="shared" si="3"/>
        <v>7.6281533333333329E-4</v>
      </c>
    </row>
    <row r="109" spans="1:23" x14ac:dyDescent="0.3">
      <c r="A109" s="6">
        <v>102</v>
      </c>
      <c r="B109" s="6">
        <v>1.42311E-3</v>
      </c>
      <c r="C109" s="6">
        <v>5.5392799999999999E-2</v>
      </c>
      <c r="D109" s="6">
        <v>38.979199999999999</v>
      </c>
      <c r="E109" s="6">
        <v>38.923900000000003</v>
      </c>
      <c r="F109" s="6">
        <v>-6.5483499999999999E-4</v>
      </c>
      <c r="G109" s="6">
        <v>-1.2747100000000001E-2</v>
      </c>
      <c r="H109" s="6">
        <v>19.453299999999999</v>
      </c>
      <c r="I109" s="6">
        <v>19.466100000000001</v>
      </c>
      <c r="J109" s="6">
        <v>-5.9168600000000001E-4</v>
      </c>
      <c r="K109" s="6">
        <v>-1.08109E-2</v>
      </c>
      <c r="L109" s="6">
        <v>18.2605</v>
      </c>
      <c r="M109" s="6">
        <v>18.2714</v>
      </c>
      <c r="N109" s="6">
        <v>-9.0345300000000003E-4</v>
      </c>
      <c r="O109" s="6">
        <v>-1.6841600000000002E-2</v>
      </c>
      <c r="P109" s="6">
        <v>18.624500000000001</v>
      </c>
      <c r="Q109" s="6">
        <v>18.641400000000001</v>
      </c>
      <c r="R109" s="6">
        <v>38.578000000000003</v>
      </c>
      <c r="S109" s="6">
        <v>38.578000000000003</v>
      </c>
      <c r="T109" s="6">
        <v>1.3213999999999999</v>
      </c>
      <c r="U109" s="6">
        <v>4657.79</v>
      </c>
      <c r="V109">
        <f t="shared" si="2"/>
        <v>25.095851293103451</v>
      </c>
      <c r="W109">
        <f t="shared" si="3"/>
        <v>7.166579999999999E-4</v>
      </c>
    </row>
    <row r="110" spans="1:23" x14ac:dyDescent="0.3">
      <c r="A110" s="6">
        <v>103</v>
      </c>
      <c r="B110" s="6">
        <v>1.4739099999999999E-3</v>
      </c>
      <c r="C110" s="6">
        <v>5.7370299999999999E-2</v>
      </c>
      <c r="D110" s="6">
        <v>38.981200000000001</v>
      </c>
      <c r="E110" s="6">
        <v>38.923900000000003</v>
      </c>
      <c r="F110" s="6">
        <v>-6.8560799999999999E-4</v>
      </c>
      <c r="G110" s="6">
        <v>-1.33461E-2</v>
      </c>
      <c r="H110" s="6">
        <v>19.4527</v>
      </c>
      <c r="I110" s="6">
        <v>19.466100000000001</v>
      </c>
      <c r="J110" s="6">
        <v>-6.4539299999999996E-4</v>
      </c>
      <c r="K110" s="6">
        <v>-1.1792199999999999E-2</v>
      </c>
      <c r="L110" s="6">
        <v>18.259599999999999</v>
      </c>
      <c r="M110" s="6">
        <v>18.2714</v>
      </c>
      <c r="N110" s="6">
        <v>-9.6466800000000001E-4</v>
      </c>
      <c r="O110" s="6">
        <v>-1.7982700000000001E-2</v>
      </c>
      <c r="P110" s="6">
        <v>18.6234</v>
      </c>
      <c r="Q110" s="6">
        <v>18.641400000000001</v>
      </c>
      <c r="R110" s="6">
        <v>38.768000000000001</v>
      </c>
      <c r="S110" s="6">
        <v>38.768000000000001</v>
      </c>
      <c r="T110" s="6">
        <v>1.3232999999999999</v>
      </c>
      <c r="U110" s="6">
        <v>4664.57</v>
      </c>
      <c r="V110">
        <f t="shared" si="2"/>
        <v>25.132381465517241</v>
      </c>
      <c r="W110">
        <f t="shared" si="3"/>
        <v>7.652230000000001E-4</v>
      </c>
    </row>
    <row r="111" spans="1:23" x14ac:dyDescent="0.3">
      <c r="A111" s="6">
        <v>104</v>
      </c>
      <c r="B111" s="6">
        <v>1.5771699999999999E-3</v>
      </c>
      <c r="C111" s="6">
        <v>6.1389399999999997E-2</v>
      </c>
      <c r="D111" s="6">
        <v>38.985199999999999</v>
      </c>
      <c r="E111" s="6">
        <v>38.923900000000003</v>
      </c>
      <c r="F111" s="6">
        <v>-6.73304E-4</v>
      </c>
      <c r="G111" s="6">
        <v>-1.31066E-2</v>
      </c>
      <c r="H111" s="6">
        <v>19.452999999999999</v>
      </c>
      <c r="I111" s="6">
        <v>19.466100000000001</v>
      </c>
      <c r="J111" s="6">
        <v>-5.8324500000000003E-4</v>
      </c>
      <c r="K111" s="6">
        <v>-1.06567E-2</v>
      </c>
      <c r="L111" s="6">
        <v>18.2607</v>
      </c>
      <c r="M111" s="6">
        <v>18.2714</v>
      </c>
      <c r="N111" s="6">
        <v>-8.9514499999999997E-4</v>
      </c>
      <c r="O111" s="6">
        <v>-1.6686699999999999E-2</v>
      </c>
      <c r="P111" s="6">
        <v>18.624700000000001</v>
      </c>
      <c r="Q111" s="6">
        <v>18.641400000000001</v>
      </c>
      <c r="R111" s="6">
        <v>39.389000000000003</v>
      </c>
      <c r="S111" s="6">
        <v>39.39</v>
      </c>
      <c r="T111" s="6">
        <v>1.3404</v>
      </c>
      <c r="U111" s="6">
        <v>4724.4799999999996</v>
      </c>
      <c r="V111">
        <f t="shared" si="2"/>
        <v>25.4551724137931</v>
      </c>
      <c r="W111">
        <f t="shared" si="3"/>
        <v>7.172313333333333E-4</v>
      </c>
    </row>
    <row r="112" spans="1:23" x14ac:dyDescent="0.3">
      <c r="A112" s="6">
        <v>105</v>
      </c>
      <c r="B112" s="6">
        <v>1.56499E-3</v>
      </c>
      <c r="C112" s="6">
        <v>6.09156E-2</v>
      </c>
      <c r="D112" s="6">
        <v>38.9848</v>
      </c>
      <c r="E112" s="6">
        <v>38.923900000000003</v>
      </c>
      <c r="F112" s="6">
        <v>-7.2173799999999998E-4</v>
      </c>
      <c r="G112" s="6">
        <v>-1.40494E-2</v>
      </c>
      <c r="H112" s="6">
        <v>19.452000000000002</v>
      </c>
      <c r="I112" s="6">
        <v>19.466100000000001</v>
      </c>
      <c r="J112" s="6">
        <v>-6.91923E-4</v>
      </c>
      <c r="K112" s="6">
        <v>-1.26424E-2</v>
      </c>
      <c r="L112" s="6">
        <v>18.258700000000001</v>
      </c>
      <c r="M112" s="6">
        <v>18.2714</v>
      </c>
      <c r="N112" s="6">
        <v>-9.5993700000000001E-4</v>
      </c>
      <c r="O112" s="6">
        <v>-1.7894500000000001E-2</v>
      </c>
      <c r="P112" s="6">
        <v>18.6235</v>
      </c>
      <c r="Q112" s="6">
        <v>18.641400000000001</v>
      </c>
      <c r="R112" s="6">
        <v>39.640999999999998</v>
      </c>
      <c r="S112" s="6">
        <v>39.640999999999998</v>
      </c>
      <c r="T112" s="6">
        <v>1.3562000000000001</v>
      </c>
      <c r="U112" s="6">
        <v>4779.8599999999997</v>
      </c>
      <c r="V112">
        <f t="shared" si="2"/>
        <v>25.753556034482756</v>
      </c>
      <c r="W112">
        <f t="shared" si="3"/>
        <v>7.911993333333334E-4</v>
      </c>
    </row>
    <row r="113" spans="1:23" x14ac:dyDescent="0.3">
      <c r="A113" s="6">
        <v>106</v>
      </c>
      <c r="B113" s="6">
        <v>1.57679E-3</v>
      </c>
      <c r="C113" s="6">
        <v>6.13748E-2</v>
      </c>
      <c r="D113" s="6">
        <v>38.985199999999999</v>
      </c>
      <c r="E113" s="6">
        <v>38.923900000000003</v>
      </c>
      <c r="F113" s="6">
        <v>-6.3850799999999998E-4</v>
      </c>
      <c r="G113" s="6">
        <v>-1.24292E-2</v>
      </c>
      <c r="H113" s="6">
        <v>19.453600000000002</v>
      </c>
      <c r="I113" s="6">
        <v>19.466100000000001</v>
      </c>
      <c r="J113" s="6">
        <v>-6.0801099999999999E-4</v>
      </c>
      <c r="K113" s="6">
        <v>-1.11092E-2</v>
      </c>
      <c r="L113" s="6">
        <v>18.260200000000001</v>
      </c>
      <c r="M113" s="6">
        <v>18.2714</v>
      </c>
      <c r="N113" s="6">
        <v>-9.2871200000000005E-4</v>
      </c>
      <c r="O113" s="6">
        <v>-1.7312500000000001E-2</v>
      </c>
      <c r="P113" s="6">
        <v>18.624099999999999</v>
      </c>
      <c r="Q113" s="6">
        <v>18.641400000000001</v>
      </c>
      <c r="R113" s="6">
        <v>39.89</v>
      </c>
      <c r="S113" s="6">
        <v>39.89</v>
      </c>
      <c r="T113" s="6">
        <v>1.3655999999999999</v>
      </c>
      <c r="U113" s="6">
        <v>4812.6400000000003</v>
      </c>
      <c r="V113">
        <f t="shared" si="2"/>
        <v>25.930172413793105</v>
      </c>
      <c r="W113">
        <f t="shared" si="3"/>
        <v>7.2507700000000008E-4</v>
      </c>
    </row>
    <row r="114" spans="1:23" x14ac:dyDescent="0.3">
      <c r="A114" s="6">
        <v>107</v>
      </c>
      <c r="B114" s="6">
        <v>1.59796E-3</v>
      </c>
      <c r="C114" s="6">
        <v>6.2198900000000001E-2</v>
      </c>
      <c r="D114" s="6">
        <v>38.9861</v>
      </c>
      <c r="E114" s="6">
        <v>38.923900000000003</v>
      </c>
      <c r="F114" s="6">
        <v>-6.4892900000000002E-4</v>
      </c>
      <c r="G114" s="6">
        <v>-1.26321E-2</v>
      </c>
      <c r="H114" s="6">
        <v>19.453399999999998</v>
      </c>
      <c r="I114" s="6">
        <v>19.466100000000001</v>
      </c>
      <c r="J114" s="6">
        <v>-5.7471900000000001E-4</v>
      </c>
      <c r="K114" s="6">
        <v>-1.0500900000000001E-2</v>
      </c>
      <c r="L114" s="6">
        <v>18.260899999999999</v>
      </c>
      <c r="M114" s="6">
        <v>18.2714</v>
      </c>
      <c r="N114" s="6">
        <v>-9.0975699999999997E-4</v>
      </c>
      <c r="O114" s="6">
        <v>-1.6959100000000001E-2</v>
      </c>
      <c r="P114" s="6">
        <v>18.624400000000001</v>
      </c>
      <c r="Q114" s="6">
        <v>18.641400000000001</v>
      </c>
      <c r="R114" s="6">
        <v>40.203000000000003</v>
      </c>
      <c r="S114" s="6">
        <v>40.203000000000003</v>
      </c>
      <c r="T114" s="6">
        <v>1.3733</v>
      </c>
      <c r="U114" s="6">
        <v>4839.76</v>
      </c>
      <c r="V114">
        <f t="shared" si="2"/>
        <v>26.076293103448279</v>
      </c>
      <c r="W114">
        <f t="shared" si="3"/>
        <v>7.1113499999999989E-4</v>
      </c>
    </row>
    <row r="115" spans="1:23" x14ac:dyDescent="0.3">
      <c r="A115" s="6">
        <v>108</v>
      </c>
      <c r="B115" s="6">
        <v>1.6037899999999999E-3</v>
      </c>
      <c r="C115" s="6">
        <v>6.2425700000000001E-2</v>
      </c>
      <c r="D115" s="6">
        <v>38.9863</v>
      </c>
      <c r="E115" s="6">
        <v>38.923900000000003</v>
      </c>
      <c r="F115" s="6">
        <v>-6.9074700000000002E-4</v>
      </c>
      <c r="G115" s="6">
        <v>-1.3446100000000001E-2</v>
      </c>
      <c r="H115" s="6">
        <v>19.4526</v>
      </c>
      <c r="I115" s="6">
        <v>19.466100000000001</v>
      </c>
      <c r="J115" s="6">
        <v>-6.8987499999999995E-4</v>
      </c>
      <c r="K115" s="6">
        <v>-1.26049E-2</v>
      </c>
      <c r="L115" s="6">
        <v>18.258700000000001</v>
      </c>
      <c r="M115" s="6">
        <v>18.2714</v>
      </c>
      <c r="N115" s="6">
        <v>-9.2348799999999998E-4</v>
      </c>
      <c r="O115" s="6">
        <v>-1.7215100000000001E-2</v>
      </c>
      <c r="P115" s="6">
        <v>18.624099999999999</v>
      </c>
      <c r="Q115" s="6">
        <v>18.641400000000001</v>
      </c>
      <c r="R115" s="6">
        <v>40.637999999999998</v>
      </c>
      <c r="S115" s="6">
        <v>40.637999999999998</v>
      </c>
      <c r="T115" s="6">
        <v>1.3891</v>
      </c>
      <c r="U115" s="6">
        <v>4895.1499999999996</v>
      </c>
      <c r="V115">
        <f t="shared" si="2"/>
        <v>26.374730603448274</v>
      </c>
      <c r="W115">
        <f t="shared" si="3"/>
        <v>7.6803666666666658E-4</v>
      </c>
    </row>
    <row r="116" spans="1:23" x14ac:dyDescent="0.3">
      <c r="A116" s="6">
        <v>109</v>
      </c>
      <c r="B116" s="6">
        <v>1.6043699999999999E-3</v>
      </c>
      <c r="C116" s="6">
        <v>6.2448400000000001E-2</v>
      </c>
      <c r="D116" s="6">
        <v>38.9863</v>
      </c>
      <c r="E116" s="6">
        <v>38.923900000000003</v>
      </c>
      <c r="F116" s="6">
        <v>-7.9444100000000001E-4</v>
      </c>
      <c r="G116" s="6">
        <v>-1.54646E-2</v>
      </c>
      <c r="H116" s="6">
        <v>19.450600000000001</v>
      </c>
      <c r="I116" s="6">
        <v>19.466100000000001</v>
      </c>
      <c r="J116" s="6">
        <v>-6.2878299999999995E-4</v>
      </c>
      <c r="K116" s="6">
        <v>-1.1488699999999999E-2</v>
      </c>
      <c r="L116" s="6">
        <v>18.259899999999998</v>
      </c>
      <c r="M116" s="6">
        <v>18.2714</v>
      </c>
      <c r="N116" s="6">
        <v>-9.2437400000000005E-4</v>
      </c>
      <c r="O116" s="6">
        <v>-1.72316E-2</v>
      </c>
      <c r="P116" s="6">
        <v>18.624099999999999</v>
      </c>
      <c r="Q116" s="6">
        <v>18.641400000000001</v>
      </c>
      <c r="R116" s="6">
        <v>40.887</v>
      </c>
      <c r="S116" s="6">
        <v>40.887999999999998</v>
      </c>
      <c r="T116" s="6">
        <v>1.4007000000000001</v>
      </c>
      <c r="U116" s="6">
        <v>4935.83</v>
      </c>
      <c r="V116">
        <f t="shared" si="2"/>
        <v>26.593911637931036</v>
      </c>
      <c r="W116">
        <f t="shared" si="3"/>
        <v>7.825326666666666E-4</v>
      </c>
    </row>
    <row r="117" spans="1:23" x14ac:dyDescent="0.3">
      <c r="A117" s="6">
        <v>110</v>
      </c>
      <c r="B117" s="6">
        <v>1.61228E-3</v>
      </c>
      <c r="C117" s="6">
        <v>6.2756099999999995E-2</v>
      </c>
      <c r="D117" s="6">
        <v>38.986600000000003</v>
      </c>
      <c r="E117" s="6">
        <v>38.923900000000003</v>
      </c>
      <c r="F117" s="6">
        <v>-5.9731400000000005E-4</v>
      </c>
      <c r="G117" s="6">
        <v>-1.16274E-2</v>
      </c>
      <c r="H117" s="6">
        <v>19.4544</v>
      </c>
      <c r="I117" s="6">
        <v>19.466100000000001</v>
      </c>
      <c r="J117" s="6">
        <v>-5.3019199999999997E-4</v>
      </c>
      <c r="K117" s="6">
        <v>-9.6873199999999993E-3</v>
      </c>
      <c r="L117" s="6">
        <v>18.261700000000001</v>
      </c>
      <c r="M117" s="6">
        <v>18.2714</v>
      </c>
      <c r="N117" s="6">
        <v>-8.5970800000000004E-4</v>
      </c>
      <c r="O117" s="6">
        <v>-1.6026100000000001E-2</v>
      </c>
      <c r="P117" s="6">
        <v>18.625299999999999</v>
      </c>
      <c r="Q117" s="6">
        <v>18.641400000000001</v>
      </c>
      <c r="R117" s="6">
        <v>41.198999999999998</v>
      </c>
      <c r="S117" s="6">
        <v>41.2</v>
      </c>
      <c r="T117" s="6">
        <v>1.4177999999999999</v>
      </c>
      <c r="U117" s="6">
        <v>4995.74</v>
      </c>
      <c r="V117">
        <f t="shared" si="2"/>
        <v>26.916702586206895</v>
      </c>
      <c r="W117">
        <f t="shared" si="3"/>
        <v>6.6240466666666676E-4</v>
      </c>
    </row>
    <row r="118" spans="1:23" x14ac:dyDescent="0.3">
      <c r="A118" s="6">
        <v>111</v>
      </c>
      <c r="B118" s="6">
        <v>1.54412E-3</v>
      </c>
      <c r="C118" s="6">
        <v>6.0103200000000002E-2</v>
      </c>
      <c r="D118" s="6">
        <v>38.984000000000002</v>
      </c>
      <c r="E118" s="6">
        <v>38.923900000000003</v>
      </c>
      <c r="F118" s="6">
        <v>-9.4485800000000003E-4</v>
      </c>
      <c r="G118" s="6">
        <v>-1.8392700000000001E-2</v>
      </c>
      <c r="H118" s="6">
        <v>19.447700000000001</v>
      </c>
      <c r="I118" s="6">
        <v>19.466100000000001</v>
      </c>
      <c r="J118" s="6">
        <v>-7.8039299999999999E-4</v>
      </c>
      <c r="K118" s="6">
        <v>-1.42588E-2</v>
      </c>
      <c r="L118" s="6">
        <v>18.257100000000001</v>
      </c>
      <c r="M118" s="6">
        <v>18.2714</v>
      </c>
      <c r="N118" s="6">
        <v>-9.7511500000000003E-4</v>
      </c>
      <c r="O118" s="6">
        <v>-1.8177499999999999E-2</v>
      </c>
      <c r="P118" s="6">
        <v>18.623200000000001</v>
      </c>
      <c r="Q118" s="6">
        <v>18.641400000000001</v>
      </c>
      <c r="R118" s="6">
        <v>41.512</v>
      </c>
      <c r="S118" s="6">
        <v>41.512999999999998</v>
      </c>
      <c r="T118" s="6">
        <v>1.4283999999999999</v>
      </c>
      <c r="U118" s="6">
        <v>5033.04</v>
      </c>
      <c r="V118">
        <f t="shared" si="2"/>
        <v>27.117672413793105</v>
      </c>
      <c r="W118">
        <f t="shared" si="3"/>
        <v>9.0012200000000005E-4</v>
      </c>
    </row>
    <row r="119" spans="1:23" x14ac:dyDescent="0.3">
      <c r="A119" s="6">
        <v>112</v>
      </c>
      <c r="B119" s="6">
        <v>1.6245400000000001E-3</v>
      </c>
      <c r="C119" s="6">
        <v>6.3233200000000003E-2</v>
      </c>
      <c r="D119" s="6">
        <v>38.987099999999998</v>
      </c>
      <c r="E119" s="6">
        <v>38.923900000000003</v>
      </c>
      <c r="F119" s="6">
        <v>-7.6878700000000005E-4</v>
      </c>
      <c r="G119" s="6">
        <v>-1.4965300000000001E-2</v>
      </c>
      <c r="H119" s="6">
        <v>19.4511</v>
      </c>
      <c r="I119" s="6">
        <v>19.466100000000001</v>
      </c>
      <c r="J119" s="6">
        <v>-7.8044500000000005E-4</v>
      </c>
      <c r="K119" s="6">
        <v>-1.42598E-2</v>
      </c>
      <c r="L119" s="6">
        <v>18.257100000000001</v>
      </c>
      <c r="M119" s="6">
        <v>18.2714</v>
      </c>
      <c r="N119" s="6">
        <v>-1.0568000000000001E-3</v>
      </c>
      <c r="O119" s="6">
        <v>-1.9700100000000002E-2</v>
      </c>
      <c r="P119" s="6">
        <v>18.621700000000001</v>
      </c>
      <c r="Q119" s="6">
        <v>18.641400000000001</v>
      </c>
      <c r="R119" s="6">
        <v>41.95</v>
      </c>
      <c r="S119" s="6">
        <v>41.951000000000001</v>
      </c>
      <c r="T119" s="6">
        <v>1.4497</v>
      </c>
      <c r="U119" s="6">
        <v>5107.63</v>
      </c>
      <c r="V119">
        <f t="shared" si="2"/>
        <v>27.519558189655175</v>
      </c>
      <c r="W119">
        <f t="shared" si="3"/>
        <v>8.6867733333333347E-4</v>
      </c>
    </row>
    <row r="120" spans="1:23" x14ac:dyDescent="0.3">
      <c r="A120" s="6">
        <v>113</v>
      </c>
      <c r="B120" s="6">
        <v>1.6185399999999999E-3</v>
      </c>
      <c r="C120" s="6">
        <v>6.2999600000000003E-2</v>
      </c>
      <c r="D120" s="6">
        <v>38.986899999999999</v>
      </c>
      <c r="E120" s="6">
        <v>38.923900000000003</v>
      </c>
      <c r="F120" s="6">
        <v>-8.1111499999999995E-4</v>
      </c>
      <c r="G120" s="6">
        <v>-1.57892E-2</v>
      </c>
      <c r="H120" s="6">
        <v>19.450299999999999</v>
      </c>
      <c r="I120" s="6">
        <v>19.466100000000001</v>
      </c>
      <c r="J120" s="6">
        <v>-7.7139400000000001E-4</v>
      </c>
      <c r="K120" s="6">
        <v>-1.40944E-2</v>
      </c>
      <c r="L120" s="6">
        <v>18.257300000000001</v>
      </c>
      <c r="M120" s="6">
        <v>18.2714</v>
      </c>
      <c r="N120" s="6">
        <v>-1.0735199999999999E-3</v>
      </c>
      <c r="O120" s="6">
        <v>-2.00118E-2</v>
      </c>
      <c r="P120" s="6">
        <v>18.621400000000001</v>
      </c>
      <c r="Q120" s="6">
        <v>18.641400000000001</v>
      </c>
      <c r="R120" s="6">
        <v>42.447000000000003</v>
      </c>
      <c r="S120" s="6">
        <v>42.448</v>
      </c>
      <c r="T120" s="6">
        <v>1.4644999999999999</v>
      </c>
      <c r="U120" s="6">
        <v>5159.63</v>
      </c>
      <c r="V120">
        <f t="shared" si="2"/>
        <v>27.799730603448278</v>
      </c>
      <c r="W120">
        <f t="shared" si="3"/>
        <v>8.8534299999999992E-4</v>
      </c>
    </row>
    <row r="121" spans="1:23" x14ac:dyDescent="0.3">
      <c r="A121" s="6">
        <v>114</v>
      </c>
      <c r="B121" s="6">
        <v>1.60425E-3</v>
      </c>
      <c r="C121" s="6">
        <v>6.2443600000000002E-2</v>
      </c>
      <c r="D121" s="6">
        <v>38.9863</v>
      </c>
      <c r="E121" s="6">
        <v>38.923900000000003</v>
      </c>
      <c r="F121" s="6">
        <v>-7.3025399999999995E-4</v>
      </c>
      <c r="G121" s="6">
        <v>-1.4215200000000001E-2</v>
      </c>
      <c r="H121" s="6">
        <v>19.451799999999999</v>
      </c>
      <c r="I121" s="6">
        <v>19.466100000000001</v>
      </c>
      <c r="J121" s="6">
        <v>-6.5571200000000003E-4</v>
      </c>
      <c r="K121" s="6">
        <v>-1.19808E-2</v>
      </c>
      <c r="L121" s="6">
        <v>18.259399999999999</v>
      </c>
      <c r="M121" s="6">
        <v>18.2714</v>
      </c>
      <c r="N121" s="6">
        <v>-1.01783E-3</v>
      </c>
      <c r="O121" s="6">
        <v>-1.89737E-2</v>
      </c>
      <c r="P121" s="6">
        <v>18.622399999999999</v>
      </c>
      <c r="Q121" s="6">
        <v>18.641400000000001</v>
      </c>
      <c r="R121" s="6">
        <v>42.573999999999998</v>
      </c>
      <c r="S121" s="6">
        <v>42.573999999999998</v>
      </c>
      <c r="T121" s="6">
        <v>1.4735</v>
      </c>
      <c r="U121" s="6">
        <v>5191.2700000000004</v>
      </c>
      <c r="V121">
        <f t="shared" si="2"/>
        <v>27.970204741379312</v>
      </c>
      <c r="W121">
        <f t="shared" si="3"/>
        <v>8.0126533333333327E-4</v>
      </c>
    </row>
    <row r="122" spans="1:23" x14ac:dyDescent="0.3">
      <c r="A122" s="6">
        <v>115</v>
      </c>
      <c r="B122" s="6">
        <v>1.6759100000000001E-3</v>
      </c>
      <c r="C122" s="6">
        <v>6.5232700000000005E-2</v>
      </c>
      <c r="D122" s="6">
        <v>38.989100000000001</v>
      </c>
      <c r="E122" s="6">
        <v>38.923900000000003</v>
      </c>
      <c r="F122" s="6">
        <v>-7.6599100000000005E-4</v>
      </c>
      <c r="G122" s="6">
        <v>-1.49108E-2</v>
      </c>
      <c r="H122" s="6">
        <v>19.4512</v>
      </c>
      <c r="I122" s="6">
        <v>19.466100000000001</v>
      </c>
      <c r="J122" s="6">
        <v>-6.8183899999999995E-4</v>
      </c>
      <c r="K122" s="6">
        <v>-1.24581E-2</v>
      </c>
      <c r="L122" s="6">
        <v>18.258900000000001</v>
      </c>
      <c r="M122" s="6">
        <v>18.2714</v>
      </c>
      <c r="N122" s="6">
        <v>-1.0179099999999999E-3</v>
      </c>
      <c r="O122" s="6">
        <v>-1.8975200000000001E-2</v>
      </c>
      <c r="P122" s="6">
        <v>18.622399999999999</v>
      </c>
      <c r="Q122" s="6">
        <v>18.641400000000001</v>
      </c>
      <c r="R122" s="6">
        <v>43.014000000000003</v>
      </c>
      <c r="S122" s="6">
        <v>43.014000000000003</v>
      </c>
      <c r="T122" s="6">
        <v>1.4874000000000001</v>
      </c>
      <c r="U122" s="6">
        <v>5239.88</v>
      </c>
      <c r="V122">
        <f t="shared" si="2"/>
        <v>28.23211206896552</v>
      </c>
      <c r="W122">
        <f t="shared" si="3"/>
        <v>8.2191333333333334E-4</v>
      </c>
    </row>
    <row r="123" spans="1:23" x14ac:dyDescent="0.3">
      <c r="A123" s="6">
        <v>116</v>
      </c>
      <c r="B123" s="6">
        <v>1.64474E-3</v>
      </c>
      <c r="C123" s="6">
        <v>6.4019699999999999E-2</v>
      </c>
      <c r="D123" s="6">
        <v>38.987900000000003</v>
      </c>
      <c r="E123" s="6">
        <v>38.923900000000003</v>
      </c>
      <c r="F123" s="6">
        <v>-7.0824099999999997E-4</v>
      </c>
      <c r="G123" s="6">
        <v>-1.3786700000000001E-2</v>
      </c>
      <c r="H123" s="6">
        <v>19.452300000000001</v>
      </c>
      <c r="I123" s="6">
        <v>19.466100000000001</v>
      </c>
      <c r="J123" s="6">
        <v>-6.8424399999999998E-4</v>
      </c>
      <c r="K123" s="6">
        <v>-1.25021E-2</v>
      </c>
      <c r="L123" s="6">
        <v>18.258900000000001</v>
      </c>
      <c r="M123" s="6">
        <v>18.2714</v>
      </c>
      <c r="N123" s="6">
        <v>-1.0496800000000001E-3</v>
      </c>
      <c r="O123" s="6">
        <v>-1.9567399999999999E-2</v>
      </c>
      <c r="P123" s="6">
        <v>18.6218</v>
      </c>
      <c r="Q123" s="6">
        <v>18.641400000000001</v>
      </c>
      <c r="R123" s="6">
        <v>43.258000000000003</v>
      </c>
      <c r="S123" s="6">
        <v>43.259</v>
      </c>
      <c r="T123" s="6">
        <v>1.4951000000000001</v>
      </c>
      <c r="U123" s="6">
        <v>5267</v>
      </c>
      <c r="V123">
        <f t="shared" si="2"/>
        <v>28.37823275862069</v>
      </c>
      <c r="W123">
        <f t="shared" si="3"/>
        <v>8.1405500000000005E-4</v>
      </c>
    </row>
    <row r="124" spans="1:23" x14ac:dyDescent="0.3">
      <c r="A124" s="6">
        <v>117</v>
      </c>
      <c r="B124" s="6">
        <v>1.7068599999999999E-3</v>
      </c>
      <c r="C124" s="6">
        <v>6.6437499999999997E-2</v>
      </c>
      <c r="D124" s="6">
        <v>38.990299999999998</v>
      </c>
      <c r="E124" s="6">
        <v>38.923900000000003</v>
      </c>
      <c r="F124" s="6">
        <v>-6.8806399999999995E-4</v>
      </c>
      <c r="G124" s="6">
        <v>-1.33939E-2</v>
      </c>
      <c r="H124" s="6">
        <v>19.4527</v>
      </c>
      <c r="I124" s="6">
        <v>19.466100000000001</v>
      </c>
      <c r="J124" s="6">
        <v>-6.56633E-4</v>
      </c>
      <c r="K124" s="6">
        <v>-1.1997600000000001E-2</v>
      </c>
      <c r="L124" s="6">
        <v>18.259399999999999</v>
      </c>
      <c r="M124" s="6">
        <v>18.2714</v>
      </c>
      <c r="N124" s="6">
        <v>-9.5947999999999997E-4</v>
      </c>
      <c r="O124" s="6">
        <v>-1.7885999999999999E-2</v>
      </c>
      <c r="P124" s="6">
        <v>18.6235</v>
      </c>
      <c r="Q124" s="6">
        <v>18.641400000000001</v>
      </c>
      <c r="R124" s="6">
        <v>43.572000000000003</v>
      </c>
      <c r="S124" s="6">
        <v>43.572000000000003</v>
      </c>
      <c r="T124" s="6">
        <v>1.5112000000000001</v>
      </c>
      <c r="U124" s="6">
        <v>5323.51</v>
      </c>
      <c r="V124">
        <f t="shared" si="2"/>
        <v>28.682704741379311</v>
      </c>
      <c r="W124">
        <f t="shared" si="3"/>
        <v>7.6805900000000008E-4</v>
      </c>
    </row>
    <row r="125" spans="1:23" x14ac:dyDescent="0.3">
      <c r="A125" s="6">
        <v>118</v>
      </c>
      <c r="B125" s="6">
        <v>1.77546E-3</v>
      </c>
      <c r="C125" s="6">
        <v>6.9107799999999997E-2</v>
      </c>
      <c r="D125" s="6">
        <v>38.993000000000002</v>
      </c>
      <c r="E125" s="6">
        <v>38.923900000000003</v>
      </c>
      <c r="F125" s="6">
        <v>-7.6766900000000001E-4</v>
      </c>
      <c r="G125" s="6">
        <v>-1.49435E-2</v>
      </c>
      <c r="H125" s="6">
        <v>19.4511</v>
      </c>
      <c r="I125" s="6">
        <v>19.466100000000001</v>
      </c>
      <c r="J125" s="6">
        <v>-7.3650699999999996E-4</v>
      </c>
      <c r="K125" s="6">
        <v>-1.3457E-2</v>
      </c>
      <c r="L125" s="6">
        <v>18.257899999999999</v>
      </c>
      <c r="M125" s="6">
        <v>18.2714</v>
      </c>
      <c r="N125" s="6">
        <v>-1.0136800000000001E-3</v>
      </c>
      <c r="O125" s="6">
        <v>-1.8896400000000001E-2</v>
      </c>
      <c r="P125" s="6">
        <v>18.622499999999999</v>
      </c>
      <c r="Q125" s="6">
        <v>18.641400000000001</v>
      </c>
      <c r="R125" s="6">
        <v>43.945</v>
      </c>
      <c r="S125" s="6">
        <v>43.945</v>
      </c>
      <c r="T125" s="6">
        <v>1.5206</v>
      </c>
      <c r="U125" s="6">
        <v>5356.29</v>
      </c>
      <c r="V125">
        <f t="shared" si="2"/>
        <v>28.859321120689657</v>
      </c>
      <c r="W125">
        <f t="shared" si="3"/>
        <v>8.3928533333333321E-4</v>
      </c>
    </row>
    <row r="126" spans="1:23" x14ac:dyDescent="0.3">
      <c r="A126" s="6">
        <v>119</v>
      </c>
      <c r="B126" s="6">
        <v>1.7290199999999999E-3</v>
      </c>
      <c r="C126" s="6">
        <v>6.7300100000000002E-2</v>
      </c>
      <c r="D126" s="6">
        <v>38.991199999999999</v>
      </c>
      <c r="E126" s="6">
        <v>38.923900000000003</v>
      </c>
      <c r="F126" s="6">
        <v>-8.5339300000000003E-4</v>
      </c>
      <c r="G126" s="6">
        <v>-1.6612200000000001E-2</v>
      </c>
      <c r="H126" s="6">
        <v>19.449400000000001</v>
      </c>
      <c r="I126" s="6">
        <v>19.466100000000001</v>
      </c>
      <c r="J126" s="6">
        <v>-7.8798099999999999E-4</v>
      </c>
      <c r="K126" s="6">
        <v>-1.4397500000000001E-2</v>
      </c>
      <c r="L126" s="6">
        <v>18.257000000000001</v>
      </c>
      <c r="M126" s="6">
        <v>18.2714</v>
      </c>
      <c r="N126" s="6">
        <v>-1.1525699999999999E-3</v>
      </c>
      <c r="O126" s="6">
        <v>-2.1485600000000001E-2</v>
      </c>
      <c r="P126" s="6">
        <v>18.619900000000001</v>
      </c>
      <c r="Q126" s="6">
        <v>18.641400000000001</v>
      </c>
      <c r="R126" s="6">
        <v>44.256999999999998</v>
      </c>
      <c r="S126" s="6">
        <v>44.256999999999998</v>
      </c>
      <c r="T126" s="6">
        <v>1.5425</v>
      </c>
      <c r="U126" s="6">
        <v>5433.15</v>
      </c>
      <c r="V126">
        <f t="shared" si="2"/>
        <v>29.2734375</v>
      </c>
      <c r="W126">
        <f t="shared" si="3"/>
        <v>9.3131466666666668E-4</v>
      </c>
    </row>
    <row r="127" spans="1:23" x14ac:dyDescent="0.3">
      <c r="A127" s="6">
        <v>120</v>
      </c>
      <c r="B127" s="6">
        <v>1.7814199999999999E-3</v>
      </c>
      <c r="C127" s="6">
        <v>6.9339700000000004E-2</v>
      </c>
      <c r="D127" s="6">
        <v>38.993200000000002</v>
      </c>
      <c r="E127" s="6">
        <v>38.923900000000003</v>
      </c>
      <c r="F127" s="6">
        <v>-6.7073899999999995E-4</v>
      </c>
      <c r="G127" s="6">
        <v>-1.30566E-2</v>
      </c>
      <c r="H127" s="6">
        <v>19.452999999999999</v>
      </c>
      <c r="I127" s="6">
        <v>19.466100000000001</v>
      </c>
      <c r="J127" s="6">
        <v>-6.6665599999999995E-4</v>
      </c>
      <c r="K127" s="6">
        <v>-1.2180699999999999E-2</v>
      </c>
      <c r="L127" s="6">
        <v>18.2592</v>
      </c>
      <c r="M127" s="6">
        <v>18.2714</v>
      </c>
      <c r="N127" s="6">
        <v>-1.01301E-3</v>
      </c>
      <c r="O127" s="6">
        <v>-1.8883799999999999E-2</v>
      </c>
      <c r="P127" s="6">
        <v>18.622499999999999</v>
      </c>
      <c r="Q127" s="6">
        <v>18.641400000000001</v>
      </c>
      <c r="R127" s="6">
        <v>44.634</v>
      </c>
      <c r="S127" s="6">
        <v>44.634999999999998</v>
      </c>
      <c r="T127" s="6">
        <v>1.5553999999999999</v>
      </c>
      <c r="U127" s="6">
        <v>5478.36</v>
      </c>
      <c r="V127">
        <f t="shared" si="2"/>
        <v>29.517025862068966</v>
      </c>
      <c r="W127">
        <f t="shared" si="3"/>
        <v>7.8346833333333332E-4</v>
      </c>
    </row>
    <row r="128" spans="1:23" x14ac:dyDescent="0.3">
      <c r="A128" s="6">
        <v>121</v>
      </c>
      <c r="B128" s="6">
        <v>1.7831399999999999E-3</v>
      </c>
      <c r="C128" s="6">
        <v>6.9406499999999996E-2</v>
      </c>
      <c r="D128" s="6">
        <v>38.993299999999998</v>
      </c>
      <c r="E128" s="6">
        <v>38.923900000000003</v>
      </c>
      <c r="F128" s="6">
        <v>-8.1151499999999996E-4</v>
      </c>
      <c r="G128" s="6">
        <v>-1.5796999999999999E-2</v>
      </c>
      <c r="H128" s="6">
        <v>19.450299999999999</v>
      </c>
      <c r="I128" s="6">
        <v>19.466100000000001</v>
      </c>
      <c r="J128" s="6">
        <v>-7.1197199999999995E-4</v>
      </c>
      <c r="K128" s="6">
        <v>-1.30087E-2</v>
      </c>
      <c r="L128" s="6">
        <v>18.258299999999998</v>
      </c>
      <c r="M128" s="6">
        <v>18.2714</v>
      </c>
      <c r="N128" s="6">
        <v>-1.01424E-3</v>
      </c>
      <c r="O128" s="6">
        <v>-1.8906699999999999E-2</v>
      </c>
      <c r="P128" s="6">
        <v>18.622499999999999</v>
      </c>
      <c r="Q128" s="6">
        <v>18.641400000000001</v>
      </c>
      <c r="R128" s="6">
        <v>45.256</v>
      </c>
      <c r="S128" s="6">
        <v>45.256</v>
      </c>
      <c r="T128" s="6">
        <v>1.5757000000000001</v>
      </c>
      <c r="U128" s="6">
        <v>5549.57</v>
      </c>
      <c r="V128">
        <f t="shared" si="2"/>
        <v>29.900700431034483</v>
      </c>
      <c r="W128">
        <f t="shared" si="3"/>
        <v>8.4590900000000005E-4</v>
      </c>
    </row>
    <row r="129" spans="1:23" x14ac:dyDescent="0.3">
      <c r="A129" s="6">
        <v>122</v>
      </c>
      <c r="B129" s="6">
        <v>1.7905600000000001E-3</v>
      </c>
      <c r="C129" s="6">
        <v>6.9695599999999996E-2</v>
      </c>
      <c r="D129" s="6">
        <v>38.993600000000001</v>
      </c>
      <c r="E129" s="6">
        <v>38.923900000000003</v>
      </c>
      <c r="F129" s="6">
        <v>-7.8864199999999999E-4</v>
      </c>
      <c r="G129" s="6">
        <v>-1.5351800000000001E-2</v>
      </c>
      <c r="H129" s="6">
        <v>19.450700000000001</v>
      </c>
      <c r="I129" s="6">
        <v>19.466100000000001</v>
      </c>
      <c r="J129" s="6">
        <v>-7.2626699999999995E-4</v>
      </c>
      <c r="K129" s="6">
        <v>-1.3269899999999999E-2</v>
      </c>
      <c r="L129" s="6">
        <v>18.258099999999999</v>
      </c>
      <c r="M129" s="6">
        <v>18.2714</v>
      </c>
      <c r="N129" s="6">
        <v>-1.0474200000000001E-3</v>
      </c>
      <c r="O129" s="6">
        <v>-1.9525299999999999E-2</v>
      </c>
      <c r="P129" s="6">
        <v>18.6218</v>
      </c>
      <c r="Q129" s="6">
        <v>18.641400000000001</v>
      </c>
      <c r="R129" s="6">
        <v>45.381999999999998</v>
      </c>
      <c r="S129" s="6">
        <v>45.381999999999998</v>
      </c>
      <c r="T129" s="6">
        <v>1.5811999999999999</v>
      </c>
      <c r="U129" s="6">
        <v>5568.78</v>
      </c>
      <c r="V129">
        <f t="shared" si="2"/>
        <v>30.004202586206898</v>
      </c>
      <c r="W129">
        <f t="shared" si="3"/>
        <v>8.5410966666666678E-4</v>
      </c>
    </row>
    <row r="130" spans="1:23" x14ac:dyDescent="0.3">
      <c r="A130" s="6">
        <v>123</v>
      </c>
      <c r="B130" s="6">
        <v>1.8386699999999999E-3</v>
      </c>
      <c r="C130" s="6">
        <v>7.1568099999999996E-2</v>
      </c>
      <c r="D130" s="6">
        <v>38.995399999999997</v>
      </c>
      <c r="E130" s="6">
        <v>38.923900000000003</v>
      </c>
      <c r="F130" s="6">
        <v>-7.5635199999999996E-4</v>
      </c>
      <c r="G130" s="6">
        <v>-1.4723200000000001E-2</v>
      </c>
      <c r="H130" s="6">
        <v>19.4513</v>
      </c>
      <c r="I130" s="6">
        <v>19.466100000000001</v>
      </c>
      <c r="J130" s="6">
        <v>-6.7662799999999997E-4</v>
      </c>
      <c r="K130" s="6">
        <v>-1.23629E-2</v>
      </c>
      <c r="L130" s="6">
        <v>18.259</v>
      </c>
      <c r="M130" s="6">
        <v>18.2714</v>
      </c>
      <c r="N130" s="6">
        <v>-1.04126E-3</v>
      </c>
      <c r="O130" s="6">
        <v>-1.9410500000000001E-2</v>
      </c>
      <c r="P130" s="6">
        <v>18.622</v>
      </c>
      <c r="Q130" s="6">
        <v>18.641400000000001</v>
      </c>
      <c r="R130" s="6">
        <v>45.694000000000003</v>
      </c>
      <c r="S130" s="6">
        <v>45.694000000000003</v>
      </c>
      <c r="T130" s="6">
        <v>1.5960000000000001</v>
      </c>
      <c r="U130" s="6">
        <v>5620.77</v>
      </c>
      <c r="V130">
        <f t="shared" si="2"/>
        <v>30.284321120689658</v>
      </c>
      <c r="W130">
        <f t="shared" si="3"/>
        <v>8.2474666666666665E-4</v>
      </c>
    </row>
    <row r="131" spans="1:23" x14ac:dyDescent="0.3">
      <c r="A131" s="6">
        <v>124</v>
      </c>
      <c r="B131" s="6">
        <v>1.8566500000000001E-3</v>
      </c>
      <c r="C131" s="6">
        <v>7.2268100000000002E-2</v>
      </c>
      <c r="D131" s="6">
        <v>38.996099999999998</v>
      </c>
      <c r="E131" s="6">
        <v>38.923900000000003</v>
      </c>
      <c r="F131" s="6">
        <v>-7.5150300000000005E-4</v>
      </c>
      <c r="G131" s="6">
        <v>-1.4628800000000001E-2</v>
      </c>
      <c r="H131" s="6">
        <v>19.4514</v>
      </c>
      <c r="I131" s="6">
        <v>19.466100000000001</v>
      </c>
      <c r="J131" s="6">
        <v>-7.1400499999999998E-4</v>
      </c>
      <c r="K131" s="6">
        <v>-1.30458E-2</v>
      </c>
      <c r="L131" s="6">
        <v>18.258299999999998</v>
      </c>
      <c r="M131" s="6">
        <v>18.2714</v>
      </c>
      <c r="N131" s="6">
        <v>-1.0424500000000001E-3</v>
      </c>
      <c r="O131" s="6">
        <v>-1.9432700000000001E-2</v>
      </c>
      <c r="P131" s="6">
        <v>18.6219</v>
      </c>
      <c r="Q131" s="6">
        <v>18.641400000000001</v>
      </c>
      <c r="R131" s="6">
        <v>46.006</v>
      </c>
      <c r="S131" s="6">
        <v>46.006999999999998</v>
      </c>
      <c r="T131" s="6">
        <v>1.6124000000000001</v>
      </c>
      <c r="U131" s="6">
        <v>5678.42</v>
      </c>
      <c r="V131">
        <f t="shared" si="2"/>
        <v>30.594935344827586</v>
      </c>
      <c r="W131">
        <f t="shared" si="3"/>
        <v>8.3598600000000004E-4</v>
      </c>
    </row>
    <row r="132" spans="1:23" x14ac:dyDescent="0.3">
      <c r="A132" s="6">
        <v>125</v>
      </c>
      <c r="B132" s="6">
        <v>1.92223E-3</v>
      </c>
      <c r="C132" s="6">
        <v>7.4820600000000001E-2</v>
      </c>
      <c r="D132" s="6">
        <v>38.998699999999999</v>
      </c>
      <c r="E132" s="6">
        <v>38.923900000000003</v>
      </c>
      <c r="F132" s="6">
        <v>-8.6085299999999997E-4</v>
      </c>
      <c r="G132" s="6">
        <v>-1.6757399999999999E-2</v>
      </c>
      <c r="H132" s="6">
        <v>19.449300000000001</v>
      </c>
      <c r="I132" s="6">
        <v>19.466100000000001</v>
      </c>
      <c r="J132" s="6">
        <v>-7.3497600000000003E-4</v>
      </c>
      <c r="K132" s="6">
        <v>-1.3429E-2</v>
      </c>
      <c r="L132" s="6">
        <v>18.257899999999999</v>
      </c>
      <c r="M132" s="6">
        <v>18.2714</v>
      </c>
      <c r="N132" s="6">
        <v>-1.1142400000000001E-3</v>
      </c>
      <c r="O132" s="6">
        <v>-2.0770899999999998E-2</v>
      </c>
      <c r="P132" s="6">
        <v>18.6206</v>
      </c>
      <c r="Q132" s="6">
        <v>18.641400000000001</v>
      </c>
      <c r="R132" s="6">
        <v>46.503999999999998</v>
      </c>
      <c r="S132" s="6">
        <v>46.503999999999998</v>
      </c>
      <c r="T132" s="6">
        <v>1.6253</v>
      </c>
      <c r="U132" s="6">
        <v>5723.63</v>
      </c>
      <c r="V132">
        <f t="shared" si="2"/>
        <v>30.838523706896552</v>
      </c>
      <c r="W132">
        <f t="shared" si="3"/>
        <v>9.0335633333333328E-4</v>
      </c>
    </row>
    <row r="133" spans="1:23" x14ac:dyDescent="0.3">
      <c r="A133" s="6">
        <v>126</v>
      </c>
      <c r="B133" s="6">
        <v>1.8800799999999999E-3</v>
      </c>
      <c r="C133" s="6">
        <v>7.3180099999999998E-2</v>
      </c>
      <c r="D133" s="6">
        <v>38.997</v>
      </c>
      <c r="E133" s="6">
        <v>38.923900000000003</v>
      </c>
      <c r="F133" s="6">
        <v>-8.5543299999999995E-4</v>
      </c>
      <c r="G133" s="6">
        <v>-1.6651900000000001E-2</v>
      </c>
      <c r="H133" s="6">
        <v>19.449400000000001</v>
      </c>
      <c r="I133" s="6">
        <v>19.466100000000001</v>
      </c>
      <c r="J133" s="6">
        <v>-6.5336799999999998E-4</v>
      </c>
      <c r="K133" s="6">
        <v>-1.19379E-2</v>
      </c>
      <c r="L133" s="6">
        <v>18.259399999999999</v>
      </c>
      <c r="M133" s="6">
        <v>18.2714</v>
      </c>
      <c r="N133" s="6">
        <v>-9.6603300000000004E-4</v>
      </c>
      <c r="O133" s="6">
        <v>-1.8008199999999999E-2</v>
      </c>
      <c r="P133" s="6">
        <v>18.6234</v>
      </c>
      <c r="Q133" s="6">
        <v>18.641400000000001</v>
      </c>
      <c r="R133" s="6">
        <v>46.692</v>
      </c>
      <c r="S133" s="6">
        <v>46.692</v>
      </c>
      <c r="T133" s="6">
        <v>1.6378999999999999</v>
      </c>
      <c r="U133" s="6">
        <v>5767.71</v>
      </c>
      <c r="V133">
        <f t="shared" si="2"/>
        <v>31.076023706896553</v>
      </c>
      <c r="W133">
        <f t="shared" si="3"/>
        <v>8.2494466666666662E-4</v>
      </c>
    </row>
    <row r="134" spans="1:23" x14ac:dyDescent="0.3">
      <c r="A134" s="6">
        <v>127</v>
      </c>
      <c r="B134" s="6">
        <v>1.8723699999999999E-3</v>
      </c>
      <c r="C134" s="6">
        <v>7.288E-2</v>
      </c>
      <c r="D134" s="6">
        <v>38.996699999999997</v>
      </c>
      <c r="E134" s="6">
        <v>38.923900000000003</v>
      </c>
      <c r="F134" s="6">
        <v>-8.4242699999999998E-4</v>
      </c>
      <c r="G134" s="6">
        <v>-1.6398699999999999E-2</v>
      </c>
      <c r="H134" s="6">
        <v>19.4497</v>
      </c>
      <c r="I134" s="6">
        <v>19.466100000000001</v>
      </c>
      <c r="J134" s="6">
        <v>-7.8288299999999995E-4</v>
      </c>
      <c r="K134" s="6">
        <v>-1.4304300000000001E-2</v>
      </c>
      <c r="L134" s="6">
        <v>18.257000000000001</v>
      </c>
      <c r="M134" s="6">
        <v>18.2714</v>
      </c>
      <c r="N134" s="6">
        <v>-1.1466499999999999E-3</v>
      </c>
      <c r="O134" s="6">
        <v>-2.1375100000000001E-2</v>
      </c>
      <c r="P134" s="6">
        <v>18.62</v>
      </c>
      <c r="Q134" s="6">
        <v>18.641400000000001</v>
      </c>
      <c r="R134" s="6">
        <v>47.252000000000002</v>
      </c>
      <c r="S134" s="6">
        <v>47.252000000000002</v>
      </c>
      <c r="T134" s="6">
        <v>1.6524000000000001</v>
      </c>
      <c r="U134" s="6">
        <v>5818.57</v>
      </c>
      <c r="V134">
        <f t="shared" si="2"/>
        <v>31.350053879310344</v>
      </c>
      <c r="W134">
        <f t="shared" si="3"/>
        <v>9.2398666666666665E-4</v>
      </c>
    </row>
    <row r="135" spans="1:23" x14ac:dyDescent="0.3">
      <c r="A135" s="6">
        <v>128</v>
      </c>
      <c r="B135" s="6">
        <v>1.9016E-3</v>
      </c>
      <c r="C135" s="6">
        <v>7.4017799999999995E-2</v>
      </c>
      <c r="D135" s="6">
        <v>38.997900000000001</v>
      </c>
      <c r="E135" s="6">
        <v>38.923900000000003</v>
      </c>
      <c r="F135" s="6">
        <v>-7.9185200000000001E-4</v>
      </c>
      <c r="G135" s="6">
        <v>-1.5414199999999999E-2</v>
      </c>
      <c r="H135" s="6">
        <v>19.450600000000001</v>
      </c>
      <c r="I135" s="6">
        <v>19.466100000000001</v>
      </c>
      <c r="J135" s="6">
        <v>-7.4174699999999996E-4</v>
      </c>
      <c r="K135" s="6">
        <v>-1.3552700000000001E-2</v>
      </c>
      <c r="L135" s="6">
        <v>18.2578</v>
      </c>
      <c r="M135" s="6">
        <v>18.2714</v>
      </c>
      <c r="N135" s="6">
        <v>-1.1440599999999999E-3</v>
      </c>
      <c r="O135" s="6">
        <v>-2.1326899999999999E-2</v>
      </c>
      <c r="P135" s="6">
        <v>18.62</v>
      </c>
      <c r="Q135" s="6">
        <v>18.641400000000001</v>
      </c>
      <c r="R135" s="6">
        <v>47.377000000000002</v>
      </c>
      <c r="S135" s="6">
        <v>47.377000000000002</v>
      </c>
      <c r="T135" s="6">
        <v>1.6578999999999999</v>
      </c>
      <c r="U135" s="6">
        <v>5837.78</v>
      </c>
      <c r="V135">
        <f t="shared" si="2"/>
        <v>31.453556034482759</v>
      </c>
      <c r="W135">
        <f t="shared" si="3"/>
        <v>8.9255299999999992E-4</v>
      </c>
    </row>
    <row r="136" spans="1:23" x14ac:dyDescent="0.3">
      <c r="A136" s="6">
        <v>129</v>
      </c>
      <c r="B136" s="6">
        <v>1.93089E-3</v>
      </c>
      <c r="C136" s="6">
        <v>7.5157500000000002E-2</v>
      </c>
      <c r="D136" s="6">
        <v>38.999000000000002</v>
      </c>
      <c r="E136" s="6">
        <v>38.923900000000003</v>
      </c>
      <c r="F136" s="6">
        <v>-7.7606400000000003E-4</v>
      </c>
      <c r="G136" s="6">
        <v>-1.5106899999999999E-2</v>
      </c>
      <c r="H136" s="6">
        <v>19.451000000000001</v>
      </c>
      <c r="I136" s="6">
        <v>19.466100000000001</v>
      </c>
      <c r="J136" s="6">
        <v>-7.9385499999999999E-4</v>
      </c>
      <c r="K136" s="6">
        <v>-1.45048E-2</v>
      </c>
      <c r="L136" s="6">
        <v>18.256799999999998</v>
      </c>
      <c r="M136" s="6">
        <v>18.2714</v>
      </c>
      <c r="N136" s="6">
        <v>-1.1528599999999999E-3</v>
      </c>
      <c r="O136" s="6">
        <v>-2.14909E-2</v>
      </c>
      <c r="P136" s="6">
        <v>18.619900000000001</v>
      </c>
      <c r="Q136" s="6">
        <v>18.641400000000001</v>
      </c>
      <c r="R136" s="6">
        <v>47.753999999999998</v>
      </c>
      <c r="S136" s="6">
        <v>47.755000000000003</v>
      </c>
      <c r="T136" s="6">
        <v>1.6714</v>
      </c>
      <c r="U136" s="6">
        <v>5885.25</v>
      </c>
      <c r="V136">
        <f t="shared" ref="V136:V199" si="4">U136/A$2/B$2</f>
        <v>31.709321120689655</v>
      </c>
      <c r="W136">
        <f t="shared" ref="W136:W199" si="5">-AVERAGE(F136,J136,N136)</f>
        <v>9.0759299999999994E-4</v>
      </c>
    </row>
    <row r="137" spans="1:23" x14ac:dyDescent="0.3">
      <c r="A137" s="6">
        <v>130</v>
      </c>
      <c r="B137" s="6">
        <v>1.9503299999999999E-3</v>
      </c>
      <c r="C137" s="6">
        <v>7.5914400000000007E-2</v>
      </c>
      <c r="D137" s="6">
        <v>38.9998</v>
      </c>
      <c r="E137" s="6">
        <v>38.923900000000003</v>
      </c>
      <c r="F137" s="6">
        <v>-7.9712100000000003E-4</v>
      </c>
      <c r="G137" s="6">
        <v>-1.5516800000000001E-2</v>
      </c>
      <c r="H137" s="6">
        <v>19.450500000000002</v>
      </c>
      <c r="I137" s="6">
        <v>19.466100000000001</v>
      </c>
      <c r="J137" s="6">
        <v>-7.4160700000000003E-4</v>
      </c>
      <c r="K137" s="6">
        <v>-1.35502E-2</v>
      </c>
      <c r="L137" s="6">
        <v>18.2578</v>
      </c>
      <c r="M137" s="6">
        <v>18.2714</v>
      </c>
      <c r="N137" s="6">
        <v>-1.10794E-3</v>
      </c>
      <c r="O137" s="6">
        <v>-2.0653399999999999E-2</v>
      </c>
      <c r="P137" s="6">
        <v>18.620699999999999</v>
      </c>
      <c r="Q137" s="6">
        <v>18.641400000000001</v>
      </c>
      <c r="R137" s="6">
        <v>48.067</v>
      </c>
      <c r="S137" s="6">
        <v>48.067</v>
      </c>
      <c r="T137" s="6">
        <v>1.6856</v>
      </c>
      <c r="U137" s="6">
        <v>5934.99</v>
      </c>
      <c r="V137">
        <f t="shared" si="4"/>
        <v>31.977316810344828</v>
      </c>
      <c r="W137">
        <f t="shared" si="5"/>
        <v>8.8222266666666664E-4</v>
      </c>
    </row>
    <row r="138" spans="1:23" x14ac:dyDescent="0.3">
      <c r="A138" s="6">
        <v>131</v>
      </c>
      <c r="B138" s="6">
        <v>1.92165E-3</v>
      </c>
      <c r="C138" s="6">
        <v>7.4798199999999995E-2</v>
      </c>
      <c r="D138" s="6">
        <v>38.998699999999999</v>
      </c>
      <c r="E138" s="6">
        <v>38.923900000000003</v>
      </c>
      <c r="F138" s="6">
        <v>-8.9226599999999996E-4</v>
      </c>
      <c r="G138" s="6">
        <v>-1.73689E-2</v>
      </c>
      <c r="H138" s="6">
        <v>19.448699999999999</v>
      </c>
      <c r="I138" s="6">
        <v>19.466100000000001</v>
      </c>
      <c r="J138" s="6">
        <v>-8.8597399999999998E-4</v>
      </c>
      <c r="K138" s="6">
        <v>-1.6188000000000001E-2</v>
      </c>
      <c r="L138" s="6">
        <v>18.255199999999999</v>
      </c>
      <c r="M138" s="6">
        <v>18.2714</v>
      </c>
      <c r="N138" s="6">
        <v>-1.22386E-3</v>
      </c>
      <c r="O138" s="6">
        <v>-2.2814299999999999E-2</v>
      </c>
      <c r="P138" s="6">
        <v>18.618500000000001</v>
      </c>
      <c r="Q138" s="6">
        <v>18.641400000000001</v>
      </c>
      <c r="R138" s="6">
        <v>48.313000000000002</v>
      </c>
      <c r="S138" s="6">
        <v>48.313000000000002</v>
      </c>
      <c r="T138" s="6">
        <v>1.702</v>
      </c>
      <c r="U138" s="6">
        <v>5992.63</v>
      </c>
      <c r="V138">
        <f t="shared" si="4"/>
        <v>32.287877155172417</v>
      </c>
      <c r="W138">
        <f t="shared" si="5"/>
        <v>1.0007E-3</v>
      </c>
    </row>
    <row r="139" spans="1:23" x14ac:dyDescent="0.3">
      <c r="A139" s="6">
        <v>132</v>
      </c>
      <c r="B139" s="6">
        <v>1.91617E-3</v>
      </c>
      <c r="C139" s="6">
        <v>7.4584700000000004E-2</v>
      </c>
      <c r="D139" s="6">
        <v>38.998399999999997</v>
      </c>
      <c r="E139" s="6">
        <v>38.923900000000003</v>
      </c>
      <c r="F139" s="6">
        <v>-8.1581799999999995E-4</v>
      </c>
      <c r="G139" s="6">
        <v>-1.58808E-2</v>
      </c>
      <c r="H139" s="6">
        <v>19.450199999999999</v>
      </c>
      <c r="I139" s="6">
        <v>19.466100000000001</v>
      </c>
      <c r="J139" s="6">
        <v>-8.3881400000000001E-4</v>
      </c>
      <c r="K139" s="6">
        <v>-1.5326299999999999E-2</v>
      </c>
      <c r="L139" s="6">
        <v>18.256</v>
      </c>
      <c r="M139" s="6">
        <v>18.2714</v>
      </c>
      <c r="N139" s="6">
        <v>-1.21601E-3</v>
      </c>
      <c r="O139" s="6">
        <v>-2.2668000000000001E-2</v>
      </c>
      <c r="P139" s="6">
        <v>18.6187</v>
      </c>
      <c r="Q139" s="6">
        <v>18.641400000000001</v>
      </c>
      <c r="R139" s="6">
        <v>48.692</v>
      </c>
      <c r="S139" s="6">
        <v>48.692</v>
      </c>
      <c r="T139" s="6">
        <v>1.7156</v>
      </c>
      <c r="U139" s="6">
        <v>6040.1</v>
      </c>
      <c r="V139">
        <f t="shared" si="4"/>
        <v>32.543642241379317</v>
      </c>
      <c r="W139">
        <f t="shared" si="5"/>
        <v>9.5688066666666665E-4</v>
      </c>
    </row>
    <row r="140" spans="1:23" x14ac:dyDescent="0.3">
      <c r="A140" s="6">
        <v>133</v>
      </c>
      <c r="B140" s="6">
        <v>1.9302500000000001E-3</v>
      </c>
      <c r="C140" s="6">
        <v>7.5132599999999994E-2</v>
      </c>
      <c r="D140" s="6">
        <v>38.999000000000002</v>
      </c>
      <c r="E140" s="6">
        <v>38.923900000000003</v>
      </c>
      <c r="F140" s="6">
        <v>-8.9185200000000005E-4</v>
      </c>
      <c r="G140" s="6">
        <v>-1.7360799999999999E-2</v>
      </c>
      <c r="H140" s="6">
        <v>19.448699999999999</v>
      </c>
      <c r="I140" s="6">
        <v>19.466100000000001</v>
      </c>
      <c r="J140" s="6">
        <v>-7.6462800000000005E-4</v>
      </c>
      <c r="K140" s="6">
        <v>-1.39708E-2</v>
      </c>
      <c r="L140" s="6">
        <v>18.257400000000001</v>
      </c>
      <c r="M140" s="6">
        <v>18.2714</v>
      </c>
      <c r="N140" s="6">
        <v>-1.14598E-3</v>
      </c>
      <c r="O140" s="6">
        <v>-2.1362599999999999E-2</v>
      </c>
      <c r="P140" s="6">
        <v>18.62</v>
      </c>
      <c r="Q140" s="6">
        <v>18.641400000000001</v>
      </c>
      <c r="R140" s="6">
        <v>49.125999999999998</v>
      </c>
      <c r="S140" s="6">
        <v>49.125999999999998</v>
      </c>
      <c r="T140" s="6">
        <v>1.7387999999999999</v>
      </c>
      <c r="U140" s="6">
        <v>6121.48</v>
      </c>
      <c r="V140">
        <f t="shared" si="4"/>
        <v>32.982112068965513</v>
      </c>
      <c r="W140">
        <f t="shared" si="5"/>
        <v>9.3415333333333333E-4</v>
      </c>
    </row>
    <row r="141" spans="1:23" x14ac:dyDescent="0.3">
      <c r="A141" s="6">
        <v>134</v>
      </c>
      <c r="B141" s="6">
        <v>1.9737800000000001E-3</v>
      </c>
      <c r="C141" s="6">
        <v>7.6827000000000006E-2</v>
      </c>
      <c r="D141" s="6">
        <v>39.000700000000002</v>
      </c>
      <c r="E141" s="6">
        <v>38.923900000000003</v>
      </c>
      <c r="F141" s="6">
        <v>-8.7712599999999999E-4</v>
      </c>
      <c r="G141" s="6">
        <v>-1.7074200000000001E-2</v>
      </c>
      <c r="H141" s="6">
        <v>19.449000000000002</v>
      </c>
      <c r="I141" s="6">
        <v>19.466100000000001</v>
      </c>
      <c r="J141" s="6">
        <v>-7.5034699999999995E-4</v>
      </c>
      <c r="K141" s="6">
        <v>-1.3709900000000001E-2</v>
      </c>
      <c r="L141" s="6">
        <v>18.2576</v>
      </c>
      <c r="M141" s="6">
        <v>18.2714</v>
      </c>
      <c r="N141" s="6">
        <v>-1.1233300000000001E-3</v>
      </c>
      <c r="O141" s="6">
        <v>-2.0940500000000001E-2</v>
      </c>
      <c r="P141" s="6">
        <v>18.6204</v>
      </c>
      <c r="Q141" s="6">
        <v>18.641400000000001</v>
      </c>
      <c r="R141" s="6">
        <v>49.311999999999998</v>
      </c>
      <c r="S141" s="6">
        <v>49.311999999999998</v>
      </c>
      <c r="T141" s="6">
        <v>1.7433000000000001</v>
      </c>
      <c r="U141" s="6">
        <v>6137.3</v>
      </c>
      <c r="V141">
        <f t="shared" si="4"/>
        <v>33.067349137931039</v>
      </c>
      <c r="W141">
        <f t="shared" si="5"/>
        <v>9.1693433333333337E-4</v>
      </c>
    </row>
    <row r="142" spans="1:23" x14ac:dyDescent="0.3">
      <c r="A142" s="6">
        <v>135</v>
      </c>
      <c r="B142" s="6">
        <v>2.0573499999999999E-3</v>
      </c>
      <c r="C142" s="6">
        <v>8.0080100000000001E-2</v>
      </c>
      <c r="D142" s="6">
        <v>39.003900000000002</v>
      </c>
      <c r="E142" s="6">
        <v>38.923900000000003</v>
      </c>
      <c r="F142" s="6">
        <v>-8.3388899999999998E-4</v>
      </c>
      <c r="G142" s="6">
        <v>-1.62325E-2</v>
      </c>
      <c r="H142" s="6">
        <v>19.4498</v>
      </c>
      <c r="I142" s="6">
        <v>19.466100000000001</v>
      </c>
      <c r="J142" s="6">
        <v>-7.2521499999999997E-4</v>
      </c>
      <c r="K142" s="6">
        <v>-1.3250700000000001E-2</v>
      </c>
      <c r="L142" s="6">
        <v>18.258099999999999</v>
      </c>
      <c r="M142" s="6">
        <v>18.2714</v>
      </c>
      <c r="N142" s="6">
        <v>-1.09391E-3</v>
      </c>
      <c r="O142" s="6">
        <v>-2.0392E-2</v>
      </c>
      <c r="P142" s="6">
        <v>18.620999999999999</v>
      </c>
      <c r="Q142" s="6">
        <v>18.641400000000001</v>
      </c>
      <c r="R142" s="6">
        <v>49.503</v>
      </c>
      <c r="S142" s="6">
        <v>49.503999999999998</v>
      </c>
      <c r="T142" s="6">
        <v>1.7487999999999999</v>
      </c>
      <c r="U142" s="6">
        <v>6156.52</v>
      </c>
      <c r="V142">
        <f t="shared" si="4"/>
        <v>33.170905172413796</v>
      </c>
      <c r="W142">
        <f t="shared" si="5"/>
        <v>8.8433800000000003E-4</v>
      </c>
    </row>
    <row r="143" spans="1:23" x14ac:dyDescent="0.3">
      <c r="A143" s="6">
        <v>136</v>
      </c>
      <c r="B143" s="6">
        <v>2.02111E-3</v>
      </c>
      <c r="C143" s="6">
        <v>7.86694E-2</v>
      </c>
      <c r="D143" s="6">
        <v>39.002499999999998</v>
      </c>
      <c r="E143" s="6">
        <v>38.923900000000003</v>
      </c>
      <c r="F143" s="6">
        <v>-9.2411100000000003E-4</v>
      </c>
      <c r="G143" s="6">
        <v>-1.7988799999999999E-2</v>
      </c>
      <c r="H143" s="6">
        <v>19.4481</v>
      </c>
      <c r="I143" s="6">
        <v>19.466100000000001</v>
      </c>
      <c r="J143" s="6">
        <v>-8.3696900000000002E-4</v>
      </c>
      <c r="K143" s="6">
        <v>-1.52926E-2</v>
      </c>
      <c r="L143" s="6">
        <v>18.2561</v>
      </c>
      <c r="M143" s="6">
        <v>18.2714</v>
      </c>
      <c r="N143" s="6">
        <v>-1.1754999999999999E-3</v>
      </c>
      <c r="O143" s="6">
        <v>-2.1912999999999998E-2</v>
      </c>
      <c r="P143" s="6">
        <v>18.619499999999999</v>
      </c>
      <c r="Q143" s="6">
        <v>18.641400000000001</v>
      </c>
      <c r="R143" s="6">
        <v>49.939</v>
      </c>
      <c r="S143" s="6">
        <v>49.939</v>
      </c>
      <c r="T143" s="6">
        <v>1.7665</v>
      </c>
      <c r="U143" s="6">
        <v>6218.68</v>
      </c>
      <c r="V143">
        <f t="shared" si="4"/>
        <v>33.505818965517243</v>
      </c>
      <c r="W143">
        <f t="shared" si="5"/>
        <v>9.7886000000000002E-4</v>
      </c>
    </row>
    <row r="144" spans="1:23" x14ac:dyDescent="0.3">
      <c r="A144" s="6">
        <v>137</v>
      </c>
      <c r="B144" s="6">
        <v>2.0503800000000001E-3</v>
      </c>
      <c r="C144" s="6">
        <v>7.9808599999999993E-2</v>
      </c>
      <c r="D144" s="6">
        <v>39.003700000000002</v>
      </c>
      <c r="E144" s="6">
        <v>38.923900000000003</v>
      </c>
      <c r="F144" s="6">
        <v>-8.5016499999999995E-4</v>
      </c>
      <c r="G144" s="6">
        <v>-1.6549399999999999E-2</v>
      </c>
      <c r="H144" s="6">
        <v>19.4495</v>
      </c>
      <c r="I144" s="6">
        <v>19.466100000000001</v>
      </c>
      <c r="J144" s="6">
        <v>-7.73852E-4</v>
      </c>
      <c r="K144" s="6">
        <v>-1.41393E-2</v>
      </c>
      <c r="L144" s="6">
        <v>18.257200000000001</v>
      </c>
      <c r="M144" s="6">
        <v>18.2714</v>
      </c>
      <c r="N144" s="6">
        <v>-1.14642E-3</v>
      </c>
      <c r="O144" s="6">
        <v>-2.1370900000000002E-2</v>
      </c>
      <c r="P144" s="6">
        <v>18.62</v>
      </c>
      <c r="Q144" s="6">
        <v>18.641400000000001</v>
      </c>
      <c r="R144" s="6">
        <v>50.186999999999998</v>
      </c>
      <c r="S144" s="6">
        <v>50.186999999999998</v>
      </c>
      <c r="T144" s="6">
        <v>1.7742</v>
      </c>
      <c r="U144" s="6">
        <v>6245.81</v>
      </c>
      <c r="V144">
        <f t="shared" si="4"/>
        <v>33.651993534482763</v>
      </c>
      <c r="W144">
        <f t="shared" si="5"/>
        <v>9.2347899999999994E-4</v>
      </c>
    </row>
    <row r="145" spans="1:23" x14ac:dyDescent="0.3">
      <c r="A145" s="6">
        <v>138</v>
      </c>
      <c r="B145" s="6">
        <v>2.0201799999999999E-3</v>
      </c>
      <c r="C145" s="6">
        <v>7.86332E-2</v>
      </c>
      <c r="D145" s="6">
        <v>39.002499999999998</v>
      </c>
      <c r="E145" s="6">
        <v>38.923900000000003</v>
      </c>
      <c r="F145" s="6">
        <v>-9.2076300000000001E-4</v>
      </c>
      <c r="G145" s="6">
        <v>-1.7923600000000001E-2</v>
      </c>
      <c r="H145" s="6">
        <v>19.4481</v>
      </c>
      <c r="I145" s="6">
        <v>19.466100000000001</v>
      </c>
      <c r="J145" s="6">
        <v>-8.3960899999999995E-4</v>
      </c>
      <c r="K145" s="6">
        <v>-1.53408E-2</v>
      </c>
      <c r="L145" s="6">
        <v>18.256</v>
      </c>
      <c r="M145" s="6">
        <v>18.2714</v>
      </c>
      <c r="N145" s="6">
        <v>-1.2511E-3</v>
      </c>
      <c r="O145" s="6">
        <v>-2.3322099999999998E-2</v>
      </c>
      <c r="P145" s="6">
        <v>18.617999999999999</v>
      </c>
      <c r="Q145" s="6">
        <v>18.641400000000001</v>
      </c>
      <c r="R145" s="6">
        <v>50.56</v>
      </c>
      <c r="S145" s="6">
        <v>50.56</v>
      </c>
      <c r="T145" s="6">
        <v>1.7948</v>
      </c>
      <c r="U145" s="6">
        <v>6318.14</v>
      </c>
      <c r="V145">
        <f t="shared" si="4"/>
        <v>34.041702586206902</v>
      </c>
      <c r="W145">
        <f t="shared" si="5"/>
        <v>1.0038240000000002E-3</v>
      </c>
    </row>
    <row r="146" spans="1:23" x14ac:dyDescent="0.3">
      <c r="A146" s="6">
        <v>139</v>
      </c>
      <c r="B146" s="6">
        <v>2.0484000000000001E-3</v>
      </c>
      <c r="C146" s="6">
        <v>7.9731700000000003E-2</v>
      </c>
      <c r="D146" s="6">
        <v>39.003599999999999</v>
      </c>
      <c r="E146" s="6">
        <v>38.923900000000003</v>
      </c>
      <c r="F146" s="6">
        <v>-1.0339699999999999E-3</v>
      </c>
      <c r="G146" s="6">
        <v>-2.01274E-2</v>
      </c>
      <c r="H146" s="6">
        <v>19.445900000000002</v>
      </c>
      <c r="I146" s="6">
        <v>19.466100000000001</v>
      </c>
      <c r="J146" s="6">
        <v>-9.8367700000000008E-4</v>
      </c>
      <c r="K146" s="6">
        <v>-1.7973099999999999E-2</v>
      </c>
      <c r="L146" s="6">
        <v>18.253399999999999</v>
      </c>
      <c r="M146" s="6">
        <v>18.2714</v>
      </c>
      <c r="N146" s="6">
        <v>-1.3257E-3</v>
      </c>
      <c r="O146" s="6">
        <v>-2.47128E-2</v>
      </c>
      <c r="P146" s="6">
        <v>18.616700000000002</v>
      </c>
      <c r="Q146" s="6">
        <v>18.641400000000001</v>
      </c>
      <c r="R146" s="6">
        <v>50.935000000000002</v>
      </c>
      <c r="S146" s="6">
        <v>50.935000000000002</v>
      </c>
      <c r="T146" s="6">
        <v>1.8045</v>
      </c>
      <c r="U146" s="6">
        <v>6352.05</v>
      </c>
      <c r="V146">
        <f t="shared" si="4"/>
        <v>34.224407327586206</v>
      </c>
      <c r="W146">
        <f t="shared" si="5"/>
        <v>1.114449E-3</v>
      </c>
    </row>
    <row r="147" spans="1:23" x14ac:dyDescent="0.3">
      <c r="A147" s="6">
        <v>140</v>
      </c>
      <c r="B147" s="6">
        <v>2.1005799999999999E-3</v>
      </c>
      <c r="C147" s="6">
        <v>8.1762500000000002E-2</v>
      </c>
      <c r="D147" s="6">
        <v>39.005600000000001</v>
      </c>
      <c r="E147" s="6">
        <v>38.923900000000003</v>
      </c>
      <c r="F147" s="6">
        <v>-1.06051E-3</v>
      </c>
      <c r="G147" s="6">
        <v>-2.0643999999999999E-2</v>
      </c>
      <c r="H147" s="6">
        <v>19.445399999999999</v>
      </c>
      <c r="I147" s="6">
        <v>19.466100000000001</v>
      </c>
      <c r="J147" s="6">
        <v>-9.7793300000000006E-4</v>
      </c>
      <c r="K147" s="6">
        <v>-1.7868200000000001E-2</v>
      </c>
      <c r="L147" s="6">
        <v>18.253499999999999</v>
      </c>
      <c r="M147" s="6">
        <v>18.2714</v>
      </c>
      <c r="N147" s="6">
        <v>-1.2236700000000001E-3</v>
      </c>
      <c r="O147" s="6">
        <v>-2.2811000000000001E-2</v>
      </c>
      <c r="P147" s="6">
        <v>18.618600000000001</v>
      </c>
      <c r="Q147" s="6">
        <v>18.641400000000001</v>
      </c>
      <c r="R147" s="6">
        <v>51.125999999999998</v>
      </c>
      <c r="S147" s="6">
        <v>51.125999999999998</v>
      </c>
      <c r="T147" s="6">
        <v>1.8048</v>
      </c>
      <c r="U147" s="6">
        <v>6353.18</v>
      </c>
      <c r="V147">
        <f t="shared" si="4"/>
        <v>34.230495689655172</v>
      </c>
      <c r="W147">
        <f t="shared" si="5"/>
        <v>1.087371E-3</v>
      </c>
    </row>
    <row r="148" spans="1:23" x14ac:dyDescent="0.3">
      <c r="A148" s="6">
        <v>141</v>
      </c>
      <c r="B148" s="6">
        <v>2.0953999999999999E-3</v>
      </c>
      <c r="C148" s="6">
        <v>8.1560900000000006E-2</v>
      </c>
      <c r="D148" s="6">
        <v>39.005400000000002</v>
      </c>
      <c r="E148" s="6">
        <v>38.923900000000003</v>
      </c>
      <c r="F148" s="6">
        <v>-9.00869E-4</v>
      </c>
      <c r="G148" s="6">
        <v>-1.7536400000000001E-2</v>
      </c>
      <c r="H148" s="6">
        <v>19.448499999999999</v>
      </c>
      <c r="I148" s="6">
        <v>19.466100000000001</v>
      </c>
      <c r="J148" s="6">
        <v>-9.0447100000000001E-4</v>
      </c>
      <c r="K148" s="6">
        <v>-1.65259E-2</v>
      </c>
      <c r="L148" s="6">
        <v>18.254799999999999</v>
      </c>
      <c r="M148" s="6">
        <v>18.2714</v>
      </c>
      <c r="N148" s="6">
        <v>-1.2754699999999999E-3</v>
      </c>
      <c r="O148" s="6">
        <v>-2.3776499999999999E-2</v>
      </c>
      <c r="P148" s="6">
        <v>18.617599999999999</v>
      </c>
      <c r="Q148" s="6">
        <v>18.641400000000001</v>
      </c>
      <c r="R148" s="6">
        <v>51.496000000000002</v>
      </c>
      <c r="S148" s="6">
        <v>51.496000000000002</v>
      </c>
      <c r="T148" s="6">
        <v>1.8280000000000001</v>
      </c>
      <c r="U148" s="6">
        <v>6434.56</v>
      </c>
      <c r="V148">
        <f t="shared" si="4"/>
        <v>34.668965517241382</v>
      </c>
      <c r="W148">
        <f t="shared" si="5"/>
        <v>1.0269366666666665E-3</v>
      </c>
    </row>
    <row r="149" spans="1:23" x14ac:dyDescent="0.3">
      <c r="A149" s="6">
        <v>142</v>
      </c>
      <c r="B149" s="6">
        <v>2.14795E-3</v>
      </c>
      <c r="C149" s="6">
        <v>8.3606399999999997E-2</v>
      </c>
      <c r="D149" s="6">
        <v>39.0075</v>
      </c>
      <c r="E149" s="6">
        <v>38.923900000000003</v>
      </c>
      <c r="F149" s="6">
        <v>-9.7128999999999998E-4</v>
      </c>
      <c r="G149" s="6">
        <v>-1.8907199999999999E-2</v>
      </c>
      <c r="H149" s="6">
        <v>19.447199999999999</v>
      </c>
      <c r="I149" s="6">
        <v>19.466100000000001</v>
      </c>
      <c r="J149" s="6">
        <v>-8.6436399999999995E-4</v>
      </c>
      <c r="K149" s="6">
        <v>-1.5793100000000001E-2</v>
      </c>
      <c r="L149" s="6">
        <v>18.255600000000001</v>
      </c>
      <c r="M149" s="6">
        <v>18.2714</v>
      </c>
      <c r="N149" s="6">
        <v>-1.1891600000000001E-3</v>
      </c>
      <c r="O149" s="6">
        <v>-2.2167599999999999E-2</v>
      </c>
      <c r="P149" s="6">
        <v>18.619199999999999</v>
      </c>
      <c r="Q149" s="6">
        <v>18.641400000000001</v>
      </c>
      <c r="R149" s="6">
        <v>51.808999999999997</v>
      </c>
      <c r="S149" s="6">
        <v>51.81</v>
      </c>
      <c r="T149" s="6">
        <v>1.8458000000000001</v>
      </c>
      <c r="U149" s="6">
        <v>6496.73</v>
      </c>
      <c r="V149">
        <f t="shared" si="4"/>
        <v>35.003933189655172</v>
      </c>
      <c r="W149">
        <f t="shared" si="5"/>
        <v>1.0082713333333332E-3</v>
      </c>
    </row>
    <row r="150" spans="1:23" x14ac:dyDescent="0.3">
      <c r="A150" s="6">
        <v>143</v>
      </c>
      <c r="B150" s="6">
        <v>2.15059E-3</v>
      </c>
      <c r="C150" s="6">
        <v>8.3709400000000003E-2</v>
      </c>
      <c r="D150" s="6">
        <v>39.007599999999996</v>
      </c>
      <c r="E150" s="6">
        <v>38.923900000000003</v>
      </c>
      <c r="F150" s="6">
        <v>-9.1001400000000001E-4</v>
      </c>
      <c r="G150" s="6">
        <v>-1.7714400000000002E-2</v>
      </c>
      <c r="H150" s="6">
        <v>19.4483</v>
      </c>
      <c r="I150" s="6">
        <v>19.466100000000001</v>
      </c>
      <c r="J150" s="6">
        <v>-7.9939200000000001E-4</v>
      </c>
      <c r="K150" s="6">
        <v>-1.4605999999999999E-2</v>
      </c>
      <c r="L150" s="6">
        <v>18.256699999999999</v>
      </c>
      <c r="M150" s="6">
        <v>18.2714</v>
      </c>
      <c r="N150" s="6">
        <v>-1.1636000000000001E-3</v>
      </c>
      <c r="O150" s="6">
        <v>-2.1691200000000001E-2</v>
      </c>
      <c r="P150" s="6">
        <v>18.619700000000002</v>
      </c>
      <c r="Q150" s="6">
        <v>18.641400000000001</v>
      </c>
      <c r="R150" s="6">
        <v>52.246000000000002</v>
      </c>
      <c r="S150" s="6">
        <v>52.246000000000002</v>
      </c>
      <c r="T150" s="6">
        <v>1.8573999999999999</v>
      </c>
      <c r="U150" s="6">
        <v>6537.42</v>
      </c>
      <c r="V150">
        <f t="shared" si="4"/>
        <v>35.22316810344828</v>
      </c>
      <c r="W150">
        <f t="shared" si="5"/>
        <v>9.576686666666667E-4</v>
      </c>
    </row>
    <row r="151" spans="1:23" x14ac:dyDescent="0.3">
      <c r="A151" s="6">
        <v>144</v>
      </c>
      <c r="B151" s="6">
        <v>2.1333900000000002E-3</v>
      </c>
      <c r="C151" s="6">
        <v>8.30399E-2</v>
      </c>
      <c r="D151" s="6">
        <v>39.006900000000002</v>
      </c>
      <c r="E151" s="6">
        <v>38.923900000000003</v>
      </c>
      <c r="F151" s="6">
        <v>-1.17695E-3</v>
      </c>
      <c r="G151" s="6">
        <v>-2.29106E-2</v>
      </c>
      <c r="H151" s="6">
        <v>19.443200000000001</v>
      </c>
      <c r="I151" s="6">
        <v>19.466100000000001</v>
      </c>
      <c r="J151" s="6">
        <v>-1.0525000000000001E-3</v>
      </c>
      <c r="K151" s="6">
        <v>-1.9230500000000001E-2</v>
      </c>
      <c r="L151" s="6">
        <v>18.252099999999999</v>
      </c>
      <c r="M151" s="6">
        <v>18.2714</v>
      </c>
      <c r="N151" s="6">
        <v>-1.0816000000000001E-3</v>
      </c>
      <c r="O151" s="6">
        <v>-2.01625E-2</v>
      </c>
      <c r="P151" s="6">
        <v>18.621200000000002</v>
      </c>
      <c r="Q151" s="6">
        <v>18.641400000000001</v>
      </c>
      <c r="R151" s="6">
        <v>52.680999999999997</v>
      </c>
      <c r="S151" s="6">
        <v>52.680999999999997</v>
      </c>
      <c r="T151" s="6">
        <v>1.889</v>
      </c>
      <c r="U151" s="6">
        <v>6648.18</v>
      </c>
      <c r="V151">
        <f t="shared" si="4"/>
        <v>35.819935344827591</v>
      </c>
      <c r="W151">
        <f t="shared" si="5"/>
        <v>1.1036833333333334E-3</v>
      </c>
    </row>
    <row r="152" spans="1:23" x14ac:dyDescent="0.3">
      <c r="A152" s="6">
        <v>145</v>
      </c>
      <c r="B152" s="6">
        <v>2.04843E-3</v>
      </c>
      <c r="C152" s="6">
        <v>7.9732700000000004E-2</v>
      </c>
      <c r="D152" s="6">
        <v>39.003599999999999</v>
      </c>
      <c r="E152" s="6">
        <v>38.923900000000003</v>
      </c>
      <c r="F152" s="6">
        <v>-8.8687900000000003E-4</v>
      </c>
      <c r="G152" s="6">
        <v>-1.7264000000000002E-2</v>
      </c>
      <c r="H152" s="6">
        <v>19.448799999999999</v>
      </c>
      <c r="I152" s="6">
        <v>19.466100000000001</v>
      </c>
      <c r="J152" s="6">
        <v>-8.3112400000000003E-4</v>
      </c>
      <c r="K152" s="6">
        <v>-1.5185799999999999E-2</v>
      </c>
      <c r="L152" s="6">
        <v>18.2562</v>
      </c>
      <c r="M152" s="6">
        <v>18.2714</v>
      </c>
      <c r="N152" s="6">
        <v>-1.2093E-3</v>
      </c>
      <c r="O152" s="6">
        <v>-2.25431E-2</v>
      </c>
      <c r="P152" s="6">
        <v>18.6188</v>
      </c>
      <c r="Q152" s="6">
        <v>18.641400000000001</v>
      </c>
      <c r="R152" s="6">
        <v>52.932000000000002</v>
      </c>
      <c r="S152" s="6">
        <v>52.932000000000002</v>
      </c>
      <c r="T152" s="6">
        <v>1.8935</v>
      </c>
      <c r="U152" s="6">
        <v>6664</v>
      </c>
      <c r="V152">
        <f t="shared" si="4"/>
        <v>35.905172413793103</v>
      </c>
      <c r="W152">
        <f t="shared" si="5"/>
        <v>9.7576766666666664E-4</v>
      </c>
    </row>
    <row r="153" spans="1:23" x14ac:dyDescent="0.3">
      <c r="A153" s="6">
        <v>146</v>
      </c>
      <c r="B153" s="6">
        <v>2.1901400000000001E-3</v>
      </c>
      <c r="C153" s="6">
        <v>8.5248900000000002E-2</v>
      </c>
      <c r="D153" s="6">
        <v>39.009099999999997</v>
      </c>
      <c r="E153" s="6">
        <v>38.923900000000003</v>
      </c>
      <c r="F153" s="6">
        <v>-1.00205E-3</v>
      </c>
      <c r="G153" s="6">
        <v>-1.9505999999999999E-2</v>
      </c>
      <c r="H153" s="6">
        <v>19.4466</v>
      </c>
      <c r="I153" s="6">
        <v>19.466100000000001</v>
      </c>
      <c r="J153" s="6">
        <v>-9.9834899999999994E-4</v>
      </c>
      <c r="K153" s="6">
        <v>-1.8241199999999999E-2</v>
      </c>
      <c r="L153" s="6">
        <v>18.2531</v>
      </c>
      <c r="M153" s="6">
        <v>18.2714</v>
      </c>
      <c r="N153" s="6">
        <v>-1.2917200000000001E-3</v>
      </c>
      <c r="O153" s="6">
        <v>-2.40795E-2</v>
      </c>
      <c r="P153" s="6">
        <v>18.6173</v>
      </c>
      <c r="Q153" s="6">
        <v>18.641400000000001</v>
      </c>
      <c r="R153" s="6">
        <v>53.368000000000002</v>
      </c>
      <c r="S153" s="6">
        <v>53.368000000000002</v>
      </c>
      <c r="T153" s="6">
        <v>1.9137999999999999</v>
      </c>
      <c r="U153" s="6">
        <v>6735.21</v>
      </c>
      <c r="V153">
        <f t="shared" si="4"/>
        <v>36.288846982758621</v>
      </c>
      <c r="W153">
        <f t="shared" si="5"/>
        <v>1.097373E-3</v>
      </c>
    </row>
    <row r="154" spans="1:23" x14ac:dyDescent="0.3">
      <c r="A154" s="6">
        <v>147</v>
      </c>
      <c r="B154" s="6">
        <v>2.2635300000000001E-3</v>
      </c>
      <c r="C154" s="6">
        <v>8.8105299999999998E-2</v>
      </c>
      <c r="D154" s="6">
        <v>39.012</v>
      </c>
      <c r="E154" s="6">
        <v>38.923900000000003</v>
      </c>
      <c r="F154" s="6">
        <v>-9.6575899999999995E-4</v>
      </c>
      <c r="G154" s="6">
        <v>-1.87995E-2</v>
      </c>
      <c r="H154" s="6">
        <v>19.447299999999998</v>
      </c>
      <c r="I154" s="6">
        <v>19.466100000000001</v>
      </c>
      <c r="J154" s="6">
        <v>-8.4699299999999999E-4</v>
      </c>
      <c r="K154" s="6">
        <v>-1.54757E-2</v>
      </c>
      <c r="L154" s="6">
        <v>18.2559</v>
      </c>
      <c r="M154" s="6">
        <v>18.2714</v>
      </c>
      <c r="N154" s="6">
        <v>-1.2713900000000001E-3</v>
      </c>
      <c r="O154" s="6">
        <v>-2.3700499999999999E-2</v>
      </c>
      <c r="P154" s="6">
        <v>18.617699999999999</v>
      </c>
      <c r="Q154" s="6">
        <v>18.641400000000001</v>
      </c>
      <c r="R154" s="6">
        <v>53.682000000000002</v>
      </c>
      <c r="S154" s="6">
        <v>53.682000000000002</v>
      </c>
      <c r="T154" s="6">
        <v>1.9278999999999999</v>
      </c>
      <c r="U154" s="6">
        <v>6784.94</v>
      </c>
      <c r="V154">
        <f t="shared" si="4"/>
        <v>36.556788793103451</v>
      </c>
      <c r="W154">
        <f t="shared" si="5"/>
        <v>1.0280473333333332E-3</v>
      </c>
    </row>
    <row r="155" spans="1:23" x14ac:dyDescent="0.3">
      <c r="A155" s="6">
        <v>148</v>
      </c>
      <c r="B155" s="6">
        <v>2.1970499999999999E-3</v>
      </c>
      <c r="C155" s="6">
        <v>8.5517700000000002E-2</v>
      </c>
      <c r="D155" s="6">
        <v>39.009399999999999</v>
      </c>
      <c r="E155" s="6">
        <v>38.923900000000003</v>
      </c>
      <c r="F155" s="6">
        <v>-7.7785500000000004E-4</v>
      </c>
      <c r="G155" s="6">
        <v>-1.51418E-2</v>
      </c>
      <c r="H155" s="6">
        <v>19.450900000000001</v>
      </c>
      <c r="I155" s="6">
        <v>19.466100000000001</v>
      </c>
      <c r="J155" s="6">
        <v>-7.0102999999999995E-4</v>
      </c>
      <c r="K155" s="6">
        <v>-1.28088E-2</v>
      </c>
      <c r="L155" s="6">
        <v>18.258500000000002</v>
      </c>
      <c r="M155" s="6">
        <v>18.2714</v>
      </c>
      <c r="N155" s="6">
        <v>-1.1495100000000001E-3</v>
      </c>
      <c r="O155" s="6">
        <v>-2.14284E-2</v>
      </c>
      <c r="P155" s="6">
        <v>18.619900000000001</v>
      </c>
      <c r="Q155" s="6">
        <v>18.641400000000001</v>
      </c>
      <c r="R155" s="6">
        <v>53.866999999999997</v>
      </c>
      <c r="S155" s="6">
        <v>53.866999999999997</v>
      </c>
      <c r="T155" s="6">
        <v>1.9289000000000001</v>
      </c>
      <c r="U155" s="6">
        <v>6788.33</v>
      </c>
      <c r="V155">
        <f t="shared" si="4"/>
        <v>36.575053879310346</v>
      </c>
      <c r="W155">
        <f t="shared" si="5"/>
        <v>8.7613166666666679E-4</v>
      </c>
    </row>
    <row r="156" spans="1:23" x14ac:dyDescent="0.3">
      <c r="A156" s="6">
        <v>149</v>
      </c>
      <c r="B156" s="6">
        <v>2.2323199999999999E-3</v>
      </c>
      <c r="C156" s="6">
        <v>8.6890499999999996E-2</v>
      </c>
      <c r="D156" s="6">
        <v>39.0107</v>
      </c>
      <c r="E156" s="6">
        <v>38.923900000000003</v>
      </c>
      <c r="F156" s="6">
        <v>-9.2284799999999998E-4</v>
      </c>
      <c r="G156" s="6">
        <v>-1.79642E-2</v>
      </c>
      <c r="H156" s="6">
        <v>19.4481</v>
      </c>
      <c r="I156" s="6">
        <v>19.466100000000001</v>
      </c>
      <c r="J156" s="6">
        <v>-9.1631600000000003E-4</v>
      </c>
      <c r="K156" s="6">
        <v>-1.6742300000000002E-2</v>
      </c>
      <c r="L156" s="6">
        <v>18.2546</v>
      </c>
      <c r="M156" s="6">
        <v>18.2714</v>
      </c>
      <c r="N156" s="6">
        <v>-1.26914E-3</v>
      </c>
      <c r="O156" s="6">
        <v>-2.3658499999999999E-2</v>
      </c>
      <c r="P156" s="6">
        <v>18.617699999999999</v>
      </c>
      <c r="Q156" s="6">
        <v>18.641400000000001</v>
      </c>
      <c r="R156" s="6">
        <v>54.179000000000002</v>
      </c>
      <c r="S156" s="6">
        <v>54.179000000000002</v>
      </c>
      <c r="T156" s="6">
        <v>1.9392</v>
      </c>
      <c r="U156" s="6">
        <v>6824.5</v>
      </c>
      <c r="V156">
        <f t="shared" si="4"/>
        <v>36.769935344827587</v>
      </c>
      <c r="W156">
        <f t="shared" si="5"/>
        <v>1.0361013333333334E-3</v>
      </c>
    </row>
    <row r="157" spans="1:23" x14ac:dyDescent="0.3">
      <c r="A157" s="6">
        <v>150</v>
      </c>
      <c r="B157" s="6">
        <v>2.3059500000000002E-3</v>
      </c>
      <c r="C157" s="6">
        <v>8.9756600000000006E-2</v>
      </c>
      <c r="D157" s="6">
        <v>39.013599999999997</v>
      </c>
      <c r="E157" s="6">
        <v>38.923900000000003</v>
      </c>
      <c r="F157" s="6">
        <v>-1.0443099999999999E-3</v>
      </c>
      <c r="G157" s="6">
        <v>-2.0328599999999999E-2</v>
      </c>
      <c r="H157" s="6">
        <v>19.445699999999999</v>
      </c>
      <c r="I157" s="6">
        <v>19.466100000000001</v>
      </c>
      <c r="J157" s="6">
        <v>-8.9924899999999997E-4</v>
      </c>
      <c r="K157" s="6">
        <v>-1.6430500000000001E-2</v>
      </c>
      <c r="L157" s="6">
        <v>18.254899999999999</v>
      </c>
      <c r="M157" s="6">
        <v>18.2714</v>
      </c>
      <c r="N157" s="6">
        <v>-1.2618200000000001E-3</v>
      </c>
      <c r="O157" s="6">
        <v>-2.3522000000000001E-2</v>
      </c>
      <c r="P157" s="6">
        <v>18.617799999999999</v>
      </c>
      <c r="Q157" s="6">
        <v>18.641400000000001</v>
      </c>
      <c r="R157" s="6">
        <v>54.991999999999997</v>
      </c>
      <c r="S157" s="6">
        <v>54.991999999999997</v>
      </c>
      <c r="T157" s="6">
        <v>1.9737</v>
      </c>
      <c r="U157" s="6">
        <v>6945.44</v>
      </c>
      <c r="V157">
        <f t="shared" si="4"/>
        <v>37.421551724137927</v>
      </c>
      <c r="W157">
        <f t="shared" si="5"/>
        <v>1.0684596666666667E-3</v>
      </c>
    </row>
    <row r="158" spans="1:23" x14ac:dyDescent="0.3">
      <c r="A158" s="6">
        <v>151</v>
      </c>
      <c r="B158" s="6">
        <v>2.3064399999999999E-3</v>
      </c>
      <c r="C158" s="6">
        <v>8.9775499999999994E-2</v>
      </c>
      <c r="D158" s="6">
        <v>39.013599999999997</v>
      </c>
      <c r="E158" s="6">
        <v>38.923900000000003</v>
      </c>
      <c r="F158" s="6">
        <v>-1.08803E-3</v>
      </c>
      <c r="G158" s="6">
        <v>-2.11796E-2</v>
      </c>
      <c r="H158" s="6">
        <v>19.444900000000001</v>
      </c>
      <c r="I158" s="6">
        <v>19.466100000000001</v>
      </c>
      <c r="J158" s="6">
        <v>-1.07204E-3</v>
      </c>
      <c r="K158" s="6">
        <v>-1.95876E-2</v>
      </c>
      <c r="L158" s="6">
        <v>18.251799999999999</v>
      </c>
      <c r="M158" s="6">
        <v>18.2714</v>
      </c>
      <c r="N158" s="6">
        <v>-1.43267E-3</v>
      </c>
      <c r="O158" s="6">
        <v>-2.6707000000000002E-2</v>
      </c>
      <c r="P158" s="6">
        <v>18.614699999999999</v>
      </c>
      <c r="Q158" s="6">
        <v>18.641400000000001</v>
      </c>
      <c r="R158" s="6">
        <v>55.426000000000002</v>
      </c>
      <c r="S158" s="6">
        <v>55.426000000000002</v>
      </c>
      <c r="T158" s="6">
        <v>1.9972000000000001</v>
      </c>
      <c r="U158" s="6">
        <v>7027.95</v>
      </c>
      <c r="V158">
        <f t="shared" si="4"/>
        <v>37.866109913793103</v>
      </c>
      <c r="W158">
        <f t="shared" si="5"/>
        <v>1.19758E-3</v>
      </c>
    </row>
    <row r="159" spans="1:23" x14ac:dyDescent="0.3">
      <c r="A159" s="6">
        <v>152</v>
      </c>
      <c r="B159" s="6">
        <v>2.3828899999999999E-3</v>
      </c>
      <c r="C159" s="6">
        <v>9.2751399999999998E-2</v>
      </c>
      <c r="D159" s="6">
        <v>39.016599999999997</v>
      </c>
      <c r="E159" s="6">
        <v>38.923900000000003</v>
      </c>
      <c r="F159" s="6">
        <v>-9.6035700000000001E-4</v>
      </c>
      <c r="G159" s="6">
        <v>-1.86944E-2</v>
      </c>
      <c r="H159" s="6">
        <v>19.447399999999998</v>
      </c>
      <c r="I159" s="6">
        <v>19.466100000000001</v>
      </c>
      <c r="J159" s="6">
        <v>-8.5836099999999998E-4</v>
      </c>
      <c r="K159" s="6">
        <v>-1.56834E-2</v>
      </c>
      <c r="L159" s="6">
        <v>18.255700000000001</v>
      </c>
      <c r="M159" s="6">
        <v>18.2714</v>
      </c>
      <c r="N159" s="6">
        <v>-1.299E-3</v>
      </c>
      <c r="O159" s="6">
        <v>-2.4215199999999999E-2</v>
      </c>
      <c r="P159" s="6">
        <v>18.617100000000001</v>
      </c>
      <c r="Q159" s="6">
        <v>18.641400000000001</v>
      </c>
      <c r="R159" s="6">
        <v>55.613999999999997</v>
      </c>
      <c r="S159" s="6">
        <v>55.613999999999997</v>
      </c>
      <c r="T159" s="6">
        <v>2.0047000000000001</v>
      </c>
      <c r="U159" s="6">
        <v>7053.95</v>
      </c>
      <c r="V159">
        <f t="shared" si="4"/>
        <v>38.006196120689658</v>
      </c>
      <c r="W159">
        <f t="shared" si="5"/>
        <v>1.0392393333333333E-3</v>
      </c>
    </row>
    <row r="160" spans="1:23" x14ac:dyDescent="0.3">
      <c r="A160" s="6">
        <v>153</v>
      </c>
      <c r="B160" s="6">
        <v>2.30752E-3</v>
      </c>
      <c r="C160" s="6">
        <v>8.9817599999999997E-2</v>
      </c>
      <c r="D160" s="6">
        <v>39.0137</v>
      </c>
      <c r="E160" s="6">
        <v>38.923900000000003</v>
      </c>
      <c r="F160" s="6">
        <v>-1.1352999999999999E-3</v>
      </c>
      <c r="G160" s="6">
        <v>-2.20997E-2</v>
      </c>
      <c r="H160" s="6">
        <v>19.443999999999999</v>
      </c>
      <c r="I160" s="6">
        <v>19.466100000000001</v>
      </c>
      <c r="J160" s="6">
        <v>-1.0780900000000001E-3</v>
      </c>
      <c r="K160" s="6">
        <v>-1.96981E-2</v>
      </c>
      <c r="L160" s="6">
        <v>18.2517</v>
      </c>
      <c r="M160" s="6">
        <v>18.2714</v>
      </c>
      <c r="N160" s="6">
        <v>-1.42052E-3</v>
      </c>
      <c r="O160" s="6">
        <v>-2.6480500000000001E-2</v>
      </c>
      <c r="P160" s="6">
        <v>18.614899999999999</v>
      </c>
      <c r="Q160" s="6">
        <v>18.641400000000001</v>
      </c>
      <c r="R160" s="6">
        <v>56.052</v>
      </c>
      <c r="S160" s="6">
        <v>56.052</v>
      </c>
      <c r="T160" s="6">
        <v>2.024</v>
      </c>
      <c r="U160" s="6">
        <v>7121.76</v>
      </c>
      <c r="V160">
        <f t="shared" si="4"/>
        <v>38.37155172413793</v>
      </c>
      <c r="W160">
        <f t="shared" si="5"/>
        <v>1.2113033333333333E-3</v>
      </c>
    </row>
    <row r="161" spans="1:23" x14ac:dyDescent="0.3">
      <c r="A161" s="6">
        <v>154</v>
      </c>
      <c r="B161" s="6">
        <v>2.3875099999999998E-3</v>
      </c>
      <c r="C161" s="6">
        <v>9.2930899999999997E-2</v>
      </c>
      <c r="D161" s="6">
        <v>39.016800000000003</v>
      </c>
      <c r="E161" s="6">
        <v>38.923900000000003</v>
      </c>
      <c r="F161" s="6">
        <v>-1.0563599999999999E-3</v>
      </c>
      <c r="G161" s="6">
        <v>-2.05632E-2</v>
      </c>
      <c r="H161" s="6">
        <v>19.445499999999999</v>
      </c>
      <c r="I161" s="6">
        <v>19.466100000000001</v>
      </c>
      <c r="J161" s="6">
        <v>-9.5371500000000005E-4</v>
      </c>
      <c r="K161" s="6">
        <v>-1.7425699999999999E-2</v>
      </c>
      <c r="L161" s="6">
        <v>18.253900000000002</v>
      </c>
      <c r="M161" s="6">
        <v>18.2714</v>
      </c>
      <c r="N161" s="6">
        <v>-1.37189E-3</v>
      </c>
      <c r="O161" s="6">
        <v>-2.55739E-2</v>
      </c>
      <c r="P161" s="6">
        <v>18.6158</v>
      </c>
      <c r="Q161" s="6">
        <v>18.641400000000001</v>
      </c>
      <c r="R161" s="6">
        <v>56.176000000000002</v>
      </c>
      <c r="S161" s="6">
        <v>56.176000000000002</v>
      </c>
      <c r="T161" s="6">
        <v>2.0232999999999999</v>
      </c>
      <c r="U161" s="6">
        <v>7119.5</v>
      </c>
      <c r="V161">
        <f t="shared" si="4"/>
        <v>38.359375</v>
      </c>
      <c r="W161">
        <f t="shared" si="5"/>
        <v>1.1273216666666667E-3</v>
      </c>
    </row>
    <row r="162" spans="1:23" x14ac:dyDescent="0.3">
      <c r="A162" s="6">
        <v>155</v>
      </c>
      <c r="B162" s="6">
        <v>2.3591300000000001E-3</v>
      </c>
      <c r="C162" s="6">
        <v>9.1826599999999994E-2</v>
      </c>
      <c r="D162" s="6">
        <v>39.015700000000002</v>
      </c>
      <c r="E162" s="6">
        <v>38.923900000000003</v>
      </c>
      <c r="F162" s="6">
        <v>-1.0368599999999999E-3</v>
      </c>
      <c r="G162" s="6">
        <v>-2.01835E-2</v>
      </c>
      <c r="H162" s="6">
        <v>19.445900000000002</v>
      </c>
      <c r="I162" s="6">
        <v>19.466100000000001</v>
      </c>
      <c r="J162" s="6">
        <v>-1.01285E-3</v>
      </c>
      <c r="K162" s="6">
        <v>-1.85062E-2</v>
      </c>
      <c r="L162" s="6">
        <v>18.252800000000001</v>
      </c>
      <c r="M162" s="6">
        <v>18.2714</v>
      </c>
      <c r="N162" s="6">
        <v>-1.39007E-3</v>
      </c>
      <c r="O162" s="6">
        <v>-2.59127E-2</v>
      </c>
      <c r="P162" s="6">
        <v>18.615500000000001</v>
      </c>
      <c r="Q162" s="6">
        <v>18.641400000000001</v>
      </c>
      <c r="R162" s="6">
        <v>56.674999999999997</v>
      </c>
      <c r="S162" s="6">
        <v>56.674999999999997</v>
      </c>
      <c r="T162" s="6">
        <v>2.0533000000000001</v>
      </c>
      <c r="U162" s="6">
        <v>7224.61</v>
      </c>
      <c r="V162">
        <f t="shared" si="4"/>
        <v>38.925700431034485</v>
      </c>
      <c r="W162">
        <f t="shared" si="5"/>
        <v>1.1465933333333334E-3</v>
      </c>
    </row>
    <row r="163" spans="1:23" x14ac:dyDescent="0.3">
      <c r="A163" s="6">
        <v>156</v>
      </c>
      <c r="B163" s="6">
        <v>2.3410499999999999E-3</v>
      </c>
      <c r="C163" s="6">
        <v>9.1122700000000001E-2</v>
      </c>
      <c r="D163" s="6">
        <v>39.015000000000001</v>
      </c>
      <c r="E163" s="6">
        <v>38.923900000000003</v>
      </c>
      <c r="F163" s="6">
        <v>-1.0187799999999999E-3</v>
      </c>
      <c r="G163" s="6">
        <v>-1.9831499999999998E-2</v>
      </c>
      <c r="H163" s="6">
        <v>19.446200000000001</v>
      </c>
      <c r="I163" s="6">
        <v>19.466100000000001</v>
      </c>
      <c r="J163" s="6">
        <v>-9.3741400000000002E-4</v>
      </c>
      <c r="K163" s="6">
        <v>-1.7127799999999999E-2</v>
      </c>
      <c r="L163" s="6">
        <v>18.254200000000001</v>
      </c>
      <c r="M163" s="6">
        <v>18.2714</v>
      </c>
      <c r="N163" s="6">
        <v>-1.42184E-3</v>
      </c>
      <c r="O163" s="6">
        <v>-2.65051E-2</v>
      </c>
      <c r="P163" s="6">
        <v>18.614899999999999</v>
      </c>
      <c r="Q163" s="6">
        <v>18.641400000000001</v>
      </c>
      <c r="R163" s="6">
        <v>56.862000000000002</v>
      </c>
      <c r="S163" s="6">
        <v>56.862000000000002</v>
      </c>
      <c r="T163" s="6">
        <v>2.0539999999999998</v>
      </c>
      <c r="U163" s="6">
        <v>7226.88</v>
      </c>
      <c r="V163">
        <f t="shared" si="4"/>
        <v>38.937931034482759</v>
      </c>
      <c r="W163">
        <f t="shared" si="5"/>
        <v>1.1260113333333335E-3</v>
      </c>
    </row>
    <row r="164" spans="1:23" x14ac:dyDescent="0.3">
      <c r="A164" s="6">
        <v>157</v>
      </c>
      <c r="B164" s="6">
        <v>2.4137799999999999E-3</v>
      </c>
      <c r="C164" s="6">
        <v>9.3953499999999995E-2</v>
      </c>
      <c r="D164" s="6">
        <v>39.017800000000001</v>
      </c>
      <c r="E164" s="6">
        <v>38.923900000000003</v>
      </c>
      <c r="F164" s="6">
        <v>-1.02811E-3</v>
      </c>
      <c r="G164" s="6">
        <v>-2.0013199999999998E-2</v>
      </c>
      <c r="H164" s="6">
        <v>19.446000000000002</v>
      </c>
      <c r="I164" s="6">
        <v>19.466100000000001</v>
      </c>
      <c r="J164" s="6">
        <v>-9.7228600000000005E-4</v>
      </c>
      <c r="K164" s="6">
        <v>-1.7765E-2</v>
      </c>
      <c r="L164" s="6">
        <v>18.253599999999999</v>
      </c>
      <c r="M164" s="6">
        <v>18.2714</v>
      </c>
      <c r="N164" s="6">
        <v>-1.3131499999999999E-3</v>
      </c>
      <c r="O164" s="6">
        <v>-2.4478900000000001E-2</v>
      </c>
      <c r="P164" s="6">
        <v>18.616900000000001</v>
      </c>
      <c r="Q164" s="6">
        <v>18.641400000000001</v>
      </c>
      <c r="R164" s="6">
        <v>57.360999999999997</v>
      </c>
      <c r="S164" s="6">
        <v>57.360999999999997</v>
      </c>
      <c r="T164" s="6">
        <v>2.0790999999999999</v>
      </c>
      <c r="U164" s="6">
        <v>7315.04</v>
      </c>
      <c r="V164">
        <f t="shared" si="4"/>
        <v>39.41293103448276</v>
      </c>
      <c r="W164">
        <f t="shared" si="5"/>
        <v>1.1045153333333333E-3</v>
      </c>
    </row>
    <row r="165" spans="1:23" x14ac:dyDescent="0.3">
      <c r="A165" s="6">
        <v>158</v>
      </c>
      <c r="B165" s="6">
        <v>2.4557099999999998E-3</v>
      </c>
      <c r="C165" s="6">
        <v>9.5585799999999999E-2</v>
      </c>
      <c r="D165" s="6">
        <v>39.019399999999997</v>
      </c>
      <c r="E165" s="6">
        <v>38.923900000000003</v>
      </c>
      <c r="F165" s="6">
        <v>-1.0425600000000001E-3</v>
      </c>
      <c r="G165" s="6">
        <v>-2.02945E-2</v>
      </c>
      <c r="H165" s="6">
        <v>19.445799999999998</v>
      </c>
      <c r="I165" s="6">
        <v>19.466100000000001</v>
      </c>
      <c r="J165" s="6">
        <v>-9.8223699999999995E-4</v>
      </c>
      <c r="K165" s="6">
        <v>-1.7946799999999999E-2</v>
      </c>
      <c r="L165" s="6">
        <v>18.253399999999999</v>
      </c>
      <c r="M165" s="6">
        <v>18.2714</v>
      </c>
      <c r="N165" s="6">
        <v>-1.4108199999999999E-3</v>
      </c>
      <c r="O165" s="6">
        <v>-2.6299599999999999E-2</v>
      </c>
      <c r="P165" s="6">
        <v>18.615100000000002</v>
      </c>
      <c r="Q165" s="6">
        <v>18.641400000000001</v>
      </c>
      <c r="R165" s="6">
        <v>57.488</v>
      </c>
      <c r="S165" s="6">
        <v>57.488999999999997</v>
      </c>
      <c r="T165" s="6">
        <v>2.0891000000000002</v>
      </c>
      <c r="U165" s="6">
        <v>7350.07</v>
      </c>
      <c r="V165">
        <f t="shared" si="4"/>
        <v>39.601670258620686</v>
      </c>
      <c r="W165">
        <f t="shared" si="5"/>
        <v>1.1452056666666668E-3</v>
      </c>
    </row>
    <row r="166" spans="1:23" x14ac:dyDescent="0.3">
      <c r="A166" s="6">
        <v>159</v>
      </c>
      <c r="B166" s="6">
        <v>2.4034500000000001E-3</v>
      </c>
      <c r="C166" s="6">
        <v>9.3551599999999999E-2</v>
      </c>
      <c r="D166" s="6">
        <v>39.017400000000002</v>
      </c>
      <c r="E166" s="6">
        <v>38.923900000000003</v>
      </c>
      <c r="F166" s="6">
        <v>-1.0282399999999999E-3</v>
      </c>
      <c r="G166" s="6">
        <v>-2.0015700000000001E-2</v>
      </c>
      <c r="H166" s="6">
        <v>19.446000000000002</v>
      </c>
      <c r="I166" s="6">
        <v>19.466100000000001</v>
      </c>
      <c r="J166" s="6">
        <v>-9.8894999999999994E-4</v>
      </c>
      <c r="K166" s="6">
        <v>-1.8069499999999999E-2</v>
      </c>
      <c r="L166" s="6">
        <v>18.253299999999999</v>
      </c>
      <c r="M166" s="6">
        <v>18.2714</v>
      </c>
      <c r="N166" s="6">
        <v>-1.46491E-3</v>
      </c>
      <c r="O166" s="6">
        <v>-2.73079E-2</v>
      </c>
      <c r="P166" s="6">
        <v>18.614100000000001</v>
      </c>
      <c r="Q166" s="6">
        <v>18.641400000000001</v>
      </c>
      <c r="R166" s="6">
        <v>57.860999999999997</v>
      </c>
      <c r="S166" s="6">
        <v>57.860999999999997</v>
      </c>
      <c r="T166" s="6">
        <v>2.0983999999999998</v>
      </c>
      <c r="U166" s="6">
        <v>7382.85</v>
      </c>
      <c r="V166">
        <f t="shared" si="4"/>
        <v>39.778286637931039</v>
      </c>
      <c r="W166">
        <f t="shared" si="5"/>
        <v>1.1607E-3</v>
      </c>
    </row>
    <row r="167" spans="1:23" x14ac:dyDescent="0.3">
      <c r="A167" s="6">
        <v>160</v>
      </c>
      <c r="B167" s="6">
        <v>2.4446300000000002E-3</v>
      </c>
      <c r="C167" s="6">
        <v>9.51544E-2</v>
      </c>
      <c r="D167" s="6">
        <v>39.018999999999998</v>
      </c>
      <c r="E167" s="6">
        <v>38.923900000000003</v>
      </c>
      <c r="F167" s="6">
        <v>-1.04378E-3</v>
      </c>
      <c r="G167" s="6">
        <v>-2.03184E-2</v>
      </c>
      <c r="H167" s="6">
        <v>19.445699999999999</v>
      </c>
      <c r="I167" s="6">
        <v>19.466100000000001</v>
      </c>
      <c r="J167" s="6">
        <v>-9.7455100000000004E-4</v>
      </c>
      <c r="K167" s="6">
        <v>-1.78064E-2</v>
      </c>
      <c r="L167" s="6">
        <v>18.253499999999999</v>
      </c>
      <c r="M167" s="6">
        <v>18.2714</v>
      </c>
      <c r="N167" s="6">
        <v>-1.4074999999999999E-3</v>
      </c>
      <c r="O167" s="6">
        <v>-2.6237699999999999E-2</v>
      </c>
      <c r="P167" s="6">
        <v>18.615100000000002</v>
      </c>
      <c r="Q167" s="6">
        <v>18.641400000000001</v>
      </c>
      <c r="R167" s="6">
        <v>58.427</v>
      </c>
      <c r="S167" s="6">
        <v>58.427</v>
      </c>
      <c r="T167" s="6">
        <v>2.1267999999999998</v>
      </c>
      <c r="U167" s="6">
        <v>7482.31</v>
      </c>
      <c r="V167">
        <f t="shared" si="4"/>
        <v>40.314170258620692</v>
      </c>
      <c r="W167">
        <f t="shared" si="5"/>
        <v>1.1419436666666666E-3</v>
      </c>
    </row>
    <row r="168" spans="1:23" x14ac:dyDescent="0.3">
      <c r="A168" s="6">
        <v>161</v>
      </c>
      <c r="B168" s="6">
        <v>2.5485799999999999E-3</v>
      </c>
      <c r="C168" s="6">
        <v>9.9200700000000003E-2</v>
      </c>
      <c r="D168" s="6">
        <v>39.023099999999999</v>
      </c>
      <c r="E168" s="6">
        <v>38.923900000000003</v>
      </c>
      <c r="F168" s="6">
        <v>-9.4846199999999996E-4</v>
      </c>
      <c r="G168" s="6">
        <v>-1.8462800000000001E-2</v>
      </c>
      <c r="H168" s="6">
        <v>19.447600000000001</v>
      </c>
      <c r="I168" s="6">
        <v>19.466100000000001</v>
      </c>
      <c r="J168" s="6">
        <v>-9.40966E-4</v>
      </c>
      <c r="K168" s="6">
        <v>-1.7192700000000002E-2</v>
      </c>
      <c r="L168" s="6">
        <v>18.254200000000001</v>
      </c>
      <c r="M168" s="6">
        <v>18.2714</v>
      </c>
      <c r="N168" s="6">
        <v>-1.4172399999999999E-3</v>
      </c>
      <c r="O168" s="6">
        <v>-2.64192E-2</v>
      </c>
      <c r="P168" s="6">
        <v>18.614899999999999</v>
      </c>
      <c r="Q168" s="6">
        <v>18.641400000000001</v>
      </c>
      <c r="R168" s="6">
        <v>58.857999999999997</v>
      </c>
      <c r="S168" s="6">
        <v>58.859000000000002</v>
      </c>
      <c r="T168" s="6">
        <v>2.1471</v>
      </c>
      <c r="U168" s="6">
        <v>7553.52</v>
      </c>
      <c r="V168">
        <f t="shared" si="4"/>
        <v>40.697844827586209</v>
      </c>
      <c r="W168">
        <f t="shared" si="5"/>
        <v>1.1022226666666665E-3</v>
      </c>
    </row>
    <row r="169" spans="1:23" x14ac:dyDescent="0.3">
      <c r="A169" s="6">
        <v>162</v>
      </c>
      <c r="B169" s="6">
        <v>2.4968199999999999E-3</v>
      </c>
      <c r="C169" s="6">
        <v>9.7185800000000003E-2</v>
      </c>
      <c r="D169" s="6">
        <v>39.021000000000001</v>
      </c>
      <c r="E169" s="6">
        <v>38.923900000000003</v>
      </c>
      <c r="F169" s="6">
        <v>-1.1182099999999999E-3</v>
      </c>
      <c r="G169" s="6">
        <v>-2.1767100000000001E-2</v>
      </c>
      <c r="H169" s="6">
        <v>19.444299999999998</v>
      </c>
      <c r="I169" s="6">
        <v>19.466100000000001</v>
      </c>
      <c r="J169" s="6">
        <v>-1.1050000000000001E-3</v>
      </c>
      <c r="K169" s="6">
        <v>-2.0189800000000001E-2</v>
      </c>
      <c r="L169" s="6">
        <v>18.251200000000001</v>
      </c>
      <c r="M169" s="6">
        <v>18.2714</v>
      </c>
      <c r="N169" s="6">
        <v>-1.5283600000000001E-3</v>
      </c>
      <c r="O169" s="6">
        <v>-2.8490700000000001E-2</v>
      </c>
      <c r="P169" s="6">
        <v>18.6129</v>
      </c>
      <c r="Q169" s="6">
        <v>18.641400000000001</v>
      </c>
      <c r="R169" s="6">
        <v>59.109000000000002</v>
      </c>
      <c r="S169" s="6">
        <v>59.109000000000002</v>
      </c>
      <c r="T169" s="6">
        <v>2.1480999999999999</v>
      </c>
      <c r="U169" s="6">
        <v>7556.91</v>
      </c>
      <c r="V169">
        <f t="shared" si="4"/>
        <v>40.716109913793105</v>
      </c>
      <c r="W169">
        <f t="shared" si="5"/>
        <v>1.2505233333333333E-3</v>
      </c>
    </row>
    <row r="170" spans="1:23" x14ac:dyDescent="0.3">
      <c r="A170" s="6">
        <v>163</v>
      </c>
      <c r="B170" s="6">
        <v>2.5000000000000001E-3</v>
      </c>
      <c r="C170" s="6">
        <v>9.7309499999999993E-2</v>
      </c>
      <c r="D170" s="6">
        <v>39.0212</v>
      </c>
      <c r="E170" s="6">
        <v>38.923900000000003</v>
      </c>
      <c r="F170" s="6">
        <v>-1.03046E-3</v>
      </c>
      <c r="G170" s="6">
        <v>-2.00591E-2</v>
      </c>
      <c r="H170" s="6">
        <v>19.446000000000002</v>
      </c>
      <c r="I170" s="6">
        <v>19.466100000000001</v>
      </c>
      <c r="J170" s="6">
        <v>-9.8520399999999994E-4</v>
      </c>
      <c r="K170" s="6">
        <v>-1.8001E-2</v>
      </c>
      <c r="L170" s="6">
        <v>18.253399999999999</v>
      </c>
      <c r="M170" s="6">
        <v>18.2714</v>
      </c>
      <c r="N170" s="6">
        <v>-1.4700099999999999E-3</v>
      </c>
      <c r="O170" s="6">
        <v>-2.7403E-2</v>
      </c>
      <c r="P170" s="6">
        <v>18.614000000000001</v>
      </c>
      <c r="Q170" s="6">
        <v>18.641400000000001</v>
      </c>
      <c r="R170" s="6">
        <v>59.42</v>
      </c>
      <c r="S170" s="6">
        <v>59.420999999999999</v>
      </c>
      <c r="T170" s="6">
        <v>2.169</v>
      </c>
      <c r="U170" s="6">
        <v>7630.38</v>
      </c>
      <c r="V170">
        <f t="shared" si="4"/>
        <v>41.111961206896552</v>
      </c>
      <c r="W170">
        <f t="shared" si="5"/>
        <v>1.1618913333333333E-3</v>
      </c>
    </row>
    <row r="171" spans="1:23" x14ac:dyDescent="0.3">
      <c r="A171" s="6">
        <v>164</v>
      </c>
      <c r="B171" s="6">
        <v>2.4727299999999998E-3</v>
      </c>
      <c r="C171" s="6">
        <v>9.6248100000000003E-2</v>
      </c>
      <c r="D171" s="6">
        <v>39.020099999999999</v>
      </c>
      <c r="E171" s="6">
        <v>38.923900000000003</v>
      </c>
      <c r="F171" s="6">
        <v>-1.1212100000000001E-3</v>
      </c>
      <c r="G171" s="6">
        <v>-2.1825600000000001E-2</v>
      </c>
      <c r="H171" s="6">
        <v>19.444199999999999</v>
      </c>
      <c r="I171" s="6">
        <v>19.466100000000001</v>
      </c>
      <c r="J171" s="6">
        <v>-1.08504E-3</v>
      </c>
      <c r="K171" s="6">
        <v>-1.9825099999999998E-2</v>
      </c>
      <c r="L171" s="6">
        <v>18.2515</v>
      </c>
      <c r="M171" s="6">
        <v>18.2714</v>
      </c>
      <c r="N171" s="6">
        <v>-1.5857200000000001E-3</v>
      </c>
      <c r="O171" s="6">
        <v>-2.95599E-2</v>
      </c>
      <c r="P171" s="6">
        <v>18.611799999999999</v>
      </c>
      <c r="Q171" s="6">
        <v>18.641400000000001</v>
      </c>
      <c r="R171" s="6">
        <v>59.609000000000002</v>
      </c>
      <c r="S171" s="6">
        <v>59.609000000000002</v>
      </c>
      <c r="T171" s="6">
        <v>2.1718999999999999</v>
      </c>
      <c r="U171" s="6">
        <v>7640.55</v>
      </c>
      <c r="V171">
        <f t="shared" si="4"/>
        <v>41.166756465517246</v>
      </c>
      <c r="W171">
        <f t="shared" si="5"/>
        <v>1.26399E-3</v>
      </c>
    </row>
    <row r="172" spans="1:23" x14ac:dyDescent="0.3">
      <c r="A172" s="6">
        <v>165</v>
      </c>
      <c r="B172" s="6">
        <v>2.5008500000000002E-3</v>
      </c>
      <c r="C172" s="6">
        <v>9.7342700000000004E-2</v>
      </c>
      <c r="D172" s="6">
        <v>39.0212</v>
      </c>
      <c r="E172" s="6">
        <v>38.923900000000003</v>
      </c>
      <c r="F172" s="6">
        <v>-1.11539E-3</v>
      </c>
      <c r="G172" s="6">
        <v>-2.17123E-2</v>
      </c>
      <c r="H172" s="6">
        <v>19.444400000000002</v>
      </c>
      <c r="I172" s="6">
        <v>19.466100000000001</v>
      </c>
      <c r="J172" s="6">
        <v>-1.05306E-3</v>
      </c>
      <c r="K172" s="6">
        <v>-1.9240899999999998E-2</v>
      </c>
      <c r="L172" s="6">
        <v>18.252099999999999</v>
      </c>
      <c r="M172" s="6">
        <v>18.2714</v>
      </c>
      <c r="N172" s="6">
        <v>-1.50544E-3</v>
      </c>
      <c r="O172" s="6">
        <v>-2.8063500000000002E-2</v>
      </c>
      <c r="P172" s="6">
        <v>18.613299999999999</v>
      </c>
      <c r="Q172" s="6">
        <v>18.641400000000001</v>
      </c>
      <c r="R172" s="6">
        <v>59.920999999999999</v>
      </c>
      <c r="S172" s="6">
        <v>59.920999999999999</v>
      </c>
      <c r="T172" s="6">
        <v>2.1987000000000001</v>
      </c>
      <c r="U172" s="6">
        <v>7734.36</v>
      </c>
      <c r="V172">
        <f t="shared" si="4"/>
        <v>41.672198275862065</v>
      </c>
      <c r="W172">
        <f t="shared" si="5"/>
        <v>1.22463E-3</v>
      </c>
    </row>
    <row r="173" spans="1:23" x14ac:dyDescent="0.3">
      <c r="A173" s="6">
        <v>166</v>
      </c>
      <c r="B173" s="6">
        <v>2.5371600000000001E-3</v>
      </c>
      <c r="C173" s="6">
        <v>9.8755899999999994E-2</v>
      </c>
      <c r="D173" s="6">
        <v>39.022599999999997</v>
      </c>
      <c r="E173" s="6">
        <v>38.923900000000003</v>
      </c>
      <c r="F173" s="6">
        <v>-1.03388E-3</v>
      </c>
      <c r="G173" s="6">
        <v>-2.01256E-2</v>
      </c>
      <c r="H173" s="6">
        <v>19.445900000000002</v>
      </c>
      <c r="I173" s="6">
        <v>19.466100000000001</v>
      </c>
      <c r="J173" s="6">
        <v>-9.1185099999999998E-4</v>
      </c>
      <c r="K173" s="6">
        <v>-1.6660700000000001E-2</v>
      </c>
      <c r="L173" s="6">
        <v>18.2547</v>
      </c>
      <c r="M173" s="6">
        <v>18.2714</v>
      </c>
      <c r="N173" s="6">
        <v>-1.38937E-3</v>
      </c>
      <c r="O173" s="6">
        <v>-2.5899700000000001E-2</v>
      </c>
      <c r="P173" s="6">
        <v>18.615500000000001</v>
      </c>
      <c r="Q173" s="6">
        <v>18.641400000000001</v>
      </c>
      <c r="R173" s="6">
        <v>60.171999999999997</v>
      </c>
      <c r="S173" s="6">
        <v>60.171999999999997</v>
      </c>
      <c r="T173" s="6">
        <v>2.2029000000000001</v>
      </c>
      <c r="U173" s="6">
        <v>7749.06</v>
      </c>
      <c r="V173">
        <f t="shared" si="4"/>
        <v>41.751400862068969</v>
      </c>
      <c r="W173">
        <f t="shared" si="5"/>
        <v>1.1117003333333333E-3</v>
      </c>
    </row>
    <row r="174" spans="1:23" x14ac:dyDescent="0.3">
      <c r="A174" s="6">
        <v>167</v>
      </c>
      <c r="B174" s="6">
        <v>2.5719100000000002E-3</v>
      </c>
      <c r="C174" s="6">
        <v>0.100109</v>
      </c>
      <c r="D174" s="6">
        <v>39.024000000000001</v>
      </c>
      <c r="E174" s="6">
        <v>38.923900000000003</v>
      </c>
      <c r="F174" s="6">
        <v>-9.5213999999999997E-4</v>
      </c>
      <c r="G174" s="6">
        <v>-1.8534399999999999E-2</v>
      </c>
      <c r="H174" s="6">
        <v>19.447500000000002</v>
      </c>
      <c r="I174" s="6">
        <v>19.466100000000001</v>
      </c>
      <c r="J174" s="6">
        <v>-9.0911200000000001E-4</v>
      </c>
      <c r="K174" s="6">
        <v>-1.6610699999999999E-2</v>
      </c>
      <c r="L174" s="6">
        <v>18.2547</v>
      </c>
      <c r="M174" s="6">
        <v>18.2714</v>
      </c>
      <c r="N174" s="6">
        <v>-1.3912499999999999E-3</v>
      </c>
      <c r="O174" s="6">
        <v>-2.5934700000000002E-2</v>
      </c>
      <c r="P174" s="6">
        <v>18.615400000000001</v>
      </c>
      <c r="Q174" s="6">
        <v>18.641400000000001</v>
      </c>
      <c r="R174" s="6">
        <v>60.356000000000002</v>
      </c>
      <c r="S174" s="6">
        <v>60.356000000000002</v>
      </c>
      <c r="T174" s="6">
        <v>2.2124999999999999</v>
      </c>
      <c r="U174" s="6">
        <v>7782.96</v>
      </c>
      <c r="V174">
        <f t="shared" si="4"/>
        <v>41.93405172413793</v>
      </c>
      <c r="W174">
        <f t="shared" si="5"/>
        <v>1.0841673333333334E-3</v>
      </c>
    </row>
    <row r="175" spans="1:23" x14ac:dyDescent="0.3">
      <c r="A175" s="6">
        <v>168</v>
      </c>
      <c r="B175" s="6">
        <v>2.5528399999999998E-3</v>
      </c>
      <c r="C175" s="6">
        <v>9.9366200000000002E-2</v>
      </c>
      <c r="D175" s="6">
        <v>39.023200000000003</v>
      </c>
      <c r="E175" s="6">
        <v>38.923900000000003</v>
      </c>
      <c r="F175" s="6">
        <v>-1.1551300000000001E-3</v>
      </c>
      <c r="G175" s="6">
        <v>-2.24858E-2</v>
      </c>
      <c r="H175" s="6">
        <v>19.4436</v>
      </c>
      <c r="I175" s="6">
        <v>19.466100000000001</v>
      </c>
      <c r="J175" s="6">
        <v>-1.0252E-3</v>
      </c>
      <c r="K175" s="6">
        <v>-1.87318E-2</v>
      </c>
      <c r="L175" s="6">
        <v>18.252600000000001</v>
      </c>
      <c r="M175" s="6">
        <v>18.2714</v>
      </c>
      <c r="N175" s="6">
        <v>-1.4995900000000001E-3</v>
      </c>
      <c r="O175" s="6">
        <v>-2.7954300000000001E-2</v>
      </c>
      <c r="P175" s="6">
        <v>18.613399999999999</v>
      </c>
      <c r="Q175" s="6">
        <v>18.641400000000001</v>
      </c>
      <c r="R175" s="6">
        <v>60.481000000000002</v>
      </c>
      <c r="S175" s="6">
        <v>60.481000000000002</v>
      </c>
      <c r="T175" s="6">
        <v>2.2176999999999998</v>
      </c>
      <c r="U175" s="6">
        <v>7801.05</v>
      </c>
      <c r="V175">
        <f t="shared" si="4"/>
        <v>42.03151939655173</v>
      </c>
      <c r="W175">
        <f t="shared" si="5"/>
        <v>1.2266400000000002E-3</v>
      </c>
    </row>
    <row r="176" spans="1:23" x14ac:dyDescent="0.3">
      <c r="A176" s="6">
        <v>169</v>
      </c>
      <c r="B176" s="6">
        <v>2.5554800000000002E-3</v>
      </c>
      <c r="C176" s="6">
        <v>9.9469199999999994E-2</v>
      </c>
      <c r="D176" s="6">
        <v>39.023299999999999</v>
      </c>
      <c r="E176" s="6">
        <v>38.923900000000003</v>
      </c>
      <c r="F176" s="6">
        <v>-1.2163300000000001E-3</v>
      </c>
      <c r="G176" s="6">
        <v>-2.3677199999999999E-2</v>
      </c>
      <c r="H176" s="6">
        <v>19.442399999999999</v>
      </c>
      <c r="I176" s="6">
        <v>19.466100000000001</v>
      </c>
      <c r="J176" s="6">
        <v>-1.18633E-3</v>
      </c>
      <c r="K176" s="6">
        <v>-2.1675799999999999E-2</v>
      </c>
      <c r="L176" s="6">
        <v>18.249700000000001</v>
      </c>
      <c r="M176" s="6">
        <v>18.2714</v>
      </c>
      <c r="N176" s="6">
        <v>-1.5513199999999999E-3</v>
      </c>
      <c r="O176" s="6">
        <v>-2.8918599999999999E-2</v>
      </c>
      <c r="P176" s="6">
        <v>18.612400000000001</v>
      </c>
      <c r="Q176" s="6">
        <v>18.641400000000001</v>
      </c>
      <c r="R176" s="6">
        <v>60.668999999999997</v>
      </c>
      <c r="S176" s="6">
        <v>60.668999999999997</v>
      </c>
      <c r="T176" s="6">
        <v>2.2269999999999999</v>
      </c>
      <c r="U176" s="6">
        <v>7833.83</v>
      </c>
      <c r="V176">
        <f t="shared" si="4"/>
        <v>42.208135775862068</v>
      </c>
      <c r="W176">
        <f t="shared" si="5"/>
        <v>1.3179933333333333E-3</v>
      </c>
    </row>
    <row r="177" spans="1:23" x14ac:dyDescent="0.3">
      <c r="A177" s="6">
        <v>170</v>
      </c>
      <c r="B177" s="6">
        <v>2.5657000000000002E-3</v>
      </c>
      <c r="C177" s="6">
        <v>9.9866999999999997E-2</v>
      </c>
      <c r="D177" s="6">
        <v>39.023699999999998</v>
      </c>
      <c r="E177" s="6">
        <v>38.923900000000003</v>
      </c>
      <c r="F177" s="6">
        <v>-1.0447099999999999E-3</v>
      </c>
      <c r="G177" s="6">
        <v>-2.0336400000000001E-2</v>
      </c>
      <c r="H177" s="6">
        <v>19.445699999999999</v>
      </c>
      <c r="I177" s="6">
        <v>19.466100000000001</v>
      </c>
      <c r="J177" s="6">
        <v>-1.0121900000000001E-3</v>
      </c>
      <c r="K177" s="6">
        <v>-1.8494099999999999E-2</v>
      </c>
      <c r="L177" s="6">
        <v>18.2529</v>
      </c>
      <c r="M177" s="6">
        <v>18.2714</v>
      </c>
      <c r="N177" s="6">
        <v>-1.4746E-3</v>
      </c>
      <c r="O177" s="6">
        <v>-2.7488599999999998E-2</v>
      </c>
      <c r="P177" s="6">
        <v>18.613900000000001</v>
      </c>
      <c r="Q177" s="6">
        <v>18.641400000000001</v>
      </c>
      <c r="R177" s="6">
        <v>60.795000000000002</v>
      </c>
      <c r="S177" s="6">
        <v>60.795000000000002</v>
      </c>
      <c r="T177" s="6">
        <v>2.2248000000000001</v>
      </c>
      <c r="U177" s="6">
        <v>7825.91</v>
      </c>
      <c r="V177">
        <f t="shared" si="4"/>
        <v>42.165463362068969</v>
      </c>
      <c r="W177">
        <f t="shared" si="5"/>
        <v>1.1771666666666666E-3</v>
      </c>
    </row>
    <row r="178" spans="1:23" x14ac:dyDescent="0.3">
      <c r="A178" s="6">
        <v>171</v>
      </c>
      <c r="B178" s="6">
        <v>2.6302600000000001E-3</v>
      </c>
      <c r="C178" s="6">
        <v>0.10238</v>
      </c>
      <c r="D178" s="6">
        <v>39.026200000000003</v>
      </c>
      <c r="E178" s="6">
        <v>38.923900000000003</v>
      </c>
      <c r="F178" s="6">
        <v>-1.1324200000000001E-3</v>
      </c>
      <c r="G178" s="6">
        <v>-2.2043699999999999E-2</v>
      </c>
      <c r="H178" s="6">
        <v>19.443999999999999</v>
      </c>
      <c r="I178" s="6">
        <v>19.466100000000001</v>
      </c>
      <c r="J178" s="6">
        <v>-1.07156E-3</v>
      </c>
      <c r="K178" s="6">
        <v>-1.95789E-2</v>
      </c>
      <c r="L178" s="6">
        <v>18.251799999999999</v>
      </c>
      <c r="M178" s="6">
        <v>18.2714</v>
      </c>
      <c r="N178" s="6">
        <v>-1.46083E-3</v>
      </c>
      <c r="O178" s="6">
        <v>-2.72318E-2</v>
      </c>
      <c r="P178" s="6">
        <v>18.614100000000001</v>
      </c>
      <c r="Q178" s="6">
        <v>18.641400000000001</v>
      </c>
      <c r="R178" s="6">
        <v>61.167000000000002</v>
      </c>
      <c r="S178" s="6">
        <v>61.167999999999999</v>
      </c>
      <c r="T178" s="6">
        <v>2.2450999999999999</v>
      </c>
      <c r="U178" s="6">
        <v>7897.12</v>
      </c>
      <c r="V178">
        <f t="shared" si="4"/>
        <v>42.549137931034487</v>
      </c>
      <c r="W178">
        <f t="shared" si="5"/>
        <v>1.2216033333333333E-3</v>
      </c>
    </row>
    <row r="179" spans="1:23" x14ac:dyDescent="0.3">
      <c r="A179" s="6">
        <v>172</v>
      </c>
      <c r="B179" s="6">
        <v>2.6326100000000001E-3</v>
      </c>
      <c r="C179" s="6">
        <v>0.10247100000000001</v>
      </c>
      <c r="D179" s="6">
        <v>39.026299999999999</v>
      </c>
      <c r="E179" s="6">
        <v>38.923900000000003</v>
      </c>
      <c r="F179" s="6">
        <v>-1.0076499999999999E-3</v>
      </c>
      <c r="G179" s="6">
        <v>-1.9615E-2</v>
      </c>
      <c r="H179" s="6">
        <v>19.446400000000001</v>
      </c>
      <c r="I179" s="6">
        <v>19.466100000000001</v>
      </c>
      <c r="J179" s="6">
        <v>-9.5194500000000005E-4</v>
      </c>
      <c r="K179" s="6">
        <v>-1.73933E-2</v>
      </c>
      <c r="L179" s="6">
        <v>18.254000000000001</v>
      </c>
      <c r="M179" s="6">
        <v>18.2714</v>
      </c>
      <c r="N179" s="6">
        <v>-1.44922E-3</v>
      </c>
      <c r="O179" s="6">
        <v>-2.7015500000000001E-2</v>
      </c>
      <c r="P179" s="6">
        <v>18.6143</v>
      </c>
      <c r="Q179" s="6">
        <v>18.641400000000001</v>
      </c>
      <c r="R179" s="6">
        <v>61.790999999999997</v>
      </c>
      <c r="S179" s="6">
        <v>61.790999999999997</v>
      </c>
      <c r="T179" s="6">
        <v>2.2711999999999999</v>
      </c>
      <c r="U179" s="6">
        <v>7988.67</v>
      </c>
      <c r="V179">
        <f t="shared" si="4"/>
        <v>43.042403017241384</v>
      </c>
      <c r="W179">
        <f t="shared" si="5"/>
        <v>1.1362716666666666E-3</v>
      </c>
    </row>
    <row r="180" spans="1:23" x14ac:dyDescent="0.3">
      <c r="A180" s="6">
        <v>173</v>
      </c>
      <c r="B180" s="6">
        <v>2.5926399999999998E-3</v>
      </c>
      <c r="C180" s="6">
        <v>0.100915</v>
      </c>
      <c r="D180" s="6">
        <v>39.024799999999999</v>
      </c>
      <c r="E180" s="6">
        <v>38.923900000000003</v>
      </c>
      <c r="F180" s="6">
        <v>-1.1626E-3</v>
      </c>
      <c r="G180" s="6">
        <v>-2.26313E-2</v>
      </c>
      <c r="H180" s="6">
        <v>19.4434</v>
      </c>
      <c r="I180" s="6">
        <v>19.466100000000001</v>
      </c>
      <c r="J180" s="6">
        <v>-1.1188000000000001E-3</v>
      </c>
      <c r="K180" s="6">
        <v>-2.0442100000000001E-2</v>
      </c>
      <c r="L180" s="6">
        <v>18.250900000000001</v>
      </c>
      <c r="M180" s="6">
        <v>18.2714</v>
      </c>
      <c r="N180" s="6">
        <v>-1.5769200000000001E-3</v>
      </c>
      <c r="O180" s="6">
        <v>-2.9395899999999999E-2</v>
      </c>
      <c r="P180" s="6">
        <v>18.611999999999998</v>
      </c>
      <c r="Q180" s="6">
        <v>18.641400000000001</v>
      </c>
      <c r="R180" s="6">
        <v>61.978999999999999</v>
      </c>
      <c r="S180" s="6">
        <v>61.978999999999999</v>
      </c>
      <c r="T180" s="6">
        <v>2.2820999999999998</v>
      </c>
      <c r="U180" s="6">
        <v>8027.1</v>
      </c>
      <c r="V180">
        <f t="shared" si="4"/>
        <v>43.249461206896555</v>
      </c>
      <c r="W180">
        <f t="shared" si="5"/>
        <v>1.2861066666666667E-3</v>
      </c>
    </row>
    <row r="181" spans="1:23" x14ac:dyDescent="0.3">
      <c r="A181" s="6">
        <v>174</v>
      </c>
      <c r="B181" s="6">
        <v>2.6420699999999998E-3</v>
      </c>
      <c r="C181" s="6">
        <v>0.10284</v>
      </c>
      <c r="D181" s="6">
        <v>39.026699999999998</v>
      </c>
      <c r="E181" s="6">
        <v>38.923900000000003</v>
      </c>
      <c r="F181" s="6">
        <v>-1.1266200000000001E-3</v>
      </c>
      <c r="G181" s="6">
        <v>-2.19309E-2</v>
      </c>
      <c r="H181" s="6">
        <v>19.444099999999999</v>
      </c>
      <c r="I181" s="6">
        <v>19.466100000000001</v>
      </c>
      <c r="J181" s="6">
        <v>-1.07554E-3</v>
      </c>
      <c r="K181" s="6">
        <v>-1.9651600000000002E-2</v>
      </c>
      <c r="L181" s="6">
        <v>18.2517</v>
      </c>
      <c r="M181" s="6">
        <v>18.2714</v>
      </c>
      <c r="N181" s="6">
        <v>-1.59282E-3</v>
      </c>
      <c r="O181" s="6">
        <v>-2.9692300000000001E-2</v>
      </c>
      <c r="P181" s="6">
        <v>18.611699999999999</v>
      </c>
      <c r="Q181" s="6">
        <v>18.641400000000001</v>
      </c>
      <c r="R181" s="6">
        <v>62.29</v>
      </c>
      <c r="S181" s="6">
        <v>62.29</v>
      </c>
      <c r="T181" s="6">
        <v>2.2911999999999999</v>
      </c>
      <c r="U181" s="6">
        <v>8058.75</v>
      </c>
      <c r="V181">
        <f t="shared" si="4"/>
        <v>43.419989224137929</v>
      </c>
      <c r="W181">
        <f t="shared" si="5"/>
        <v>1.2649933333333332E-3</v>
      </c>
    </row>
    <row r="182" spans="1:23" x14ac:dyDescent="0.3">
      <c r="A182" s="6">
        <v>175</v>
      </c>
      <c r="B182" s="6">
        <v>2.6118700000000001E-3</v>
      </c>
      <c r="C182" s="6">
        <v>0.101664</v>
      </c>
      <c r="D182" s="6">
        <v>39.025500000000001</v>
      </c>
      <c r="E182" s="6">
        <v>38.923900000000003</v>
      </c>
      <c r="F182" s="6">
        <v>-1.1911300000000001E-3</v>
      </c>
      <c r="G182" s="6">
        <v>-2.3186600000000002E-2</v>
      </c>
      <c r="H182" s="6">
        <v>19.442900000000002</v>
      </c>
      <c r="I182" s="6">
        <v>19.466100000000001</v>
      </c>
      <c r="J182" s="6">
        <v>-1.1015300000000001E-3</v>
      </c>
      <c r="K182" s="6">
        <v>-2.0126399999999999E-2</v>
      </c>
      <c r="L182" s="6">
        <v>18.251200000000001</v>
      </c>
      <c r="M182" s="6">
        <v>18.2714</v>
      </c>
      <c r="N182" s="6">
        <v>-1.53554E-3</v>
      </c>
      <c r="O182" s="6">
        <v>-2.86246E-2</v>
      </c>
      <c r="P182" s="6">
        <v>18.6127</v>
      </c>
      <c r="Q182" s="6">
        <v>18.641400000000001</v>
      </c>
      <c r="R182" s="6">
        <v>62.665999999999997</v>
      </c>
      <c r="S182" s="6">
        <v>62.667000000000002</v>
      </c>
      <c r="T182" s="6">
        <v>2.3115000000000001</v>
      </c>
      <c r="U182" s="6">
        <v>8129.95</v>
      </c>
      <c r="V182">
        <f t="shared" si="4"/>
        <v>43.803609913793103</v>
      </c>
      <c r="W182">
        <f t="shared" si="5"/>
        <v>1.2760666666666667E-3</v>
      </c>
    </row>
    <row r="183" spans="1:23" x14ac:dyDescent="0.3">
      <c r="A183" s="6">
        <v>176</v>
      </c>
      <c r="B183" s="6">
        <v>2.63379E-3</v>
      </c>
      <c r="C183" s="6">
        <v>0.102517</v>
      </c>
      <c r="D183" s="6">
        <v>39.026400000000002</v>
      </c>
      <c r="E183" s="6">
        <v>38.923900000000003</v>
      </c>
      <c r="F183" s="6">
        <v>-1.17479E-3</v>
      </c>
      <c r="G183" s="6">
        <v>-2.2868599999999999E-2</v>
      </c>
      <c r="H183" s="6">
        <v>19.443200000000001</v>
      </c>
      <c r="I183" s="6">
        <v>19.466100000000001</v>
      </c>
      <c r="J183" s="6">
        <v>-1.0770199999999999E-3</v>
      </c>
      <c r="K183" s="6">
        <v>-1.9678500000000002E-2</v>
      </c>
      <c r="L183" s="6">
        <v>18.2517</v>
      </c>
      <c r="M183" s="6">
        <v>18.2714</v>
      </c>
      <c r="N183" s="6">
        <v>-1.55434E-3</v>
      </c>
      <c r="O183" s="6">
        <v>-2.89751E-2</v>
      </c>
      <c r="P183" s="6">
        <v>18.612400000000001</v>
      </c>
      <c r="Q183" s="6">
        <v>18.641400000000001</v>
      </c>
      <c r="R183" s="6">
        <v>62.789000000000001</v>
      </c>
      <c r="S183" s="6">
        <v>62.789000000000001</v>
      </c>
      <c r="T183" s="6">
        <v>2.3298000000000001</v>
      </c>
      <c r="U183" s="6">
        <v>8194.3799999999992</v>
      </c>
      <c r="V183">
        <f t="shared" si="4"/>
        <v>44.150754310344823</v>
      </c>
      <c r="W183">
        <f t="shared" si="5"/>
        <v>1.2687166666666666E-3</v>
      </c>
    </row>
    <row r="184" spans="1:23" x14ac:dyDescent="0.3">
      <c r="A184" s="6">
        <v>177</v>
      </c>
      <c r="B184" s="6">
        <v>2.6832100000000001E-3</v>
      </c>
      <c r="C184" s="6">
        <v>0.10444100000000001</v>
      </c>
      <c r="D184" s="6">
        <v>39.028300000000002</v>
      </c>
      <c r="E184" s="6">
        <v>38.923900000000003</v>
      </c>
      <c r="F184" s="6">
        <v>-1.17124E-3</v>
      </c>
      <c r="G184" s="6">
        <v>-2.27995E-2</v>
      </c>
      <c r="H184" s="6">
        <v>19.443300000000001</v>
      </c>
      <c r="I184" s="6">
        <v>19.466100000000001</v>
      </c>
      <c r="J184" s="6">
        <v>-1.11333E-3</v>
      </c>
      <c r="K184" s="6">
        <v>-2.0341999999999999E-2</v>
      </c>
      <c r="L184" s="6">
        <v>18.251000000000001</v>
      </c>
      <c r="M184" s="6">
        <v>18.2714</v>
      </c>
      <c r="N184" s="6">
        <v>-1.5632300000000001E-3</v>
      </c>
      <c r="O184" s="6">
        <v>-2.9140699999999999E-2</v>
      </c>
      <c r="P184" s="6">
        <v>18.612200000000001</v>
      </c>
      <c r="Q184" s="6">
        <v>18.641400000000001</v>
      </c>
      <c r="R184" s="6">
        <v>63.04</v>
      </c>
      <c r="S184" s="6">
        <v>63.04</v>
      </c>
      <c r="T184" s="6">
        <v>2.3315000000000001</v>
      </c>
      <c r="U184" s="6">
        <v>8200.0300000000007</v>
      </c>
      <c r="V184">
        <f t="shared" si="4"/>
        <v>44.181196120689663</v>
      </c>
      <c r="W184">
        <f t="shared" si="5"/>
        <v>1.2826000000000001E-3</v>
      </c>
    </row>
    <row r="185" spans="1:23" x14ac:dyDescent="0.3">
      <c r="A185" s="6">
        <v>178</v>
      </c>
      <c r="B185" s="6">
        <v>2.6761100000000002E-3</v>
      </c>
      <c r="C185" s="6">
        <v>0.10416400000000001</v>
      </c>
      <c r="D185" s="6">
        <v>39.027999999999999</v>
      </c>
      <c r="E185" s="6">
        <v>38.923900000000003</v>
      </c>
      <c r="F185" s="6">
        <v>-1.2586100000000001E-3</v>
      </c>
      <c r="G185" s="6">
        <v>-2.45002E-2</v>
      </c>
      <c r="H185" s="6">
        <v>19.441600000000001</v>
      </c>
      <c r="I185" s="6">
        <v>19.466100000000001</v>
      </c>
      <c r="J185" s="6">
        <v>-1.1822099999999999E-3</v>
      </c>
      <c r="K185" s="6">
        <v>-2.1600500000000002E-2</v>
      </c>
      <c r="L185" s="6">
        <v>18.2498</v>
      </c>
      <c r="M185" s="6">
        <v>18.2714</v>
      </c>
      <c r="N185" s="6">
        <v>-1.6420199999999999E-3</v>
      </c>
      <c r="O185" s="6">
        <v>-3.0609500000000001E-2</v>
      </c>
      <c r="P185" s="6">
        <v>18.610800000000001</v>
      </c>
      <c r="Q185" s="6">
        <v>18.641400000000001</v>
      </c>
      <c r="R185" s="6">
        <v>63.414999999999999</v>
      </c>
      <c r="S185" s="6">
        <v>63.414999999999999</v>
      </c>
      <c r="T185" s="6">
        <v>2.3439999999999999</v>
      </c>
      <c r="U185" s="6">
        <v>8244.11</v>
      </c>
      <c r="V185">
        <f t="shared" si="4"/>
        <v>44.41869612068966</v>
      </c>
      <c r="W185">
        <f t="shared" si="5"/>
        <v>1.3609466666666666E-3</v>
      </c>
    </row>
    <row r="186" spans="1:23" x14ac:dyDescent="0.3">
      <c r="A186" s="6">
        <v>179</v>
      </c>
      <c r="B186" s="6">
        <v>2.7103700000000001E-3</v>
      </c>
      <c r="C186" s="6">
        <v>0.10549799999999999</v>
      </c>
      <c r="D186" s="6">
        <v>39.029400000000003</v>
      </c>
      <c r="E186" s="6">
        <v>38.923900000000003</v>
      </c>
      <c r="F186" s="6">
        <v>-1.22365E-3</v>
      </c>
      <c r="G186" s="6">
        <v>-2.3819699999999999E-2</v>
      </c>
      <c r="H186" s="6">
        <v>19.4422</v>
      </c>
      <c r="I186" s="6">
        <v>19.466100000000001</v>
      </c>
      <c r="J186" s="6">
        <v>-1.1403299999999999E-3</v>
      </c>
      <c r="K186" s="6">
        <v>-2.0835300000000001E-2</v>
      </c>
      <c r="L186" s="6">
        <v>18.250499999999999</v>
      </c>
      <c r="M186" s="6">
        <v>18.2714</v>
      </c>
      <c r="N186" s="6">
        <v>-1.57103E-3</v>
      </c>
      <c r="O186" s="6">
        <v>-2.9286099999999999E-2</v>
      </c>
      <c r="P186" s="6">
        <v>18.612100000000002</v>
      </c>
      <c r="Q186" s="6">
        <v>18.641400000000001</v>
      </c>
      <c r="R186" s="6">
        <v>63.789000000000001</v>
      </c>
      <c r="S186" s="6">
        <v>63.789000000000001</v>
      </c>
      <c r="T186" s="6">
        <v>2.3485</v>
      </c>
      <c r="U186" s="6">
        <v>8259.93</v>
      </c>
      <c r="V186">
        <f t="shared" si="4"/>
        <v>44.503933189655179</v>
      </c>
      <c r="W186">
        <f t="shared" si="5"/>
        <v>1.31167E-3</v>
      </c>
    </row>
    <row r="187" spans="1:23" x14ac:dyDescent="0.3">
      <c r="A187" s="6">
        <v>180</v>
      </c>
      <c r="B187" s="6">
        <v>2.7199300000000002E-3</v>
      </c>
      <c r="C187" s="6">
        <v>0.10587000000000001</v>
      </c>
      <c r="D187" s="6">
        <v>39.029699999999998</v>
      </c>
      <c r="E187" s="6">
        <v>38.923900000000003</v>
      </c>
      <c r="F187" s="6">
        <v>-1.3007400000000001E-3</v>
      </c>
      <c r="G187" s="6">
        <v>-2.5320200000000001E-2</v>
      </c>
      <c r="H187" s="6">
        <v>19.4407</v>
      </c>
      <c r="I187" s="6">
        <v>19.466100000000001</v>
      </c>
      <c r="J187" s="6">
        <v>-1.2447700000000001E-3</v>
      </c>
      <c r="K187" s="6">
        <v>-2.2743699999999999E-2</v>
      </c>
      <c r="L187" s="6">
        <v>18.2486</v>
      </c>
      <c r="M187" s="6">
        <v>18.2714</v>
      </c>
      <c r="N187" s="6">
        <v>-1.6443300000000001E-3</v>
      </c>
      <c r="O187" s="6">
        <v>-3.0652499999999999E-2</v>
      </c>
      <c r="P187" s="6">
        <v>18.610700000000001</v>
      </c>
      <c r="Q187" s="6">
        <v>18.641400000000001</v>
      </c>
      <c r="R187" s="6">
        <v>64.039000000000001</v>
      </c>
      <c r="S187" s="6">
        <v>64.039000000000001</v>
      </c>
      <c r="T187" s="6">
        <v>2.3736999999999999</v>
      </c>
      <c r="U187" s="6">
        <v>8348.1</v>
      </c>
      <c r="V187">
        <f t="shared" si="4"/>
        <v>44.978987068965523</v>
      </c>
      <c r="W187">
        <f t="shared" si="5"/>
        <v>1.3966133333333335E-3</v>
      </c>
    </row>
    <row r="188" spans="1:23" x14ac:dyDescent="0.3">
      <c r="A188" s="6">
        <v>181</v>
      </c>
      <c r="B188" s="6">
        <v>2.7651099999999999E-3</v>
      </c>
      <c r="C188" s="6">
        <v>0.107629</v>
      </c>
      <c r="D188" s="6">
        <v>39.031500000000001</v>
      </c>
      <c r="E188" s="6">
        <v>38.923900000000003</v>
      </c>
      <c r="F188" s="6">
        <v>-1.15982E-3</v>
      </c>
      <c r="G188" s="6">
        <v>-2.2577199999999999E-2</v>
      </c>
      <c r="H188" s="6">
        <v>19.4435</v>
      </c>
      <c r="I188" s="6">
        <v>19.466100000000001</v>
      </c>
      <c r="J188" s="6">
        <v>-1.04185E-3</v>
      </c>
      <c r="K188" s="6">
        <v>-1.9036000000000001E-2</v>
      </c>
      <c r="L188" s="6">
        <v>18.252300000000002</v>
      </c>
      <c r="M188" s="6">
        <v>18.2714</v>
      </c>
      <c r="N188" s="6">
        <v>-1.5376700000000001E-3</v>
      </c>
      <c r="O188" s="6">
        <v>-2.8664200000000001E-2</v>
      </c>
      <c r="P188" s="6">
        <v>18.6127</v>
      </c>
      <c r="Q188" s="6">
        <v>18.641400000000001</v>
      </c>
      <c r="R188" s="6">
        <v>64.227000000000004</v>
      </c>
      <c r="S188" s="6">
        <v>64.227000000000004</v>
      </c>
      <c r="T188" s="6">
        <v>2.3795000000000002</v>
      </c>
      <c r="U188" s="6">
        <v>8368.44</v>
      </c>
      <c r="V188">
        <f t="shared" si="4"/>
        <v>45.088577586206902</v>
      </c>
      <c r="W188">
        <f t="shared" si="5"/>
        <v>1.2464466666666668E-3</v>
      </c>
    </row>
    <row r="189" spans="1:23" x14ac:dyDescent="0.3">
      <c r="A189" s="6">
        <v>182</v>
      </c>
      <c r="B189" s="6">
        <v>2.6997100000000001E-3</v>
      </c>
      <c r="C189" s="6">
        <v>0.105083</v>
      </c>
      <c r="D189" s="6">
        <v>39.0289</v>
      </c>
      <c r="E189" s="6">
        <v>38.923900000000003</v>
      </c>
      <c r="F189" s="6">
        <v>-1.1877400000000001E-3</v>
      </c>
      <c r="G189" s="6">
        <v>-2.3120600000000002E-2</v>
      </c>
      <c r="H189" s="6">
        <v>19.442900000000002</v>
      </c>
      <c r="I189" s="6">
        <v>19.466100000000001</v>
      </c>
      <c r="J189" s="6">
        <v>-1.1067200000000001E-3</v>
      </c>
      <c r="K189" s="6">
        <v>-2.0221200000000002E-2</v>
      </c>
      <c r="L189" s="6">
        <v>18.251100000000001</v>
      </c>
      <c r="M189" s="6">
        <v>18.2714</v>
      </c>
      <c r="N189" s="6">
        <v>-1.59348E-3</v>
      </c>
      <c r="O189" s="6">
        <v>-2.9704600000000001E-2</v>
      </c>
      <c r="P189" s="6">
        <v>18.611699999999999</v>
      </c>
      <c r="Q189" s="6">
        <v>18.641400000000001</v>
      </c>
      <c r="R189" s="6">
        <v>64.664000000000001</v>
      </c>
      <c r="S189" s="6">
        <v>64.664000000000001</v>
      </c>
      <c r="T189" s="6">
        <v>2.3961999999999999</v>
      </c>
      <c r="U189" s="6">
        <v>8427.2099999999991</v>
      </c>
      <c r="V189">
        <f t="shared" si="4"/>
        <v>45.405226293103446</v>
      </c>
      <c r="W189">
        <f t="shared" si="5"/>
        <v>1.29598E-3</v>
      </c>
    </row>
    <row r="190" spans="1:23" x14ac:dyDescent="0.3">
      <c r="A190" s="6">
        <v>183</v>
      </c>
      <c r="B190" s="6">
        <v>2.7939200000000001E-3</v>
      </c>
      <c r="C190" s="6">
        <v>0.10875</v>
      </c>
      <c r="D190" s="6">
        <v>39.032600000000002</v>
      </c>
      <c r="E190" s="6">
        <v>38.923900000000003</v>
      </c>
      <c r="F190" s="6">
        <v>-1.10659E-3</v>
      </c>
      <c r="G190" s="6">
        <v>-2.1540900000000002E-2</v>
      </c>
      <c r="H190" s="6">
        <v>19.444500000000001</v>
      </c>
      <c r="I190" s="6">
        <v>19.466100000000001</v>
      </c>
      <c r="J190" s="6">
        <v>-1.0014900000000001E-3</v>
      </c>
      <c r="K190" s="6">
        <v>-1.8298499999999999E-2</v>
      </c>
      <c r="L190" s="6">
        <v>18.2531</v>
      </c>
      <c r="M190" s="6">
        <v>18.2714</v>
      </c>
      <c r="N190" s="6">
        <v>-1.5166999999999999E-3</v>
      </c>
      <c r="O190" s="6">
        <v>-2.8273300000000001E-2</v>
      </c>
      <c r="P190" s="6">
        <v>18.613099999999999</v>
      </c>
      <c r="Q190" s="6">
        <v>18.641400000000001</v>
      </c>
      <c r="R190" s="6">
        <v>64.975999999999999</v>
      </c>
      <c r="S190" s="6">
        <v>64.975999999999999</v>
      </c>
      <c r="T190" s="6">
        <v>2.4127000000000001</v>
      </c>
      <c r="U190" s="6">
        <v>8484.86</v>
      </c>
      <c r="V190">
        <f t="shared" si="4"/>
        <v>45.715840517241382</v>
      </c>
      <c r="W190">
        <f t="shared" si="5"/>
        <v>1.2082600000000001E-3</v>
      </c>
    </row>
    <row r="191" spans="1:23" x14ac:dyDescent="0.3">
      <c r="A191" s="6">
        <v>184</v>
      </c>
      <c r="B191" s="6">
        <v>2.7375899999999998E-3</v>
      </c>
      <c r="C191" s="6">
        <v>0.106558</v>
      </c>
      <c r="D191" s="6">
        <v>39.0304</v>
      </c>
      <c r="E191" s="6">
        <v>38.923900000000003</v>
      </c>
      <c r="F191" s="6">
        <v>-1.26351E-3</v>
      </c>
      <c r="G191" s="6">
        <v>-2.4595499999999999E-2</v>
      </c>
      <c r="H191" s="6">
        <v>19.441500000000001</v>
      </c>
      <c r="I191" s="6">
        <v>19.466100000000001</v>
      </c>
      <c r="J191" s="6">
        <v>-1.1550099999999999E-3</v>
      </c>
      <c r="K191" s="6">
        <v>-2.11036E-2</v>
      </c>
      <c r="L191" s="6">
        <v>18.2502</v>
      </c>
      <c r="M191" s="6">
        <v>18.2714</v>
      </c>
      <c r="N191" s="6">
        <v>-1.57344E-3</v>
      </c>
      <c r="O191" s="6">
        <v>-2.9330999999999999E-2</v>
      </c>
      <c r="P191" s="6">
        <v>18.611999999999998</v>
      </c>
      <c r="Q191" s="6">
        <v>18.641400000000001</v>
      </c>
      <c r="R191" s="6">
        <v>65.225999999999999</v>
      </c>
      <c r="S191" s="6">
        <v>65.225999999999999</v>
      </c>
      <c r="T191" s="6">
        <v>2.4217</v>
      </c>
      <c r="U191" s="6">
        <v>8516.5</v>
      </c>
      <c r="V191">
        <f t="shared" si="4"/>
        <v>45.886314655172413</v>
      </c>
      <c r="W191">
        <f t="shared" si="5"/>
        <v>1.3306533333333334E-3</v>
      </c>
    </row>
    <row r="192" spans="1:23" x14ac:dyDescent="0.3">
      <c r="A192" s="6">
        <v>185</v>
      </c>
      <c r="B192" s="6">
        <v>2.8333E-3</v>
      </c>
      <c r="C192" s="6">
        <v>0.11028300000000001</v>
      </c>
      <c r="D192" s="6">
        <v>39.034100000000002</v>
      </c>
      <c r="E192" s="6">
        <v>38.923900000000003</v>
      </c>
      <c r="F192" s="6">
        <v>-1.33585E-3</v>
      </c>
      <c r="G192" s="6">
        <v>-2.6003800000000001E-2</v>
      </c>
      <c r="H192" s="6">
        <v>19.440100000000001</v>
      </c>
      <c r="I192" s="6">
        <v>19.466100000000001</v>
      </c>
      <c r="J192" s="6">
        <v>-1.19422E-3</v>
      </c>
      <c r="K192" s="6">
        <v>-2.1820099999999999E-2</v>
      </c>
      <c r="L192" s="6">
        <v>18.249500000000001</v>
      </c>
      <c r="M192" s="6">
        <v>18.2714</v>
      </c>
      <c r="N192" s="6">
        <v>-1.59538E-3</v>
      </c>
      <c r="O192" s="6">
        <v>-2.9739999999999999E-2</v>
      </c>
      <c r="P192" s="6">
        <v>18.611599999999999</v>
      </c>
      <c r="Q192" s="6">
        <v>18.641400000000001</v>
      </c>
      <c r="R192" s="6">
        <v>65.412999999999997</v>
      </c>
      <c r="S192" s="6">
        <v>65.412999999999997</v>
      </c>
      <c r="T192" s="6">
        <v>2.4256000000000002</v>
      </c>
      <c r="U192" s="6">
        <v>8530.07</v>
      </c>
      <c r="V192">
        <f t="shared" si="4"/>
        <v>45.959428879310344</v>
      </c>
      <c r="W192">
        <f t="shared" si="5"/>
        <v>1.3751499999999997E-3</v>
      </c>
    </row>
    <row r="193" spans="1:23" x14ac:dyDescent="0.3">
      <c r="A193" s="6">
        <v>186</v>
      </c>
      <c r="B193" s="6">
        <v>2.7683199999999999E-3</v>
      </c>
      <c r="C193" s="6">
        <v>0.107754</v>
      </c>
      <c r="D193" s="6">
        <v>39.031599999999997</v>
      </c>
      <c r="E193" s="6">
        <v>38.923900000000003</v>
      </c>
      <c r="F193" s="6">
        <v>-1.2085500000000001E-3</v>
      </c>
      <c r="G193" s="6">
        <v>-2.3525799999999999E-2</v>
      </c>
      <c r="H193" s="6">
        <v>19.442499999999999</v>
      </c>
      <c r="I193" s="6">
        <v>19.466100000000001</v>
      </c>
      <c r="J193" s="6">
        <v>-1.1639700000000001E-3</v>
      </c>
      <c r="K193" s="6">
        <v>-2.1267299999999999E-2</v>
      </c>
      <c r="L193" s="6">
        <v>18.2501</v>
      </c>
      <c r="M193" s="6">
        <v>18.2714</v>
      </c>
      <c r="N193" s="6">
        <v>-1.6554899999999999E-3</v>
      </c>
      <c r="O193" s="6">
        <v>-3.0860599999999998E-2</v>
      </c>
      <c r="P193" s="6">
        <v>18.610499999999998</v>
      </c>
      <c r="Q193" s="6">
        <v>18.641400000000001</v>
      </c>
      <c r="R193" s="6">
        <v>65.849000000000004</v>
      </c>
      <c r="S193" s="6">
        <v>65.849000000000004</v>
      </c>
      <c r="T193" s="6">
        <v>2.4478</v>
      </c>
      <c r="U193" s="6">
        <v>8608.06</v>
      </c>
      <c r="V193">
        <f t="shared" si="4"/>
        <v>46.379633620689653</v>
      </c>
      <c r="W193">
        <f t="shared" si="5"/>
        <v>1.34267E-3</v>
      </c>
    </row>
    <row r="194" spans="1:23" x14ac:dyDescent="0.3">
      <c r="A194" s="6">
        <v>187</v>
      </c>
      <c r="B194" s="6">
        <v>2.8541299999999999E-3</v>
      </c>
      <c r="C194" s="6">
        <v>0.111094</v>
      </c>
      <c r="D194" s="6">
        <v>39.034999999999997</v>
      </c>
      <c r="E194" s="6">
        <v>38.923900000000003</v>
      </c>
      <c r="F194" s="6">
        <v>-1.2976299999999999E-3</v>
      </c>
      <c r="G194" s="6">
        <v>-2.52596E-2</v>
      </c>
      <c r="H194" s="6">
        <v>19.440799999999999</v>
      </c>
      <c r="I194" s="6">
        <v>19.466100000000001</v>
      </c>
      <c r="J194" s="6">
        <v>-1.2026999999999999E-3</v>
      </c>
      <c r="K194" s="6">
        <v>-2.1975000000000001E-2</v>
      </c>
      <c r="L194" s="6">
        <v>18.249400000000001</v>
      </c>
      <c r="M194" s="6">
        <v>18.2714</v>
      </c>
      <c r="N194" s="6">
        <v>-1.69111E-3</v>
      </c>
      <c r="O194" s="6">
        <v>-3.1524700000000003E-2</v>
      </c>
      <c r="P194" s="6">
        <v>18.6098</v>
      </c>
      <c r="Q194" s="6">
        <v>18.641400000000001</v>
      </c>
      <c r="R194" s="6">
        <v>65.972999999999999</v>
      </c>
      <c r="S194" s="6">
        <v>65.972999999999999</v>
      </c>
      <c r="T194" s="6">
        <v>2.4567999999999999</v>
      </c>
      <c r="U194" s="6">
        <v>8639.7000000000007</v>
      </c>
      <c r="V194">
        <f t="shared" si="4"/>
        <v>46.550107758620697</v>
      </c>
      <c r="W194">
        <f t="shared" si="5"/>
        <v>1.3971466666666665E-3</v>
      </c>
    </row>
    <row r="195" spans="1:23" x14ac:dyDescent="0.3">
      <c r="A195" s="6">
        <v>188</v>
      </c>
      <c r="B195" s="6">
        <v>2.8375700000000002E-3</v>
      </c>
      <c r="C195" s="6">
        <v>0.11044900000000001</v>
      </c>
      <c r="D195" s="6">
        <v>39.034300000000002</v>
      </c>
      <c r="E195" s="6">
        <v>38.923900000000003</v>
      </c>
      <c r="F195" s="6">
        <v>-1.2440000000000001E-3</v>
      </c>
      <c r="G195" s="6">
        <v>-2.4215799999999999E-2</v>
      </c>
      <c r="H195" s="6">
        <v>19.441800000000001</v>
      </c>
      <c r="I195" s="6">
        <v>19.466100000000001</v>
      </c>
      <c r="J195" s="6">
        <v>-1.2361200000000001E-3</v>
      </c>
      <c r="K195" s="6">
        <v>-2.2585500000000001E-2</v>
      </c>
      <c r="L195" s="6">
        <v>18.248799999999999</v>
      </c>
      <c r="M195" s="6">
        <v>18.2714</v>
      </c>
      <c r="N195" s="6">
        <v>-1.68188E-3</v>
      </c>
      <c r="O195" s="6">
        <v>-3.1352600000000001E-2</v>
      </c>
      <c r="P195" s="6">
        <v>18.61</v>
      </c>
      <c r="Q195" s="6">
        <v>18.641400000000001</v>
      </c>
      <c r="R195" s="6">
        <v>66.474000000000004</v>
      </c>
      <c r="S195" s="6">
        <v>66.474000000000004</v>
      </c>
      <c r="T195" s="6">
        <v>2.4815999999999998</v>
      </c>
      <c r="U195" s="6">
        <v>8726.73</v>
      </c>
      <c r="V195">
        <f t="shared" si="4"/>
        <v>47.019019396551727</v>
      </c>
      <c r="W195">
        <f t="shared" si="5"/>
        <v>1.3873333333333333E-3</v>
      </c>
    </row>
    <row r="196" spans="1:23" x14ac:dyDescent="0.3">
      <c r="A196" s="6">
        <v>189</v>
      </c>
      <c r="B196" s="6">
        <v>2.7416699999999999E-3</v>
      </c>
      <c r="C196" s="6">
        <v>0.10671600000000001</v>
      </c>
      <c r="D196" s="6">
        <v>39.0306</v>
      </c>
      <c r="E196" s="6">
        <v>38.923900000000003</v>
      </c>
      <c r="F196" s="6">
        <v>-1.38897E-3</v>
      </c>
      <c r="G196" s="6">
        <v>-2.7037700000000001E-2</v>
      </c>
      <c r="H196" s="6">
        <v>19.439</v>
      </c>
      <c r="I196" s="6">
        <v>19.466100000000001</v>
      </c>
      <c r="J196" s="6">
        <v>-1.3137299999999999E-3</v>
      </c>
      <c r="K196" s="6">
        <v>-2.4003699999999999E-2</v>
      </c>
      <c r="L196" s="6">
        <v>18.247399999999999</v>
      </c>
      <c r="M196" s="6">
        <v>18.2714</v>
      </c>
      <c r="N196" s="6">
        <v>-1.74351E-3</v>
      </c>
      <c r="O196" s="6">
        <v>-3.2501500000000003E-2</v>
      </c>
      <c r="P196" s="6">
        <v>18.608899999999998</v>
      </c>
      <c r="Q196" s="6">
        <v>18.641400000000001</v>
      </c>
      <c r="R196" s="6">
        <v>66.661000000000001</v>
      </c>
      <c r="S196" s="6">
        <v>66.661000000000001</v>
      </c>
      <c r="T196" s="6">
        <v>2.4794</v>
      </c>
      <c r="U196" s="6">
        <v>8718.82</v>
      </c>
      <c r="V196">
        <f t="shared" si="4"/>
        <v>46.976400862068964</v>
      </c>
      <c r="W196">
        <f t="shared" si="5"/>
        <v>1.48207E-3</v>
      </c>
    </row>
    <row r="197" spans="1:23" x14ac:dyDescent="0.3">
      <c r="A197" s="6">
        <v>190</v>
      </c>
      <c r="B197" s="6">
        <v>2.8558899999999998E-3</v>
      </c>
      <c r="C197" s="6">
        <v>0.111162</v>
      </c>
      <c r="D197" s="6">
        <v>39.034999999999997</v>
      </c>
      <c r="E197" s="6">
        <v>38.923900000000003</v>
      </c>
      <c r="F197" s="6">
        <v>-1.2890899999999999E-3</v>
      </c>
      <c r="G197" s="6">
        <v>-2.5093399999999998E-2</v>
      </c>
      <c r="H197" s="6">
        <v>19.440999999999999</v>
      </c>
      <c r="I197" s="6">
        <v>19.466100000000001</v>
      </c>
      <c r="J197" s="6">
        <v>-1.2199699999999999E-3</v>
      </c>
      <c r="K197" s="6">
        <v>-2.2290500000000001E-2</v>
      </c>
      <c r="L197" s="6">
        <v>18.249099999999999</v>
      </c>
      <c r="M197" s="6">
        <v>18.2714</v>
      </c>
      <c r="N197" s="6">
        <v>-1.7080400000000001E-3</v>
      </c>
      <c r="O197" s="6">
        <v>-3.1840199999999999E-2</v>
      </c>
      <c r="P197" s="6">
        <v>18.609500000000001</v>
      </c>
      <c r="Q197" s="6">
        <v>18.641400000000001</v>
      </c>
      <c r="R197" s="6">
        <v>67.096999999999994</v>
      </c>
      <c r="S197" s="6">
        <v>67.096999999999994</v>
      </c>
      <c r="T197" s="6">
        <v>2.5015999999999998</v>
      </c>
      <c r="U197" s="6">
        <v>8796.81</v>
      </c>
      <c r="V197">
        <f t="shared" si="4"/>
        <v>47.396605603448272</v>
      </c>
      <c r="W197">
        <f t="shared" si="5"/>
        <v>1.4057E-3</v>
      </c>
    </row>
    <row r="198" spans="1:23" x14ac:dyDescent="0.3">
      <c r="A198" s="6">
        <v>191</v>
      </c>
      <c r="B198" s="6">
        <v>2.8313399999999999E-3</v>
      </c>
      <c r="C198" s="6">
        <v>0.110207</v>
      </c>
      <c r="D198" s="6">
        <v>39.034100000000002</v>
      </c>
      <c r="E198" s="6">
        <v>38.923900000000003</v>
      </c>
      <c r="F198" s="6">
        <v>-1.41085E-3</v>
      </c>
      <c r="G198" s="6">
        <v>-2.7463700000000001E-2</v>
      </c>
      <c r="H198" s="6">
        <v>19.438600000000001</v>
      </c>
      <c r="I198" s="6">
        <v>19.466100000000001</v>
      </c>
      <c r="J198" s="6">
        <v>-1.3585800000000001E-3</v>
      </c>
      <c r="K198" s="6">
        <v>-2.48232E-2</v>
      </c>
      <c r="L198" s="6">
        <v>18.246500000000001</v>
      </c>
      <c r="M198" s="6">
        <v>18.2714</v>
      </c>
      <c r="N198" s="6">
        <v>-1.8261600000000001E-3</v>
      </c>
      <c r="O198" s="6">
        <v>-3.4042099999999999E-2</v>
      </c>
      <c r="P198" s="6">
        <v>18.607299999999999</v>
      </c>
      <c r="Q198" s="6">
        <v>18.641400000000001</v>
      </c>
      <c r="R198" s="6">
        <v>67.349000000000004</v>
      </c>
      <c r="S198" s="6">
        <v>67.349999999999994</v>
      </c>
      <c r="T198" s="6">
        <v>2.5184000000000002</v>
      </c>
      <c r="U198" s="6">
        <v>8855.58</v>
      </c>
      <c r="V198">
        <f t="shared" si="4"/>
        <v>47.71325431034483</v>
      </c>
      <c r="W198">
        <f t="shared" si="5"/>
        <v>1.5318633333333334E-3</v>
      </c>
    </row>
    <row r="199" spans="1:23" x14ac:dyDescent="0.3">
      <c r="A199" s="6">
        <v>192</v>
      </c>
      <c r="B199" s="6">
        <v>2.826E-3</v>
      </c>
      <c r="C199" s="6">
        <v>0.109999</v>
      </c>
      <c r="D199" s="6">
        <v>39.033900000000003</v>
      </c>
      <c r="E199" s="6">
        <v>38.923900000000003</v>
      </c>
      <c r="F199" s="6">
        <v>-1.2049599999999999E-3</v>
      </c>
      <c r="G199" s="6">
        <v>-2.3455799999999999E-2</v>
      </c>
      <c r="H199" s="6">
        <v>19.442599999999999</v>
      </c>
      <c r="I199" s="6">
        <v>19.466100000000001</v>
      </c>
      <c r="J199" s="6">
        <v>-1.1111300000000001E-3</v>
      </c>
      <c r="K199" s="6">
        <v>-2.0301799999999998E-2</v>
      </c>
      <c r="L199" s="6">
        <v>18.251100000000001</v>
      </c>
      <c r="M199" s="6">
        <v>18.2714</v>
      </c>
      <c r="N199" s="6">
        <v>-1.6553E-3</v>
      </c>
      <c r="O199" s="6">
        <v>-3.0857099999999998E-2</v>
      </c>
      <c r="P199" s="6">
        <v>18.610499999999998</v>
      </c>
      <c r="Q199" s="6">
        <v>18.641400000000001</v>
      </c>
      <c r="R199" s="6">
        <v>67.659000000000006</v>
      </c>
      <c r="S199" s="6">
        <v>67.659000000000006</v>
      </c>
      <c r="T199" s="6">
        <v>2.5276999999999998</v>
      </c>
      <c r="U199" s="6">
        <v>8888.36</v>
      </c>
      <c r="V199">
        <f t="shared" si="4"/>
        <v>47.889870689655176</v>
      </c>
      <c r="W199">
        <f t="shared" si="5"/>
        <v>1.3237966666666667E-3</v>
      </c>
    </row>
    <row r="200" spans="1:23" x14ac:dyDescent="0.3">
      <c r="A200" s="6">
        <v>193</v>
      </c>
      <c r="B200" s="6">
        <v>2.8696099999999999E-3</v>
      </c>
      <c r="C200" s="6">
        <v>0.111696</v>
      </c>
      <c r="D200" s="6">
        <v>39.035600000000002</v>
      </c>
      <c r="E200" s="6">
        <v>38.923900000000003</v>
      </c>
      <c r="F200" s="6">
        <v>-1.2554599999999999E-3</v>
      </c>
      <c r="G200" s="6">
        <v>-2.44389E-2</v>
      </c>
      <c r="H200" s="6">
        <v>19.441600000000001</v>
      </c>
      <c r="I200" s="6">
        <v>19.466100000000001</v>
      </c>
      <c r="J200" s="6">
        <v>-1.0933099999999999E-3</v>
      </c>
      <c r="K200" s="6">
        <v>-1.9976299999999999E-2</v>
      </c>
      <c r="L200" s="6">
        <v>18.2514</v>
      </c>
      <c r="M200" s="6">
        <v>18.2714</v>
      </c>
      <c r="N200" s="6">
        <v>-1.6268299999999999E-3</v>
      </c>
      <c r="O200" s="6">
        <v>-3.0326200000000001E-2</v>
      </c>
      <c r="P200" s="6">
        <v>18.611000000000001</v>
      </c>
      <c r="Q200" s="6">
        <v>18.641400000000001</v>
      </c>
      <c r="R200" s="6">
        <v>67.781999999999996</v>
      </c>
      <c r="S200" s="6">
        <v>67.781999999999996</v>
      </c>
      <c r="T200" s="6">
        <v>2.5247999999999999</v>
      </c>
      <c r="U200" s="6">
        <v>8878.19</v>
      </c>
      <c r="V200">
        <f t="shared" ref="V200:V263" si="6">U200/A$2/B$2</f>
        <v>47.83507543103449</v>
      </c>
      <c r="W200">
        <f t="shared" ref="W200:W263" si="7">-AVERAGE(F200,J200,N200)</f>
        <v>1.3252000000000001E-3</v>
      </c>
    </row>
    <row r="201" spans="1:23" x14ac:dyDescent="0.3">
      <c r="A201" s="6">
        <v>194</v>
      </c>
      <c r="B201" s="6">
        <v>2.9726399999999999E-3</v>
      </c>
      <c r="C201" s="6">
        <v>0.115707</v>
      </c>
      <c r="D201" s="6">
        <v>39.0396</v>
      </c>
      <c r="E201" s="6">
        <v>38.923900000000003</v>
      </c>
      <c r="F201" s="6">
        <v>-1.2828900000000001E-3</v>
      </c>
      <c r="G201" s="6">
        <v>-2.49728E-2</v>
      </c>
      <c r="H201" s="6">
        <v>19.441099999999999</v>
      </c>
      <c r="I201" s="6">
        <v>19.466100000000001</v>
      </c>
      <c r="J201" s="6">
        <v>-1.2464799999999999E-3</v>
      </c>
      <c r="K201" s="6">
        <v>-2.2774800000000001E-2</v>
      </c>
      <c r="L201" s="6">
        <v>18.2486</v>
      </c>
      <c r="M201" s="6">
        <v>18.2714</v>
      </c>
      <c r="N201" s="6">
        <v>-1.7502399999999999E-3</v>
      </c>
      <c r="O201" s="6">
        <v>-3.2626799999999997E-2</v>
      </c>
      <c r="P201" s="6">
        <v>18.608699999999999</v>
      </c>
      <c r="Q201" s="6">
        <v>18.641400000000001</v>
      </c>
      <c r="R201" s="6">
        <v>68.096000000000004</v>
      </c>
      <c r="S201" s="6">
        <v>68.096000000000004</v>
      </c>
      <c r="T201" s="6">
        <v>2.5476999999999999</v>
      </c>
      <c r="U201" s="6">
        <v>8958.44</v>
      </c>
      <c r="V201">
        <f t="shared" si="6"/>
        <v>48.267456896551728</v>
      </c>
      <c r="W201">
        <f t="shared" si="7"/>
        <v>1.4265366666666665E-3</v>
      </c>
    </row>
    <row r="202" spans="1:23" x14ac:dyDescent="0.3">
      <c r="A202" s="6">
        <v>195</v>
      </c>
      <c r="B202" s="6">
        <v>2.9397799999999999E-3</v>
      </c>
      <c r="C202" s="6">
        <v>0.114428</v>
      </c>
      <c r="D202" s="6">
        <v>39.0383</v>
      </c>
      <c r="E202" s="6">
        <v>38.923900000000003</v>
      </c>
      <c r="F202" s="6">
        <v>-1.24128E-3</v>
      </c>
      <c r="G202" s="6">
        <v>-2.4162800000000002E-2</v>
      </c>
      <c r="H202" s="6">
        <v>19.4419</v>
      </c>
      <c r="I202" s="6">
        <v>19.466100000000001</v>
      </c>
      <c r="J202" s="6">
        <v>-1.1879499999999999E-3</v>
      </c>
      <c r="K202" s="6">
        <v>-2.1705499999999999E-2</v>
      </c>
      <c r="L202" s="6">
        <v>18.249600000000001</v>
      </c>
      <c r="M202" s="6">
        <v>18.2714</v>
      </c>
      <c r="N202" s="6">
        <v>-1.72134E-3</v>
      </c>
      <c r="O202" s="6">
        <v>-3.2088100000000001E-2</v>
      </c>
      <c r="P202" s="6">
        <v>18.609300000000001</v>
      </c>
      <c r="Q202" s="6">
        <v>18.641400000000001</v>
      </c>
      <c r="R202" s="6">
        <v>68.531000000000006</v>
      </c>
      <c r="S202" s="6">
        <v>68.531000000000006</v>
      </c>
      <c r="T202" s="6">
        <v>2.5634999999999999</v>
      </c>
      <c r="U202" s="6">
        <v>9013.82</v>
      </c>
      <c r="V202">
        <f t="shared" si="6"/>
        <v>48.565840517241377</v>
      </c>
      <c r="W202">
        <f t="shared" si="7"/>
        <v>1.3835233333333334E-3</v>
      </c>
    </row>
    <row r="203" spans="1:23" x14ac:dyDescent="0.3">
      <c r="A203" s="6">
        <v>196</v>
      </c>
      <c r="B203" s="6">
        <v>3.04894E-3</v>
      </c>
      <c r="C203" s="6">
        <v>0.118677</v>
      </c>
      <c r="D203" s="6">
        <v>39.042499999999997</v>
      </c>
      <c r="E203" s="6">
        <v>38.923900000000003</v>
      </c>
      <c r="F203" s="6">
        <v>-1.3382800000000001E-3</v>
      </c>
      <c r="G203" s="6">
        <v>-2.6051000000000001E-2</v>
      </c>
      <c r="H203" s="6">
        <v>19.440000000000001</v>
      </c>
      <c r="I203" s="6">
        <v>19.466100000000001</v>
      </c>
      <c r="J203" s="6">
        <v>-1.2454600000000001E-3</v>
      </c>
      <c r="K203" s="6">
        <v>-2.2756200000000001E-2</v>
      </c>
      <c r="L203" s="6">
        <v>18.2486</v>
      </c>
      <c r="M203" s="6">
        <v>18.2714</v>
      </c>
      <c r="N203" s="6">
        <v>-1.76429E-3</v>
      </c>
      <c r="O203" s="6">
        <v>-3.28887E-2</v>
      </c>
      <c r="P203" s="6">
        <v>18.608499999999999</v>
      </c>
      <c r="Q203" s="6">
        <v>18.641400000000001</v>
      </c>
      <c r="R203" s="6">
        <v>68.718999999999994</v>
      </c>
      <c r="S203" s="6">
        <v>68.718999999999994</v>
      </c>
      <c r="T203" s="6">
        <v>2.5745</v>
      </c>
      <c r="U203" s="6">
        <v>9052.25</v>
      </c>
      <c r="V203">
        <f t="shared" si="6"/>
        <v>48.772898706896555</v>
      </c>
      <c r="W203">
        <f t="shared" si="7"/>
        <v>1.4493433333333334E-3</v>
      </c>
    </row>
    <row r="204" spans="1:23" x14ac:dyDescent="0.3">
      <c r="A204" s="6">
        <v>197</v>
      </c>
      <c r="B204" s="6">
        <v>2.9429999999999999E-3</v>
      </c>
      <c r="C204" s="6">
        <v>0.114553</v>
      </c>
      <c r="D204" s="6">
        <v>39.038400000000003</v>
      </c>
      <c r="E204" s="6">
        <v>38.923900000000003</v>
      </c>
      <c r="F204" s="6">
        <v>-1.29484E-3</v>
      </c>
      <c r="G204" s="6">
        <v>-2.5205499999999999E-2</v>
      </c>
      <c r="H204" s="6">
        <v>19.440899999999999</v>
      </c>
      <c r="I204" s="6">
        <v>19.466100000000001</v>
      </c>
      <c r="J204" s="6">
        <v>-1.1746300000000001E-3</v>
      </c>
      <c r="K204" s="6">
        <v>-2.1461999999999998E-2</v>
      </c>
      <c r="L204" s="6">
        <v>18.2499</v>
      </c>
      <c r="M204" s="6">
        <v>18.2714</v>
      </c>
      <c r="N204" s="6">
        <v>-1.68713E-3</v>
      </c>
      <c r="O204" s="6">
        <v>-3.1450400000000003E-2</v>
      </c>
      <c r="P204" s="6">
        <v>18.6099</v>
      </c>
      <c r="Q204" s="6">
        <v>18.641400000000001</v>
      </c>
      <c r="R204" s="6">
        <v>69.031000000000006</v>
      </c>
      <c r="S204" s="6">
        <v>69.031000000000006</v>
      </c>
      <c r="T204" s="6">
        <v>2.5844</v>
      </c>
      <c r="U204" s="6">
        <v>9087.2900000000009</v>
      </c>
      <c r="V204">
        <f t="shared" si="6"/>
        <v>48.961691810344831</v>
      </c>
      <c r="W204">
        <f t="shared" si="7"/>
        <v>1.3855333333333334E-3</v>
      </c>
    </row>
    <row r="205" spans="1:23" x14ac:dyDescent="0.3">
      <c r="A205" s="6">
        <v>198</v>
      </c>
      <c r="B205" s="6">
        <v>2.9635400000000002E-3</v>
      </c>
      <c r="C205" s="6">
        <v>0.115353</v>
      </c>
      <c r="D205" s="6">
        <v>39.039200000000001</v>
      </c>
      <c r="E205" s="6">
        <v>38.923900000000003</v>
      </c>
      <c r="F205" s="6">
        <v>-1.28195E-3</v>
      </c>
      <c r="G205" s="6">
        <v>-2.49546E-2</v>
      </c>
      <c r="H205" s="6">
        <v>19.441099999999999</v>
      </c>
      <c r="I205" s="6">
        <v>19.466100000000001</v>
      </c>
      <c r="J205" s="6">
        <v>-1.2209499999999999E-3</v>
      </c>
      <c r="K205" s="6">
        <v>-2.2308499999999998E-2</v>
      </c>
      <c r="L205" s="6">
        <v>18.248999999999999</v>
      </c>
      <c r="M205" s="6">
        <v>18.2714</v>
      </c>
      <c r="N205" s="6">
        <v>-1.75545E-3</v>
      </c>
      <c r="O205" s="6">
        <v>-3.2724000000000003E-2</v>
      </c>
      <c r="P205" s="6">
        <v>18.608599999999999</v>
      </c>
      <c r="Q205" s="6">
        <v>18.641400000000001</v>
      </c>
      <c r="R205" s="6">
        <v>69.218999999999994</v>
      </c>
      <c r="S205" s="6">
        <v>69.218999999999994</v>
      </c>
      <c r="T205" s="6">
        <v>2.5914999999999999</v>
      </c>
      <c r="U205" s="6">
        <v>9112.15</v>
      </c>
      <c r="V205">
        <f t="shared" si="6"/>
        <v>49.095635775862071</v>
      </c>
      <c r="W205">
        <f t="shared" si="7"/>
        <v>1.4194499999999998E-3</v>
      </c>
    </row>
    <row r="206" spans="1:23" x14ac:dyDescent="0.3">
      <c r="A206" s="6">
        <v>199</v>
      </c>
      <c r="B206" s="6">
        <v>3.01732E-3</v>
      </c>
      <c r="C206" s="6">
        <v>0.11744599999999999</v>
      </c>
      <c r="D206" s="6">
        <v>39.0413</v>
      </c>
      <c r="E206" s="6">
        <v>38.923900000000003</v>
      </c>
      <c r="F206" s="6">
        <v>-1.3702E-3</v>
      </c>
      <c r="G206" s="6">
        <v>-2.6672399999999999E-2</v>
      </c>
      <c r="H206" s="6">
        <v>19.439399999999999</v>
      </c>
      <c r="I206" s="6">
        <v>19.466100000000001</v>
      </c>
      <c r="J206" s="6">
        <v>-1.33482E-3</v>
      </c>
      <c r="K206" s="6">
        <v>-2.4389000000000001E-2</v>
      </c>
      <c r="L206" s="6">
        <v>18.247</v>
      </c>
      <c r="M206" s="6">
        <v>18.2714</v>
      </c>
      <c r="N206" s="6">
        <v>-1.80602E-3</v>
      </c>
      <c r="O206" s="6">
        <v>-3.3666700000000001E-2</v>
      </c>
      <c r="P206" s="6">
        <v>18.607700000000001</v>
      </c>
      <c r="Q206" s="6">
        <v>18.641400000000001</v>
      </c>
      <c r="R206" s="6">
        <v>69.53</v>
      </c>
      <c r="S206" s="6">
        <v>69.53</v>
      </c>
      <c r="T206" s="6">
        <v>2.6099000000000001</v>
      </c>
      <c r="U206" s="6">
        <v>9176.58</v>
      </c>
      <c r="V206">
        <f t="shared" si="6"/>
        <v>49.442780172413791</v>
      </c>
      <c r="W206">
        <f t="shared" si="7"/>
        <v>1.5036800000000001E-3</v>
      </c>
    </row>
    <row r="207" spans="1:23" x14ac:dyDescent="0.3">
      <c r="A207" s="6">
        <v>200</v>
      </c>
      <c r="B207" s="6">
        <v>2.9862199999999999E-3</v>
      </c>
      <c r="C207" s="6">
        <v>0.116235</v>
      </c>
      <c r="D207" s="6">
        <v>39.040100000000002</v>
      </c>
      <c r="E207" s="6">
        <v>38.923900000000003</v>
      </c>
      <c r="F207" s="6">
        <v>-1.2960599999999999E-3</v>
      </c>
      <c r="G207" s="6">
        <v>-2.52293E-2</v>
      </c>
      <c r="H207" s="6">
        <v>19.440799999999999</v>
      </c>
      <c r="I207" s="6">
        <v>19.466100000000001</v>
      </c>
      <c r="J207" s="6">
        <v>-1.2133300000000001E-3</v>
      </c>
      <c r="K207" s="6">
        <v>-2.2169100000000001E-2</v>
      </c>
      <c r="L207" s="6">
        <v>18.249199999999998</v>
      </c>
      <c r="M207" s="6">
        <v>18.2714</v>
      </c>
      <c r="N207" s="6">
        <v>-1.71861E-3</v>
      </c>
      <c r="O207" s="6">
        <v>-3.2037200000000002E-2</v>
      </c>
      <c r="P207" s="6">
        <v>18.609300000000001</v>
      </c>
      <c r="Q207" s="6">
        <v>18.641400000000001</v>
      </c>
      <c r="R207" s="6">
        <v>69.840999999999994</v>
      </c>
      <c r="S207" s="6">
        <v>69.840999999999994</v>
      </c>
      <c r="T207" s="6">
        <v>2.6147</v>
      </c>
      <c r="U207" s="6">
        <v>9193.5300000000007</v>
      </c>
      <c r="V207">
        <f t="shared" si="6"/>
        <v>49.534105603448282</v>
      </c>
      <c r="W207">
        <f t="shared" si="7"/>
        <v>1.4093333333333334E-3</v>
      </c>
    </row>
    <row r="208" spans="1:23" x14ac:dyDescent="0.3">
      <c r="A208" s="6">
        <v>201</v>
      </c>
      <c r="B208" s="6">
        <v>3.06054E-3</v>
      </c>
      <c r="C208" s="6">
        <v>0.119128</v>
      </c>
      <c r="D208" s="6">
        <v>39.042999999999999</v>
      </c>
      <c r="E208" s="6">
        <v>38.923900000000003</v>
      </c>
      <c r="F208" s="6">
        <v>-1.31208E-3</v>
      </c>
      <c r="G208" s="6">
        <v>-2.5541100000000001E-2</v>
      </c>
      <c r="H208" s="6">
        <v>19.4405</v>
      </c>
      <c r="I208" s="6">
        <v>19.466100000000001</v>
      </c>
      <c r="J208" s="6">
        <v>-1.2582699999999999E-3</v>
      </c>
      <c r="K208" s="6">
        <v>-2.2990300000000002E-2</v>
      </c>
      <c r="L208" s="6">
        <v>18.2484</v>
      </c>
      <c r="M208" s="6">
        <v>18.2714</v>
      </c>
      <c r="N208" s="6">
        <v>-1.7775200000000001E-3</v>
      </c>
      <c r="O208" s="6">
        <v>-3.3135299999999999E-2</v>
      </c>
      <c r="P208" s="6">
        <v>18.6082</v>
      </c>
      <c r="Q208" s="6">
        <v>18.641400000000001</v>
      </c>
      <c r="R208" s="6">
        <v>70.031000000000006</v>
      </c>
      <c r="S208" s="6">
        <v>70.031000000000006</v>
      </c>
      <c r="T208" s="6">
        <v>2.6269999999999998</v>
      </c>
      <c r="U208" s="6">
        <v>9236.48</v>
      </c>
      <c r="V208">
        <f t="shared" si="6"/>
        <v>49.765517241379307</v>
      </c>
      <c r="W208">
        <f t="shared" si="7"/>
        <v>1.44929E-3</v>
      </c>
    </row>
    <row r="209" spans="1:23" x14ac:dyDescent="0.3">
      <c r="A209" s="6">
        <v>202</v>
      </c>
      <c r="B209" s="6">
        <v>2.9899100000000001E-3</v>
      </c>
      <c r="C209" s="6">
        <v>0.116379</v>
      </c>
      <c r="D209" s="6">
        <v>39.040199999999999</v>
      </c>
      <c r="E209" s="6">
        <v>38.923900000000003</v>
      </c>
      <c r="F209" s="6">
        <v>-1.34775E-3</v>
      </c>
      <c r="G209" s="6">
        <v>-2.6235399999999999E-2</v>
      </c>
      <c r="H209" s="6">
        <v>19.439800000000002</v>
      </c>
      <c r="I209" s="6">
        <v>19.466100000000001</v>
      </c>
      <c r="J209" s="6">
        <v>-1.2547999999999999E-3</v>
      </c>
      <c r="K209" s="6">
        <v>-2.2926800000000001E-2</v>
      </c>
      <c r="L209" s="6">
        <v>18.2484</v>
      </c>
      <c r="M209" s="6">
        <v>18.2714</v>
      </c>
      <c r="N209" s="6">
        <v>-1.7932899999999999E-3</v>
      </c>
      <c r="O209" s="6">
        <v>-3.3429300000000002E-2</v>
      </c>
      <c r="P209" s="6">
        <v>18.607900000000001</v>
      </c>
      <c r="Q209" s="6">
        <v>18.641400000000001</v>
      </c>
      <c r="R209" s="6">
        <v>70.466999999999999</v>
      </c>
      <c r="S209" s="6">
        <v>70.466999999999999</v>
      </c>
      <c r="T209" s="6">
        <v>2.6518000000000002</v>
      </c>
      <c r="U209" s="6">
        <v>9323.51</v>
      </c>
      <c r="V209">
        <f t="shared" si="6"/>
        <v>50.23442887931035</v>
      </c>
      <c r="W209">
        <f t="shared" si="7"/>
        <v>1.46528E-3</v>
      </c>
    </row>
    <row r="210" spans="1:23" x14ac:dyDescent="0.3">
      <c r="A210" s="6">
        <v>203</v>
      </c>
      <c r="B210" s="6">
        <v>3.0288099999999998E-3</v>
      </c>
      <c r="C210" s="6">
        <v>0.117893</v>
      </c>
      <c r="D210" s="6">
        <v>39.041699999999999</v>
      </c>
      <c r="E210" s="6">
        <v>38.923900000000003</v>
      </c>
      <c r="F210" s="6">
        <v>-1.37049E-3</v>
      </c>
      <c r="G210" s="6">
        <v>-2.6678E-2</v>
      </c>
      <c r="H210" s="6">
        <v>19.439399999999999</v>
      </c>
      <c r="I210" s="6">
        <v>19.466100000000001</v>
      </c>
      <c r="J210" s="6">
        <v>-1.25687E-3</v>
      </c>
      <c r="K210" s="6">
        <v>-2.29648E-2</v>
      </c>
      <c r="L210" s="6">
        <v>18.2484</v>
      </c>
      <c r="M210" s="6">
        <v>18.2714</v>
      </c>
      <c r="N210" s="6">
        <v>-1.7907299999999999E-3</v>
      </c>
      <c r="O210" s="6">
        <v>-3.3381599999999997E-2</v>
      </c>
      <c r="P210" s="6">
        <v>18.608000000000001</v>
      </c>
      <c r="Q210" s="6">
        <v>18.641400000000001</v>
      </c>
      <c r="R210" s="6">
        <v>70.778999999999996</v>
      </c>
      <c r="S210" s="6">
        <v>70.778999999999996</v>
      </c>
      <c r="T210" s="6">
        <v>2.6589</v>
      </c>
      <c r="U210" s="6">
        <v>9348.3799999999992</v>
      </c>
      <c r="V210">
        <f t="shared" si="6"/>
        <v>50.368426724137926</v>
      </c>
      <c r="W210">
        <f t="shared" si="7"/>
        <v>1.4726966666666664E-3</v>
      </c>
    </row>
    <row r="211" spans="1:23" x14ac:dyDescent="0.3">
      <c r="A211" s="6">
        <v>204</v>
      </c>
      <c r="B211" s="6">
        <v>3.0747399999999999E-3</v>
      </c>
      <c r="C211" s="6">
        <v>0.119681</v>
      </c>
      <c r="D211" s="6">
        <v>39.043500000000002</v>
      </c>
      <c r="E211" s="6">
        <v>38.923900000000003</v>
      </c>
      <c r="F211" s="6">
        <v>-1.3844700000000001E-3</v>
      </c>
      <c r="G211" s="6">
        <v>-2.6950100000000001E-2</v>
      </c>
      <c r="H211" s="6">
        <v>19.4391</v>
      </c>
      <c r="I211" s="6">
        <v>19.466100000000001</v>
      </c>
      <c r="J211" s="6">
        <v>-1.2809900000000001E-3</v>
      </c>
      <c r="K211" s="6">
        <v>-2.34054E-2</v>
      </c>
      <c r="L211" s="6">
        <v>18.247900000000001</v>
      </c>
      <c r="M211" s="6">
        <v>18.2714</v>
      </c>
      <c r="N211" s="6">
        <v>-1.8159999999999999E-3</v>
      </c>
      <c r="O211" s="6">
        <v>-3.3852699999999999E-2</v>
      </c>
      <c r="P211" s="6">
        <v>18.607500000000002</v>
      </c>
      <c r="Q211" s="6">
        <v>18.641400000000001</v>
      </c>
      <c r="R211" s="6">
        <v>71.152000000000001</v>
      </c>
      <c r="S211" s="6">
        <v>71.152000000000001</v>
      </c>
      <c r="T211" s="6">
        <v>2.6728000000000001</v>
      </c>
      <c r="U211" s="6">
        <v>9396.98</v>
      </c>
      <c r="V211">
        <f t="shared" si="6"/>
        <v>50.630280172413791</v>
      </c>
      <c r="W211">
        <f t="shared" si="7"/>
        <v>1.4938199999999999E-3</v>
      </c>
    </row>
    <row r="212" spans="1:23" x14ac:dyDescent="0.3">
      <c r="A212" s="6">
        <v>205</v>
      </c>
      <c r="B212" s="6">
        <v>3.0536700000000001E-3</v>
      </c>
      <c r="C212" s="6">
        <v>0.11886099999999999</v>
      </c>
      <c r="D212" s="6">
        <v>39.042700000000004</v>
      </c>
      <c r="E212" s="6">
        <v>38.923900000000003</v>
      </c>
      <c r="F212" s="6">
        <v>-1.3819399999999999E-3</v>
      </c>
      <c r="G212" s="6">
        <v>-2.6900899999999998E-2</v>
      </c>
      <c r="H212" s="6">
        <v>19.4392</v>
      </c>
      <c r="I212" s="6">
        <v>19.466100000000001</v>
      </c>
      <c r="J212" s="6">
        <v>-1.3406799999999999E-3</v>
      </c>
      <c r="K212" s="6">
        <v>-2.4496E-2</v>
      </c>
      <c r="L212" s="6">
        <v>18.2469</v>
      </c>
      <c r="M212" s="6">
        <v>18.2714</v>
      </c>
      <c r="N212" s="6">
        <v>-1.8321399999999999E-3</v>
      </c>
      <c r="O212" s="6">
        <v>-3.4153599999999999E-2</v>
      </c>
      <c r="P212" s="6">
        <v>18.607199999999999</v>
      </c>
      <c r="Q212" s="6">
        <v>18.641400000000001</v>
      </c>
      <c r="R212" s="6">
        <v>71.277000000000001</v>
      </c>
      <c r="S212" s="6">
        <v>71.278999999999996</v>
      </c>
      <c r="T212" s="6">
        <v>2.6795</v>
      </c>
      <c r="U212" s="6">
        <v>9420.7099999999991</v>
      </c>
      <c r="V212">
        <f t="shared" si="6"/>
        <v>50.758135775862065</v>
      </c>
      <c r="W212">
        <f t="shared" si="7"/>
        <v>1.5182533333333332E-3</v>
      </c>
    </row>
    <row r="213" spans="1:23" x14ac:dyDescent="0.3">
      <c r="A213" s="6">
        <v>206</v>
      </c>
      <c r="B213" s="6">
        <v>3.1060900000000002E-3</v>
      </c>
      <c r="C213" s="6">
        <v>0.12090099999999999</v>
      </c>
      <c r="D213" s="6">
        <v>39.044800000000002</v>
      </c>
      <c r="E213" s="6">
        <v>38.923900000000003</v>
      </c>
      <c r="F213" s="6">
        <v>-1.3464499999999999E-3</v>
      </c>
      <c r="G213" s="6">
        <v>-2.62101E-2</v>
      </c>
      <c r="H213" s="6">
        <v>19.439900000000002</v>
      </c>
      <c r="I213" s="6">
        <v>19.466100000000001</v>
      </c>
      <c r="J213" s="6">
        <v>-1.27608E-3</v>
      </c>
      <c r="K213" s="6">
        <v>-2.3315700000000002E-2</v>
      </c>
      <c r="L213" s="6">
        <v>18.248000000000001</v>
      </c>
      <c r="M213" s="6">
        <v>18.2714</v>
      </c>
      <c r="N213" s="6">
        <v>-1.7809799999999999E-3</v>
      </c>
      <c r="O213" s="6">
        <v>-3.3199899999999997E-2</v>
      </c>
      <c r="P213" s="6">
        <v>18.6082</v>
      </c>
      <c r="Q213" s="6">
        <v>18.641400000000001</v>
      </c>
      <c r="R213" s="6">
        <v>71.650999999999996</v>
      </c>
      <c r="S213" s="6">
        <v>71.650999999999996</v>
      </c>
      <c r="T213" s="6">
        <v>2.7027000000000001</v>
      </c>
      <c r="U213" s="6">
        <v>9502.09</v>
      </c>
      <c r="V213">
        <f t="shared" si="6"/>
        <v>51.196605603448276</v>
      </c>
      <c r="W213">
        <f t="shared" si="7"/>
        <v>1.4678366666666665E-3</v>
      </c>
    </row>
    <row r="214" spans="1:23" x14ac:dyDescent="0.3">
      <c r="A214" s="6">
        <v>207</v>
      </c>
      <c r="B214" s="6">
        <v>3.0955000000000002E-3</v>
      </c>
      <c r="C214" s="6">
        <v>0.120489</v>
      </c>
      <c r="D214" s="6">
        <v>39.0443</v>
      </c>
      <c r="E214" s="6">
        <v>38.923900000000003</v>
      </c>
      <c r="F214" s="6">
        <v>-1.3666500000000001E-3</v>
      </c>
      <c r="G214" s="6">
        <v>-2.66033E-2</v>
      </c>
      <c r="H214" s="6">
        <v>19.439499999999999</v>
      </c>
      <c r="I214" s="6">
        <v>19.466100000000001</v>
      </c>
      <c r="J214" s="6">
        <v>-1.3138100000000001E-3</v>
      </c>
      <c r="K214" s="6">
        <v>-2.4004999999999999E-2</v>
      </c>
      <c r="L214" s="6">
        <v>18.247299999999999</v>
      </c>
      <c r="M214" s="6">
        <v>18.2714</v>
      </c>
      <c r="N214" s="6">
        <v>-1.8564199999999999E-3</v>
      </c>
      <c r="O214" s="6">
        <v>-3.46063E-2</v>
      </c>
      <c r="P214" s="6">
        <v>18.6068</v>
      </c>
      <c r="Q214" s="6">
        <v>18.641400000000001</v>
      </c>
      <c r="R214" s="6">
        <v>71.965000000000003</v>
      </c>
      <c r="S214" s="6">
        <v>71.965000000000003</v>
      </c>
      <c r="T214" s="6">
        <v>2.7172000000000001</v>
      </c>
      <c r="U214" s="6">
        <v>9552.9599999999991</v>
      </c>
      <c r="V214">
        <f t="shared" si="6"/>
        <v>51.470689655172407</v>
      </c>
      <c r="W214">
        <f t="shared" si="7"/>
        <v>1.5122933333333334E-3</v>
      </c>
    </row>
    <row r="215" spans="1:23" x14ac:dyDescent="0.3">
      <c r="A215" s="6">
        <v>208</v>
      </c>
      <c r="B215" s="6">
        <v>3.1335299999999998E-3</v>
      </c>
      <c r="C215" s="6">
        <v>0.12196899999999999</v>
      </c>
      <c r="D215" s="6">
        <v>39.0458</v>
      </c>
      <c r="E215" s="6">
        <v>38.923900000000003</v>
      </c>
      <c r="F215" s="6">
        <v>-1.38562E-3</v>
      </c>
      <c r="G215" s="6">
        <v>-2.6972599999999999E-2</v>
      </c>
      <c r="H215" s="6">
        <v>19.4391</v>
      </c>
      <c r="I215" s="6">
        <v>19.466100000000001</v>
      </c>
      <c r="J215" s="6">
        <v>-1.3559399999999999E-3</v>
      </c>
      <c r="K215" s="6">
        <v>-2.4774899999999999E-2</v>
      </c>
      <c r="L215" s="6">
        <v>18.246600000000001</v>
      </c>
      <c r="M215" s="6">
        <v>18.2714</v>
      </c>
      <c r="N215" s="6">
        <v>-1.91563E-3</v>
      </c>
      <c r="O215" s="6">
        <v>-3.5709900000000003E-2</v>
      </c>
      <c r="P215" s="6">
        <v>18.605699999999999</v>
      </c>
      <c r="Q215" s="6">
        <v>18.641400000000001</v>
      </c>
      <c r="R215" s="6">
        <v>72.275999999999996</v>
      </c>
      <c r="S215" s="6">
        <v>72.275999999999996</v>
      </c>
      <c r="T215" s="6">
        <v>2.7301000000000002</v>
      </c>
      <c r="U215" s="6">
        <v>9598.17</v>
      </c>
      <c r="V215">
        <f t="shared" si="6"/>
        <v>51.714278017241384</v>
      </c>
      <c r="W215">
        <f t="shared" si="7"/>
        <v>1.5523966666666665E-3</v>
      </c>
    </row>
    <row r="216" spans="1:23" x14ac:dyDescent="0.3">
      <c r="A216" s="6">
        <v>209</v>
      </c>
      <c r="B216" s="6">
        <v>3.1985500000000001E-3</v>
      </c>
      <c r="C216" s="6">
        <v>0.1245</v>
      </c>
      <c r="D216" s="6">
        <v>39.048400000000001</v>
      </c>
      <c r="E216" s="6">
        <v>38.923900000000003</v>
      </c>
      <c r="F216" s="6">
        <v>-1.36473E-3</v>
      </c>
      <c r="G216" s="6">
        <v>-2.65659E-2</v>
      </c>
      <c r="H216" s="6">
        <v>19.439499999999999</v>
      </c>
      <c r="I216" s="6">
        <v>19.466100000000001</v>
      </c>
      <c r="J216" s="6">
        <v>-1.31679E-3</v>
      </c>
      <c r="K216" s="6">
        <v>-2.40596E-2</v>
      </c>
      <c r="L216" s="6">
        <v>18.247299999999999</v>
      </c>
      <c r="M216" s="6">
        <v>18.2714</v>
      </c>
      <c r="N216" s="6">
        <v>-1.85264E-3</v>
      </c>
      <c r="O216" s="6">
        <v>-3.4535799999999998E-2</v>
      </c>
      <c r="P216" s="6">
        <v>18.6068</v>
      </c>
      <c r="Q216" s="6">
        <v>18.641400000000001</v>
      </c>
      <c r="R216" s="6">
        <v>72.462999999999994</v>
      </c>
      <c r="S216" s="6">
        <v>72.462999999999994</v>
      </c>
      <c r="T216" s="6">
        <v>2.7332999999999998</v>
      </c>
      <c r="U216" s="6">
        <v>9609.4699999999993</v>
      </c>
      <c r="V216">
        <f t="shared" si="6"/>
        <v>51.775161637931035</v>
      </c>
      <c r="W216">
        <f t="shared" si="7"/>
        <v>1.5113866666666665E-3</v>
      </c>
    </row>
    <row r="217" spans="1:23" x14ac:dyDescent="0.3">
      <c r="A217" s="6">
        <v>210</v>
      </c>
      <c r="B217" s="6">
        <v>3.1440600000000002E-3</v>
      </c>
      <c r="C217" s="6">
        <v>0.122379</v>
      </c>
      <c r="D217" s="6">
        <v>39.046199999999999</v>
      </c>
      <c r="E217" s="6">
        <v>38.923900000000003</v>
      </c>
      <c r="F217" s="6">
        <v>-1.3575900000000001E-3</v>
      </c>
      <c r="G217" s="6">
        <v>-2.64268E-2</v>
      </c>
      <c r="H217" s="6">
        <v>19.439599999999999</v>
      </c>
      <c r="I217" s="6">
        <v>19.466100000000001</v>
      </c>
      <c r="J217" s="6">
        <v>-1.3215799999999999E-3</v>
      </c>
      <c r="K217" s="6">
        <v>-2.4147100000000001E-2</v>
      </c>
      <c r="L217" s="6">
        <v>18.247199999999999</v>
      </c>
      <c r="M217" s="6">
        <v>18.2714</v>
      </c>
      <c r="N217" s="6">
        <v>-1.8942E-3</v>
      </c>
      <c r="O217" s="6">
        <v>-3.5310399999999999E-2</v>
      </c>
      <c r="P217" s="6">
        <v>18.606100000000001</v>
      </c>
      <c r="Q217" s="6">
        <v>18.641400000000001</v>
      </c>
      <c r="R217" s="6">
        <v>72.899000000000001</v>
      </c>
      <c r="S217" s="6">
        <v>72.899000000000001</v>
      </c>
      <c r="T217" s="6">
        <v>2.7543000000000002</v>
      </c>
      <c r="U217" s="6">
        <v>9682.94</v>
      </c>
      <c r="V217">
        <f t="shared" si="6"/>
        <v>52.17101293103449</v>
      </c>
      <c r="W217">
        <f t="shared" si="7"/>
        <v>1.5244566666666667E-3</v>
      </c>
    </row>
    <row r="218" spans="1:23" x14ac:dyDescent="0.3">
      <c r="A218" s="6">
        <v>211</v>
      </c>
      <c r="B218" s="6">
        <v>3.1610499999999999E-3</v>
      </c>
      <c r="C218" s="6">
        <v>0.12304</v>
      </c>
      <c r="D218" s="6">
        <v>39.046900000000001</v>
      </c>
      <c r="E218" s="6">
        <v>38.923900000000003</v>
      </c>
      <c r="F218" s="6">
        <v>-1.38266E-3</v>
      </c>
      <c r="G218" s="6">
        <v>-2.6914899999999999E-2</v>
      </c>
      <c r="H218" s="6">
        <v>19.4391</v>
      </c>
      <c r="I218" s="6">
        <v>19.466100000000001</v>
      </c>
      <c r="J218" s="6">
        <v>-1.3172500000000001E-3</v>
      </c>
      <c r="K218" s="6">
        <v>-2.40679E-2</v>
      </c>
      <c r="L218" s="6">
        <v>18.247299999999999</v>
      </c>
      <c r="M218" s="6">
        <v>18.2714</v>
      </c>
      <c r="N218" s="6">
        <v>-1.8110400000000001E-3</v>
      </c>
      <c r="O218" s="6">
        <v>-3.3760199999999997E-2</v>
      </c>
      <c r="P218" s="6">
        <v>18.607600000000001</v>
      </c>
      <c r="Q218" s="6">
        <v>18.641400000000001</v>
      </c>
      <c r="R218" s="6">
        <v>73.272999999999996</v>
      </c>
      <c r="S218" s="6">
        <v>73.272999999999996</v>
      </c>
      <c r="T218" s="6">
        <v>2.7723</v>
      </c>
      <c r="U218" s="6">
        <v>9746.23</v>
      </c>
      <c r="V218">
        <f t="shared" si="6"/>
        <v>52.512015086206894</v>
      </c>
      <c r="W218">
        <f t="shared" si="7"/>
        <v>1.5036499999999998E-3</v>
      </c>
    </row>
    <row r="219" spans="1:23" x14ac:dyDescent="0.3">
      <c r="A219" s="6">
        <v>212</v>
      </c>
      <c r="B219" s="6">
        <v>3.1744899999999999E-3</v>
      </c>
      <c r="C219" s="6">
        <v>0.12356300000000001</v>
      </c>
      <c r="D219" s="6">
        <v>39.047400000000003</v>
      </c>
      <c r="E219" s="6">
        <v>38.923900000000003</v>
      </c>
      <c r="F219" s="6">
        <v>-1.42764E-3</v>
      </c>
      <c r="G219" s="6">
        <v>-2.7790599999999999E-2</v>
      </c>
      <c r="H219" s="6">
        <v>19.438300000000002</v>
      </c>
      <c r="I219" s="6">
        <v>19.466100000000001</v>
      </c>
      <c r="J219" s="6">
        <v>-1.3531299999999999E-3</v>
      </c>
      <c r="K219" s="6">
        <v>-2.4723499999999999E-2</v>
      </c>
      <c r="L219" s="6">
        <v>18.246600000000001</v>
      </c>
      <c r="M219" s="6">
        <v>18.2714</v>
      </c>
      <c r="N219" s="6">
        <v>-1.88579E-3</v>
      </c>
      <c r="O219" s="6">
        <v>-3.5153700000000003E-2</v>
      </c>
      <c r="P219" s="6">
        <v>18.606200000000001</v>
      </c>
      <c r="Q219" s="6">
        <v>18.641400000000001</v>
      </c>
      <c r="R219" s="6">
        <v>73.525000000000006</v>
      </c>
      <c r="S219" s="6">
        <v>73.525000000000006</v>
      </c>
      <c r="T219" s="6">
        <v>2.7833000000000001</v>
      </c>
      <c r="U219" s="6">
        <v>9784.66</v>
      </c>
      <c r="V219">
        <f t="shared" si="6"/>
        <v>52.719073275862073</v>
      </c>
      <c r="W219">
        <f t="shared" si="7"/>
        <v>1.5555200000000001E-3</v>
      </c>
    </row>
    <row r="220" spans="1:23" x14ac:dyDescent="0.3">
      <c r="A220" s="6">
        <v>213</v>
      </c>
      <c r="B220" s="6">
        <v>3.1159E-3</v>
      </c>
      <c r="C220" s="6">
        <v>0.121283</v>
      </c>
      <c r="D220" s="6">
        <v>39.045099999999998</v>
      </c>
      <c r="E220" s="6">
        <v>38.923900000000003</v>
      </c>
      <c r="F220" s="6">
        <v>-1.4608799999999999E-3</v>
      </c>
      <c r="G220" s="6">
        <v>-2.84376E-2</v>
      </c>
      <c r="H220" s="6">
        <v>19.4376</v>
      </c>
      <c r="I220" s="6">
        <v>19.466100000000001</v>
      </c>
      <c r="J220" s="6">
        <v>-1.3708699999999999E-3</v>
      </c>
      <c r="K220" s="6">
        <v>-2.5047699999999999E-2</v>
      </c>
      <c r="L220" s="6">
        <v>18.246300000000002</v>
      </c>
      <c r="M220" s="6">
        <v>18.2714</v>
      </c>
      <c r="N220" s="6">
        <v>-1.98723E-3</v>
      </c>
      <c r="O220" s="6">
        <v>-3.7044599999999997E-2</v>
      </c>
      <c r="P220" s="6">
        <v>18.604299999999999</v>
      </c>
      <c r="Q220" s="6">
        <v>18.641400000000001</v>
      </c>
      <c r="R220" s="6">
        <v>73.772999999999996</v>
      </c>
      <c r="S220" s="6">
        <v>73.772999999999996</v>
      </c>
      <c r="T220" s="6">
        <v>2.7900999999999998</v>
      </c>
      <c r="U220" s="6">
        <v>9808.4</v>
      </c>
      <c r="V220">
        <f t="shared" si="6"/>
        <v>52.84698275862069</v>
      </c>
      <c r="W220">
        <f t="shared" si="7"/>
        <v>1.6063266666666669E-3</v>
      </c>
    </row>
    <row r="221" spans="1:23" x14ac:dyDescent="0.3">
      <c r="A221" s="6">
        <v>214</v>
      </c>
      <c r="B221" s="6">
        <v>3.2254900000000001E-3</v>
      </c>
      <c r="C221" s="6">
        <v>0.12554899999999999</v>
      </c>
      <c r="D221" s="6">
        <v>39.049399999999999</v>
      </c>
      <c r="E221" s="6">
        <v>38.923900000000003</v>
      </c>
      <c r="F221" s="6">
        <v>-1.44947E-3</v>
      </c>
      <c r="G221" s="6">
        <v>-2.8215400000000002E-2</v>
      </c>
      <c r="H221" s="6">
        <v>19.437799999999999</v>
      </c>
      <c r="I221" s="6">
        <v>19.466100000000001</v>
      </c>
      <c r="J221" s="6">
        <v>-1.36068E-3</v>
      </c>
      <c r="K221" s="6">
        <v>-2.4861399999999999E-2</v>
      </c>
      <c r="L221" s="6">
        <v>18.246500000000001</v>
      </c>
      <c r="M221" s="6">
        <v>18.2714</v>
      </c>
      <c r="N221" s="6">
        <v>-1.9042E-3</v>
      </c>
      <c r="O221" s="6">
        <v>-3.5496800000000002E-2</v>
      </c>
      <c r="P221" s="6">
        <v>18.605899999999998</v>
      </c>
      <c r="Q221" s="6">
        <v>18.641400000000001</v>
      </c>
      <c r="R221" s="6">
        <v>74.147000000000006</v>
      </c>
      <c r="S221" s="6">
        <v>74.147000000000006</v>
      </c>
      <c r="T221" s="6">
        <v>2.8068</v>
      </c>
      <c r="U221" s="6">
        <v>9867.17</v>
      </c>
      <c r="V221">
        <f t="shared" si="6"/>
        <v>53.163631465517241</v>
      </c>
      <c r="W221">
        <f t="shared" si="7"/>
        <v>1.5714500000000001E-3</v>
      </c>
    </row>
    <row r="222" spans="1:23" x14ac:dyDescent="0.3">
      <c r="A222" s="6">
        <v>215</v>
      </c>
      <c r="B222" s="6">
        <v>3.28204E-3</v>
      </c>
      <c r="C222" s="6">
        <v>0.12775</v>
      </c>
      <c r="D222" s="6">
        <v>39.051600000000001</v>
      </c>
      <c r="E222" s="6">
        <v>38.923900000000003</v>
      </c>
      <c r="F222" s="6">
        <v>-1.40142E-3</v>
      </c>
      <c r="G222" s="6">
        <v>-2.7280100000000002E-2</v>
      </c>
      <c r="H222" s="6">
        <v>19.438800000000001</v>
      </c>
      <c r="I222" s="6">
        <v>19.466100000000001</v>
      </c>
      <c r="J222" s="6">
        <v>-1.4290399999999999E-3</v>
      </c>
      <c r="K222" s="6">
        <v>-2.6110499999999998E-2</v>
      </c>
      <c r="L222" s="6">
        <v>18.245200000000001</v>
      </c>
      <c r="M222" s="6">
        <v>18.2714</v>
      </c>
      <c r="N222" s="6">
        <v>-2.0525399999999998E-3</v>
      </c>
      <c r="O222" s="6">
        <v>-3.8262200000000003E-2</v>
      </c>
      <c r="P222" s="6">
        <v>18.603100000000001</v>
      </c>
      <c r="Q222" s="6">
        <v>18.641400000000001</v>
      </c>
      <c r="R222" s="6">
        <v>74.584000000000003</v>
      </c>
      <c r="S222" s="6">
        <v>74.584000000000003</v>
      </c>
      <c r="T222" s="6">
        <v>2.8216999999999999</v>
      </c>
      <c r="U222" s="6">
        <v>9919.16</v>
      </c>
      <c r="V222">
        <f t="shared" si="6"/>
        <v>53.443750000000001</v>
      </c>
      <c r="W222">
        <f t="shared" si="7"/>
        <v>1.6276666666666668E-3</v>
      </c>
    </row>
    <row r="223" spans="1:23" x14ac:dyDescent="0.3">
      <c r="A223" s="6">
        <v>216</v>
      </c>
      <c r="B223" s="6">
        <v>3.2510999999999998E-3</v>
      </c>
      <c r="C223" s="6">
        <v>0.12654499999999999</v>
      </c>
      <c r="D223" s="6">
        <v>39.050400000000003</v>
      </c>
      <c r="E223" s="6">
        <v>38.923900000000003</v>
      </c>
      <c r="F223" s="6">
        <v>-1.48094E-3</v>
      </c>
      <c r="G223" s="6">
        <v>-2.8828099999999999E-2</v>
      </c>
      <c r="H223" s="6">
        <v>19.437200000000001</v>
      </c>
      <c r="I223" s="6">
        <v>19.466100000000001</v>
      </c>
      <c r="J223" s="6">
        <v>-1.4166199999999999E-3</v>
      </c>
      <c r="K223" s="6">
        <v>-2.58836E-2</v>
      </c>
      <c r="L223" s="6">
        <v>18.2455</v>
      </c>
      <c r="M223" s="6">
        <v>18.2714</v>
      </c>
      <c r="N223" s="6">
        <v>-1.9332100000000001E-3</v>
      </c>
      <c r="O223" s="6">
        <v>-3.6037600000000003E-2</v>
      </c>
      <c r="P223" s="6">
        <v>18.6053</v>
      </c>
      <c r="Q223" s="6">
        <v>18.641400000000001</v>
      </c>
      <c r="R223" s="6">
        <v>74.77</v>
      </c>
      <c r="S223" s="6">
        <v>74.77</v>
      </c>
      <c r="T223" s="6">
        <v>2.8275000000000001</v>
      </c>
      <c r="U223" s="6">
        <v>9939.51</v>
      </c>
      <c r="V223">
        <f t="shared" si="6"/>
        <v>53.553394396551724</v>
      </c>
      <c r="W223">
        <f t="shared" si="7"/>
        <v>1.6102566666666665E-3</v>
      </c>
    </row>
    <row r="224" spans="1:23" x14ac:dyDescent="0.3">
      <c r="A224" s="6">
        <v>217</v>
      </c>
      <c r="B224" s="6">
        <v>3.2391999999999998E-3</v>
      </c>
      <c r="C224" s="6">
        <v>0.126082</v>
      </c>
      <c r="D224" s="6">
        <v>39.049900000000001</v>
      </c>
      <c r="E224" s="6">
        <v>38.923900000000003</v>
      </c>
      <c r="F224" s="6">
        <v>-1.54666E-3</v>
      </c>
      <c r="G224" s="6">
        <v>-3.01073E-2</v>
      </c>
      <c r="H224" s="6">
        <v>19.436</v>
      </c>
      <c r="I224" s="6">
        <v>19.466100000000001</v>
      </c>
      <c r="J224" s="6">
        <v>-1.49047E-3</v>
      </c>
      <c r="K224" s="6">
        <v>-2.7232900000000001E-2</v>
      </c>
      <c r="L224" s="6">
        <v>18.2441</v>
      </c>
      <c r="M224" s="6">
        <v>18.2714</v>
      </c>
      <c r="N224" s="6">
        <v>-1.9964499999999999E-3</v>
      </c>
      <c r="O224" s="6">
        <v>-3.72165E-2</v>
      </c>
      <c r="P224" s="6">
        <v>18.604099999999999</v>
      </c>
      <c r="Q224" s="6">
        <v>18.641400000000001</v>
      </c>
      <c r="R224" s="6">
        <v>75.021000000000001</v>
      </c>
      <c r="S224" s="6">
        <v>75.021000000000001</v>
      </c>
      <c r="T224" s="6">
        <v>2.8429000000000002</v>
      </c>
      <c r="U224" s="6">
        <v>9993.76</v>
      </c>
      <c r="V224">
        <f t="shared" si="6"/>
        <v>53.845689655172414</v>
      </c>
      <c r="W224">
        <f t="shared" si="7"/>
        <v>1.6778599999999998E-3</v>
      </c>
    </row>
    <row r="225" spans="1:23" x14ac:dyDescent="0.3">
      <c r="A225" s="6">
        <v>218</v>
      </c>
      <c r="B225" s="6">
        <v>3.2768799999999998E-3</v>
      </c>
      <c r="C225" s="6">
        <v>0.127549</v>
      </c>
      <c r="D225" s="6">
        <v>39.051400000000001</v>
      </c>
      <c r="E225" s="6">
        <v>38.923900000000003</v>
      </c>
      <c r="F225" s="6">
        <v>-1.49778E-3</v>
      </c>
      <c r="G225" s="6">
        <v>-2.9155799999999999E-2</v>
      </c>
      <c r="H225" s="6">
        <v>19.436900000000001</v>
      </c>
      <c r="I225" s="6">
        <v>19.466100000000001</v>
      </c>
      <c r="J225" s="6">
        <v>-1.3658100000000001E-3</v>
      </c>
      <c r="K225" s="6">
        <v>-2.49553E-2</v>
      </c>
      <c r="L225" s="6">
        <v>18.246400000000001</v>
      </c>
      <c r="M225" s="6">
        <v>18.2714</v>
      </c>
      <c r="N225" s="6">
        <v>-1.9984999999999998E-3</v>
      </c>
      <c r="O225" s="6">
        <v>-3.7254700000000002E-2</v>
      </c>
      <c r="P225" s="6">
        <v>18.604099999999999</v>
      </c>
      <c r="Q225" s="6">
        <v>18.641400000000001</v>
      </c>
      <c r="R225" s="6">
        <v>75.209000000000003</v>
      </c>
      <c r="S225" s="6">
        <v>75.209000000000003</v>
      </c>
      <c r="T225" s="6">
        <v>2.8538999999999999</v>
      </c>
      <c r="U225" s="6">
        <v>10032.200000000001</v>
      </c>
      <c r="V225">
        <f t="shared" si="6"/>
        <v>54.052801724137936</v>
      </c>
      <c r="W225">
        <f t="shared" si="7"/>
        <v>1.6206966666666666E-3</v>
      </c>
    </row>
    <row r="226" spans="1:23" x14ac:dyDescent="0.3">
      <c r="A226" s="6">
        <v>219</v>
      </c>
      <c r="B226" s="6">
        <v>3.27392E-3</v>
      </c>
      <c r="C226" s="6">
        <v>0.12743399999999999</v>
      </c>
      <c r="D226" s="6">
        <v>39.051299999999998</v>
      </c>
      <c r="E226" s="6">
        <v>38.923900000000003</v>
      </c>
      <c r="F226" s="6">
        <v>-1.4843600000000001E-3</v>
      </c>
      <c r="G226" s="6">
        <v>-2.8894699999999999E-2</v>
      </c>
      <c r="H226" s="6">
        <v>19.437200000000001</v>
      </c>
      <c r="I226" s="6">
        <v>19.466100000000001</v>
      </c>
      <c r="J226" s="6">
        <v>-1.39635E-3</v>
      </c>
      <c r="K226" s="6">
        <v>-2.55131E-2</v>
      </c>
      <c r="L226" s="6">
        <v>18.245799999999999</v>
      </c>
      <c r="M226" s="6">
        <v>18.2714</v>
      </c>
      <c r="N226" s="6">
        <v>-1.9189999999999999E-3</v>
      </c>
      <c r="O226" s="6">
        <v>-3.5772699999999998E-2</v>
      </c>
      <c r="P226" s="6">
        <v>18.605599999999999</v>
      </c>
      <c r="Q226" s="6">
        <v>18.641400000000001</v>
      </c>
      <c r="R226" s="6">
        <v>75.644000000000005</v>
      </c>
      <c r="S226" s="6">
        <v>75.644000000000005</v>
      </c>
      <c r="T226" s="6">
        <v>2.8761000000000001</v>
      </c>
      <c r="U226" s="6">
        <v>10110.200000000001</v>
      </c>
      <c r="V226">
        <f t="shared" si="6"/>
        <v>54.473060344827594</v>
      </c>
      <c r="W226">
        <f t="shared" si="7"/>
        <v>1.5999033333333331E-3</v>
      </c>
    </row>
    <row r="227" spans="1:23" x14ac:dyDescent="0.3">
      <c r="A227" s="6">
        <v>220</v>
      </c>
      <c r="B227" s="6">
        <v>3.2821199999999999E-3</v>
      </c>
      <c r="C227" s="6">
        <v>0.12775300000000001</v>
      </c>
      <c r="D227" s="6">
        <v>39.051600000000001</v>
      </c>
      <c r="E227" s="6">
        <v>38.923900000000003</v>
      </c>
      <c r="F227" s="6">
        <v>-1.4357599999999999E-3</v>
      </c>
      <c r="G227" s="6">
        <v>-2.7948600000000001E-2</v>
      </c>
      <c r="H227" s="6">
        <v>19.438099999999999</v>
      </c>
      <c r="I227" s="6">
        <v>19.466100000000001</v>
      </c>
      <c r="J227" s="6">
        <v>-1.3883599999999999E-3</v>
      </c>
      <c r="K227" s="6">
        <v>-2.5367199999999999E-2</v>
      </c>
      <c r="L227" s="6">
        <v>18.245999999999999</v>
      </c>
      <c r="M227" s="6">
        <v>18.2714</v>
      </c>
      <c r="N227" s="6">
        <v>-1.9788000000000002E-3</v>
      </c>
      <c r="O227" s="6">
        <v>-3.6887499999999997E-2</v>
      </c>
      <c r="P227" s="6">
        <v>18.604500000000002</v>
      </c>
      <c r="Q227" s="6">
        <v>18.641400000000001</v>
      </c>
      <c r="R227" s="6">
        <v>75.894999999999996</v>
      </c>
      <c r="S227" s="6">
        <v>75.894999999999996</v>
      </c>
      <c r="T227" s="6">
        <v>2.8893</v>
      </c>
      <c r="U227" s="6">
        <v>10156.5</v>
      </c>
      <c r="V227">
        <f t="shared" si="6"/>
        <v>54.722521551724142</v>
      </c>
      <c r="W227">
        <f t="shared" si="7"/>
        <v>1.6009733333333335E-3</v>
      </c>
    </row>
    <row r="228" spans="1:23" x14ac:dyDescent="0.3">
      <c r="A228" s="6">
        <v>221</v>
      </c>
      <c r="B228" s="6">
        <v>3.31139E-3</v>
      </c>
      <c r="C228" s="6">
        <v>0.12889200000000001</v>
      </c>
      <c r="D228" s="6">
        <v>39.052700000000002</v>
      </c>
      <c r="E228" s="6">
        <v>38.923900000000003</v>
      </c>
      <c r="F228" s="6">
        <v>-1.39828E-3</v>
      </c>
      <c r="G228" s="6">
        <v>-2.72191E-2</v>
      </c>
      <c r="H228" s="6">
        <v>19.438800000000001</v>
      </c>
      <c r="I228" s="6">
        <v>19.466100000000001</v>
      </c>
      <c r="J228" s="6">
        <v>-1.4132999999999999E-3</v>
      </c>
      <c r="K228" s="6">
        <v>-2.5822899999999999E-2</v>
      </c>
      <c r="L228" s="6">
        <v>18.2455</v>
      </c>
      <c r="M228" s="6">
        <v>18.2714</v>
      </c>
      <c r="N228" s="6">
        <v>-1.9699800000000001E-3</v>
      </c>
      <c r="O228" s="6">
        <v>-3.6723199999999998E-2</v>
      </c>
      <c r="P228" s="6">
        <v>18.604600000000001</v>
      </c>
      <c r="Q228" s="6">
        <v>18.641400000000001</v>
      </c>
      <c r="R228" s="6">
        <v>76.271000000000001</v>
      </c>
      <c r="S228" s="6">
        <v>76.271000000000001</v>
      </c>
      <c r="T228" s="6">
        <v>2.8961000000000001</v>
      </c>
      <c r="U228" s="6">
        <v>10180.299999999999</v>
      </c>
      <c r="V228">
        <f t="shared" si="6"/>
        <v>54.850754310344826</v>
      </c>
      <c r="W228">
        <f t="shared" si="7"/>
        <v>1.5938533333333335E-3</v>
      </c>
    </row>
    <row r="229" spans="1:23" x14ac:dyDescent="0.3">
      <c r="A229" s="6">
        <v>222</v>
      </c>
      <c r="B229" s="6">
        <v>3.3964099999999999E-3</v>
      </c>
      <c r="C229" s="6">
        <v>0.13220100000000001</v>
      </c>
      <c r="D229" s="6">
        <v>39.056100000000001</v>
      </c>
      <c r="E229" s="6">
        <v>38.923900000000003</v>
      </c>
      <c r="F229" s="6">
        <v>-1.56266E-3</v>
      </c>
      <c r="G229" s="6">
        <v>-3.0418899999999999E-2</v>
      </c>
      <c r="H229" s="6">
        <v>19.435600000000001</v>
      </c>
      <c r="I229" s="6">
        <v>19.466100000000001</v>
      </c>
      <c r="J229" s="6">
        <v>-1.4447100000000001E-3</v>
      </c>
      <c r="K229" s="6">
        <v>-2.6396800000000002E-2</v>
      </c>
      <c r="L229" s="6">
        <v>18.245000000000001</v>
      </c>
      <c r="M229" s="6">
        <v>18.2714</v>
      </c>
      <c r="N229" s="6">
        <v>-2.0392399999999999E-3</v>
      </c>
      <c r="O229" s="6">
        <v>-3.8014199999999998E-2</v>
      </c>
      <c r="P229" s="6">
        <v>18.603300000000001</v>
      </c>
      <c r="Q229" s="6">
        <v>18.641400000000001</v>
      </c>
      <c r="R229" s="6">
        <v>76.454999999999998</v>
      </c>
      <c r="S229" s="6">
        <v>76.454999999999998</v>
      </c>
      <c r="T229" s="6">
        <v>2.9064000000000001</v>
      </c>
      <c r="U229" s="6">
        <v>10216.4</v>
      </c>
      <c r="V229">
        <f t="shared" si="6"/>
        <v>55.045258620689658</v>
      </c>
      <c r="W229">
        <f t="shared" si="7"/>
        <v>1.6822033333333333E-3</v>
      </c>
    </row>
    <row r="230" spans="1:23" x14ac:dyDescent="0.3">
      <c r="A230" s="6">
        <v>223</v>
      </c>
      <c r="B230" s="6">
        <v>3.3349400000000002E-3</v>
      </c>
      <c r="C230" s="6">
        <v>0.12980900000000001</v>
      </c>
      <c r="D230" s="6">
        <v>39.053699999999999</v>
      </c>
      <c r="E230" s="6">
        <v>38.923900000000003</v>
      </c>
      <c r="F230" s="6">
        <v>-1.4935199999999999E-3</v>
      </c>
      <c r="G230" s="6">
        <v>-2.9073000000000002E-2</v>
      </c>
      <c r="H230" s="6">
        <v>19.437000000000001</v>
      </c>
      <c r="I230" s="6">
        <v>19.466100000000001</v>
      </c>
      <c r="J230" s="6">
        <v>-1.45554E-3</v>
      </c>
      <c r="K230" s="6">
        <v>-2.6594699999999999E-2</v>
      </c>
      <c r="L230" s="6">
        <v>18.244800000000001</v>
      </c>
      <c r="M230" s="6">
        <v>18.2714</v>
      </c>
      <c r="N230" s="6">
        <v>-1.9546799999999999E-3</v>
      </c>
      <c r="O230" s="6">
        <v>-3.6437900000000002E-2</v>
      </c>
      <c r="P230" s="6">
        <v>18.604900000000001</v>
      </c>
      <c r="Q230" s="6">
        <v>18.641400000000001</v>
      </c>
      <c r="R230" s="6">
        <v>76.894999999999996</v>
      </c>
      <c r="S230" s="6">
        <v>76.894999999999996</v>
      </c>
      <c r="T230" s="6">
        <v>2.9264000000000001</v>
      </c>
      <c r="U230" s="6">
        <v>10286.5</v>
      </c>
      <c r="V230">
        <f t="shared" si="6"/>
        <v>55.422952586206897</v>
      </c>
      <c r="W230">
        <f t="shared" si="7"/>
        <v>1.6345800000000001E-3</v>
      </c>
    </row>
    <row r="231" spans="1:23" x14ac:dyDescent="0.3">
      <c r="A231" s="6">
        <v>224</v>
      </c>
      <c r="B231" s="6">
        <v>3.3681800000000001E-3</v>
      </c>
      <c r="C231" s="6">
        <v>0.131103</v>
      </c>
      <c r="D231" s="6">
        <v>39.055</v>
      </c>
      <c r="E231" s="6">
        <v>38.923900000000003</v>
      </c>
      <c r="F231" s="6">
        <v>-1.50504E-3</v>
      </c>
      <c r="G231" s="6">
        <v>-2.9297299999999998E-2</v>
      </c>
      <c r="H231" s="6">
        <v>19.436800000000002</v>
      </c>
      <c r="I231" s="6">
        <v>19.466100000000001</v>
      </c>
      <c r="J231" s="6">
        <v>-1.37192E-3</v>
      </c>
      <c r="K231" s="6">
        <v>-2.50669E-2</v>
      </c>
      <c r="L231" s="6">
        <v>18.246300000000002</v>
      </c>
      <c r="M231" s="6">
        <v>18.2714</v>
      </c>
      <c r="N231" s="6">
        <v>-2.0056599999999998E-3</v>
      </c>
      <c r="O231" s="6">
        <v>-3.7388200000000003E-2</v>
      </c>
      <c r="P231" s="6">
        <v>18.603999999999999</v>
      </c>
      <c r="Q231" s="6">
        <v>18.641400000000001</v>
      </c>
      <c r="R231" s="6">
        <v>77.084000000000003</v>
      </c>
      <c r="S231" s="6">
        <v>77.084000000000003</v>
      </c>
      <c r="T231" s="6">
        <v>2.9211999999999998</v>
      </c>
      <c r="U231" s="6">
        <v>10268.4</v>
      </c>
      <c r="V231">
        <f t="shared" si="6"/>
        <v>55.325431034482762</v>
      </c>
      <c r="W231">
        <f t="shared" si="7"/>
        <v>1.62754E-3</v>
      </c>
    </row>
    <row r="232" spans="1:23" x14ac:dyDescent="0.3">
      <c r="A232" s="6">
        <v>225</v>
      </c>
      <c r="B232" s="6">
        <v>3.34169E-3</v>
      </c>
      <c r="C232" s="6">
        <v>0.13007099999999999</v>
      </c>
      <c r="D232" s="6">
        <v>39.053899999999999</v>
      </c>
      <c r="E232" s="6">
        <v>38.923900000000003</v>
      </c>
      <c r="F232" s="6">
        <v>-1.39876E-3</v>
      </c>
      <c r="G232" s="6">
        <v>-2.72283E-2</v>
      </c>
      <c r="H232" s="6">
        <v>19.438800000000001</v>
      </c>
      <c r="I232" s="6">
        <v>19.466100000000001</v>
      </c>
      <c r="J232" s="6">
        <v>-1.4341499999999999E-3</v>
      </c>
      <c r="K232" s="6">
        <v>-2.6203799999999999E-2</v>
      </c>
      <c r="L232" s="6">
        <v>18.245100000000001</v>
      </c>
      <c r="M232" s="6">
        <v>18.2714</v>
      </c>
      <c r="N232" s="6">
        <v>-2.0540300000000001E-3</v>
      </c>
      <c r="O232" s="6">
        <v>-3.8289900000000002E-2</v>
      </c>
      <c r="P232" s="6">
        <v>18.603100000000001</v>
      </c>
      <c r="Q232" s="6">
        <v>18.641400000000001</v>
      </c>
      <c r="R232" s="6">
        <v>77.516999999999996</v>
      </c>
      <c r="S232" s="6">
        <v>77.518000000000001</v>
      </c>
      <c r="T232" s="6">
        <v>2.948</v>
      </c>
      <c r="U232" s="6">
        <v>10362.200000000001</v>
      </c>
      <c r="V232">
        <f t="shared" si="6"/>
        <v>55.830818965517246</v>
      </c>
      <c r="W232">
        <f t="shared" si="7"/>
        <v>1.6289800000000001E-3</v>
      </c>
    </row>
    <row r="233" spans="1:23" x14ac:dyDescent="0.3">
      <c r="A233" s="6">
        <v>226</v>
      </c>
      <c r="B233" s="6">
        <v>3.37456E-3</v>
      </c>
      <c r="C233" s="6">
        <v>0.131351</v>
      </c>
      <c r="D233" s="6">
        <v>39.055199999999999</v>
      </c>
      <c r="E233" s="6">
        <v>38.923900000000003</v>
      </c>
      <c r="F233" s="6">
        <v>-1.40201E-3</v>
      </c>
      <c r="G233" s="6">
        <v>-2.72915E-2</v>
      </c>
      <c r="H233" s="6">
        <v>19.438800000000001</v>
      </c>
      <c r="I233" s="6">
        <v>19.466100000000001</v>
      </c>
      <c r="J233" s="6">
        <v>-1.4231700000000001E-3</v>
      </c>
      <c r="K233" s="6">
        <v>-2.6003200000000001E-2</v>
      </c>
      <c r="L233" s="6">
        <v>18.2453</v>
      </c>
      <c r="M233" s="6">
        <v>18.2714</v>
      </c>
      <c r="N233" s="6">
        <v>-2.0377899999999998E-3</v>
      </c>
      <c r="O233" s="6">
        <v>-3.7987199999999999E-2</v>
      </c>
      <c r="P233" s="6">
        <v>18.603400000000001</v>
      </c>
      <c r="Q233" s="6">
        <v>18.641400000000001</v>
      </c>
      <c r="R233" s="6">
        <v>77.828000000000003</v>
      </c>
      <c r="S233" s="6">
        <v>77.828000000000003</v>
      </c>
      <c r="T233" s="6">
        <v>2.9618000000000002</v>
      </c>
      <c r="U233" s="6">
        <v>10410.799999999999</v>
      </c>
      <c r="V233">
        <f t="shared" si="6"/>
        <v>56.092672413793103</v>
      </c>
      <c r="W233">
        <f t="shared" si="7"/>
        <v>1.6209899999999999E-3</v>
      </c>
    </row>
    <row r="234" spans="1:23" x14ac:dyDescent="0.3">
      <c r="A234" s="6">
        <v>227</v>
      </c>
      <c r="B234" s="6">
        <v>3.3940400000000001E-3</v>
      </c>
      <c r="C234" s="6">
        <v>0.132109</v>
      </c>
      <c r="D234" s="6">
        <v>39.055999999999997</v>
      </c>
      <c r="E234" s="6">
        <v>38.923900000000003</v>
      </c>
      <c r="F234" s="6">
        <v>-1.49205E-3</v>
      </c>
      <c r="G234" s="6">
        <v>-2.9044299999999999E-2</v>
      </c>
      <c r="H234" s="6">
        <v>19.437000000000001</v>
      </c>
      <c r="I234" s="6">
        <v>19.466100000000001</v>
      </c>
      <c r="J234" s="6">
        <v>-1.4062300000000001E-3</v>
      </c>
      <c r="K234" s="6">
        <v>-2.56937E-2</v>
      </c>
      <c r="L234" s="6">
        <v>18.245699999999999</v>
      </c>
      <c r="M234" s="6">
        <v>18.2714</v>
      </c>
      <c r="N234" s="6">
        <v>-1.9764399999999999E-3</v>
      </c>
      <c r="O234" s="6">
        <v>-3.6843599999999997E-2</v>
      </c>
      <c r="P234" s="6">
        <v>18.604500000000002</v>
      </c>
      <c r="Q234" s="6">
        <v>18.641400000000001</v>
      </c>
      <c r="R234" s="6">
        <v>78.203000000000003</v>
      </c>
      <c r="S234" s="6">
        <v>78.203000000000003</v>
      </c>
      <c r="T234" s="6">
        <v>2.9786000000000001</v>
      </c>
      <c r="U234" s="6">
        <v>10469.6</v>
      </c>
      <c r="V234">
        <f t="shared" si="6"/>
        <v>56.40948275862069</v>
      </c>
      <c r="W234">
        <f t="shared" si="7"/>
        <v>1.6249066666666667E-3</v>
      </c>
    </row>
    <row r="235" spans="1:23" x14ac:dyDescent="0.3">
      <c r="A235" s="6">
        <v>228</v>
      </c>
      <c r="B235" s="6">
        <v>3.4454899999999998E-3</v>
      </c>
      <c r="C235" s="6">
        <v>0.13411200000000001</v>
      </c>
      <c r="D235" s="6">
        <v>39.058</v>
      </c>
      <c r="E235" s="6">
        <v>38.923900000000003</v>
      </c>
      <c r="F235" s="6">
        <v>-1.5376400000000001E-3</v>
      </c>
      <c r="G235" s="6">
        <v>-2.9931800000000001E-2</v>
      </c>
      <c r="H235" s="6">
        <v>19.4361</v>
      </c>
      <c r="I235" s="6">
        <v>19.466100000000001</v>
      </c>
      <c r="J235" s="6">
        <v>-1.43242E-3</v>
      </c>
      <c r="K235" s="6">
        <v>-2.6172299999999999E-2</v>
      </c>
      <c r="L235" s="6">
        <v>18.245200000000001</v>
      </c>
      <c r="M235" s="6">
        <v>18.2714</v>
      </c>
      <c r="N235" s="6">
        <v>-1.9773600000000001E-3</v>
      </c>
      <c r="O235" s="6">
        <v>-3.6860700000000003E-2</v>
      </c>
      <c r="P235" s="6">
        <v>18.604500000000002</v>
      </c>
      <c r="Q235" s="6">
        <v>18.641400000000001</v>
      </c>
      <c r="R235" s="6">
        <v>78.515000000000001</v>
      </c>
      <c r="S235" s="6">
        <v>78.515000000000001</v>
      </c>
      <c r="T235" s="6">
        <v>2.9872999999999998</v>
      </c>
      <c r="U235" s="6">
        <v>10500.1</v>
      </c>
      <c r="V235">
        <f t="shared" si="6"/>
        <v>56.57381465517242</v>
      </c>
      <c r="W235">
        <f t="shared" si="7"/>
        <v>1.6491400000000001E-3</v>
      </c>
    </row>
    <row r="236" spans="1:23" x14ac:dyDescent="0.3">
      <c r="A236" s="6">
        <v>229</v>
      </c>
      <c r="B236" s="6">
        <v>3.4153600000000001E-3</v>
      </c>
      <c r="C236" s="6">
        <v>0.132939</v>
      </c>
      <c r="D236" s="6">
        <v>39.056800000000003</v>
      </c>
      <c r="E236" s="6">
        <v>38.923900000000003</v>
      </c>
      <c r="F236" s="6">
        <v>-1.48467E-3</v>
      </c>
      <c r="G236" s="6">
        <v>-2.8900599999999999E-2</v>
      </c>
      <c r="H236" s="6">
        <v>19.437200000000001</v>
      </c>
      <c r="I236" s="6">
        <v>19.466100000000001</v>
      </c>
      <c r="J236" s="6">
        <v>-1.34621E-3</v>
      </c>
      <c r="K236" s="6">
        <v>-2.45971E-2</v>
      </c>
      <c r="L236" s="6">
        <v>18.2468</v>
      </c>
      <c r="M236" s="6">
        <v>18.2714</v>
      </c>
      <c r="N236" s="6">
        <v>-1.98628E-3</v>
      </c>
      <c r="O236" s="6">
        <v>-3.7026900000000001E-2</v>
      </c>
      <c r="P236" s="6">
        <v>18.604299999999999</v>
      </c>
      <c r="Q236" s="6">
        <v>18.641400000000001</v>
      </c>
      <c r="R236" s="6">
        <v>78.763999999999996</v>
      </c>
      <c r="S236" s="6">
        <v>78.763999999999996</v>
      </c>
      <c r="T236" s="6">
        <v>2.9975999999999998</v>
      </c>
      <c r="U236" s="6">
        <v>10536.3</v>
      </c>
      <c r="V236">
        <f t="shared" si="6"/>
        <v>56.76885775862069</v>
      </c>
      <c r="W236">
        <f t="shared" si="7"/>
        <v>1.6057199999999999E-3</v>
      </c>
    </row>
    <row r="237" spans="1:23" x14ac:dyDescent="0.3">
      <c r="A237" s="6">
        <v>230</v>
      </c>
      <c r="B237" s="6">
        <v>3.4062799999999998E-3</v>
      </c>
      <c r="C237" s="6">
        <v>0.13258600000000001</v>
      </c>
      <c r="D237" s="6">
        <v>39.056399999999996</v>
      </c>
      <c r="E237" s="6">
        <v>38.923900000000003</v>
      </c>
      <c r="F237" s="6">
        <v>-1.7089099999999999E-3</v>
      </c>
      <c r="G237" s="6">
        <v>-3.3265799999999998E-2</v>
      </c>
      <c r="H237" s="6">
        <v>19.4328</v>
      </c>
      <c r="I237" s="6">
        <v>19.466100000000001</v>
      </c>
      <c r="J237" s="6">
        <v>-1.60907E-3</v>
      </c>
      <c r="K237" s="6">
        <v>-2.93999E-2</v>
      </c>
      <c r="L237" s="6">
        <v>18.242000000000001</v>
      </c>
      <c r="M237" s="6">
        <v>18.2714</v>
      </c>
      <c r="N237" s="6">
        <v>-2.0912600000000002E-3</v>
      </c>
      <c r="O237" s="6">
        <v>-3.8983999999999998E-2</v>
      </c>
      <c r="P237" s="6">
        <v>18.602399999999999</v>
      </c>
      <c r="Q237" s="6">
        <v>18.641400000000001</v>
      </c>
      <c r="R237" s="6">
        <v>79.138999999999996</v>
      </c>
      <c r="S237" s="6">
        <v>79.138999999999996</v>
      </c>
      <c r="T237" s="6">
        <v>3.0156999999999998</v>
      </c>
      <c r="U237" s="6">
        <v>10599.6</v>
      </c>
      <c r="V237">
        <f t="shared" si="6"/>
        <v>57.109913793103452</v>
      </c>
      <c r="W237">
        <f t="shared" si="7"/>
        <v>1.8030800000000001E-3</v>
      </c>
    </row>
    <row r="238" spans="1:23" x14ac:dyDescent="0.3">
      <c r="A238" s="6">
        <v>231</v>
      </c>
      <c r="B238" s="6">
        <v>3.4113199999999998E-3</v>
      </c>
      <c r="C238" s="6">
        <v>0.13278200000000001</v>
      </c>
      <c r="D238" s="6">
        <v>39.056600000000003</v>
      </c>
      <c r="E238" s="6">
        <v>38.923900000000003</v>
      </c>
      <c r="F238" s="6">
        <v>-1.5015499999999999E-3</v>
      </c>
      <c r="G238" s="6">
        <v>-2.92292E-2</v>
      </c>
      <c r="H238" s="6">
        <v>19.436800000000002</v>
      </c>
      <c r="I238" s="6">
        <v>19.466100000000001</v>
      </c>
      <c r="J238" s="6">
        <v>-1.35549E-3</v>
      </c>
      <c r="K238" s="6">
        <v>-2.47666E-2</v>
      </c>
      <c r="L238" s="6">
        <v>18.246600000000001</v>
      </c>
      <c r="M238" s="6">
        <v>18.2714</v>
      </c>
      <c r="N238" s="6">
        <v>-2.03885E-3</v>
      </c>
      <c r="O238" s="6">
        <v>-3.8006900000000003E-2</v>
      </c>
      <c r="P238" s="6">
        <v>18.603400000000001</v>
      </c>
      <c r="Q238" s="6">
        <v>18.641400000000001</v>
      </c>
      <c r="R238" s="6">
        <v>79.263999999999996</v>
      </c>
      <c r="S238" s="6">
        <v>79.263999999999996</v>
      </c>
      <c r="T238" s="6">
        <v>3.0118</v>
      </c>
      <c r="U238" s="6">
        <v>10586</v>
      </c>
      <c r="V238">
        <f t="shared" si="6"/>
        <v>57.036637931034484</v>
      </c>
      <c r="W238">
        <f t="shared" si="7"/>
        <v>1.6319633333333333E-3</v>
      </c>
    </row>
    <row r="239" spans="1:23" x14ac:dyDescent="0.3">
      <c r="A239" s="6">
        <v>232</v>
      </c>
      <c r="B239" s="6">
        <v>3.47445E-3</v>
      </c>
      <c r="C239" s="6">
        <v>0.135239</v>
      </c>
      <c r="D239" s="6">
        <v>39.059100000000001</v>
      </c>
      <c r="E239" s="6">
        <v>38.923900000000003</v>
      </c>
      <c r="F239" s="6">
        <v>-1.4592800000000001E-3</v>
      </c>
      <c r="G239" s="6">
        <v>-2.8406399999999998E-2</v>
      </c>
      <c r="H239" s="6">
        <v>19.4377</v>
      </c>
      <c r="I239" s="6">
        <v>19.466100000000001</v>
      </c>
      <c r="J239" s="6">
        <v>-1.4214E-3</v>
      </c>
      <c r="K239" s="6">
        <v>-2.5970900000000002E-2</v>
      </c>
      <c r="L239" s="6">
        <v>18.2454</v>
      </c>
      <c r="M239" s="6">
        <v>18.2714</v>
      </c>
      <c r="N239" s="6">
        <v>-2.0173499999999998E-3</v>
      </c>
      <c r="O239" s="6">
        <v>-3.7606199999999999E-2</v>
      </c>
      <c r="P239" s="6">
        <v>18.6038</v>
      </c>
      <c r="Q239" s="6">
        <v>18.641400000000001</v>
      </c>
      <c r="R239" s="6">
        <v>79.762</v>
      </c>
      <c r="S239" s="6">
        <v>79.762</v>
      </c>
      <c r="T239" s="6">
        <v>3.0356999999999998</v>
      </c>
      <c r="U239" s="6">
        <v>10669.7</v>
      </c>
      <c r="V239">
        <f t="shared" si="6"/>
        <v>57.487607758620697</v>
      </c>
      <c r="W239">
        <f t="shared" si="7"/>
        <v>1.6326766666666665E-3</v>
      </c>
    </row>
    <row r="240" spans="1:23" x14ac:dyDescent="0.3">
      <c r="A240" s="6">
        <v>233</v>
      </c>
      <c r="B240" s="6">
        <v>3.4504700000000002E-3</v>
      </c>
      <c r="C240" s="6">
        <v>0.13430500000000001</v>
      </c>
      <c r="D240" s="6">
        <v>39.058199999999999</v>
      </c>
      <c r="E240" s="6">
        <v>38.923900000000003</v>
      </c>
      <c r="F240" s="6">
        <v>-1.56924E-3</v>
      </c>
      <c r="G240" s="6">
        <v>-3.0546899999999998E-2</v>
      </c>
      <c r="H240" s="6">
        <v>19.435500000000001</v>
      </c>
      <c r="I240" s="6">
        <v>19.466100000000001</v>
      </c>
      <c r="J240" s="6">
        <v>-1.5090100000000001E-3</v>
      </c>
      <c r="K240" s="6">
        <v>-2.7571700000000001E-2</v>
      </c>
      <c r="L240" s="6">
        <v>18.2438</v>
      </c>
      <c r="M240" s="6">
        <v>18.2714</v>
      </c>
      <c r="N240" s="6">
        <v>-2.0913500000000001E-3</v>
      </c>
      <c r="O240" s="6">
        <v>-3.8985499999999999E-2</v>
      </c>
      <c r="P240" s="6">
        <v>18.602399999999999</v>
      </c>
      <c r="Q240" s="6">
        <v>18.641400000000001</v>
      </c>
      <c r="R240" s="6">
        <v>80.200999999999993</v>
      </c>
      <c r="S240" s="6">
        <v>80.200999999999993</v>
      </c>
      <c r="T240" s="6">
        <v>3.0520999999999998</v>
      </c>
      <c r="U240" s="6">
        <v>10727.3</v>
      </c>
      <c r="V240">
        <f t="shared" si="6"/>
        <v>57.797952586206897</v>
      </c>
      <c r="W240">
        <f t="shared" si="7"/>
        <v>1.7232E-3</v>
      </c>
    </row>
    <row r="241" spans="1:23" x14ac:dyDescent="0.3">
      <c r="A241" s="6">
        <v>234</v>
      </c>
      <c r="B241" s="6">
        <v>3.5361199999999998E-3</v>
      </c>
      <c r="C241" s="6">
        <v>0.13764000000000001</v>
      </c>
      <c r="D241" s="6">
        <v>39.061500000000002</v>
      </c>
      <c r="E241" s="6">
        <v>38.923900000000003</v>
      </c>
      <c r="F241" s="6">
        <v>-1.6104800000000001E-3</v>
      </c>
      <c r="G241" s="6">
        <v>-3.1349700000000001E-2</v>
      </c>
      <c r="H241" s="6">
        <v>19.434699999999999</v>
      </c>
      <c r="I241" s="6">
        <v>19.466100000000001</v>
      </c>
      <c r="J241" s="6">
        <v>-1.53885E-3</v>
      </c>
      <c r="K241" s="6">
        <v>-2.8116800000000001E-2</v>
      </c>
      <c r="L241" s="6">
        <v>18.243200000000002</v>
      </c>
      <c r="M241" s="6">
        <v>18.2714</v>
      </c>
      <c r="N241" s="6">
        <v>-2.0908799999999998E-3</v>
      </c>
      <c r="O241" s="6">
        <v>-3.8976799999999999E-2</v>
      </c>
      <c r="P241" s="6">
        <v>18.602399999999999</v>
      </c>
      <c r="Q241" s="6">
        <v>18.641400000000001</v>
      </c>
      <c r="R241" s="6">
        <v>80.448999999999998</v>
      </c>
      <c r="S241" s="6">
        <v>80.45</v>
      </c>
      <c r="T241" s="6">
        <v>3.0627</v>
      </c>
      <c r="U241" s="6">
        <v>10764.6</v>
      </c>
      <c r="V241">
        <f t="shared" si="6"/>
        <v>57.99892241379311</v>
      </c>
      <c r="W241">
        <f t="shared" si="7"/>
        <v>1.7467366666666668E-3</v>
      </c>
    </row>
    <row r="242" spans="1:23" x14ac:dyDescent="0.3">
      <c r="A242" s="6">
        <v>235</v>
      </c>
      <c r="B242" s="6">
        <v>3.4786000000000001E-3</v>
      </c>
      <c r="C242" s="6">
        <v>0.13540099999999999</v>
      </c>
      <c r="D242" s="6">
        <v>39.0593</v>
      </c>
      <c r="E242" s="6">
        <v>38.923900000000003</v>
      </c>
      <c r="F242" s="6">
        <v>-1.55163E-3</v>
      </c>
      <c r="G242" s="6">
        <v>-3.0204100000000001E-2</v>
      </c>
      <c r="H242" s="6">
        <v>19.4359</v>
      </c>
      <c r="I242" s="6">
        <v>19.466100000000001</v>
      </c>
      <c r="J242" s="6">
        <v>-1.4863999999999999E-3</v>
      </c>
      <c r="K242" s="6">
        <v>-2.7158600000000001E-2</v>
      </c>
      <c r="L242" s="6">
        <v>18.244199999999999</v>
      </c>
      <c r="M242" s="6">
        <v>18.2714</v>
      </c>
      <c r="N242" s="6">
        <v>-2.0821099999999999E-3</v>
      </c>
      <c r="O242" s="6">
        <v>-3.8813300000000002E-2</v>
      </c>
      <c r="P242" s="6">
        <v>18.602599999999999</v>
      </c>
      <c r="Q242" s="6">
        <v>18.641400000000001</v>
      </c>
      <c r="R242" s="6">
        <v>80.822999999999993</v>
      </c>
      <c r="S242" s="6">
        <v>80.823999999999998</v>
      </c>
      <c r="T242" s="6">
        <v>3.0743</v>
      </c>
      <c r="U242" s="6">
        <v>10805.3</v>
      </c>
      <c r="V242">
        <f t="shared" si="6"/>
        <v>58.218211206896548</v>
      </c>
      <c r="W242">
        <f t="shared" si="7"/>
        <v>1.7067133333333333E-3</v>
      </c>
    </row>
    <row r="243" spans="1:23" x14ac:dyDescent="0.3">
      <c r="A243" s="6">
        <v>236</v>
      </c>
      <c r="B243" s="6">
        <v>3.46431E-3</v>
      </c>
      <c r="C243" s="6">
        <v>0.13484399999999999</v>
      </c>
      <c r="D243" s="6">
        <v>39.058700000000002</v>
      </c>
      <c r="E243" s="6">
        <v>38.923900000000003</v>
      </c>
      <c r="F243" s="6">
        <v>-1.5887E-3</v>
      </c>
      <c r="G243" s="6">
        <v>-3.09257E-2</v>
      </c>
      <c r="H243" s="6">
        <v>19.435099999999998</v>
      </c>
      <c r="I243" s="6">
        <v>19.466100000000001</v>
      </c>
      <c r="J243" s="6">
        <v>-1.5329E-3</v>
      </c>
      <c r="K243" s="6">
        <v>-2.8008100000000001E-2</v>
      </c>
      <c r="L243" s="6">
        <v>18.243300000000001</v>
      </c>
      <c r="M243" s="6">
        <v>18.2714</v>
      </c>
      <c r="N243" s="6">
        <v>-2.1000300000000001E-3</v>
      </c>
      <c r="O243" s="6">
        <v>-3.9147399999999999E-2</v>
      </c>
      <c r="P243" s="6">
        <v>18.6022</v>
      </c>
      <c r="Q243" s="6">
        <v>18.641400000000001</v>
      </c>
      <c r="R243" s="6">
        <v>81.075999999999993</v>
      </c>
      <c r="S243" s="6">
        <v>81.075999999999993</v>
      </c>
      <c r="T243" s="6">
        <v>3.0872000000000002</v>
      </c>
      <c r="U243" s="6">
        <v>10850.5</v>
      </c>
      <c r="V243">
        <f t="shared" si="6"/>
        <v>58.461745689655174</v>
      </c>
      <c r="W243">
        <f t="shared" si="7"/>
        <v>1.7405433333333332E-3</v>
      </c>
    </row>
    <row r="244" spans="1:23" x14ac:dyDescent="0.3">
      <c r="A244" s="6">
        <v>237</v>
      </c>
      <c r="B244" s="6">
        <v>3.5307200000000002E-3</v>
      </c>
      <c r="C244" s="6">
        <v>0.137429</v>
      </c>
      <c r="D244" s="6">
        <v>39.061300000000003</v>
      </c>
      <c r="E244" s="6">
        <v>38.923900000000003</v>
      </c>
      <c r="F244" s="6">
        <v>-1.5148099999999999E-3</v>
      </c>
      <c r="G244" s="6">
        <v>-2.9487300000000001E-2</v>
      </c>
      <c r="H244" s="6">
        <v>19.436599999999999</v>
      </c>
      <c r="I244" s="6">
        <v>19.466100000000001</v>
      </c>
      <c r="J244" s="6">
        <v>-1.50913E-3</v>
      </c>
      <c r="K244" s="6">
        <v>-2.7573899999999998E-2</v>
      </c>
      <c r="L244" s="6">
        <v>18.2438</v>
      </c>
      <c r="M244" s="6">
        <v>18.2714</v>
      </c>
      <c r="N244" s="6">
        <v>-2.1120100000000001E-3</v>
      </c>
      <c r="O244" s="6">
        <v>-3.9370700000000002E-2</v>
      </c>
      <c r="P244" s="6">
        <v>18.602</v>
      </c>
      <c r="Q244" s="6">
        <v>18.641400000000001</v>
      </c>
      <c r="R244" s="6">
        <v>81.575000000000003</v>
      </c>
      <c r="S244" s="6">
        <v>81.575999999999993</v>
      </c>
      <c r="T244" s="6">
        <v>3.1114000000000002</v>
      </c>
      <c r="U244" s="6">
        <v>10935.3</v>
      </c>
      <c r="V244">
        <f t="shared" si="6"/>
        <v>58.91864224137931</v>
      </c>
      <c r="W244">
        <f t="shared" si="7"/>
        <v>1.7119833333333334E-3</v>
      </c>
    </row>
    <row r="245" spans="1:23" x14ac:dyDescent="0.3">
      <c r="A245" s="6">
        <v>238</v>
      </c>
      <c r="B245" s="6">
        <v>3.5873799999999998E-3</v>
      </c>
      <c r="C245" s="6">
        <v>0.13963500000000001</v>
      </c>
      <c r="D245" s="6">
        <v>39.063499999999998</v>
      </c>
      <c r="E245" s="6">
        <v>38.923900000000003</v>
      </c>
      <c r="F245" s="6">
        <v>-1.5855999999999999E-3</v>
      </c>
      <c r="G245" s="6">
        <v>-3.0865400000000001E-2</v>
      </c>
      <c r="H245" s="6">
        <v>19.435199999999998</v>
      </c>
      <c r="I245" s="6">
        <v>19.466100000000001</v>
      </c>
      <c r="J245" s="6">
        <v>-1.48745E-3</v>
      </c>
      <c r="K245" s="6">
        <v>-2.7177799999999998E-2</v>
      </c>
      <c r="L245" s="6">
        <v>18.244199999999999</v>
      </c>
      <c r="M245" s="6">
        <v>18.2714</v>
      </c>
      <c r="N245" s="6">
        <v>-2.1070400000000001E-3</v>
      </c>
      <c r="O245" s="6">
        <v>-3.9278100000000003E-2</v>
      </c>
      <c r="P245" s="6">
        <v>18.6021</v>
      </c>
      <c r="Q245" s="6">
        <v>18.641400000000001</v>
      </c>
      <c r="R245" s="6">
        <v>81.885000000000005</v>
      </c>
      <c r="S245" s="6">
        <v>81.885000000000005</v>
      </c>
      <c r="T245" s="6">
        <v>3.1049000000000002</v>
      </c>
      <c r="U245" s="6">
        <v>10912.7</v>
      </c>
      <c r="V245">
        <f t="shared" si="6"/>
        <v>58.796875000000007</v>
      </c>
      <c r="W245">
        <f t="shared" si="7"/>
        <v>1.7266966666666668E-3</v>
      </c>
    </row>
    <row r="246" spans="1:23" x14ac:dyDescent="0.3">
      <c r="A246" s="6">
        <v>239</v>
      </c>
      <c r="B246" s="6">
        <v>3.5385999999999998E-3</v>
      </c>
      <c r="C246" s="6">
        <v>0.137736</v>
      </c>
      <c r="D246" s="6">
        <v>39.061599999999999</v>
      </c>
      <c r="E246" s="6">
        <v>38.923900000000003</v>
      </c>
      <c r="F246" s="6">
        <v>-1.63083E-3</v>
      </c>
      <c r="G246" s="6">
        <v>-3.1745799999999998E-2</v>
      </c>
      <c r="H246" s="6">
        <v>19.4343</v>
      </c>
      <c r="I246" s="6">
        <v>19.466100000000001</v>
      </c>
      <c r="J246" s="6">
        <v>-1.5508500000000001E-3</v>
      </c>
      <c r="K246" s="6">
        <v>-2.8336099999999999E-2</v>
      </c>
      <c r="L246" s="6">
        <v>18.242999999999999</v>
      </c>
      <c r="M246" s="6">
        <v>18.2714</v>
      </c>
      <c r="N246" s="6">
        <v>-2.21287E-3</v>
      </c>
      <c r="O246" s="6">
        <v>-4.12509E-2</v>
      </c>
      <c r="P246" s="6">
        <v>18.600100000000001</v>
      </c>
      <c r="Q246" s="6">
        <v>18.641400000000001</v>
      </c>
      <c r="R246" s="6">
        <v>82.132999999999996</v>
      </c>
      <c r="S246" s="6">
        <v>82.134</v>
      </c>
      <c r="T246" s="6">
        <v>3.1242999999999999</v>
      </c>
      <c r="U246" s="6">
        <v>10980.5</v>
      </c>
      <c r="V246">
        <f t="shared" si="6"/>
        <v>59.162176724137936</v>
      </c>
      <c r="W246">
        <f t="shared" si="7"/>
        <v>1.7981833333333332E-3</v>
      </c>
    </row>
    <row r="247" spans="1:23" x14ac:dyDescent="0.3">
      <c r="A247" s="6">
        <v>240</v>
      </c>
      <c r="B247" s="6">
        <v>3.60414E-3</v>
      </c>
      <c r="C247" s="6">
        <v>0.140287</v>
      </c>
      <c r="D247" s="6">
        <v>39.064100000000003</v>
      </c>
      <c r="E247" s="6">
        <v>38.923900000000003</v>
      </c>
      <c r="F247" s="6">
        <v>-1.65595E-3</v>
      </c>
      <c r="G247" s="6">
        <v>-3.2234800000000001E-2</v>
      </c>
      <c r="H247" s="6">
        <v>19.433800000000002</v>
      </c>
      <c r="I247" s="6">
        <v>19.466100000000001</v>
      </c>
      <c r="J247" s="6">
        <v>-1.5993800000000001E-3</v>
      </c>
      <c r="K247" s="6">
        <v>-2.92228E-2</v>
      </c>
      <c r="L247" s="6">
        <v>18.242100000000001</v>
      </c>
      <c r="M247" s="6">
        <v>18.2714</v>
      </c>
      <c r="N247" s="6">
        <v>-2.1505500000000002E-3</v>
      </c>
      <c r="O247" s="6">
        <v>-4.0089300000000001E-2</v>
      </c>
      <c r="P247" s="6">
        <v>18.601299999999998</v>
      </c>
      <c r="Q247" s="6">
        <v>18.641400000000001</v>
      </c>
      <c r="R247" s="6">
        <v>82.507999999999996</v>
      </c>
      <c r="S247" s="6">
        <v>82.509</v>
      </c>
      <c r="T247" s="6">
        <v>3.1358999999999999</v>
      </c>
      <c r="U247" s="6">
        <v>11021.2</v>
      </c>
      <c r="V247">
        <f t="shared" si="6"/>
        <v>59.381465517241388</v>
      </c>
      <c r="W247">
        <f t="shared" si="7"/>
        <v>1.80196E-3</v>
      </c>
    </row>
    <row r="248" spans="1:23" x14ac:dyDescent="0.3">
      <c r="A248" s="6">
        <v>241</v>
      </c>
      <c r="B248" s="6">
        <v>3.6011099999999998E-3</v>
      </c>
      <c r="C248" s="6">
        <v>0.14016899999999999</v>
      </c>
      <c r="D248" s="6">
        <v>39.064</v>
      </c>
      <c r="E248" s="6">
        <v>38.923900000000003</v>
      </c>
      <c r="F248" s="6">
        <v>-1.65865E-3</v>
      </c>
      <c r="G248" s="6">
        <v>-3.2287299999999998E-2</v>
      </c>
      <c r="H248" s="6">
        <v>19.433800000000002</v>
      </c>
      <c r="I248" s="6">
        <v>19.466100000000001</v>
      </c>
      <c r="J248" s="6">
        <v>-1.6252300000000001E-3</v>
      </c>
      <c r="K248" s="6">
        <v>-2.9695099999999999E-2</v>
      </c>
      <c r="L248" s="6">
        <v>18.241700000000002</v>
      </c>
      <c r="M248" s="6">
        <v>18.2714</v>
      </c>
      <c r="N248" s="6">
        <v>-2.2333499999999998E-3</v>
      </c>
      <c r="O248" s="6">
        <v>-4.1632599999999999E-2</v>
      </c>
      <c r="P248" s="6">
        <v>18.599699999999999</v>
      </c>
      <c r="Q248" s="6">
        <v>18.641400000000001</v>
      </c>
      <c r="R248" s="6">
        <v>82.947000000000003</v>
      </c>
      <c r="S248" s="6">
        <v>82.947000000000003</v>
      </c>
      <c r="T248" s="6">
        <v>3.1551999999999998</v>
      </c>
      <c r="U248" s="6">
        <v>11089</v>
      </c>
      <c r="V248">
        <f t="shared" si="6"/>
        <v>59.74676724137931</v>
      </c>
      <c r="W248">
        <f t="shared" si="7"/>
        <v>1.8390766666666666E-3</v>
      </c>
    </row>
    <row r="249" spans="1:23" x14ac:dyDescent="0.3">
      <c r="A249" s="6">
        <v>242</v>
      </c>
      <c r="B249" s="6">
        <v>3.6071599999999999E-3</v>
      </c>
      <c r="C249" s="6">
        <v>0.140404</v>
      </c>
      <c r="D249" s="6">
        <v>39.064300000000003</v>
      </c>
      <c r="E249" s="6">
        <v>38.923900000000003</v>
      </c>
      <c r="F249" s="6">
        <v>-1.6559999999999999E-3</v>
      </c>
      <c r="G249" s="6">
        <v>-3.2235899999999998E-2</v>
      </c>
      <c r="H249" s="6">
        <v>19.433800000000002</v>
      </c>
      <c r="I249" s="6">
        <v>19.466100000000001</v>
      </c>
      <c r="J249" s="6">
        <v>-1.6125E-3</v>
      </c>
      <c r="K249" s="6">
        <v>-2.9462599999999999E-2</v>
      </c>
      <c r="L249" s="6">
        <v>18.241900000000001</v>
      </c>
      <c r="M249" s="6">
        <v>18.2714</v>
      </c>
      <c r="N249" s="6">
        <v>-2.1986200000000001E-3</v>
      </c>
      <c r="O249" s="6">
        <v>-4.0985300000000002E-2</v>
      </c>
      <c r="P249" s="6">
        <v>18.6004</v>
      </c>
      <c r="Q249" s="6">
        <v>18.641400000000001</v>
      </c>
      <c r="R249" s="6">
        <v>83.194999999999993</v>
      </c>
      <c r="S249" s="6">
        <v>83.194999999999993</v>
      </c>
      <c r="T249" s="6">
        <v>3.1619999999999999</v>
      </c>
      <c r="U249" s="6">
        <v>11112.7</v>
      </c>
      <c r="V249">
        <f t="shared" si="6"/>
        <v>59.874461206896555</v>
      </c>
      <c r="W249">
        <f t="shared" si="7"/>
        <v>1.8223733333333333E-3</v>
      </c>
    </row>
    <row r="250" spans="1:23" x14ac:dyDescent="0.3">
      <c r="A250" s="6">
        <v>243</v>
      </c>
      <c r="B250" s="6">
        <v>3.6399000000000002E-3</v>
      </c>
      <c r="C250" s="6">
        <v>0.141679</v>
      </c>
      <c r="D250" s="6">
        <v>39.0655</v>
      </c>
      <c r="E250" s="6">
        <v>38.923900000000003</v>
      </c>
      <c r="F250" s="6">
        <v>-1.5883500000000001E-3</v>
      </c>
      <c r="G250" s="6">
        <v>-3.09188E-2</v>
      </c>
      <c r="H250" s="6">
        <v>19.435099999999998</v>
      </c>
      <c r="I250" s="6">
        <v>19.466100000000001</v>
      </c>
      <c r="J250" s="6">
        <v>-1.4957200000000001E-3</v>
      </c>
      <c r="K250" s="6">
        <v>-2.73289E-2</v>
      </c>
      <c r="L250" s="6">
        <v>18.244</v>
      </c>
      <c r="M250" s="6">
        <v>18.2714</v>
      </c>
      <c r="N250" s="6">
        <v>-2.1479300000000002E-3</v>
      </c>
      <c r="O250" s="6">
        <v>-4.0040300000000001E-2</v>
      </c>
      <c r="P250" s="6">
        <v>18.601299999999998</v>
      </c>
      <c r="Q250" s="6">
        <v>18.641400000000001</v>
      </c>
      <c r="R250" s="6">
        <v>83.694999999999993</v>
      </c>
      <c r="S250" s="6">
        <v>83.694999999999993</v>
      </c>
      <c r="T250" s="6">
        <v>3.1823000000000001</v>
      </c>
      <c r="U250" s="6">
        <v>11183.9</v>
      </c>
      <c r="V250">
        <f t="shared" si="6"/>
        <v>60.258081896551722</v>
      </c>
      <c r="W250">
        <f t="shared" si="7"/>
        <v>1.7440000000000001E-3</v>
      </c>
    </row>
    <row r="251" spans="1:23" x14ac:dyDescent="0.3">
      <c r="A251" s="6">
        <v>244</v>
      </c>
      <c r="B251" s="6">
        <v>3.6584500000000002E-3</v>
      </c>
      <c r="C251" s="6">
        <v>0.142401</v>
      </c>
      <c r="D251" s="6">
        <v>39.066299999999998</v>
      </c>
      <c r="E251" s="6">
        <v>38.923900000000003</v>
      </c>
      <c r="F251" s="6">
        <v>-1.7012100000000001E-3</v>
      </c>
      <c r="G251" s="6">
        <v>-3.3115899999999997E-2</v>
      </c>
      <c r="H251" s="6">
        <v>19.4329</v>
      </c>
      <c r="I251" s="6">
        <v>19.466100000000001</v>
      </c>
      <c r="J251" s="6">
        <v>-1.64164E-3</v>
      </c>
      <c r="K251" s="6">
        <v>-2.9995000000000001E-2</v>
      </c>
      <c r="L251" s="6">
        <v>18.241399999999999</v>
      </c>
      <c r="M251" s="6">
        <v>18.2714</v>
      </c>
      <c r="N251" s="6">
        <v>-2.2009999999999998E-3</v>
      </c>
      <c r="O251" s="6">
        <v>-4.1029700000000002E-2</v>
      </c>
      <c r="P251" s="6">
        <v>18.600300000000001</v>
      </c>
      <c r="Q251" s="6">
        <v>18.641400000000001</v>
      </c>
      <c r="R251" s="6">
        <v>84.007000000000005</v>
      </c>
      <c r="S251" s="6">
        <v>84.007000000000005</v>
      </c>
      <c r="T251" s="6">
        <v>3.1913</v>
      </c>
      <c r="U251" s="6">
        <v>11215.6</v>
      </c>
      <c r="V251">
        <f t="shared" si="6"/>
        <v>60.428879310344833</v>
      </c>
      <c r="W251">
        <f t="shared" si="7"/>
        <v>1.8479499999999999E-3</v>
      </c>
    </row>
    <row r="252" spans="1:23" x14ac:dyDescent="0.3">
      <c r="A252" s="6">
        <v>245</v>
      </c>
      <c r="B252" s="6">
        <v>3.6624600000000002E-3</v>
      </c>
      <c r="C252" s="6">
        <v>0.14255699999999999</v>
      </c>
      <c r="D252" s="6">
        <v>39.066400000000002</v>
      </c>
      <c r="E252" s="6">
        <v>38.923900000000003</v>
      </c>
      <c r="F252" s="6">
        <v>-1.6678299999999999E-3</v>
      </c>
      <c r="G252" s="6">
        <v>-3.2466099999999998E-2</v>
      </c>
      <c r="H252" s="6">
        <v>19.433599999999998</v>
      </c>
      <c r="I252" s="6">
        <v>19.466100000000001</v>
      </c>
      <c r="J252" s="6">
        <v>-1.5901800000000001E-3</v>
      </c>
      <c r="K252" s="6">
        <v>-2.9054699999999999E-2</v>
      </c>
      <c r="L252" s="6">
        <v>18.2423</v>
      </c>
      <c r="M252" s="6">
        <v>18.2714</v>
      </c>
      <c r="N252" s="6">
        <v>-2.2251900000000002E-3</v>
      </c>
      <c r="O252" s="6">
        <v>-4.1480599999999999E-2</v>
      </c>
      <c r="P252" s="6">
        <v>18.599900000000002</v>
      </c>
      <c r="Q252" s="6">
        <v>18.641400000000001</v>
      </c>
      <c r="R252" s="6">
        <v>84.382999999999996</v>
      </c>
      <c r="S252" s="6">
        <v>84.382999999999996</v>
      </c>
      <c r="T252" s="6">
        <v>3.2048999999999999</v>
      </c>
      <c r="U252" s="6">
        <v>11263</v>
      </c>
      <c r="V252">
        <f t="shared" si="6"/>
        <v>60.68426724137931</v>
      </c>
      <c r="W252">
        <f t="shared" si="7"/>
        <v>1.8277333333333336E-3</v>
      </c>
    </row>
    <row r="253" spans="1:23" x14ac:dyDescent="0.3">
      <c r="A253" s="6">
        <v>246</v>
      </c>
      <c r="B253" s="6">
        <v>3.6443399999999998E-3</v>
      </c>
      <c r="C253" s="6">
        <v>0.14185200000000001</v>
      </c>
      <c r="D253" s="6">
        <v>39.0657</v>
      </c>
      <c r="E253" s="6">
        <v>38.923900000000003</v>
      </c>
      <c r="F253" s="6">
        <v>-1.712E-3</v>
      </c>
      <c r="G253" s="6">
        <v>-3.3326000000000001E-2</v>
      </c>
      <c r="H253" s="6">
        <v>19.432700000000001</v>
      </c>
      <c r="I253" s="6">
        <v>19.466100000000001</v>
      </c>
      <c r="J253" s="6">
        <v>-1.6436599999999999E-3</v>
      </c>
      <c r="K253" s="6">
        <v>-3.0031800000000001E-2</v>
      </c>
      <c r="L253" s="6">
        <v>18.241299999999999</v>
      </c>
      <c r="M253" s="6">
        <v>18.2714</v>
      </c>
      <c r="N253" s="6">
        <v>-2.2036600000000001E-3</v>
      </c>
      <c r="O253" s="6">
        <v>-4.1079200000000003E-2</v>
      </c>
      <c r="P253" s="6">
        <v>18.600300000000001</v>
      </c>
      <c r="Q253" s="6">
        <v>18.641400000000001</v>
      </c>
      <c r="R253" s="6">
        <v>84.754999999999995</v>
      </c>
      <c r="S253" s="6">
        <v>84.754999999999995</v>
      </c>
      <c r="T253" s="6">
        <v>3.2141999999999999</v>
      </c>
      <c r="U253" s="6">
        <v>11295.8</v>
      </c>
      <c r="V253">
        <f t="shared" si="6"/>
        <v>60.860991379310342</v>
      </c>
      <c r="W253">
        <f t="shared" si="7"/>
        <v>1.8531066666666665E-3</v>
      </c>
    </row>
    <row r="254" spans="1:23" x14ac:dyDescent="0.3">
      <c r="A254" s="6">
        <v>247</v>
      </c>
      <c r="B254" s="6">
        <v>3.6581399999999998E-3</v>
      </c>
      <c r="C254" s="6">
        <v>0.14238899999999999</v>
      </c>
      <c r="D254" s="6">
        <v>39.066200000000002</v>
      </c>
      <c r="E254" s="6">
        <v>38.923900000000003</v>
      </c>
      <c r="F254" s="6">
        <v>-1.60089E-3</v>
      </c>
      <c r="G254" s="6">
        <v>-3.1163E-2</v>
      </c>
      <c r="H254" s="6">
        <v>19.434899999999999</v>
      </c>
      <c r="I254" s="6">
        <v>19.466100000000001</v>
      </c>
      <c r="J254" s="6">
        <v>-1.5884300000000001E-3</v>
      </c>
      <c r="K254" s="6">
        <v>-2.9022800000000001E-2</v>
      </c>
      <c r="L254" s="6">
        <v>18.2423</v>
      </c>
      <c r="M254" s="6">
        <v>18.2714</v>
      </c>
      <c r="N254" s="6">
        <v>-2.18944E-3</v>
      </c>
      <c r="O254" s="6">
        <v>-4.0814200000000002E-2</v>
      </c>
      <c r="P254" s="6">
        <v>18.6005</v>
      </c>
      <c r="Q254" s="6">
        <v>18.641400000000001</v>
      </c>
      <c r="R254" s="6">
        <v>85.004999999999995</v>
      </c>
      <c r="S254" s="6">
        <v>85.004999999999995</v>
      </c>
      <c r="T254" s="6">
        <v>3.2261000000000002</v>
      </c>
      <c r="U254" s="6">
        <v>11337.6</v>
      </c>
      <c r="V254">
        <f t="shared" si="6"/>
        <v>61.08620689655173</v>
      </c>
      <c r="W254">
        <f t="shared" si="7"/>
        <v>1.7929199999999999E-3</v>
      </c>
    </row>
    <row r="255" spans="1:23" x14ac:dyDescent="0.3">
      <c r="A255" s="6">
        <v>248</v>
      </c>
      <c r="B255" s="6">
        <v>3.7190700000000001E-3</v>
      </c>
      <c r="C255" s="6">
        <v>0.144761</v>
      </c>
      <c r="D255" s="6">
        <v>39.068600000000004</v>
      </c>
      <c r="E255" s="6">
        <v>38.923900000000003</v>
      </c>
      <c r="F255" s="6">
        <v>-1.7648799999999999E-3</v>
      </c>
      <c r="G255" s="6">
        <v>-3.4355299999999998E-2</v>
      </c>
      <c r="H255" s="6">
        <v>19.431699999999999</v>
      </c>
      <c r="I255" s="6">
        <v>19.466100000000001</v>
      </c>
      <c r="J255" s="6">
        <v>-1.6719E-3</v>
      </c>
      <c r="K255" s="6">
        <v>-3.05478E-2</v>
      </c>
      <c r="L255" s="6">
        <v>18.2408</v>
      </c>
      <c r="M255" s="6">
        <v>18.2714</v>
      </c>
      <c r="N255" s="6">
        <v>-2.2885200000000001E-3</v>
      </c>
      <c r="O255" s="6">
        <v>-4.26611E-2</v>
      </c>
      <c r="P255" s="6">
        <v>18.598700000000001</v>
      </c>
      <c r="Q255" s="6">
        <v>18.641400000000001</v>
      </c>
      <c r="R255" s="6">
        <v>85.567999999999998</v>
      </c>
      <c r="S255" s="6">
        <v>85.567999999999998</v>
      </c>
      <c r="T255" s="6">
        <v>3.2442000000000002</v>
      </c>
      <c r="U255" s="6">
        <v>11400.9</v>
      </c>
      <c r="V255">
        <f t="shared" si="6"/>
        <v>61.427262931034484</v>
      </c>
      <c r="W255">
        <f t="shared" si="7"/>
        <v>1.9084333333333333E-3</v>
      </c>
    </row>
    <row r="256" spans="1:23" x14ac:dyDescent="0.3">
      <c r="A256" s="6">
        <v>249</v>
      </c>
      <c r="B256" s="6">
        <v>3.72471E-3</v>
      </c>
      <c r="C256" s="6">
        <v>0.14498</v>
      </c>
      <c r="D256" s="6">
        <v>39.068800000000003</v>
      </c>
      <c r="E256" s="6">
        <v>38.923900000000003</v>
      </c>
      <c r="F256" s="6">
        <v>-1.79828E-3</v>
      </c>
      <c r="G256" s="6">
        <v>-3.5005500000000002E-2</v>
      </c>
      <c r="H256" s="6">
        <v>19.431100000000001</v>
      </c>
      <c r="I256" s="6">
        <v>19.466100000000001</v>
      </c>
      <c r="J256" s="6">
        <v>-1.7240599999999999E-3</v>
      </c>
      <c r="K256" s="6">
        <v>-3.1501000000000001E-2</v>
      </c>
      <c r="L256" s="6">
        <v>18.239899999999999</v>
      </c>
      <c r="M256" s="6">
        <v>18.2714</v>
      </c>
      <c r="N256" s="6">
        <v>-2.2654799999999998E-3</v>
      </c>
      <c r="O256" s="6">
        <v>-4.2231600000000001E-2</v>
      </c>
      <c r="P256" s="6">
        <v>18.5991</v>
      </c>
      <c r="Q256" s="6">
        <v>18.641400000000001</v>
      </c>
      <c r="R256" s="6">
        <v>85.816000000000003</v>
      </c>
      <c r="S256" s="6">
        <v>85.816000000000003</v>
      </c>
      <c r="T256" s="6">
        <v>3.2450999999999999</v>
      </c>
      <c r="U256" s="6">
        <v>11404.3</v>
      </c>
      <c r="V256">
        <f t="shared" si="6"/>
        <v>61.445581896551722</v>
      </c>
      <c r="W256">
        <f t="shared" si="7"/>
        <v>1.929273333333333E-3</v>
      </c>
    </row>
    <row r="257" spans="1:23" x14ac:dyDescent="0.3">
      <c r="A257" s="6">
        <v>250</v>
      </c>
      <c r="B257" s="6">
        <v>3.7533499999999999E-3</v>
      </c>
      <c r="C257" s="6">
        <v>0.146095</v>
      </c>
      <c r="D257" s="6">
        <v>39.07</v>
      </c>
      <c r="E257" s="6">
        <v>38.923900000000003</v>
      </c>
      <c r="F257" s="6">
        <v>-1.7387100000000001E-3</v>
      </c>
      <c r="G257" s="6">
        <v>-3.3845800000000002E-2</v>
      </c>
      <c r="H257" s="6">
        <v>19.432200000000002</v>
      </c>
      <c r="I257" s="6">
        <v>19.466100000000001</v>
      </c>
      <c r="J257" s="6">
        <v>-1.6343099999999999E-3</v>
      </c>
      <c r="K257" s="6">
        <v>-2.9861100000000002E-2</v>
      </c>
      <c r="L257" s="6">
        <v>18.241499999999998</v>
      </c>
      <c r="M257" s="6">
        <v>18.2714</v>
      </c>
      <c r="N257" s="6">
        <v>-2.1999599999999999E-3</v>
      </c>
      <c r="O257" s="6">
        <v>-4.1010199999999997E-2</v>
      </c>
      <c r="P257" s="6">
        <v>18.6004</v>
      </c>
      <c r="Q257" s="6">
        <v>18.641400000000001</v>
      </c>
      <c r="R257" s="6">
        <v>85.944000000000003</v>
      </c>
      <c r="S257" s="6">
        <v>85.944000000000003</v>
      </c>
      <c r="T257" s="6">
        <v>3.2660999999999998</v>
      </c>
      <c r="U257" s="6">
        <v>11477.8</v>
      </c>
      <c r="V257">
        <f t="shared" si="6"/>
        <v>61.841594827586206</v>
      </c>
      <c r="W257">
        <f t="shared" si="7"/>
        <v>1.8576599999999999E-3</v>
      </c>
    </row>
    <row r="258" spans="1:23" x14ac:dyDescent="0.3">
      <c r="A258" s="6">
        <v>251</v>
      </c>
      <c r="B258" s="6">
        <v>3.6169599999999998E-3</v>
      </c>
      <c r="C258" s="6">
        <v>0.14078599999999999</v>
      </c>
      <c r="D258" s="6">
        <v>39.064599999999999</v>
      </c>
      <c r="E258" s="6">
        <v>38.923900000000003</v>
      </c>
      <c r="F258" s="6">
        <v>-1.66041E-3</v>
      </c>
      <c r="G258" s="6">
        <v>-3.2321599999999999E-2</v>
      </c>
      <c r="H258" s="6">
        <v>19.433700000000002</v>
      </c>
      <c r="I258" s="6">
        <v>19.466100000000001</v>
      </c>
      <c r="J258" s="6">
        <v>-1.59022E-3</v>
      </c>
      <c r="K258" s="6">
        <v>-2.9055500000000001E-2</v>
      </c>
      <c r="L258" s="6">
        <v>18.2423</v>
      </c>
      <c r="M258" s="6">
        <v>18.2714</v>
      </c>
      <c r="N258" s="6">
        <v>-2.2360100000000001E-3</v>
      </c>
      <c r="O258" s="6">
        <v>-4.1682400000000001E-2</v>
      </c>
      <c r="P258" s="6">
        <v>18.599699999999999</v>
      </c>
      <c r="Q258" s="6">
        <v>18.641400000000001</v>
      </c>
      <c r="R258" s="6">
        <v>86.314999999999998</v>
      </c>
      <c r="S258" s="6">
        <v>86.314999999999998</v>
      </c>
      <c r="T258" s="6">
        <v>3.2728999999999999</v>
      </c>
      <c r="U258" s="6">
        <v>11501.5</v>
      </c>
      <c r="V258">
        <f t="shared" si="6"/>
        <v>61.969288793103452</v>
      </c>
      <c r="W258">
        <f t="shared" si="7"/>
        <v>1.82888E-3</v>
      </c>
    </row>
    <row r="259" spans="1:23" x14ac:dyDescent="0.3">
      <c r="A259" s="6">
        <v>252</v>
      </c>
      <c r="B259" s="6">
        <v>3.6743499999999998E-3</v>
      </c>
      <c r="C259" s="6">
        <v>0.14302000000000001</v>
      </c>
      <c r="D259" s="6">
        <v>39.066899999999997</v>
      </c>
      <c r="E259" s="6">
        <v>38.923900000000003</v>
      </c>
      <c r="F259" s="6">
        <v>-1.7647299999999999E-3</v>
      </c>
      <c r="G259" s="6">
        <v>-3.4352399999999998E-2</v>
      </c>
      <c r="H259" s="6">
        <v>19.431699999999999</v>
      </c>
      <c r="I259" s="6">
        <v>19.466100000000001</v>
      </c>
      <c r="J259" s="6">
        <v>-1.6725100000000001E-3</v>
      </c>
      <c r="K259" s="6">
        <v>-3.0559099999999999E-2</v>
      </c>
      <c r="L259" s="6">
        <v>18.2408</v>
      </c>
      <c r="M259" s="6">
        <v>18.2714</v>
      </c>
      <c r="N259" s="6">
        <v>-2.2855000000000002E-3</v>
      </c>
      <c r="O259" s="6">
        <v>-4.2604900000000001E-2</v>
      </c>
      <c r="P259" s="6">
        <v>18.598800000000001</v>
      </c>
      <c r="Q259" s="6">
        <v>18.641400000000001</v>
      </c>
      <c r="R259" s="6">
        <v>86.628</v>
      </c>
      <c r="S259" s="6">
        <v>86.628</v>
      </c>
      <c r="T259" s="6">
        <v>3.2883</v>
      </c>
      <c r="U259" s="6">
        <v>11555.8</v>
      </c>
      <c r="V259">
        <f t="shared" si="6"/>
        <v>62.261853448275858</v>
      </c>
      <c r="W259">
        <f t="shared" si="7"/>
        <v>1.9075800000000001E-3</v>
      </c>
    </row>
    <row r="260" spans="1:23" x14ac:dyDescent="0.3">
      <c r="A260" s="6">
        <v>253</v>
      </c>
      <c r="B260" s="6">
        <v>3.74253E-3</v>
      </c>
      <c r="C260" s="6">
        <v>0.145674</v>
      </c>
      <c r="D260" s="6">
        <v>39.069499999999998</v>
      </c>
      <c r="E260" s="6">
        <v>38.923900000000003</v>
      </c>
      <c r="F260" s="6">
        <v>-1.6810600000000001E-3</v>
      </c>
      <c r="G260" s="6">
        <v>-3.2723500000000003E-2</v>
      </c>
      <c r="H260" s="6">
        <v>19.433299999999999</v>
      </c>
      <c r="I260" s="6">
        <v>19.466100000000001</v>
      </c>
      <c r="J260" s="6">
        <v>-1.66697E-3</v>
      </c>
      <c r="K260" s="6">
        <v>-3.04579E-2</v>
      </c>
      <c r="L260" s="6">
        <v>18.2409</v>
      </c>
      <c r="M260" s="6">
        <v>18.2714</v>
      </c>
      <c r="N260" s="6">
        <v>-2.2894E-3</v>
      </c>
      <c r="O260" s="6">
        <v>-4.2677600000000003E-2</v>
      </c>
      <c r="P260" s="6">
        <v>18.598700000000001</v>
      </c>
      <c r="Q260" s="6">
        <v>18.641400000000001</v>
      </c>
      <c r="R260" s="6">
        <v>87.001999999999995</v>
      </c>
      <c r="S260" s="6">
        <v>87.003</v>
      </c>
      <c r="T260" s="6">
        <v>3.2906</v>
      </c>
      <c r="U260" s="6">
        <v>11563.7</v>
      </c>
      <c r="V260">
        <f t="shared" si="6"/>
        <v>62.304418103448285</v>
      </c>
      <c r="W260">
        <f t="shared" si="7"/>
        <v>1.8791433333333336E-3</v>
      </c>
    </row>
    <row r="261" spans="1:23" x14ac:dyDescent="0.3">
      <c r="A261" s="6">
        <v>254</v>
      </c>
      <c r="B261" s="6">
        <v>3.7615700000000001E-3</v>
      </c>
      <c r="C261" s="6">
        <v>0.14641499999999999</v>
      </c>
      <c r="D261" s="6">
        <v>39.070300000000003</v>
      </c>
      <c r="E261" s="6">
        <v>38.923900000000003</v>
      </c>
      <c r="F261" s="6">
        <v>-1.77622E-3</v>
      </c>
      <c r="G261" s="6">
        <v>-3.45759E-2</v>
      </c>
      <c r="H261" s="6">
        <v>19.4315</v>
      </c>
      <c r="I261" s="6">
        <v>19.466100000000001</v>
      </c>
      <c r="J261" s="6">
        <v>-1.73964E-3</v>
      </c>
      <c r="K261" s="6">
        <v>-3.1785599999999997E-2</v>
      </c>
      <c r="L261" s="6">
        <v>18.239599999999999</v>
      </c>
      <c r="M261" s="6">
        <v>18.2714</v>
      </c>
      <c r="N261" s="6">
        <v>-2.2888100000000001E-3</v>
      </c>
      <c r="O261" s="6">
        <v>-4.2666500000000003E-2</v>
      </c>
      <c r="P261" s="6">
        <v>18.598700000000001</v>
      </c>
      <c r="Q261" s="6">
        <v>18.641400000000001</v>
      </c>
      <c r="R261" s="6">
        <v>87.498999999999995</v>
      </c>
      <c r="S261" s="6">
        <v>87.498999999999995</v>
      </c>
      <c r="T261" s="6">
        <v>3.3096000000000001</v>
      </c>
      <c r="U261" s="6">
        <v>11630.4</v>
      </c>
      <c r="V261">
        <f t="shared" si="6"/>
        <v>62.663793103448278</v>
      </c>
      <c r="W261">
        <f t="shared" si="7"/>
        <v>1.9348899999999999E-3</v>
      </c>
    </row>
    <row r="262" spans="1:23" x14ac:dyDescent="0.3">
      <c r="A262" s="6">
        <v>255</v>
      </c>
      <c r="B262" s="6">
        <v>3.80518E-3</v>
      </c>
      <c r="C262" s="6">
        <v>0.14811199999999999</v>
      </c>
      <c r="D262" s="6">
        <v>39.072000000000003</v>
      </c>
      <c r="E262" s="6">
        <v>38.923900000000003</v>
      </c>
      <c r="F262" s="6">
        <v>-1.60574E-3</v>
      </c>
      <c r="G262" s="6">
        <v>-3.1257399999999998E-2</v>
      </c>
      <c r="H262" s="6">
        <v>19.434799999999999</v>
      </c>
      <c r="I262" s="6">
        <v>19.466100000000001</v>
      </c>
      <c r="J262" s="6">
        <v>-1.5572800000000001E-3</v>
      </c>
      <c r="K262" s="6">
        <v>-2.8453699999999998E-2</v>
      </c>
      <c r="L262" s="6">
        <v>18.242899999999999</v>
      </c>
      <c r="M262" s="6">
        <v>18.2714</v>
      </c>
      <c r="N262" s="6">
        <v>-2.2706900000000001E-3</v>
      </c>
      <c r="O262" s="6">
        <v>-4.2328699999999997E-2</v>
      </c>
      <c r="P262" s="6">
        <v>18.599</v>
      </c>
      <c r="Q262" s="6">
        <v>18.641400000000001</v>
      </c>
      <c r="R262" s="6">
        <v>87.75</v>
      </c>
      <c r="S262" s="6">
        <v>87.75</v>
      </c>
      <c r="T262" s="6">
        <v>3.3111999999999999</v>
      </c>
      <c r="U262" s="6">
        <v>11636</v>
      </c>
      <c r="V262">
        <f t="shared" si="6"/>
        <v>62.693965517241381</v>
      </c>
      <c r="W262">
        <f t="shared" si="7"/>
        <v>1.8112366666666665E-3</v>
      </c>
    </row>
    <row r="263" spans="1:23" x14ac:dyDescent="0.3">
      <c r="A263" s="6">
        <v>256</v>
      </c>
      <c r="B263" s="6">
        <v>3.72493E-3</v>
      </c>
      <c r="C263" s="6">
        <v>0.14498800000000001</v>
      </c>
      <c r="D263" s="6">
        <v>39.068800000000003</v>
      </c>
      <c r="E263" s="6">
        <v>38.923900000000003</v>
      </c>
      <c r="F263" s="6">
        <v>-1.72343E-3</v>
      </c>
      <c r="G263" s="6">
        <v>-3.3548399999999999E-2</v>
      </c>
      <c r="H263" s="6">
        <v>19.432500000000001</v>
      </c>
      <c r="I263" s="6">
        <v>19.466100000000001</v>
      </c>
      <c r="J263" s="6">
        <v>-1.6961299999999999E-3</v>
      </c>
      <c r="K263" s="6">
        <v>-3.09906E-2</v>
      </c>
      <c r="L263" s="6">
        <v>18.240400000000001</v>
      </c>
      <c r="M263" s="6">
        <v>18.2714</v>
      </c>
      <c r="N263" s="6">
        <v>-2.3383599999999998E-3</v>
      </c>
      <c r="O263" s="6">
        <v>-4.3590200000000003E-2</v>
      </c>
      <c r="P263" s="6">
        <v>18.597799999999999</v>
      </c>
      <c r="Q263" s="6">
        <v>18.641400000000001</v>
      </c>
      <c r="R263" s="6">
        <v>88.123999999999995</v>
      </c>
      <c r="S263" s="6">
        <v>88.123999999999995</v>
      </c>
      <c r="T263" s="6">
        <v>3.3380000000000001</v>
      </c>
      <c r="U263" s="6">
        <v>11729.8</v>
      </c>
      <c r="V263">
        <f t="shared" si="6"/>
        <v>63.199353448275858</v>
      </c>
      <c r="W263">
        <f t="shared" si="7"/>
        <v>1.9193066666666665E-3</v>
      </c>
    </row>
    <row r="264" spans="1:23" x14ac:dyDescent="0.3">
      <c r="A264" s="6">
        <v>257</v>
      </c>
      <c r="B264" s="6">
        <v>3.7760200000000002E-3</v>
      </c>
      <c r="C264" s="6">
        <v>0.146977</v>
      </c>
      <c r="D264" s="6">
        <v>39.070799999999998</v>
      </c>
      <c r="E264" s="6">
        <v>38.923900000000003</v>
      </c>
      <c r="F264" s="6">
        <v>-1.78279E-3</v>
      </c>
      <c r="G264" s="6">
        <v>-3.47038E-2</v>
      </c>
      <c r="H264" s="6">
        <v>19.4314</v>
      </c>
      <c r="I264" s="6">
        <v>19.466100000000001</v>
      </c>
      <c r="J264" s="6">
        <v>-1.71722E-3</v>
      </c>
      <c r="K264" s="6">
        <v>-3.1376000000000001E-2</v>
      </c>
      <c r="L264" s="6">
        <v>18.239999999999998</v>
      </c>
      <c r="M264" s="6">
        <v>18.2714</v>
      </c>
      <c r="N264" s="6">
        <v>-2.3783599999999999E-3</v>
      </c>
      <c r="O264" s="6">
        <v>-4.4335899999999998E-2</v>
      </c>
      <c r="P264" s="6">
        <v>18.597000000000001</v>
      </c>
      <c r="Q264" s="6">
        <v>18.641400000000001</v>
      </c>
      <c r="R264" s="6">
        <v>88.251999999999995</v>
      </c>
      <c r="S264" s="6">
        <v>88.251999999999995</v>
      </c>
      <c r="T264" s="6">
        <v>3.3372999999999999</v>
      </c>
      <c r="U264" s="6">
        <v>11727.6</v>
      </c>
      <c r="V264">
        <f t="shared" ref="V264:V327" si="8">U264/A$2/B$2</f>
        <v>63.187500000000007</v>
      </c>
      <c r="W264">
        <f t="shared" ref="W264:W327" si="9">-AVERAGE(F264,J264,N264)</f>
        <v>1.9594566666666668E-3</v>
      </c>
    </row>
    <row r="265" spans="1:23" x14ac:dyDescent="0.3">
      <c r="A265" s="6">
        <v>258</v>
      </c>
      <c r="B265" s="6">
        <v>3.8373299999999999E-3</v>
      </c>
      <c r="C265" s="6">
        <v>0.149364</v>
      </c>
      <c r="D265" s="6">
        <v>39.0732</v>
      </c>
      <c r="E265" s="6">
        <v>38.923900000000003</v>
      </c>
      <c r="F265" s="6">
        <v>-1.7013200000000001E-3</v>
      </c>
      <c r="G265" s="6">
        <v>-3.3118000000000002E-2</v>
      </c>
      <c r="H265" s="6">
        <v>19.4329</v>
      </c>
      <c r="I265" s="6">
        <v>19.466100000000001</v>
      </c>
      <c r="J265" s="6">
        <v>-1.5971099999999999E-3</v>
      </c>
      <c r="K265" s="6">
        <v>-2.91814E-2</v>
      </c>
      <c r="L265" s="6">
        <v>18.2422</v>
      </c>
      <c r="M265" s="6">
        <v>18.2714</v>
      </c>
      <c r="N265" s="6">
        <v>-2.1975200000000001E-3</v>
      </c>
      <c r="O265" s="6">
        <v>-4.0964800000000003E-2</v>
      </c>
      <c r="P265" s="6">
        <v>18.6004</v>
      </c>
      <c r="Q265" s="6">
        <v>18.641400000000001</v>
      </c>
      <c r="R265" s="6">
        <v>88.625</v>
      </c>
      <c r="S265" s="6">
        <v>88.625</v>
      </c>
      <c r="T265" s="6">
        <v>3.347</v>
      </c>
      <c r="U265" s="6">
        <v>11761.5</v>
      </c>
      <c r="V265">
        <f t="shared" si="8"/>
        <v>63.370150862068968</v>
      </c>
      <c r="W265">
        <f t="shared" si="9"/>
        <v>1.8319833333333331E-3</v>
      </c>
    </row>
    <row r="266" spans="1:23" x14ac:dyDescent="0.3">
      <c r="A266" s="6">
        <v>259</v>
      </c>
      <c r="B266" s="6">
        <v>3.8006400000000001E-3</v>
      </c>
      <c r="C266" s="6">
        <v>0.14793600000000001</v>
      </c>
      <c r="D266" s="6">
        <v>39.071800000000003</v>
      </c>
      <c r="E266" s="6">
        <v>38.923900000000003</v>
      </c>
      <c r="F266" s="6">
        <v>-1.77899E-3</v>
      </c>
      <c r="G266" s="6">
        <v>-3.4629899999999998E-2</v>
      </c>
      <c r="H266" s="6">
        <v>19.4314</v>
      </c>
      <c r="I266" s="6">
        <v>19.466100000000001</v>
      </c>
      <c r="J266" s="6">
        <v>-1.73598E-3</v>
      </c>
      <c r="K266" s="6">
        <v>-3.1718799999999998E-2</v>
      </c>
      <c r="L266" s="6">
        <v>18.239599999999999</v>
      </c>
      <c r="M266" s="6">
        <v>18.2714</v>
      </c>
      <c r="N266" s="6">
        <v>-2.3475000000000002E-3</v>
      </c>
      <c r="O266" s="6">
        <v>-4.3760500000000001E-2</v>
      </c>
      <c r="P266" s="6">
        <v>18.5976</v>
      </c>
      <c r="Q266" s="6">
        <v>18.641400000000001</v>
      </c>
      <c r="R266" s="6">
        <v>88.811000000000007</v>
      </c>
      <c r="S266" s="6">
        <v>88.811000000000007</v>
      </c>
      <c r="T266" s="6">
        <v>3.3531</v>
      </c>
      <c r="U266" s="6">
        <v>11783</v>
      </c>
      <c r="V266">
        <f t="shared" si="8"/>
        <v>63.485991379310349</v>
      </c>
      <c r="W266">
        <f t="shared" si="9"/>
        <v>1.9541566666666666E-3</v>
      </c>
    </row>
    <row r="267" spans="1:23" x14ac:dyDescent="0.3">
      <c r="A267" s="6">
        <v>260</v>
      </c>
      <c r="B267" s="6">
        <v>3.7634500000000002E-3</v>
      </c>
      <c r="C267" s="6">
        <v>0.14648800000000001</v>
      </c>
      <c r="D267" s="6">
        <v>39.070300000000003</v>
      </c>
      <c r="E267" s="6">
        <v>38.923900000000003</v>
      </c>
      <c r="F267" s="6">
        <v>-1.7595600000000001E-3</v>
      </c>
      <c r="G267" s="6">
        <v>-3.4251700000000003E-2</v>
      </c>
      <c r="H267" s="6">
        <v>19.431799999999999</v>
      </c>
      <c r="I267" s="6">
        <v>19.466100000000001</v>
      </c>
      <c r="J267" s="6">
        <v>-1.7843500000000001E-3</v>
      </c>
      <c r="K267" s="6">
        <v>-3.2602399999999997E-2</v>
      </c>
      <c r="L267" s="6">
        <v>18.238800000000001</v>
      </c>
      <c r="M267" s="6">
        <v>18.2714</v>
      </c>
      <c r="N267" s="6">
        <v>-2.415E-3</v>
      </c>
      <c r="O267" s="6">
        <v>-4.5018900000000001E-2</v>
      </c>
      <c r="P267" s="6">
        <v>18.596299999999999</v>
      </c>
      <c r="Q267" s="6">
        <v>18.641400000000001</v>
      </c>
      <c r="R267" s="6">
        <v>88.938000000000002</v>
      </c>
      <c r="S267" s="6">
        <v>88.938000000000002</v>
      </c>
      <c r="T267" s="6">
        <v>3.3504999999999998</v>
      </c>
      <c r="U267" s="6">
        <v>11773.9</v>
      </c>
      <c r="V267">
        <f t="shared" si="8"/>
        <v>63.436961206896555</v>
      </c>
      <c r="W267">
        <f t="shared" si="9"/>
        <v>1.9863033333333332E-3</v>
      </c>
    </row>
    <row r="268" spans="1:23" x14ac:dyDescent="0.3">
      <c r="A268" s="6">
        <v>261</v>
      </c>
      <c r="B268" s="6">
        <v>3.77028E-3</v>
      </c>
      <c r="C268" s="6">
        <v>0.146754</v>
      </c>
      <c r="D268" s="6">
        <v>39.070599999999999</v>
      </c>
      <c r="E268" s="6">
        <v>38.923900000000003</v>
      </c>
      <c r="F268" s="6">
        <v>-1.66621E-3</v>
      </c>
      <c r="G268" s="6">
        <v>-3.2434600000000001E-2</v>
      </c>
      <c r="H268" s="6">
        <v>19.433599999999998</v>
      </c>
      <c r="I268" s="6">
        <v>19.466100000000001</v>
      </c>
      <c r="J268" s="6">
        <v>-1.6286499999999999E-3</v>
      </c>
      <c r="K268" s="6">
        <v>-2.9757599999999999E-2</v>
      </c>
      <c r="L268" s="6">
        <v>18.241599999999998</v>
      </c>
      <c r="M268" s="6">
        <v>18.2714</v>
      </c>
      <c r="N268" s="6">
        <v>-2.2977800000000001E-3</v>
      </c>
      <c r="O268" s="6">
        <v>-4.2833700000000002E-2</v>
      </c>
      <c r="P268" s="6">
        <v>18.598500000000001</v>
      </c>
      <c r="Q268" s="6">
        <v>18.641400000000001</v>
      </c>
      <c r="R268" s="6">
        <v>89.186000000000007</v>
      </c>
      <c r="S268" s="6">
        <v>89.186000000000007</v>
      </c>
      <c r="T268" s="6">
        <v>3.3614999999999999</v>
      </c>
      <c r="U268" s="6">
        <v>11812.4</v>
      </c>
      <c r="V268">
        <f t="shared" si="8"/>
        <v>63.644396551724135</v>
      </c>
      <c r="W268">
        <f t="shared" si="9"/>
        <v>1.8642133333333334E-3</v>
      </c>
    </row>
    <row r="269" spans="1:23" x14ac:dyDescent="0.3">
      <c r="A269" s="6">
        <v>262</v>
      </c>
      <c r="B269" s="6">
        <v>3.8500600000000002E-3</v>
      </c>
      <c r="C269" s="6">
        <v>0.14985899999999999</v>
      </c>
      <c r="D269" s="6">
        <v>39.073700000000002</v>
      </c>
      <c r="E269" s="6">
        <v>38.923900000000003</v>
      </c>
      <c r="F269" s="6">
        <v>-1.7677299999999999E-3</v>
      </c>
      <c r="G269" s="6">
        <v>-3.4410700000000002E-2</v>
      </c>
      <c r="H269" s="6">
        <v>19.431699999999999</v>
      </c>
      <c r="I269" s="6">
        <v>19.466100000000001</v>
      </c>
      <c r="J269" s="6">
        <v>-1.72434E-3</v>
      </c>
      <c r="K269" s="6">
        <v>-3.1505999999999999E-2</v>
      </c>
      <c r="L269" s="6">
        <v>18.239799999999999</v>
      </c>
      <c r="M269" s="6">
        <v>18.2714</v>
      </c>
      <c r="N269" s="6">
        <v>-2.3442300000000001E-3</v>
      </c>
      <c r="O269" s="6">
        <v>-4.3699700000000001E-2</v>
      </c>
      <c r="P269" s="6">
        <v>18.5977</v>
      </c>
      <c r="Q269" s="6">
        <v>18.641400000000001</v>
      </c>
      <c r="R269" s="6">
        <v>89.748999999999995</v>
      </c>
      <c r="S269" s="6">
        <v>89.748999999999995</v>
      </c>
      <c r="T269" s="6">
        <v>3.3818000000000001</v>
      </c>
      <c r="U269" s="6">
        <v>11883.6</v>
      </c>
      <c r="V269">
        <f t="shared" si="8"/>
        <v>64.028017241379317</v>
      </c>
      <c r="W269">
        <f t="shared" si="9"/>
        <v>1.9454333333333333E-3</v>
      </c>
    </row>
    <row r="270" spans="1:23" x14ac:dyDescent="0.3">
      <c r="A270" s="6">
        <v>263</v>
      </c>
      <c r="B270" s="6">
        <v>3.8818799999999999E-3</v>
      </c>
      <c r="C270" s="6">
        <v>0.15109800000000001</v>
      </c>
      <c r="D270" s="6">
        <v>39.075000000000003</v>
      </c>
      <c r="E270" s="6">
        <v>38.923900000000003</v>
      </c>
      <c r="F270" s="6">
        <v>-1.74602E-3</v>
      </c>
      <c r="G270" s="6">
        <v>-3.3988200000000003E-2</v>
      </c>
      <c r="H270" s="6">
        <v>19.432099999999998</v>
      </c>
      <c r="I270" s="6">
        <v>19.466100000000001</v>
      </c>
      <c r="J270" s="6">
        <v>-1.6513400000000001E-3</v>
      </c>
      <c r="K270" s="6">
        <v>-3.0172299999999999E-2</v>
      </c>
      <c r="L270" s="6">
        <v>18.241199999999999</v>
      </c>
      <c r="M270" s="6">
        <v>18.2714</v>
      </c>
      <c r="N270" s="6">
        <v>-2.2916199999999999E-3</v>
      </c>
      <c r="O270" s="6">
        <v>-4.2718899999999997E-2</v>
      </c>
      <c r="P270" s="6">
        <v>18.598600000000001</v>
      </c>
      <c r="Q270" s="6">
        <v>18.641400000000001</v>
      </c>
      <c r="R270" s="6">
        <v>90.247</v>
      </c>
      <c r="S270" s="6">
        <v>90.248000000000005</v>
      </c>
      <c r="T270" s="6">
        <v>3.3853</v>
      </c>
      <c r="U270" s="6">
        <v>11896</v>
      </c>
      <c r="V270">
        <f t="shared" si="8"/>
        <v>64.094827586206904</v>
      </c>
      <c r="W270">
        <f t="shared" si="9"/>
        <v>1.8963266666666666E-3</v>
      </c>
    </row>
    <row r="271" spans="1:23" x14ac:dyDescent="0.3">
      <c r="A271" s="6">
        <v>264</v>
      </c>
      <c r="B271" s="6">
        <v>3.9104999999999999E-3</v>
      </c>
      <c r="C271" s="6">
        <v>0.15221199999999999</v>
      </c>
      <c r="D271" s="6">
        <v>39.076099999999997</v>
      </c>
      <c r="E271" s="6">
        <v>38.923900000000003</v>
      </c>
      <c r="F271" s="6">
        <v>-1.73537E-3</v>
      </c>
      <c r="G271" s="6">
        <v>-3.37808E-2</v>
      </c>
      <c r="H271" s="6">
        <v>19.432300000000001</v>
      </c>
      <c r="I271" s="6">
        <v>19.466100000000001</v>
      </c>
      <c r="J271" s="6">
        <v>-1.62922E-3</v>
      </c>
      <c r="K271" s="6">
        <v>-2.9768099999999999E-2</v>
      </c>
      <c r="L271" s="6">
        <v>18.241599999999998</v>
      </c>
      <c r="M271" s="6">
        <v>18.2714</v>
      </c>
      <c r="N271" s="6">
        <v>-2.3174699999999999E-3</v>
      </c>
      <c r="O271" s="6">
        <v>-4.3200700000000002E-2</v>
      </c>
      <c r="P271" s="6">
        <v>18.598199999999999</v>
      </c>
      <c r="Q271" s="6">
        <v>18.641400000000001</v>
      </c>
      <c r="R271" s="6">
        <v>90.495000000000005</v>
      </c>
      <c r="S271" s="6">
        <v>90.495000000000005</v>
      </c>
      <c r="T271" s="6">
        <v>3.4026999999999998</v>
      </c>
      <c r="U271" s="6">
        <v>11957</v>
      </c>
      <c r="V271">
        <f t="shared" si="8"/>
        <v>64.423491379310349</v>
      </c>
      <c r="W271">
        <f t="shared" si="9"/>
        <v>1.8940199999999997E-3</v>
      </c>
    </row>
    <row r="272" spans="1:23" x14ac:dyDescent="0.3">
      <c r="A272" s="6">
        <v>265</v>
      </c>
      <c r="B272" s="6">
        <v>3.8508700000000002E-3</v>
      </c>
      <c r="C272" s="6">
        <v>0.149891</v>
      </c>
      <c r="D272" s="6">
        <v>39.073700000000002</v>
      </c>
      <c r="E272" s="6">
        <v>38.923900000000003</v>
      </c>
      <c r="F272" s="6">
        <v>-1.6164300000000001E-3</v>
      </c>
      <c r="G272" s="6">
        <v>-3.14655E-2</v>
      </c>
      <c r="H272" s="6">
        <v>19.4346</v>
      </c>
      <c r="I272" s="6">
        <v>19.466100000000001</v>
      </c>
      <c r="J272" s="6">
        <v>-1.6253400000000001E-3</v>
      </c>
      <c r="K272" s="6">
        <v>-2.96972E-2</v>
      </c>
      <c r="L272" s="6">
        <v>18.241700000000002</v>
      </c>
      <c r="M272" s="6">
        <v>18.2714</v>
      </c>
      <c r="N272" s="6">
        <v>-2.3263300000000002E-3</v>
      </c>
      <c r="O272" s="6">
        <v>-4.3365899999999999E-2</v>
      </c>
      <c r="P272" s="6">
        <v>18.597999999999999</v>
      </c>
      <c r="Q272" s="6">
        <v>18.641400000000001</v>
      </c>
      <c r="R272" s="6">
        <v>90.873000000000005</v>
      </c>
      <c r="S272" s="6">
        <v>90.873000000000005</v>
      </c>
      <c r="T272" s="6">
        <v>3.4184999999999999</v>
      </c>
      <c r="U272" s="6">
        <v>12012.4</v>
      </c>
      <c r="V272">
        <f t="shared" si="8"/>
        <v>64.721982758620683</v>
      </c>
      <c r="W272">
        <f t="shared" si="9"/>
        <v>1.8560333333333334E-3</v>
      </c>
    </row>
    <row r="273" spans="1:23" x14ac:dyDescent="0.3">
      <c r="A273" s="6">
        <v>266</v>
      </c>
      <c r="B273" s="6">
        <v>3.9620100000000002E-3</v>
      </c>
      <c r="C273" s="6">
        <v>0.15421699999999999</v>
      </c>
      <c r="D273" s="6">
        <v>39.078099999999999</v>
      </c>
      <c r="E273" s="6">
        <v>38.923900000000003</v>
      </c>
      <c r="F273" s="6">
        <v>-1.82715E-3</v>
      </c>
      <c r="G273" s="6">
        <v>-3.5567399999999999E-2</v>
      </c>
      <c r="H273" s="6">
        <v>19.430499999999999</v>
      </c>
      <c r="I273" s="6">
        <v>19.466100000000001</v>
      </c>
      <c r="J273" s="6">
        <v>-1.7693800000000001E-3</v>
      </c>
      <c r="K273" s="6">
        <v>-3.2328999999999997E-2</v>
      </c>
      <c r="L273" s="6">
        <v>18.239000000000001</v>
      </c>
      <c r="M273" s="6">
        <v>18.2714</v>
      </c>
      <c r="N273" s="6">
        <v>-2.3707200000000002E-3</v>
      </c>
      <c r="O273" s="6">
        <v>-4.4193499999999997E-2</v>
      </c>
      <c r="P273" s="6">
        <v>18.597200000000001</v>
      </c>
      <c r="Q273" s="6">
        <v>18.641400000000001</v>
      </c>
      <c r="R273" s="6">
        <v>91.369</v>
      </c>
      <c r="S273" s="6">
        <v>91.369</v>
      </c>
      <c r="T273" s="6">
        <v>3.4359000000000002</v>
      </c>
      <c r="U273" s="6">
        <v>12073.4</v>
      </c>
      <c r="V273">
        <f t="shared" si="8"/>
        <v>65.050646551724142</v>
      </c>
      <c r="W273">
        <f t="shared" si="9"/>
        <v>1.9890833333333336E-3</v>
      </c>
    </row>
    <row r="274" spans="1:23" x14ac:dyDescent="0.3">
      <c r="A274" s="6">
        <v>267</v>
      </c>
      <c r="B274" s="6">
        <v>3.9863199999999998E-3</v>
      </c>
      <c r="C274" s="6">
        <v>0.155163</v>
      </c>
      <c r="D274" s="6">
        <v>39.079000000000001</v>
      </c>
      <c r="E274" s="6">
        <v>38.923900000000003</v>
      </c>
      <c r="F274" s="6">
        <v>-1.84063E-3</v>
      </c>
      <c r="G274" s="6">
        <v>-3.5829800000000002E-2</v>
      </c>
      <c r="H274" s="6">
        <v>19.430199999999999</v>
      </c>
      <c r="I274" s="6">
        <v>19.466100000000001</v>
      </c>
      <c r="J274" s="6">
        <v>-1.6568500000000001E-3</v>
      </c>
      <c r="K274" s="6">
        <v>-3.0273000000000001E-2</v>
      </c>
      <c r="L274" s="6">
        <v>18.241099999999999</v>
      </c>
      <c r="M274" s="6">
        <v>18.2714</v>
      </c>
      <c r="N274" s="6">
        <v>-2.1867000000000002E-3</v>
      </c>
      <c r="O274" s="6">
        <v>-4.0763099999999997E-2</v>
      </c>
      <c r="P274" s="6">
        <v>18.6006</v>
      </c>
      <c r="Q274" s="6">
        <v>18.641400000000001</v>
      </c>
      <c r="R274" s="6">
        <v>91.686000000000007</v>
      </c>
      <c r="S274" s="6">
        <v>91.686000000000007</v>
      </c>
      <c r="T274" s="6">
        <v>3.4445999999999999</v>
      </c>
      <c r="U274" s="6">
        <v>12104</v>
      </c>
      <c r="V274">
        <f t="shared" si="8"/>
        <v>65.215517241379317</v>
      </c>
      <c r="W274">
        <f t="shared" si="9"/>
        <v>1.8947266666666668E-3</v>
      </c>
    </row>
    <row r="275" spans="1:23" x14ac:dyDescent="0.3">
      <c r="A275" s="6">
        <v>268</v>
      </c>
      <c r="B275" s="6">
        <v>4.0567399999999997E-3</v>
      </c>
      <c r="C275" s="6">
        <v>0.15790399999999999</v>
      </c>
      <c r="D275" s="6">
        <v>39.081800000000001</v>
      </c>
      <c r="E275" s="6">
        <v>38.923900000000003</v>
      </c>
      <c r="F275" s="6">
        <v>-1.7034400000000001E-3</v>
      </c>
      <c r="G275" s="6">
        <v>-3.31592E-2</v>
      </c>
      <c r="H275" s="6">
        <v>19.4329</v>
      </c>
      <c r="I275" s="6">
        <v>19.466100000000001</v>
      </c>
      <c r="J275" s="6">
        <v>-1.59084E-3</v>
      </c>
      <c r="K275" s="6">
        <v>-2.90668E-2</v>
      </c>
      <c r="L275" s="6">
        <v>18.2423</v>
      </c>
      <c r="M275" s="6">
        <v>18.2714</v>
      </c>
      <c r="N275" s="6">
        <v>-2.2812599999999998E-3</v>
      </c>
      <c r="O275" s="6">
        <v>-4.2525800000000002E-2</v>
      </c>
      <c r="P275" s="6">
        <v>18.598800000000001</v>
      </c>
      <c r="Q275" s="6">
        <v>18.641400000000001</v>
      </c>
      <c r="R275" s="6">
        <v>92.244</v>
      </c>
      <c r="S275" s="6">
        <v>92.244</v>
      </c>
      <c r="T275" s="6">
        <v>3.4611000000000001</v>
      </c>
      <c r="U275" s="6">
        <v>12161.6</v>
      </c>
      <c r="V275">
        <f t="shared" si="8"/>
        <v>65.525862068965523</v>
      </c>
      <c r="W275">
        <f t="shared" si="9"/>
        <v>1.8585133333333334E-3</v>
      </c>
    </row>
    <row r="276" spans="1:23" x14ac:dyDescent="0.3">
      <c r="A276" s="6">
        <v>269</v>
      </c>
      <c r="B276" s="6">
        <v>3.9957200000000003E-3</v>
      </c>
      <c r="C276" s="6">
        <v>0.155529</v>
      </c>
      <c r="D276" s="6">
        <v>39.0794</v>
      </c>
      <c r="E276" s="6">
        <v>38.923900000000003</v>
      </c>
      <c r="F276" s="6">
        <v>-1.6740100000000001E-3</v>
      </c>
      <c r="G276" s="6">
        <v>-3.2586400000000001E-2</v>
      </c>
      <c r="H276" s="6">
        <v>19.433499999999999</v>
      </c>
      <c r="I276" s="6">
        <v>19.466100000000001</v>
      </c>
      <c r="J276" s="6">
        <v>-1.6538E-3</v>
      </c>
      <c r="K276" s="6">
        <v>-3.02171E-2</v>
      </c>
      <c r="L276" s="6">
        <v>18.241099999999999</v>
      </c>
      <c r="M276" s="6">
        <v>18.2714</v>
      </c>
      <c r="N276" s="6">
        <v>-2.3531899999999998E-3</v>
      </c>
      <c r="O276" s="6">
        <v>-4.3866599999999999E-2</v>
      </c>
      <c r="P276" s="6">
        <v>18.5975</v>
      </c>
      <c r="Q276" s="6">
        <v>18.641400000000001</v>
      </c>
      <c r="R276" s="6">
        <v>92.495000000000005</v>
      </c>
      <c r="S276" s="6">
        <v>92.495999999999995</v>
      </c>
      <c r="T276" s="6">
        <v>3.464</v>
      </c>
      <c r="U276" s="6">
        <v>12171.8</v>
      </c>
      <c r="V276">
        <f t="shared" si="8"/>
        <v>65.580818965517238</v>
      </c>
      <c r="W276">
        <f t="shared" si="9"/>
        <v>1.8936666666666668E-3</v>
      </c>
    </row>
    <row r="277" spans="1:23" x14ac:dyDescent="0.3">
      <c r="A277" s="6">
        <v>270</v>
      </c>
      <c r="B277" s="6">
        <v>3.9437700000000001E-3</v>
      </c>
      <c r="C277" s="6">
        <v>0.153507</v>
      </c>
      <c r="D277" s="6">
        <v>39.077399999999997</v>
      </c>
      <c r="E277" s="6">
        <v>38.923900000000003</v>
      </c>
      <c r="F277" s="6">
        <v>-1.82742E-3</v>
      </c>
      <c r="G277" s="6">
        <v>-3.5572699999999999E-2</v>
      </c>
      <c r="H277" s="6">
        <v>19.430499999999999</v>
      </c>
      <c r="I277" s="6">
        <v>19.466100000000001</v>
      </c>
      <c r="J277" s="6">
        <v>-1.7601400000000001E-3</v>
      </c>
      <c r="K277" s="6">
        <v>-3.2160099999999997E-2</v>
      </c>
      <c r="L277" s="6">
        <v>18.2392</v>
      </c>
      <c r="M277" s="6">
        <v>18.2714</v>
      </c>
      <c r="N277" s="6">
        <v>-2.4023400000000002E-3</v>
      </c>
      <c r="O277" s="6">
        <v>-4.47829E-2</v>
      </c>
      <c r="P277" s="6">
        <v>18.596599999999999</v>
      </c>
      <c r="Q277" s="6">
        <v>18.641400000000001</v>
      </c>
      <c r="R277" s="6">
        <v>92.929000000000002</v>
      </c>
      <c r="S277" s="6">
        <v>92.929000000000002</v>
      </c>
      <c r="T277" s="6">
        <v>3.4843000000000002</v>
      </c>
      <c r="U277" s="6">
        <v>12243</v>
      </c>
      <c r="V277">
        <f t="shared" si="8"/>
        <v>65.964439655172413</v>
      </c>
      <c r="W277">
        <f t="shared" si="9"/>
        <v>1.9966333333333334E-3</v>
      </c>
    </row>
    <row r="278" spans="1:23" x14ac:dyDescent="0.3">
      <c r="A278" s="6">
        <v>271</v>
      </c>
      <c r="B278" s="6">
        <v>3.9929600000000003E-3</v>
      </c>
      <c r="C278" s="6">
        <v>0.155421</v>
      </c>
      <c r="D278" s="6">
        <v>39.079300000000003</v>
      </c>
      <c r="E278" s="6">
        <v>38.923900000000003</v>
      </c>
      <c r="F278" s="6">
        <v>-1.84307E-3</v>
      </c>
      <c r="G278" s="6">
        <v>-3.5877199999999998E-2</v>
      </c>
      <c r="H278" s="6">
        <v>19.430199999999999</v>
      </c>
      <c r="I278" s="6">
        <v>19.466100000000001</v>
      </c>
      <c r="J278" s="6">
        <v>-1.79663E-3</v>
      </c>
      <c r="K278" s="6">
        <v>-3.2826899999999999E-2</v>
      </c>
      <c r="L278" s="6">
        <v>18.238499999999998</v>
      </c>
      <c r="M278" s="6">
        <v>18.2714</v>
      </c>
      <c r="N278" s="6">
        <v>-2.28605E-3</v>
      </c>
      <c r="O278" s="6">
        <v>-4.2615100000000003E-2</v>
      </c>
      <c r="P278" s="6">
        <v>18.598700000000001</v>
      </c>
      <c r="Q278" s="6">
        <v>18.641400000000001</v>
      </c>
      <c r="R278" s="6">
        <v>93.308000000000007</v>
      </c>
      <c r="S278" s="6">
        <v>93.308000000000007</v>
      </c>
      <c r="T278" s="6">
        <v>3.4994000000000001</v>
      </c>
      <c r="U278" s="6">
        <v>12296.1</v>
      </c>
      <c r="V278">
        <f t="shared" si="8"/>
        <v>66.250538793103459</v>
      </c>
      <c r="W278">
        <f t="shared" si="9"/>
        <v>1.97525E-3</v>
      </c>
    </row>
    <row r="279" spans="1:23" x14ac:dyDescent="0.3">
      <c r="A279" s="6">
        <v>272</v>
      </c>
      <c r="B279" s="6">
        <v>4.0280300000000002E-3</v>
      </c>
      <c r="C279" s="6">
        <v>0.15678600000000001</v>
      </c>
      <c r="D279" s="6">
        <v>39.080599999999997</v>
      </c>
      <c r="E279" s="6">
        <v>38.923900000000003</v>
      </c>
      <c r="F279" s="6">
        <v>-1.76038E-3</v>
      </c>
      <c r="G279" s="6">
        <v>-3.4267699999999998E-2</v>
      </c>
      <c r="H279" s="6">
        <v>19.431799999999999</v>
      </c>
      <c r="I279" s="6">
        <v>19.466100000000001</v>
      </c>
      <c r="J279" s="6">
        <v>-1.7011699999999999E-3</v>
      </c>
      <c r="K279" s="6">
        <v>-3.1082599999999998E-2</v>
      </c>
      <c r="L279" s="6">
        <v>18.240300000000001</v>
      </c>
      <c r="M279" s="6">
        <v>18.2714</v>
      </c>
      <c r="N279" s="6">
        <v>-2.3940200000000002E-3</v>
      </c>
      <c r="O279" s="6">
        <v>-4.4627699999999999E-2</v>
      </c>
      <c r="P279" s="6">
        <v>18.596699999999998</v>
      </c>
      <c r="Q279" s="6">
        <v>18.641400000000001</v>
      </c>
      <c r="R279" s="6">
        <v>93.617000000000004</v>
      </c>
      <c r="S279" s="6">
        <v>93.617000000000004</v>
      </c>
      <c r="T279" s="6">
        <v>3.5043000000000002</v>
      </c>
      <c r="U279" s="6">
        <v>12313.1</v>
      </c>
      <c r="V279">
        <f t="shared" si="8"/>
        <v>66.342133620689665</v>
      </c>
      <c r="W279">
        <f t="shared" si="9"/>
        <v>1.9518566666666666E-3</v>
      </c>
    </row>
    <row r="280" spans="1:23" x14ac:dyDescent="0.3">
      <c r="A280" s="6">
        <v>273</v>
      </c>
      <c r="B280" s="6">
        <v>4.0018500000000004E-3</v>
      </c>
      <c r="C280" s="6">
        <v>0.15576699999999999</v>
      </c>
      <c r="D280" s="6">
        <v>39.079599999999999</v>
      </c>
      <c r="E280" s="6">
        <v>38.923900000000003</v>
      </c>
      <c r="F280" s="6">
        <v>-1.7750400000000001E-3</v>
      </c>
      <c r="G280" s="6">
        <v>-3.4553E-2</v>
      </c>
      <c r="H280" s="6">
        <v>19.4315</v>
      </c>
      <c r="I280" s="6">
        <v>19.466100000000001</v>
      </c>
      <c r="J280" s="6">
        <v>-1.6882500000000001E-3</v>
      </c>
      <c r="K280" s="6">
        <v>-3.0846700000000001E-2</v>
      </c>
      <c r="L280" s="6">
        <v>18.240500000000001</v>
      </c>
      <c r="M280" s="6">
        <v>18.2714</v>
      </c>
      <c r="N280" s="6">
        <v>-2.3640200000000001E-3</v>
      </c>
      <c r="O280" s="6">
        <v>-4.4068599999999999E-2</v>
      </c>
      <c r="P280" s="6">
        <v>18.597300000000001</v>
      </c>
      <c r="Q280" s="6">
        <v>18.641400000000001</v>
      </c>
      <c r="R280" s="6">
        <v>94.052999999999997</v>
      </c>
      <c r="S280" s="6">
        <v>94.052999999999997</v>
      </c>
      <c r="T280" s="6">
        <v>3.5194000000000001</v>
      </c>
      <c r="U280" s="6">
        <v>12366.2</v>
      </c>
      <c r="V280">
        <f t="shared" si="8"/>
        <v>66.628232758620697</v>
      </c>
      <c r="W280">
        <f t="shared" si="9"/>
        <v>1.9424366666666668E-3</v>
      </c>
    </row>
    <row r="281" spans="1:23" x14ac:dyDescent="0.3">
      <c r="A281" s="6">
        <v>274</v>
      </c>
      <c r="B281" s="6">
        <v>4.0804600000000002E-3</v>
      </c>
      <c r="C281" s="6">
        <v>0.158827</v>
      </c>
      <c r="D281" s="6">
        <v>39.082700000000003</v>
      </c>
      <c r="E281" s="6">
        <v>38.923900000000003</v>
      </c>
      <c r="F281" s="6">
        <v>-1.7840499999999999E-3</v>
      </c>
      <c r="G281" s="6">
        <v>-3.4728500000000002E-2</v>
      </c>
      <c r="H281" s="6">
        <v>19.4313</v>
      </c>
      <c r="I281" s="6">
        <v>19.466100000000001</v>
      </c>
      <c r="J281" s="6">
        <v>-1.6590400000000001E-3</v>
      </c>
      <c r="K281" s="6">
        <v>-3.03129E-2</v>
      </c>
      <c r="L281" s="6">
        <v>18.241</v>
      </c>
      <c r="M281" s="6">
        <v>18.2714</v>
      </c>
      <c r="N281" s="6">
        <v>-2.27911E-3</v>
      </c>
      <c r="O281" s="6">
        <v>-4.2485799999999997E-2</v>
      </c>
      <c r="P281" s="6">
        <v>18.5989</v>
      </c>
      <c r="Q281" s="6">
        <v>18.641400000000001</v>
      </c>
      <c r="R281" s="6">
        <v>94.676000000000002</v>
      </c>
      <c r="S281" s="6">
        <v>94.676000000000002</v>
      </c>
      <c r="T281" s="6">
        <v>3.5371000000000001</v>
      </c>
      <c r="U281" s="6">
        <v>12428.3</v>
      </c>
      <c r="V281">
        <f t="shared" si="8"/>
        <v>66.962823275862064</v>
      </c>
      <c r="W281">
        <f t="shared" si="9"/>
        <v>1.9074000000000001E-3</v>
      </c>
    </row>
    <row r="282" spans="1:23" x14ac:dyDescent="0.3">
      <c r="A282" s="6">
        <v>275</v>
      </c>
      <c r="B282" s="6">
        <v>4.0574599999999997E-3</v>
      </c>
      <c r="C282" s="6">
        <v>0.15793199999999999</v>
      </c>
      <c r="D282" s="6">
        <v>39.081800000000001</v>
      </c>
      <c r="E282" s="6">
        <v>38.923900000000003</v>
      </c>
      <c r="F282" s="6">
        <v>-1.8079599999999999E-3</v>
      </c>
      <c r="G282" s="6">
        <v>-3.5193799999999997E-2</v>
      </c>
      <c r="H282" s="6">
        <v>19.430900000000001</v>
      </c>
      <c r="I282" s="6">
        <v>19.466100000000001</v>
      </c>
      <c r="J282" s="6">
        <v>-1.7539700000000001E-3</v>
      </c>
      <c r="K282" s="6">
        <v>-3.2047300000000001E-2</v>
      </c>
      <c r="L282" s="6">
        <v>18.2393</v>
      </c>
      <c r="M282" s="6">
        <v>18.2714</v>
      </c>
      <c r="N282" s="6">
        <v>-2.4062599999999999E-3</v>
      </c>
      <c r="O282" s="6">
        <v>-4.4855899999999997E-2</v>
      </c>
      <c r="P282" s="6">
        <v>18.596499999999999</v>
      </c>
      <c r="Q282" s="6">
        <v>18.641400000000001</v>
      </c>
      <c r="R282" s="6">
        <v>95.174999999999997</v>
      </c>
      <c r="S282" s="6">
        <v>95.174999999999997</v>
      </c>
      <c r="T282" s="6">
        <v>3.5642</v>
      </c>
      <c r="U282" s="6">
        <v>12523.3</v>
      </c>
      <c r="V282">
        <f t="shared" si="8"/>
        <v>67.474676724137936</v>
      </c>
      <c r="W282">
        <f t="shared" si="9"/>
        <v>1.9893966666666668E-3</v>
      </c>
    </row>
    <row r="283" spans="1:23" x14ac:dyDescent="0.3">
      <c r="A283" s="6">
        <v>276</v>
      </c>
      <c r="B283" s="6">
        <v>4.0892400000000001E-3</v>
      </c>
      <c r="C283" s="6">
        <v>0.159169</v>
      </c>
      <c r="D283" s="6">
        <v>39.082999999999998</v>
      </c>
      <c r="E283" s="6">
        <v>38.923900000000003</v>
      </c>
      <c r="F283" s="6">
        <v>-1.8142099999999999E-3</v>
      </c>
      <c r="G283" s="6">
        <v>-3.5315600000000003E-2</v>
      </c>
      <c r="H283" s="6">
        <v>19.430700000000002</v>
      </c>
      <c r="I283" s="6">
        <v>19.466100000000001</v>
      </c>
      <c r="J283" s="6">
        <v>-1.76418E-3</v>
      </c>
      <c r="K283" s="6">
        <v>-3.2233999999999999E-2</v>
      </c>
      <c r="L283" s="6">
        <v>18.239100000000001</v>
      </c>
      <c r="M283" s="6">
        <v>18.2714</v>
      </c>
      <c r="N283" s="6">
        <v>-2.4540199999999999E-3</v>
      </c>
      <c r="O283" s="6">
        <v>-4.5746299999999997E-2</v>
      </c>
      <c r="P283" s="6">
        <v>18.595600000000001</v>
      </c>
      <c r="Q283" s="6">
        <v>18.641400000000001</v>
      </c>
      <c r="R283" s="6">
        <v>95.427000000000007</v>
      </c>
      <c r="S283" s="6">
        <v>95.427000000000007</v>
      </c>
      <c r="T283" s="6">
        <v>3.5678000000000001</v>
      </c>
      <c r="U283" s="6">
        <v>12535.7</v>
      </c>
      <c r="V283">
        <f t="shared" si="8"/>
        <v>67.541487068965523</v>
      </c>
      <c r="W283">
        <f t="shared" si="9"/>
        <v>2.0108033333333334E-3</v>
      </c>
    </row>
    <row r="284" spans="1:23" x14ac:dyDescent="0.3">
      <c r="A284" s="6">
        <v>277</v>
      </c>
      <c r="B284" s="6">
        <v>4.12372E-3</v>
      </c>
      <c r="C284" s="6">
        <v>0.16051099999999999</v>
      </c>
      <c r="D284" s="6">
        <v>39.084400000000002</v>
      </c>
      <c r="E284" s="6">
        <v>38.923900000000003</v>
      </c>
      <c r="F284" s="6">
        <v>-1.8345200000000001E-3</v>
      </c>
      <c r="G284" s="6">
        <v>-3.5710899999999997E-2</v>
      </c>
      <c r="H284" s="6">
        <v>19.430399999999999</v>
      </c>
      <c r="I284" s="6">
        <v>19.466100000000001</v>
      </c>
      <c r="J284" s="6">
        <v>-1.75205E-3</v>
      </c>
      <c r="K284" s="6">
        <v>-3.2012400000000003E-2</v>
      </c>
      <c r="L284" s="6">
        <v>18.2393</v>
      </c>
      <c r="M284" s="6">
        <v>18.2714</v>
      </c>
      <c r="N284" s="6">
        <v>-2.4138599999999999E-3</v>
      </c>
      <c r="O284" s="6">
        <v>-4.4997599999999999E-2</v>
      </c>
      <c r="P284" s="6">
        <v>18.596399999999999</v>
      </c>
      <c r="Q284" s="6">
        <v>18.641400000000001</v>
      </c>
      <c r="R284" s="6">
        <v>95.8</v>
      </c>
      <c r="S284" s="6">
        <v>95.8</v>
      </c>
      <c r="T284" s="6">
        <v>3.5687000000000002</v>
      </c>
      <c r="U284" s="6">
        <v>12539.1</v>
      </c>
      <c r="V284">
        <f t="shared" si="8"/>
        <v>67.559806034482762</v>
      </c>
      <c r="W284">
        <f t="shared" si="9"/>
        <v>2.000143333333333E-3</v>
      </c>
    </row>
    <row r="285" spans="1:23" x14ac:dyDescent="0.3">
      <c r="A285" s="6">
        <v>278</v>
      </c>
      <c r="B285" s="6">
        <v>4.1483099999999997E-3</v>
      </c>
      <c r="C285" s="6">
        <v>0.161468</v>
      </c>
      <c r="D285" s="6">
        <v>39.085299999999997</v>
      </c>
      <c r="E285" s="6">
        <v>38.923900000000003</v>
      </c>
      <c r="F285" s="6">
        <v>-1.83647E-3</v>
      </c>
      <c r="G285" s="6">
        <v>-3.5748799999999997E-2</v>
      </c>
      <c r="H285" s="6">
        <v>19.430299999999999</v>
      </c>
      <c r="I285" s="6">
        <v>19.466100000000001</v>
      </c>
      <c r="J285" s="6">
        <v>-1.7433800000000001E-3</v>
      </c>
      <c r="K285" s="6">
        <v>-3.1853800000000002E-2</v>
      </c>
      <c r="L285" s="6">
        <v>18.2395</v>
      </c>
      <c r="M285" s="6">
        <v>18.2714</v>
      </c>
      <c r="N285" s="6">
        <v>-2.4163800000000001E-3</v>
      </c>
      <c r="O285" s="6">
        <v>-4.50447E-2</v>
      </c>
      <c r="P285" s="6">
        <v>18.596299999999999</v>
      </c>
      <c r="Q285" s="6">
        <v>18.641400000000001</v>
      </c>
      <c r="R285" s="6">
        <v>95.986999999999995</v>
      </c>
      <c r="S285" s="6">
        <v>95.986999999999995</v>
      </c>
      <c r="T285" s="6">
        <v>3.5848</v>
      </c>
      <c r="U285" s="6">
        <v>12595.6</v>
      </c>
      <c r="V285">
        <f t="shared" si="8"/>
        <v>67.864224137931032</v>
      </c>
      <c r="W285">
        <f t="shared" si="9"/>
        <v>1.9987433333333335E-3</v>
      </c>
    </row>
    <row r="286" spans="1:23" x14ac:dyDescent="0.3">
      <c r="A286" s="6">
        <v>279</v>
      </c>
      <c r="B286" s="6">
        <v>4.1140200000000004E-3</v>
      </c>
      <c r="C286" s="6">
        <v>0.160133</v>
      </c>
      <c r="D286" s="6">
        <v>39.084000000000003</v>
      </c>
      <c r="E286" s="6">
        <v>38.923900000000003</v>
      </c>
      <c r="F286" s="6">
        <v>-1.8864299999999999E-3</v>
      </c>
      <c r="G286" s="6">
        <v>-3.6721299999999998E-2</v>
      </c>
      <c r="H286" s="6">
        <v>19.429300000000001</v>
      </c>
      <c r="I286" s="6">
        <v>19.466100000000001</v>
      </c>
      <c r="J286" s="6">
        <v>-1.7808399999999999E-3</v>
      </c>
      <c r="K286" s="6">
        <v>-3.2538400000000002E-2</v>
      </c>
      <c r="L286" s="6">
        <v>18.238800000000001</v>
      </c>
      <c r="M286" s="6">
        <v>18.2714</v>
      </c>
      <c r="N286" s="6">
        <v>-2.44196E-3</v>
      </c>
      <c r="O286" s="6">
        <v>-4.5521499999999999E-2</v>
      </c>
      <c r="P286" s="6">
        <v>18.595800000000001</v>
      </c>
      <c r="Q286" s="6">
        <v>18.641400000000001</v>
      </c>
      <c r="R286" s="6">
        <v>96.611999999999995</v>
      </c>
      <c r="S286" s="6">
        <v>96.611999999999995</v>
      </c>
      <c r="T286" s="6">
        <v>3.6009000000000002</v>
      </c>
      <c r="U286" s="6">
        <v>12652.1</v>
      </c>
      <c r="V286">
        <f t="shared" si="8"/>
        <v>68.168642241379317</v>
      </c>
      <c r="W286">
        <f t="shared" si="9"/>
        <v>2.0364100000000002E-3</v>
      </c>
    </row>
    <row r="287" spans="1:23" x14ac:dyDescent="0.3">
      <c r="A287" s="6">
        <v>280</v>
      </c>
      <c r="B287" s="6">
        <v>4.1131099999999997E-3</v>
      </c>
      <c r="C287" s="6">
        <v>0.16009799999999999</v>
      </c>
      <c r="D287" s="6">
        <v>39.084000000000003</v>
      </c>
      <c r="E287" s="6">
        <v>38.923900000000003</v>
      </c>
      <c r="F287" s="6">
        <v>-1.87356E-3</v>
      </c>
      <c r="G287" s="6">
        <v>-3.6470900000000001E-2</v>
      </c>
      <c r="H287" s="6">
        <v>19.429600000000001</v>
      </c>
      <c r="I287" s="6">
        <v>19.466100000000001</v>
      </c>
      <c r="J287" s="6">
        <v>-1.81678E-3</v>
      </c>
      <c r="K287" s="6">
        <v>-3.3195000000000002E-2</v>
      </c>
      <c r="L287" s="6">
        <v>18.238199999999999</v>
      </c>
      <c r="M287" s="6">
        <v>18.2714</v>
      </c>
      <c r="N287" s="6">
        <v>-2.4963899999999998E-3</v>
      </c>
      <c r="O287" s="6">
        <v>-4.6536099999999997E-2</v>
      </c>
      <c r="P287" s="6">
        <v>18.594799999999999</v>
      </c>
      <c r="Q287" s="6">
        <v>18.641400000000001</v>
      </c>
      <c r="R287" s="6">
        <v>96.984999999999999</v>
      </c>
      <c r="S287" s="6">
        <v>96.984999999999999</v>
      </c>
      <c r="T287" s="6">
        <v>3.6132</v>
      </c>
      <c r="U287" s="6">
        <v>12695.1</v>
      </c>
      <c r="V287">
        <f t="shared" si="8"/>
        <v>68.400323275862078</v>
      </c>
      <c r="W287">
        <f t="shared" si="9"/>
        <v>2.0622433333333332E-3</v>
      </c>
    </row>
    <row r="288" spans="1:23" x14ac:dyDescent="0.3">
      <c r="A288" s="6">
        <v>281</v>
      </c>
      <c r="B288" s="6">
        <v>4.1681599999999997E-3</v>
      </c>
      <c r="C288" s="6">
        <v>0.162241</v>
      </c>
      <c r="D288" s="6">
        <v>39.086100000000002</v>
      </c>
      <c r="E288" s="6">
        <v>38.923900000000003</v>
      </c>
      <c r="F288" s="6">
        <v>-1.8722400000000001E-3</v>
      </c>
      <c r="G288" s="6">
        <v>-3.6445199999999997E-2</v>
      </c>
      <c r="H288" s="6">
        <v>19.429600000000001</v>
      </c>
      <c r="I288" s="6">
        <v>19.466100000000001</v>
      </c>
      <c r="J288" s="6">
        <v>-1.79929E-3</v>
      </c>
      <c r="K288" s="6">
        <v>-3.2875500000000002E-2</v>
      </c>
      <c r="L288" s="6">
        <v>18.238499999999998</v>
      </c>
      <c r="M288" s="6">
        <v>18.2714</v>
      </c>
      <c r="N288" s="6">
        <v>-2.4772800000000001E-3</v>
      </c>
      <c r="O288" s="6">
        <v>-4.6179900000000003E-2</v>
      </c>
      <c r="P288" s="6">
        <v>18.595199999999998</v>
      </c>
      <c r="Q288" s="6">
        <v>18.641400000000001</v>
      </c>
      <c r="R288" s="6">
        <v>97.546000000000006</v>
      </c>
      <c r="S288" s="6">
        <v>97.546000000000006</v>
      </c>
      <c r="T288" s="6">
        <v>3.6166999999999998</v>
      </c>
      <c r="U288" s="6">
        <v>12707.5</v>
      </c>
      <c r="V288">
        <f t="shared" si="8"/>
        <v>68.467133620689651</v>
      </c>
      <c r="W288">
        <f t="shared" si="9"/>
        <v>2.0496033333333333E-3</v>
      </c>
    </row>
    <row r="289" spans="1:23" x14ac:dyDescent="0.3">
      <c r="A289" s="6">
        <v>282</v>
      </c>
      <c r="B289" s="6">
        <v>4.1851700000000002E-3</v>
      </c>
      <c r="C289" s="6">
        <v>0.16290299999999999</v>
      </c>
      <c r="D289" s="6">
        <v>39.086799999999997</v>
      </c>
      <c r="E289" s="6">
        <v>38.923900000000003</v>
      </c>
      <c r="F289" s="6">
        <v>-1.90895E-3</v>
      </c>
      <c r="G289" s="6">
        <v>-3.7159699999999997E-2</v>
      </c>
      <c r="H289" s="6">
        <v>19.428899999999999</v>
      </c>
      <c r="I289" s="6">
        <v>19.466100000000001</v>
      </c>
      <c r="J289" s="6">
        <v>-1.9095799999999999E-3</v>
      </c>
      <c r="K289" s="6">
        <v>-3.4890600000000001E-2</v>
      </c>
      <c r="L289" s="6">
        <v>18.236499999999999</v>
      </c>
      <c r="M289" s="6">
        <v>18.2714</v>
      </c>
      <c r="N289" s="6">
        <v>-2.5577099999999999E-3</v>
      </c>
      <c r="O289" s="6">
        <v>-4.7679199999999998E-2</v>
      </c>
      <c r="P289" s="6">
        <v>18.593699999999998</v>
      </c>
      <c r="Q289" s="6">
        <v>18.641400000000001</v>
      </c>
      <c r="R289" s="6">
        <v>97.983000000000004</v>
      </c>
      <c r="S289" s="6">
        <v>97.983000000000004</v>
      </c>
      <c r="T289" s="6">
        <v>3.6448</v>
      </c>
      <c r="U289" s="6">
        <v>12805.9</v>
      </c>
      <c r="V289">
        <f t="shared" si="8"/>
        <v>68.997306034482762</v>
      </c>
      <c r="W289">
        <f t="shared" si="9"/>
        <v>2.1254133333333332E-3</v>
      </c>
    </row>
    <row r="290" spans="1:23" x14ac:dyDescent="0.3">
      <c r="A290" s="6">
        <v>283</v>
      </c>
      <c r="B290" s="6">
        <v>4.2210700000000004E-3</v>
      </c>
      <c r="C290" s="6">
        <v>0.1643</v>
      </c>
      <c r="D290" s="6">
        <v>39.088200000000001</v>
      </c>
      <c r="E290" s="6">
        <v>38.923900000000003</v>
      </c>
      <c r="F290" s="6">
        <v>-1.8831900000000001E-3</v>
      </c>
      <c r="G290" s="6">
        <v>-3.6658299999999998E-2</v>
      </c>
      <c r="H290" s="6">
        <v>19.429400000000001</v>
      </c>
      <c r="I290" s="6">
        <v>19.466100000000001</v>
      </c>
      <c r="J290" s="6">
        <v>-1.8196099999999999E-3</v>
      </c>
      <c r="K290" s="6">
        <v>-3.3246699999999997E-2</v>
      </c>
      <c r="L290" s="6">
        <v>18.238099999999999</v>
      </c>
      <c r="M290" s="6">
        <v>18.2714</v>
      </c>
      <c r="N290" s="6">
        <v>-2.4750100000000001E-3</v>
      </c>
      <c r="O290" s="6">
        <v>-4.6137499999999998E-2</v>
      </c>
      <c r="P290" s="6">
        <v>18.595199999999998</v>
      </c>
      <c r="Q290" s="6">
        <v>18.641400000000001</v>
      </c>
      <c r="R290" s="6">
        <v>98.421999999999997</v>
      </c>
      <c r="S290" s="6">
        <v>98.423000000000002</v>
      </c>
      <c r="T290" s="6">
        <v>3.6537999999999999</v>
      </c>
      <c r="U290" s="6">
        <v>12837.5</v>
      </c>
      <c r="V290">
        <f t="shared" si="8"/>
        <v>69.167564655172413</v>
      </c>
      <c r="W290">
        <f t="shared" si="9"/>
        <v>2.0592700000000002E-3</v>
      </c>
    </row>
    <row r="291" spans="1:23" x14ac:dyDescent="0.3">
      <c r="A291" s="6">
        <v>284</v>
      </c>
      <c r="B291" s="6">
        <v>4.1770100000000001E-3</v>
      </c>
      <c r="C291" s="6">
        <v>0.16258500000000001</v>
      </c>
      <c r="D291" s="6">
        <v>39.086399999999998</v>
      </c>
      <c r="E291" s="6">
        <v>38.923900000000003</v>
      </c>
      <c r="F291" s="6">
        <v>-1.9223599999999999E-3</v>
      </c>
      <c r="G291" s="6">
        <v>-3.74209E-2</v>
      </c>
      <c r="H291" s="6">
        <v>19.428599999999999</v>
      </c>
      <c r="I291" s="6">
        <v>19.466100000000001</v>
      </c>
      <c r="J291" s="6">
        <v>-1.79609E-3</v>
      </c>
      <c r="K291" s="6">
        <v>-3.2816999999999999E-2</v>
      </c>
      <c r="L291" s="6">
        <v>18.238499999999998</v>
      </c>
      <c r="M291" s="6">
        <v>18.2714</v>
      </c>
      <c r="N291" s="6">
        <v>-2.4560200000000002E-3</v>
      </c>
      <c r="O291" s="6">
        <v>-4.5783600000000001E-2</v>
      </c>
      <c r="P291" s="6">
        <v>18.595600000000001</v>
      </c>
      <c r="Q291" s="6">
        <v>18.641400000000001</v>
      </c>
      <c r="R291" s="6">
        <v>98.671000000000006</v>
      </c>
      <c r="S291" s="6">
        <v>98.671999999999997</v>
      </c>
      <c r="T291" s="6">
        <v>3.6627999999999998</v>
      </c>
      <c r="U291" s="6">
        <v>12869.2</v>
      </c>
      <c r="V291">
        <f t="shared" si="8"/>
        <v>69.338362068965523</v>
      </c>
      <c r="W291">
        <f t="shared" si="9"/>
        <v>2.0581566666666665E-3</v>
      </c>
    </row>
    <row r="292" spans="1:23" x14ac:dyDescent="0.3">
      <c r="A292" s="6">
        <v>285</v>
      </c>
      <c r="B292" s="6">
        <v>4.2574800000000001E-3</v>
      </c>
      <c r="C292" s="6">
        <v>0.165718</v>
      </c>
      <c r="D292" s="6">
        <v>39.089599999999997</v>
      </c>
      <c r="E292" s="6">
        <v>38.923900000000003</v>
      </c>
      <c r="F292" s="6">
        <v>-1.9170599999999999E-3</v>
      </c>
      <c r="G292" s="6">
        <v>-3.7317599999999999E-2</v>
      </c>
      <c r="H292" s="6">
        <v>19.428699999999999</v>
      </c>
      <c r="I292" s="6">
        <v>19.466100000000001</v>
      </c>
      <c r="J292" s="6">
        <v>-1.7941700000000001E-3</v>
      </c>
      <c r="K292" s="6">
        <v>-3.2781999999999999E-2</v>
      </c>
      <c r="L292" s="6">
        <v>18.238600000000002</v>
      </c>
      <c r="M292" s="6">
        <v>18.2714</v>
      </c>
      <c r="N292" s="6">
        <v>-2.4125399999999999E-3</v>
      </c>
      <c r="O292" s="6">
        <v>-4.4972999999999999E-2</v>
      </c>
      <c r="P292" s="6">
        <v>18.596399999999999</v>
      </c>
      <c r="Q292" s="6">
        <v>18.641400000000001</v>
      </c>
      <c r="R292" s="6">
        <v>98.983999999999995</v>
      </c>
      <c r="S292" s="6">
        <v>98.983999999999995</v>
      </c>
      <c r="T292" s="6">
        <v>3.6751</v>
      </c>
      <c r="U292" s="6">
        <v>12912.1</v>
      </c>
      <c r="V292">
        <f t="shared" si="8"/>
        <v>69.569504310344826</v>
      </c>
      <c r="W292">
        <f t="shared" si="9"/>
        <v>2.0412566666666667E-3</v>
      </c>
    </row>
    <row r="293" spans="1:23" x14ac:dyDescent="0.3">
      <c r="A293" s="6">
        <v>286</v>
      </c>
      <c r="B293" s="6">
        <v>4.2922200000000002E-3</v>
      </c>
      <c r="C293" s="6">
        <v>0.16707</v>
      </c>
      <c r="D293" s="6">
        <v>39.090899999999998</v>
      </c>
      <c r="E293" s="6">
        <v>38.923900000000003</v>
      </c>
      <c r="F293" s="6">
        <v>-1.9354999999999999E-3</v>
      </c>
      <c r="G293" s="6">
        <v>-3.7676500000000002E-2</v>
      </c>
      <c r="H293" s="6">
        <v>19.4284</v>
      </c>
      <c r="I293" s="6">
        <v>19.466100000000001</v>
      </c>
      <c r="J293" s="6">
        <v>-1.8376099999999999E-3</v>
      </c>
      <c r="K293" s="6">
        <v>-3.3575599999999997E-2</v>
      </c>
      <c r="L293" s="6">
        <v>18.2378</v>
      </c>
      <c r="M293" s="6">
        <v>18.2714</v>
      </c>
      <c r="N293" s="6">
        <v>-2.5107100000000002E-3</v>
      </c>
      <c r="O293" s="6">
        <v>-4.68031E-2</v>
      </c>
      <c r="P293" s="6">
        <v>18.5946</v>
      </c>
      <c r="Q293" s="6">
        <v>18.641400000000001</v>
      </c>
      <c r="R293" s="6">
        <v>99.67</v>
      </c>
      <c r="S293" s="6">
        <v>99.671000000000006</v>
      </c>
      <c r="T293" s="6">
        <v>3.6928000000000001</v>
      </c>
      <c r="U293" s="6">
        <v>12974.3</v>
      </c>
      <c r="V293">
        <f t="shared" si="8"/>
        <v>69.904633620689651</v>
      </c>
      <c r="W293">
        <f t="shared" si="9"/>
        <v>2.0946066666666665E-3</v>
      </c>
    </row>
    <row r="294" spans="1:23" x14ac:dyDescent="0.3">
      <c r="A294" s="6">
        <v>287</v>
      </c>
      <c r="B294" s="6">
        <v>4.24304E-3</v>
      </c>
      <c r="C294" s="6">
        <v>0.165155</v>
      </c>
      <c r="D294" s="6">
        <v>39.088999999999999</v>
      </c>
      <c r="E294" s="6">
        <v>38.923900000000003</v>
      </c>
      <c r="F294" s="6">
        <v>-1.9962000000000001E-3</v>
      </c>
      <c r="G294" s="6">
        <v>-3.88581E-2</v>
      </c>
      <c r="H294" s="6">
        <v>19.427199999999999</v>
      </c>
      <c r="I294" s="6">
        <v>19.466100000000001</v>
      </c>
      <c r="J294" s="6">
        <v>-1.8998999999999999E-3</v>
      </c>
      <c r="K294" s="6">
        <v>-3.47137E-2</v>
      </c>
      <c r="L294" s="6">
        <v>18.236599999999999</v>
      </c>
      <c r="M294" s="6">
        <v>18.2714</v>
      </c>
      <c r="N294" s="6">
        <v>-2.5237300000000001E-3</v>
      </c>
      <c r="O294" s="6">
        <v>-4.7045700000000003E-2</v>
      </c>
      <c r="P294" s="6">
        <v>18.5943</v>
      </c>
      <c r="Q294" s="6">
        <v>18.641400000000001</v>
      </c>
      <c r="R294" s="6">
        <v>99.855999999999995</v>
      </c>
      <c r="S294" s="6">
        <v>99.855999999999995</v>
      </c>
      <c r="T294" s="6">
        <v>3.6951000000000001</v>
      </c>
      <c r="U294" s="6">
        <v>12982.2</v>
      </c>
      <c r="V294">
        <f t="shared" si="8"/>
        <v>69.947198275862078</v>
      </c>
      <c r="W294">
        <f t="shared" si="9"/>
        <v>2.1399433333333332E-3</v>
      </c>
    </row>
    <row r="295" spans="1:23" x14ac:dyDescent="0.3">
      <c r="A295" s="6">
        <v>288</v>
      </c>
      <c r="B295" s="6">
        <v>4.2516300000000002E-3</v>
      </c>
      <c r="C295" s="6">
        <v>0.16549</v>
      </c>
      <c r="D295" s="6">
        <v>39.089300000000001</v>
      </c>
      <c r="E295" s="6">
        <v>38.923900000000003</v>
      </c>
      <c r="F295" s="6">
        <v>-1.8828300000000001E-3</v>
      </c>
      <c r="G295" s="6">
        <v>-3.6651299999999998E-2</v>
      </c>
      <c r="H295" s="6">
        <v>19.429400000000001</v>
      </c>
      <c r="I295" s="6">
        <v>19.466100000000001</v>
      </c>
      <c r="J295" s="6">
        <v>-1.79291E-3</v>
      </c>
      <c r="K295" s="6">
        <v>-3.2758900000000001E-2</v>
      </c>
      <c r="L295" s="6">
        <v>18.238600000000002</v>
      </c>
      <c r="M295" s="6">
        <v>18.2714</v>
      </c>
      <c r="N295" s="6">
        <v>-2.5014299999999998E-3</v>
      </c>
      <c r="O295" s="6">
        <v>-4.6630100000000001E-2</v>
      </c>
      <c r="P295" s="6">
        <v>18.5947</v>
      </c>
      <c r="Q295" s="6">
        <v>18.641400000000001</v>
      </c>
      <c r="R295" s="6">
        <v>100.35599999999999</v>
      </c>
      <c r="S295" s="6">
        <v>100.35599999999999</v>
      </c>
      <c r="T295" s="6">
        <v>3.7185999999999999</v>
      </c>
      <c r="U295" s="6">
        <v>13064.7</v>
      </c>
      <c r="V295">
        <f t="shared" si="8"/>
        <v>70.391702586206904</v>
      </c>
      <c r="W295">
        <f t="shared" si="9"/>
        <v>2.0590566666666668E-3</v>
      </c>
    </row>
    <row r="296" spans="1:23" x14ac:dyDescent="0.3">
      <c r="A296" s="6">
        <v>289</v>
      </c>
      <c r="B296" s="6">
        <v>4.3198100000000003E-3</v>
      </c>
      <c r="C296" s="6">
        <v>0.16814399999999999</v>
      </c>
      <c r="D296" s="6">
        <v>39.091999999999999</v>
      </c>
      <c r="E296" s="6">
        <v>38.923900000000003</v>
      </c>
      <c r="F296" s="6">
        <v>-1.9549900000000002E-3</v>
      </c>
      <c r="G296" s="6">
        <v>-3.8055899999999997E-2</v>
      </c>
      <c r="H296" s="6">
        <v>19.428000000000001</v>
      </c>
      <c r="I296" s="6">
        <v>19.466100000000001</v>
      </c>
      <c r="J296" s="6">
        <v>-1.81705E-3</v>
      </c>
      <c r="K296" s="6">
        <v>-3.3199899999999997E-2</v>
      </c>
      <c r="L296" s="6">
        <v>18.238199999999999</v>
      </c>
      <c r="M296" s="6">
        <v>18.2714</v>
      </c>
      <c r="N296" s="6">
        <v>-2.4474499999999999E-3</v>
      </c>
      <c r="O296" s="6">
        <v>-4.5623799999999999E-2</v>
      </c>
      <c r="P296" s="6">
        <v>18.595700000000001</v>
      </c>
      <c r="Q296" s="6">
        <v>18.641400000000001</v>
      </c>
      <c r="R296" s="6">
        <v>100.667</v>
      </c>
      <c r="S296" s="6">
        <v>100.667</v>
      </c>
      <c r="T296" s="6">
        <v>3.7227999999999999</v>
      </c>
      <c r="U296" s="6">
        <v>13079.4</v>
      </c>
      <c r="V296">
        <f t="shared" si="8"/>
        <v>70.470905172413794</v>
      </c>
      <c r="W296">
        <f t="shared" si="9"/>
        <v>2.073163333333333E-3</v>
      </c>
    </row>
    <row r="297" spans="1:23" x14ac:dyDescent="0.3">
      <c r="A297" s="6">
        <v>290</v>
      </c>
      <c r="B297" s="6">
        <v>4.3086399999999999E-3</v>
      </c>
      <c r="C297" s="6">
        <v>0.167709</v>
      </c>
      <c r="D297" s="6">
        <v>39.0916</v>
      </c>
      <c r="E297" s="6">
        <v>38.923900000000003</v>
      </c>
      <c r="F297" s="6">
        <v>-1.97993E-3</v>
      </c>
      <c r="G297" s="6">
        <v>-3.8541499999999999E-2</v>
      </c>
      <c r="H297" s="6">
        <v>19.427499999999998</v>
      </c>
      <c r="I297" s="6">
        <v>19.466100000000001</v>
      </c>
      <c r="J297" s="6">
        <v>-1.8860700000000001E-3</v>
      </c>
      <c r="K297" s="6">
        <v>-3.4460999999999999E-2</v>
      </c>
      <c r="L297" s="6">
        <v>18.236899999999999</v>
      </c>
      <c r="M297" s="6">
        <v>18.2714</v>
      </c>
      <c r="N297" s="6">
        <v>-2.5583799999999999E-3</v>
      </c>
      <c r="O297" s="6">
        <v>-4.7691699999999997E-2</v>
      </c>
      <c r="P297" s="6">
        <v>18.593699999999998</v>
      </c>
      <c r="Q297" s="6">
        <v>18.641400000000001</v>
      </c>
      <c r="R297" s="6">
        <v>101.291</v>
      </c>
      <c r="S297" s="6">
        <v>101.291</v>
      </c>
      <c r="T297" s="6">
        <v>3.7486000000000002</v>
      </c>
      <c r="U297" s="6">
        <v>13169.8</v>
      </c>
      <c r="V297">
        <f t="shared" si="8"/>
        <v>70.957974137931032</v>
      </c>
      <c r="W297">
        <f t="shared" si="9"/>
        <v>2.14146E-3</v>
      </c>
    </row>
    <row r="298" spans="1:23" x14ac:dyDescent="0.3">
      <c r="A298" s="6">
        <v>291</v>
      </c>
      <c r="B298" s="6">
        <v>4.3361700000000003E-3</v>
      </c>
      <c r="C298" s="6">
        <v>0.16878099999999999</v>
      </c>
      <c r="D298" s="6">
        <v>39.092599999999997</v>
      </c>
      <c r="E298" s="6">
        <v>38.923900000000003</v>
      </c>
      <c r="F298" s="6">
        <v>-1.93016E-3</v>
      </c>
      <c r="G298" s="6">
        <v>-3.7572599999999998E-2</v>
      </c>
      <c r="H298" s="6">
        <v>19.4285</v>
      </c>
      <c r="I298" s="6">
        <v>19.466100000000001</v>
      </c>
      <c r="J298" s="6">
        <v>-1.87598E-3</v>
      </c>
      <c r="K298" s="6">
        <v>-3.4276800000000003E-2</v>
      </c>
      <c r="L298" s="6">
        <v>18.237100000000002</v>
      </c>
      <c r="M298" s="6">
        <v>18.2714</v>
      </c>
      <c r="N298" s="6">
        <v>-2.58566E-3</v>
      </c>
      <c r="O298" s="6">
        <v>-4.8200199999999999E-2</v>
      </c>
      <c r="P298" s="6">
        <v>18.5932</v>
      </c>
      <c r="Q298" s="6">
        <v>18.641400000000001</v>
      </c>
      <c r="R298" s="6">
        <v>101.602</v>
      </c>
      <c r="S298" s="6">
        <v>101.60299999999999</v>
      </c>
      <c r="T298" s="6">
        <v>3.7563</v>
      </c>
      <c r="U298" s="6">
        <v>13196.9</v>
      </c>
      <c r="V298">
        <f t="shared" si="8"/>
        <v>71.103987068965523</v>
      </c>
      <c r="W298">
        <f t="shared" si="9"/>
        <v>2.1305999999999999E-3</v>
      </c>
    </row>
    <row r="299" spans="1:23" x14ac:dyDescent="0.3">
      <c r="A299" s="6">
        <v>292</v>
      </c>
      <c r="B299" s="6">
        <v>4.3275700000000002E-3</v>
      </c>
      <c r="C299" s="6">
        <v>0.16844600000000001</v>
      </c>
      <c r="D299" s="6">
        <v>39.092300000000002</v>
      </c>
      <c r="E299" s="6">
        <v>38.923900000000003</v>
      </c>
      <c r="F299" s="6">
        <v>-1.90452E-3</v>
      </c>
      <c r="G299" s="6">
        <v>-3.7073500000000002E-2</v>
      </c>
      <c r="H299" s="6">
        <v>19.428999999999998</v>
      </c>
      <c r="I299" s="6">
        <v>19.466100000000001</v>
      </c>
      <c r="J299" s="6">
        <v>-1.8429E-3</v>
      </c>
      <c r="K299" s="6">
        <v>-3.3672199999999999E-2</v>
      </c>
      <c r="L299" s="6">
        <v>18.2377</v>
      </c>
      <c r="M299" s="6">
        <v>18.2714</v>
      </c>
      <c r="N299" s="6">
        <v>-2.5321699999999998E-3</v>
      </c>
      <c r="O299" s="6">
        <v>-4.7203099999999998E-2</v>
      </c>
      <c r="P299" s="6">
        <v>18.594200000000001</v>
      </c>
      <c r="Q299" s="6">
        <v>18.641400000000001</v>
      </c>
      <c r="R299" s="6">
        <v>102.04</v>
      </c>
      <c r="S299" s="6">
        <v>102.04</v>
      </c>
      <c r="T299" s="6">
        <v>3.7688999999999999</v>
      </c>
      <c r="U299" s="6">
        <v>13241</v>
      </c>
      <c r="V299">
        <f t="shared" si="8"/>
        <v>71.341594827586206</v>
      </c>
      <c r="W299">
        <f t="shared" si="9"/>
        <v>2.0931966666666666E-3</v>
      </c>
    </row>
    <row r="300" spans="1:23" x14ac:dyDescent="0.3">
      <c r="A300" s="6">
        <v>293</v>
      </c>
      <c r="B300" s="6">
        <v>4.4087500000000003E-3</v>
      </c>
      <c r="C300" s="6">
        <v>0.17160600000000001</v>
      </c>
      <c r="D300" s="6">
        <v>39.095500000000001</v>
      </c>
      <c r="E300" s="6">
        <v>38.923900000000003</v>
      </c>
      <c r="F300" s="6">
        <v>-2.03309E-3</v>
      </c>
      <c r="G300" s="6">
        <v>-3.9576300000000002E-2</v>
      </c>
      <c r="H300" s="6">
        <v>19.426500000000001</v>
      </c>
      <c r="I300" s="6">
        <v>19.466100000000001</v>
      </c>
      <c r="J300" s="6">
        <v>-1.9747200000000001E-3</v>
      </c>
      <c r="K300" s="6">
        <v>-3.6080800000000003E-2</v>
      </c>
      <c r="L300" s="6">
        <v>18.235299999999999</v>
      </c>
      <c r="M300" s="6">
        <v>18.2714</v>
      </c>
      <c r="N300" s="6">
        <v>-2.5534799999999999E-3</v>
      </c>
      <c r="O300" s="6">
        <v>-4.7600400000000001E-2</v>
      </c>
      <c r="P300" s="6">
        <v>18.593800000000002</v>
      </c>
      <c r="Q300" s="6">
        <v>18.641400000000001</v>
      </c>
      <c r="R300" s="6">
        <v>102.538</v>
      </c>
      <c r="S300" s="6">
        <v>102.538</v>
      </c>
      <c r="T300" s="6">
        <v>3.7833999999999999</v>
      </c>
      <c r="U300" s="6">
        <v>13291.9</v>
      </c>
      <c r="V300">
        <f t="shared" si="8"/>
        <v>71.615840517241381</v>
      </c>
      <c r="W300">
        <f t="shared" si="9"/>
        <v>2.1870966666666671E-3</v>
      </c>
    </row>
    <row r="301" spans="1:23" x14ac:dyDescent="0.3">
      <c r="A301" s="6">
        <v>294</v>
      </c>
      <c r="B301" s="6">
        <v>4.4003200000000001E-3</v>
      </c>
      <c r="C301" s="6">
        <v>0.17127700000000001</v>
      </c>
      <c r="D301" s="6">
        <v>39.095100000000002</v>
      </c>
      <c r="E301" s="6">
        <v>38.923900000000003</v>
      </c>
      <c r="F301" s="6">
        <v>-1.9869800000000002E-3</v>
      </c>
      <c r="G301" s="6">
        <v>-3.8678799999999999E-2</v>
      </c>
      <c r="H301" s="6">
        <v>19.427399999999999</v>
      </c>
      <c r="I301" s="6">
        <v>19.466100000000001</v>
      </c>
      <c r="J301" s="6">
        <v>-1.85534E-3</v>
      </c>
      <c r="K301" s="6">
        <v>-3.3899499999999999E-2</v>
      </c>
      <c r="L301" s="6">
        <v>18.237500000000001</v>
      </c>
      <c r="M301" s="6">
        <v>18.2714</v>
      </c>
      <c r="N301" s="6">
        <v>-2.5772899999999999E-3</v>
      </c>
      <c r="O301" s="6">
        <v>-4.8044200000000002E-2</v>
      </c>
      <c r="P301" s="6">
        <v>18.593299999999999</v>
      </c>
      <c r="Q301" s="6">
        <v>18.641400000000001</v>
      </c>
      <c r="R301" s="6">
        <v>102.726</v>
      </c>
      <c r="S301" s="6">
        <v>102.726</v>
      </c>
      <c r="T301" s="6">
        <v>3.7881999999999998</v>
      </c>
      <c r="U301" s="6">
        <v>13308.8</v>
      </c>
      <c r="V301">
        <f t="shared" si="8"/>
        <v>71.706896551724142</v>
      </c>
      <c r="W301">
        <f t="shared" si="9"/>
        <v>2.1398699999999999E-3</v>
      </c>
    </row>
    <row r="302" spans="1:23" x14ac:dyDescent="0.3">
      <c r="A302" s="6">
        <v>295</v>
      </c>
      <c r="B302" s="6">
        <v>4.4162899999999998E-3</v>
      </c>
      <c r="C302" s="6">
        <v>0.171899</v>
      </c>
      <c r="D302" s="6">
        <v>39.095799999999997</v>
      </c>
      <c r="E302" s="6">
        <v>38.923900000000003</v>
      </c>
      <c r="F302" s="6">
        <v>-2.0293500000000001E-3</v>
      </c>
      <c r="G302" s="6">
        <v>-3.9503400000000001E-2</v>
      </c>
      <c r="H302" s="6">
        <v>19.426600000000001</v>
      </c>
      <c r="I302" s="6">
        <v>19.466100000000001</v>
      </c>
      <c r="J302" s="6">
        <v>-1.9998799999999999E-3</v>
      </c>
      <c r="K302" s="6">
        <v>-3.6540599999999999E-2</v>
      </c>
      <c r="L302" s="6">
        <v>18.2348</v>
      </c>
      <c r="M302" s="6">
        <v>18.2714</v>
      </c>
      <c r="N302" s="6">
        <v>-2.69806E-3</v>
      </c>
      <c r="O302" s="6">
        <v>-5.0295600000000003E-2</v>
      </c>
      <c r="P302" s="6">
        <v>18.591100000000001</v>
      </c>
      <c r="Q302" s="6">
        <v>18.641400000000001</v>
      </c>
      <c r="R302" s="6">
        <v>103.41500000000001</v>
      </c>
      <c r="S302" s="6">
        <v>103.41500000000001</v>
      </c>
      <c r="T302" s="6">
        <v>3.8090999999999999</v>
      </c>
      <c r="U302" s="6">
        <v>13382.3</v>
      </c>
      <c r="V302">
        <f t="shared" si="8"/>
        <v>72.102909482758619</v>
      </c>
      <c r="W302">
        <f t="shared" si="9"/>
        <v>2.2424300000000001E-3</v>
      </c>
    </row>
    <row r="303" spans="1:23" x14ac:dyDescent="0.3">
      <c r="A303" s="6">
        <v>296</v>
      </c>
      <c r="B303" s="6">
        <v>4.3502000000000002E-3</v>
      </c>
      <c r="C303" s="6">
        <v>0.16932700000000001</v>
      </c>
      <c r="D303" s="6">
        <v>39.093200000000003</v>
      </c>
      <c r="E303" s="6">
        <v>38.923900000000003</v>
      </c>
      <c r="F303" s="6">
        <v>-2.0302100000000002E-3</v>
      </c>
      <c r="G303" s="6">
        <v>-3.9520300000000001E-2</v>
      </c>
      <c r="H303" s="6">
        <v>19.426500000000001</v>
      </c>
      <c r="I303" s="6">
        <v>19.466100000000001</v>
      </c>
      <c r="J303" s="6">
        <v>-1.9722699999999999E-3</v>
      </c>
      <c r="K303" s="6">
        <v>-3.6036100000000001E-2</v>
      </c>
      <c r="L303" s="6">
        <v>18.235299999999999</v>
      </c>
      <c r="M303" s="6">
        <v>18.2714</v>
      </c>
      <c r="N303" s="6">
        <v>-2.6863E-3</v>
      </c>
      <c r="O303" s="6">
        <v>-5.00764E-2</v>
      </c>
      <c r="P303" s="6">
        <v>18.5913</v>
      </c>
      <c r="Q303" s="6">
        <v>18.641400000000001</v>
      </c>
      <c r="R303" s="6">
        <v>103.72499999999999</v>
      </c>
      <c r="S303" s="6">
        <v>103.726</v>
      </c>
      <c r="T303" s="6">
        <v>3.8191000000000002</v>
      </c>
      <c r="U303" s="6">
        <v>13417.3</v>
      </c>
      <c r="V303">
        <f t="shared" si="8"/>
        <v>72.291487068965509</v>
      </c>
      <c r="W303">
        <f t="shared" si="9"/>
        <v>2.2295933333333334E-3</v>
      </c>
    </row>
    <row r="304" spans="1:23" x14ac:dyDescent="0.3">
      <c r="A304" s="6">
        <v>297</v>
      </c>
      <c r="B304" s="6">
        <v>4.4093600000000002E-3</v>
      </c>
      <c r="C304" s="6">
        <v>0.171629</v>
      </c>
      <c r="D304" s="6">
        <v>39.095500000000001</v>
      </c>
      <c r="E304" s="6">
        <v>38.923900000000003</v>
      </c>
      <c r="F304" s="6">
        <v>-2.0531E-3</v>
      </c>
      <c r="G304" s="6">
        <v>-3.99657E-2</v>
      </c>
      <c r="H304" s="6">
        <v>19.426100000000002</v>
      </c>
      <c r="I304" s="6">
        <v>19.466100000000001</v>
      </c>
      <c r="J304" s="6">
        <v>-1.93118E-3</v>
      </c>
      <c r="K304" s="6">
        <v>-3.5285299999999999E-2</v>
      </c>
      <c r="L304" s="6">
        <v>18.2361</v>
      </c>
      <c r="M304" s="6">
        <v>18.2714</v>
      </c>
      <c r="N304" s="6">
        <v>-2.6280499999999998E-3</v>
      </c>
      <c r="O304" s="6">
        <v>-4.8990499999999999E-2</v>
      </c>
      <c r="P304" s="6">
        <v>18.592400000000001</v>
      </c>
      <c r="Q304" s="6">
        <v>18.641400000000001</v>
      </c>
      <c r="R304" s="6">
        <v>104.03700000000001</v>
      </c>
      <c r="S304" s="6">
        <v>104.03700000000001</v>
      </c>
      <c r="T304" s="6">
        <v>3.8307000000000002</v>
      </c>
      <c r="U304" s="6">
        <v>13458</v>
      </c>
      <c r="V304">
        <f t="shared" si="8"/>
        <v>72.510775862068968</v>
      </c>
      <c r="W304">
        <f t="shared" si="9"/>
        <v>2.20411E-3</v>
      </c>
    </row>
    <row r="305" spans="1:23" x14ac:dyDescent="0.3">
      <c r="A305" s="6">
        <v>298</v>
      </c>
      <c r="B305" s="6">
        <v>4.3917499999999998E-3</v>
      </c>
      <c r="C305" s="6">
        <v>0.17094400000000001</v>
      </c>
      <c r="D305" s="6">
        <v>39.094799999999999</v>
      </c>
      <c r="E305" s="6">
        <v>38.923900000000003</v>
      </c>
      <c r="F305" s="6">
        <v>-2.1398699999999999E-3</v>
      </c>
      <c r="G305" s="6">
        <v>-4.1654799999999999E-2</v>
      </c>
      <c r="H305" s="6">
        <v>19.424399999999999</v>
      </c>
      <c r="I305" s="6">
        <v>19.466100000000001</v>
      </c>
      <c r="J305" s="6">
        <v>-1.9955200000000002E-3</v>
      </c>
      <c r="K305" s="6">
        <v>-3.6460899999999997E-2</v>
      </c>
      <c r="L305" s="6">
        <v>18.2349</v>
      </c>
      <c r="M305" s="6">
        <v>18.2714</v>
      </c>
      <c r="N305" s="6">
        <v>-2.5588199999999998E-3</v>
      </c>
      <c r="O305" s="6">
        <v>-4.7699800000000001E-2</v>
      </c>
      <c r="P305" s="6">
        <v>18.593699999999998</v>
      </c>
      <c r="Q305" s="6">
        <v>18.641400000000001</v>
      </c>
      <c r="R305" s="6">
        <v>104.53700000000001</v>
      </c>
      <c r="S305" s="6">
        <v>104.538</v>
      </c>
      <c r="T305" s="6">
        <v>3.8435999999999999</v>
      </c>
      <c r="U305" s="6">
        <v>13503.2</v>
      </c>
      <c r="V305">
        <f t="shared" si="8"/>
        <v>72.754310344827587</v>
      </c>
      <c r="W305">
        <f t="shared" si="9"/>
        <v>2.2314033333333335E-3</v>
      </c>
    </row>
    <row r="306" spans="1:23" x14ac:dyDescent="0.3">
      <c r="A306" s="6">
        <v>299</v>
      </c>
      <c r="B306" s="6">
        <v>4.4863500000000001E-3</v>
      </c>
      <c r="C306" s="6">
        <v>0.174626</v>
      </c>
      <c r="D306" s="6">
        <v>39.098500000000001</v>
      </c>
      <c r="E306" s="6">
        <v>38.923900000000003</v>
      </c>
      <c r="F306" s="6">
        <v>-2.05222E-3</v>
      </c>
      <c r="G306" s="6">
        <v>-3.9948699999999997E-2</v>
      </c>
      <c r="H306" s="6">
        <v>19.426100000000002</v>
      </c>
      <c r="I306" s="6">
        <v>19.466100000000001</v>
      </c>
      <c r="J306" s="6">
        <v>-1.9244799999999999E-3</v>
      </c>
      <c r="K306" s="6">
        <v>-3.5162800000000001E-2</v>
      </c>
      <c r="L306" s="6">
        <v>18.2362</v>
      </c>
      <c r="M306" s="6">
        <v>18.2714</v>
      </c>
      <c r="N306" s="6">
        <v>-2.6316999999999998E-3</v>
      </c>
      <c r="O306" s="6">
        <v>-4.9058499999999998E-2</v>
      </c>
      <c r="P306" s="6">
        <v>18.592300000000002</v>
      </c>
      <c r="Q306" s="6">
        <v>18.641400000000001</v>
      </c>
      <c r="R306" s="6">
        <v>104.91</v>
      </c>
      <c r="S306" s="6">
        <v>104.91</v>
      </c>
      <c r="T306" s="6">
        <v>3.8593999999999999</v>
      </c>
      <c r="U306" s="6">
        <v>13558.6</v>
      </c>
      <c r="V306">
        <f t="shared" si="8"/>
        <v>73.052801724137936</v>
      </c>
      <c r="W306">
        <f t="shared" si="9"/>
        <v>2.2028E-3</v>
      </c>
    </row>
    <row r="307" spans="1:23" x14ac:dyDescent="0.3">
      <c r="A307" s="6">
        <v>300</v>
      </c>
      <c r="B307" s="6">
        <v>4.4429700000000001E-3</v>
      </c>
      <c r="C307" s="6">
        <v>0.17293800000000001</v>
      </c>
      <c r="D307" s="6">
        <v>39.096800000000002</v>
      </c>
      <c r="E307" s="6">
        <v>38.923900000000003</v>
      </c>
      <c r="F307" s="6">
        <v>-2.0277300000000002E-3</v>
      </c>
      <c r="G307" s="6">
        <v>-3.9471800000000001E-2</v>
      </c>
      <c r="H307" s="6">
        <v>19.426600000000001</v>
      </c>
      <c r="I307" s="6">
        <v>19.466100000000001</v>
      </c>
      <c r="J307" s="6">
        <v>-1.9709699999999998E-3</v>
      </c>
      <c r="K307" s="6">
        <v>-3.6012299999999997E-2</v>
      </c>
      <c r="L307" s="6">
        <v>18.235299999999999</v>
      </c>
      <c r="M307" s="6">
        <v>18.2714</v>
      </c>
      <c r="N307" s="6">
        <v>-2.6938800000000001E-3</v>
      </c>
      <c r="O307" s="6">
        <v>-5.0217600000000001E-2</v>
      </c>
      <c r="P307" s="6">
        <v>18.591100000000001</v>
      </c>
      <c r="Q307" s="6">
        <v>18.641400000000001</v>
      </c>
      <c r="R307" s="6">
        <v>105.223</v>
      </c>
      <c r="S307" s="6">
        <v>105.224</v>
      </c>
      <c r="T307" s="6">
        <v>3.8662000000000001</v>
      </c>
      <c r="U307" s="6">
        <v>13582.3</v>
      </c>
      <c r="V307">
        <f t="shared" si="8"/>
        <v>73.180495689655174</v>
      </c>
      <c r="W307">
        <f t="shared" si="9"/>
        <v>2.2308599999999999E-3</v>
      </c>
    </row>
    <row r="308" spans="1:23" x14ac:dyDescent="0.3">
      <c r="A308" s="6">
        <v>301</v>
      </c>
      <c r="B308" s="6">
        <v>4.4748499999999998E-3</v>
      </c>
      <c r="C308" s="6">
        <v>0.174179</v>
      </c>
      <c r="D308" s="6">
        <v>39.097999999999999</v>
      </c>
      <c r="E308" s="6">
        <v>38.923900000000003</v>
      </c>
      <c r="F308" s="6">
        <v>-2.0117899999999998E-3</v>
      </c>
      <c r="G308" s="6">
        <v>-3.9161599999999998E-2</v>
      </c>
      <c r="H308" s="6">
        <v>19.4269</v>
      </c>
      <c r="I308" s="6">
        <v>19.466100000000001</v>
      </c>
      <c r="J308" s="6">
        <v>-1.9551899999999999E-3</v>
      </c>
      <c r="K308" s="6">
        <v>-3.5723999999999999E-2</v>
      </c>
      <c r="L308" s="6">
        <v>18.235600000000002</v>
      </c>
      <c r="M308" s="6">
        <v>18.2714</v>
      </c>
      <c r="N308" s="6">
        <v>-2.70579E-3</v>
      </c>
      <c r="O308" s="6">
        <v>-5.0439600000000001E-2</v>
      </c>
      <c r="P308" s="6">
        <v>18.590900000000001</v>
      </c>
      <c r="Q308" s="6">
        <v>18.641400000000001</v>
      </c>
      <c r="R308" s="6">
        <v>105.723</v>
      </c>
      <c r="S308" s="6">
        <v>105.723</v>
      </c>
      <c r="T308" s="6">
        <v>3.8797000000000001</v>
      </c>
      <c r="U308" s="6">
        <v>13629.8</v>
      </c>
      <c r="V308">
        <f t="shared" si="8"/>
        <v>73.436422413793096</v>
      </c>
      <c r="W308">
        <f t="shared" si="9"/>
        <v>2.2242566666666667E-3</v>
      </c>
    </row>
    <row r="309" spans="1:23" x14ac:dyDescent="0.3">
      <c r="A309" s="6">
        <v>302</v>
      </c>
      <c r="B309" s="6">
        <v>4.4503299999999997E-3</v>
      </c>
      <c r="C309" s="6">
        <v>0.17322399999999999</v>
      </c>
      <c r="D309" s="6">
        <v>39.097099999999998</v>
      </c>
      <c r="E309" s="6">
        <v>38.923900000000003</v>
      </c>
      <c r="F309" s="6">
        <v>-2.0853999999999998E-3</v>
      </c>
      <c r="G309" s="6">
        <v>-4.0594600000000002E-2</v>
      </c>
      <c r="H309" s="6">
        <v>19.4255</v>
      </c>
      <c r="I309" s="6">
        <v>19.466100000000001</v>
      </c>
      <c r="J309" s="6">
        <v>-1.9769700000000002E-3</v>
      </c>
      <c r="K309" s="6">
        <v>-3.6121899999999998E-2</v>
      </c>
      <c r="L309" s="6">
        <v>18.235199999999999</v>
      </c>
      <c r="M309" s="6">
        <v>18.2714</v>
      </c>
      <c r="N309" s="6">
        <v>-2.6840800000000001E-3</v>
      </c>
      <c r="O309" s="6">
        <v>-5.00349E-2</v>
      </c>
      <c r="P309" s="6">
        <v>18.5913</v>
      </c>
      <c r="Q309" s="6">
        <v>18.641400000000001</v>
      </c>
      <c r="R309" s="6">
        <v>106.03400000000001</v>
      </c>
      <c r="S309" s="6">
        <v>106.03400000000001</v>
      </c>
      <c r="T309" s="6">
        <v>3.8948999999999998</v>
      </c>
      <c r="U309" s="6">
        <v>13682.9</v>
      </c>
      <c r="V309">
        <f t="shared" si="8"/>
        <v>73.722521551724142</v>
      </c>
      <c r="W309">
        <f t="shared" si="9"/>
        <v>2.2488166666666666E-3</v>
      </c>
    </row>
    <row r="310" spans="1:23" x14ac:dyDescent="0.3">
      <c r="A310" s="6">
        <v>303</v>
      </c>
      <c r="B310" s="6">
        <v>4.5133300000000003E-3</v>
      </c>
      <c r="C310" s="6">
        <v>0.175676</v>
      </c>
      <c r="D310" s="6">
        <v>39.099499999999999</v>
      </c>
      <c r="E310" s="6">
        <v>38.923900000000003</v>
      </c>
      <c r="F310" s="6">
        <v>-2.1161700000000001E-3</v>
      </c>
      <c r="G310" s="6">
        <v>-4.1193500000000001E-2</v>
      </c>
      <c r="H310" s="6">
        <v>19.424900000000001</v>
      </c>
      <c r="I310" s="6">
        <v>19.466100000000001</v>
      </c>
      <c r="J310" s="6">
        <v>-2.0285099999999999E-3</v>
      </c>
      <c r="K310" s="6">
        <v>-3.7063600000000002E-2</v>
      </c>
      <c r="L310" s="6">
        <v>18.234300000000001</v>
      </c>
      <c r="M310" s="6">
        <v>18.2714</v>
      </c>
      <c r="N310" s="6">
        <v>-2.7240799999999998E-3</v>
      </c>
      <c r="O310" s="6">
        <v>-5.0780499999999999E-2</v>
      </c>
      <c r="P310" s="6">
        <v>18.590599999999998</v>
      </c>
      <c r="Q310" s="6">
        <v>18.641400000000001</v>
      </c>
      <c r="R310" s="6">
        <v>106.345</v>
      </c>
      <c r="S310" s="6">
        <v>106.34699999999999</v>
      </c>
      <c r="T310" s="6">
        <v>3.9064999999999999</v>
      </c>
      <c r="U310" s="6">
        <v>13723.6</v>
      </c>
      <c r="V310">
        <f t="shared" si="8"/>
        <v>73.941810344827587</v>
      </c>
      <c r="W310">
        <f t="shared" si="9"/>
        <v>2.2895866666666665E-3</v>
      </c>
    </row>
    <row r="311" spans="1:23" x14ac:dyDescent="0.3">
      <c r="A311" s="6">
        <v>304</v>
      </c>
      <c r="B311" s="6">
        <v>4.59429E-3</v>
      </c>
      <c r="C311" s="6">
        <v>0.17882700000000001</v>
      </c>
      <c r="D311" s="6">
        <v>39.102699999999999</v>
      </c>
      <c r="E311" s="6">
        <v>38.923900000000003</v>
      </c>
      <c r="F311" s="6">
        <v>-1.98941E-3</v>
      </c>
      <c r="G311" s="6">
        <v>-3.8725900000000001E-2</v>
      </c>
      <c r="H311" s="6">
        <v>19.427299999999999</v>
      </c>
      <c r="I311" s="6">
        <v>19.466100000000001</v>
      </c>
      <c r="J311" s="6">
        <v>-1.9014699999999999E-3</v>
      </c>
      <c r="K311" s="6">
        <v>-3.47424E-2</v>
      </c>
      <c r="L311" s="6">
        <v>18.236599999999999</v>
      </c>
      <c r="M311" s="6">
        <v>18.2714</v>
      </c>
      <c r="N311" s="6">
        <v>-2.56157E-3</v>
      </c>
      <c r="O311" s="6">
        <v>-4.7751200000000001E-2</v>
      </c>
      <c r="P311" s="6">
        <v>18.593599999999999</v>
      </c>
      <c r="Q311" s="6">
        <v>18.641400000000001</v>
      </c>
      <c r="R311" s="6">
        <v>106.908</v>
      </c>
      <c r="S311" s="6">
        <v>106.908</v>
      </c>
      <c r="T311" s="6">
        <v>3.9241999999999999</v>
      </c>
      <c r="U311" s="6">
        <v>13785.8</v>
      </c>
      <c r="V311">
        <f t="shared" si="8"/>
        <v>74.276939655172413</v>
      </c>
      <c r="W311">
        <f t="shared" si="9"/>
        <v>2.1508166666666666E-3</v>
      </c>
    </row>
    <row r="312" spans="1:23" x14ac:dyDescent="0.3">
      <c r="A312" s="6">
        <v>305</v>
      </c>
      <c r="B312" s="6">
        <v>4.5150900000000002E-3</v>
      </c>
      <c r="C312" s="6">
        <v>0.17574500000000001</v>
      </c>
      <c r="D312" s="6">
        <v>39.099600000000002</v>
      </c>
      <c r="E312" s="6">
        <v>38.923900000000003</v>
      </c>
      <c r="F312" s="6">
        <v>-2.0307900000000002E-3</v>
      </c>
      <c r="G312" s="6">
        <v>-3.95316E-2</v>
      </c>
      <c r="H312" s="6">
        <v>19.426500000000001</v>
      </c>
      <c r="I312" s="6">
        <v>19.466100000000001</v>
      </c>
      <c r="J312" s="6">
        <v>-1.9126200000000001E-3</v>
      </c>
      <c r="K312" s="6">
        <v>-3.4946100000000001E-2</v>
      </c>
      <c r="L312" s="6">
        <v>18.2364</v>
      </c>
      <c r="M312" s="6">
        <v>18.2714</v>
      </c>
      <c r="N312" s="6">
        <v>-2.66088E-3</v>
      </c>
      <c r="O312" s="6">
        <v>-4.9602399999999998E-2</v>
      </c>
      <c r="P312" s="6">
        <v>18.591799999999999</v>
      </c>
      <c r="Q312" s="6">
        <v>18.641400000000001</v>
      </c>
      <c r="R312" s="6">
        <v>107.221</v>
      </c>
      <c r="S312" s="6">
        <v>107.221</v>
      </c>
      <c r="T312" s="6">
        <v>3.93</v>
      </c>
      <c r="U312" s="6">
        <v>13806.1</v>
      </c>
      <c r="V312">
        <f t="shared" si="8"/>
        <v>74.386314655172413</v>
      </c>
      <c r="W312">
        <f t="shared" si="9"/>
        <v>2.2014300000000003E-3</v>
      </c>
    </row>
    <row r="313" spans="1:23" x14ac:dyDescent="0.3">
      <c r="A313" s="6">
        <v>306</v>
      </c>
      <c r="B313" s="6">
        <v>4.5209500000000001E-3</v>
      </c>
      <c r="C313" s="6">
        <v>0.17597299999999999</v>
      </c>
      <c r="D313" s="6">
        <v>39.099800000000002</v>
      </c>
      <c r="E313" s="6">
        <v>38.923900000000003</v>
      </c>
      <c r="F313" s="6">
        <v>-2.00847E-3</v>
      </c>
      <c r="G313" s="6">
        <v>-3.9097100000000003E-2</v>
      </c>
      <c r="H313" s="6">
        <v>19.427</v>
      </c>
      <c r="I313" s="6">
        <v>19.466100000000001</v>
      </c>
      <c r="J313" s="6">
        <v>-1.9179500000000001E-3</v>
      </c>
      <c r="K313" s="6">
        <v>-3.5043499999999998E-2</v>
      </c>
      <c r="L313" s="6">
        <v>18.2363</v>
      </c>
      <c r="M313" s="6">
        <v>18.2714</v>
      </c>
      <c r="N313" s="6">
        <v>-2.6395099999999999E-3</v>
      </c>
      <c r="O313" s="6">
        <v>-4.9203999999999998E-2</v>
      </c>
      <c r="P313" s="6">
        <v>18.592199999999998</v>
      </c>
      <c r="Q313" s="6">
        <v>18.641400000000001</v>
      </c>
      <c r="R313" s="6">
        <v>107.72</v>
      </c>
      <c r="S313" s="6">
        <v>107.72</v>
      </c>
      <c r="T313" s="6">
        <v>3.9506000000000001</v>
      </c>
      <c r="U313" s="6">
        <v>13878.5</v>
      </c>
      <c r="V313">
        <f t="shared" si="8"/>
        <v>74.776400862068968</v>
      </c>
      <c r="W313">
        <f t="shared" si="9"/>
        <v>2.1886433333333333E-3</v>
      </c>
    </row>
    <row r="314" spans="1:23" x14ac:dyDescent="0.3">
      <c r="A314" s="6">
        <v>307</v>
      </c>
      <c r="B314" s="6">
        <v>4.5561500000000001E-3</v>
      </c>
      <c r="C314" s="6">
        <v>0.177343</v>
      </c>
      <c r="D314" s="6">
        <v>39.101199999999999</v>
      </c>
      <c r="E314" s="6">
        <v>38.923900000000003</v>
      </c>
      <c r="F314" s="6">
        <v>-2.0508100000000001E-3</v>
      </c>
      <c r="G314" s="6">
        <v>-3.9921100000000001E-2</v>
      </c>
      <c r="H314" s="6">
        <v>19.426100000000002</v>
      </c>
      <c r="I314" s="6">
        <v>19.466100000000001</v>
      </c>
      <c r="J314" s="6">
        <v>-1.99708E-3</v>
      </c>
      <c r="K314" s="6">
        <v>-3.6489300000000002E-2</v>
      </c>
      <c r="L314" s="6">
        <v>18.2349</v>
      </c>
      <c r="M314" s="6">
        <v>18.2714</v>
      </c>
      <c r="N314" s="6">
        <v>-2.7333399999999999E-3</v>
      </c>
      <c r="O314" s="6">
        <v>-5.0953199999999997E-2</v>
      </c>
      <c r="P314" s="6">
        <v>18.590399999999999</v>
      </c>
      <c r="Q314" s="6">
        <v>18.641400000000001</v>
      </c>
      <c r="R314" s="6">
        <v>108.032</v>
      </c>
      <c r="S314" s="6">
        <v>108.032</v>
      </c>
      <c r="T314" s="6">
        <v>3.9542000000000002</v>
      </c>
      <c r="U314" s="6">
        <v>13890.9</v>
      </c>
      <c r="V314">
        <f t="shared" si="8"/>
        <v>74.843211206896555</v>
      </c>
      <c r="W314">
        <f t="shared" si="9"/>
        <v>2.26041E-3</v>
      </c>
    </row>
    <row r="315" spans="1:23" x14ac:dyDescent="0.3">
      <c r="A315" s="6">
        <v>308</v>
      </c>
      <c r="B315" s="6">
        <v>4.5361999999999998E-3</v>
      </c>
      <c r="C315" s="6">
        <v>0.176566</v>
      </c>
      <c r="D315" s="6">
        <v>39.1004</v>
      </c>
      <c r="E315" s="6">
        <v>38.923900000000003</v>
      </c>
      <c r="F315" s="6">
        <v>-2.0790399999999999E-3</v>
      </c>
      <c r="G315" s="6">
        <v>-4.0470699999999998E-2</v>
      </c>
      <c r="H315" s="6">
        <v>19.425599999999999</v>
      </c>
      <c r="I315" s="6">
        <v>19.466100000000001</v>
      </c>
      <c r="J315" s="6">
        <v>-2.0160199999999999E-3</v>
      </c>
      <c r="K315" s="6">
        <v>-3.6835399999999997E-2</v>
      </c>
      <c r="L315" s="6">
        <v>18.234500000000001</v>
      </c>
      <c r="M315" s="6">
        <v>18.2714</v>
      </c>
      <c r="N315" s="6">
        <v>-2.7188899999999998E-3</v>
      </c>
      <c r="O315" s="6">
        <v>-5.0683800000000001E-2</v>
      </c>
      <c r="P315" s="6">
        <v>18.590699999999998</v>
      </c>
      <c r="Q315" s="6">
        <v>18.641400000000001</v>
      </c>
      <c r="R315" s="6">
        <v>108.404</v>
      </c>
      <c r="S315" s="6">
        <v>108.404</v>
      </c>
      <c r="T315" s="6">
        <v>3.9687000000000001</v>
      </c>
      <c r="U315" s="6">
        <v>13941.8</v>
      </c>
      <c r="V315">
        <f t="shared" si="8"/>
        <v>75.11745689655173</v>
      </c>
      <c r="W315">
        <f t="shared" si="9"/>
        <v>2.2713166666666665E-3</v>
      </c>
    </row>
    <row r="316" spans="1:23" x14ac:dyDescent="0.3">
      <c r="A316" s="6">
        <v>309</v>
      </c>
      <c r="B316" s="6">
        <v>4.61503E-3</v>
      </c>
      <c r="C316" s="6">
        <v>0.17963499999999999</v>
      </c>
      <c r="D316" s="6">
        <v>39.103499999999997</v>
      </c>
      <c r="E316" s="6">
        <v>38.923900000000003</v>
      </c>
      <c r="F316" s="6">
        <v>-2.1478600000000001E-3</v>
      </c>
      <c r="G316" s="6">
        <v>-4.1810300000000002E-2</v>
      </c>
      <c r="H316" s="6">
        <v>19.424299999999999</v>
      </c>
      <c r="I316" s="6">
        <v>19.466100000000001</v>
      </c>
      <c r="J316" s="6">
        <v>-2.0594900000000002E-3</v>
      </c>
      <c r="K316" s="6">
        <v>-3.7629599999999999E-2</v>
      </c>
      <c r="L316" s="6">
        <v>18.233699999999999</v>
      </c>
      <c r="M316" s="6">
        <v>18.2714</v>
      </c>
      <c r="N316" s="6">
        <v>-2.7125700000000001E-3</v>
      </c>
      <c r="O316" s="6">
        <v>-5.0566E-2</v>
      </c>
      <c r="P316" s="6">
        <v>18.590800000000002</v>
      </c>
      <c r="Q316" s="6">
        <v>18.641400000000001</v>
      </c>
      <c r="R316" s="6">
        <v>108.904</v>
      </c>
      <c r="S316" s="6">
        <v>108.904</v>
      </c>
      <c r="T316" s="6">
        <v>3.9861</v>
      </c>
      <c r="U316" s="6">
        <v>14002.8</v>
      </c>
      <c r="V316">
        <f t="shared" si="8"/>
        <v>75.446120689655174</v>
      </c>
      <c r="W316">
        <f t="shared" si="9"/>
        <v>2.30664E-3</v>
      </c>
    </row>
    <row r="317" spans="1:23" x14ac:dyDescent="0.3">
      <c r="A317" s="6">
        <v>310</v>
      </c>
      <c r="B317" s="6">
        <v>4.6408700000000001E-3</v>
      </c>
      <c r="C317" s="6">
        <v>0.18064</v>
      </c>
      <c r="D317" s="6">
        <v>39.104500000000002</v>
      </c>
      <c r="E317" s="6">
        <v>38.923900000000003</v>
      </c>
      <c r="F317" s="6">
        <v>-2.1732100000000001E-3</v>
      </c>
      <c r="G317" s="6">
        <v>-4.2303800000000003E-2</v>
      </c>
      <c r="H317" s="6">
        <v>19.4238</v>
      </c>
      <c r="I317" s="6">
        <v>19.466100000000001</v>
      </c>
      <c r="J317" s="6">
        <v>-1.9884099999999999E-3</v>
      </c>
      <c r="K317" s="6">
        <v>-3.6331000000000002E-2</v>
      </c>
      <c r="L317" s="6">
        <v>18.234999999999999</v>
      </c>
      <c r="M317" s="6">
        <v>18.2714</v>
      </c>
      <c r="N317" s="6">
        <v>-2.80992E-3</v>
      </c>
      <c r="O317" s="6">
        <v>-5.2380700000000002E-2</v>
      </c>
      <c r="P317" s="6">
        <v>18.588999999999999</v>
      </c>
      <c r="Q317" s="6">
        <v>18.641400000000001</v>
      </c>
      <c r="R317" s="6">
        <v>109.34</v>
      </c>
      <c r="S317" s="6">
        <v>109.34</v>
      </c>
      <c r="T317" s="6">
        <v>4.0019</v>
      </c>
      <c r="U317" s="6">
        <v>14058.2</v>
      </c>
      <c r="V317">
        <f t="shared" si="8"/>
        <v>75.744612068965523</v>
      </c>
      <c r="W317">
        <f t="shared" si="9"/>
        <v>2.3238466666666668E-3</v>
      </c>
    </row>
    <row r="318" spans="1:23" x14ac:dyDescent="0.3">
      <c r="A318" s="6">
        <v>311</v>
      </c>
      <c r="B318" s="6">
        <v>4.5688300000000003E-3</v>
      </c>
      <c r="C318" s="6">
        <v>0.17783599999999999</v>
      </c>
      <c r="D318" s="6">
        <v>39.101700000000001</v>
      </c>
      <c r="E318" s="6">
        <v>38.923900000000003</v>
      </c>
      <c r="F318" s="6">
        <v>-2.21405E-3</v>
      </c>
      <c r="G318" s="6">
        <v>-4.3098900000000002E-2</v>
      </c>
      <c r="H318" s="6">
        <v>19.422999999999998</v>
      </c>
      <c r="I318" s="6">
        <v>19.466100000000001</v>
      </c>
      <c r="J318" s="6">
        <v>-2.1199399999999998E-3</v>
      </c>
      <c r="K318" s="6">
        <v>-3.8734200000000003E-2</v>
      </c>
      <c r="L318" s="6">
        <v>18.232600000000001</v>
      </c>
      <c r="M318" s="6">
        <v>18.2714</v>
      </c>
      <c r="N318" s="6">
        <v>-2.8754800000000001E-3</v>
      </c>
      <c r="O318" s="6">
        <v>-5.3602799999999999E-2</v>
      </c>
      <c r="P318" s="6">
        <v>18.587800000000001</v>
      </c>
      <c r="Q318" s="6">
        <v>18.641400000000001</v>
      </c>
      <c r="R318" s="6">
        <v>109.78</v>
      </c>
      <c r="S318" s="6">
        <v>109.78</v>
      </c>
      <c r="T318" s="6">
        <v>4.0053999999999998</v>
      </c>
      <c r="U318" s="6">
        <v>14070.6</v>
      </c>
      <c r="V318">
        <f t="shared" si="8"/>
        <v>75.81142241379311</v>
      </c>
      <c r="W318">
        <f t="shared" si="9"/>
        <v>2.4031566666666664E-3</v>
      </c>
    </row>
    <row r="319" spans="1:23" x14ac:dyDescent="0.3">
      <c r="A319" s="6">
        <v>312</v>
      </c>
      <c r="B319" s="6">
        <v>4.6020499999999999E-3</v>
      </c>
      <c r="C319" s="6">
        <v>0.17913000000000001</v>
      </c>
      <c r="D319" s="6">
        <v>39.103000000000002</v>
      </c>
      <c r="E319" s="6">
        <v>38.923900000000003</v>
      </c>
      <c r="F319" s="6">
        <v>-2.1498300000000001E-3</v>
      </c>
      <c r="G319" s="6">
        <v>-4.1848799999999999E-2</v>
      </c>
      <c r="H319" s="6">
        <v>19.424199999999999</v>
      </c>
      <c r="I319" s="6">
        <v>19.466100000000001</v>
      </c>
      <c r="J319" s="6">
        <v>-2.0361300000000001E-3</v>
      </c>
      <c r="K319" s="6">
        <v>-3.7202899999999997E-2</v>
      </c>
      <c r="L319" s="6">
        <v>18.234100000000002</v>
      </c>
      <c r="M319" s="6">
        <v>18.2714</v>
      </c>
      <c r="N319" s="6">
        <v>-2.78071E-3</v>
      </c>
      <c r="O319" s="6">
        <v>-5.1836199999999999E-2</v>
      </c>
      <c r="P319" s="6">
        <v>18.589500000000001</v>
      </c>
      <c r="Q319" s="6">
        <v>18.641400000000001</v>
      </c>
      <c r="R319" s="6">
        <v>110.02800000000001</v>
      </c>
      <c r="S319" s="6">
        <v>110.02800000000001</v>
      </c>
      <c r="T319" s="6">
        <v>4.0225</v>
      </c>
      <c r="U319" s="6">
        <v>14130.5</v>
      </c>
      <c r="V319">
        <f t="shared" si="8"/>
        <v>76.134159482758619</v>
      </c>
      <c r="W319">
        <f t="shared" si="9"/>
        <v>2.3222233333333336E-3</v>
      </c>
    </row>
    <row r="320" spans="1:23" x14ac:dyDescent="0.3">
      <c r="A320" s="6">
        <v>313</v>
      </c>
      <c r="B320" s="6">
        <v>4.6049400000000001E-3</v>
      </c>
      <c r="C320" s="6">
        <v>0.17924200000000001</v>
      </c>
      <c r="D320" s="6">
        <v>39.103099999999998</v>
      </c>
      <c r="E320" s="6">
        <v>38.923900000000003</v>
      </c>
      <c r="F320" s="6">
        <v>-2.0754300000000001E-3</v>
      </c>
      <c r="G320" s="6">
        <v>-4.0400400000000003E-2</v>
      </c>
      <c r="H320" s="6">
        <v>19.425699999999999</v>
      </c>
      <c r="I320" s="6">
        <v>19.466100000000001</v>
      </c>
      <c r="J320" s="6">
        <v>-2.0717999999999999E-3</v>
      </c>
      <c r="K320" s="6">
        <v>-3.7854699999999998E-2</v>
      </c>
      <c r="L320" s="6">
        <v>18.233499999999999</v>
      </c>
      <c r="M320" s="6">
        <v>18.2714</v>
      </c>
      <c r="N320" s="6">
        <v>-2.8266900000000002E-3</v>
      </c>
      <c r="O320" s="6">
        <v>-5.2693400000000001E-2</v>
      </c>
      <c r="P320" s="6">
        <v>18.588699999999999</v>
      </c>
      <c r="Q320" s="6">
        <v>18.641400000000001</v>
      </c>
      <c r="R320" s="6">
        <v>110.59</v>
      </c>
      <c r="S320" s="6">
        <v>110.59</v>
      </c>
      <c r="T320" s="6">
        <v>4.0357000000000003</v>
      </c>
      <c r="U320" s="6">
        <v>14176.9</v>
      </c>
      <c r="V320">
        <f t="shared" si="8"/>
        <v>76.384159482758619</v>
      </c>
      <c r="W320">
        <f t="shared" si="9"/>
        <v>2.3246399999999998E-3</v>
      </c>
    </row>
    <row r="321" spans="1:23" x14ac:dyDescent="0.3">
      <c r="A321" s="6">
        <v>314</v>
      </c>
      <c r="B321" s="6">
        <v>4.6277599999999999E-3</v>
      </c>
      <c r="C321" s="6">
        <v>0.18013000000000001</v>
      </c>
      <c r="D321" s="6">
        <v>39.103999999999999</v>
      </c>
      <c r="E321" s="6">
        <v>38.923900000000003</v>
      </c>
      <c r="F321" s="6">
        <v>-2.1258100000000001E-3</v>
      </c>
      <c r="G321" s="6">
        <v>-4.1381099999999997E-2</v>
      </c>
      <c r="H321" s="6">
        <v>19.424700000000001</v>
      </c>
      <c r="I321" s="6">
        <v>19.466100000000001</v>
      </c>
      <c r="J321" s="6">
        <v>-2.0213399999999999E-3</v>
      </c>
      <c r="K321" s="6">
        <v>-3.69325E-2</v>
      </c>
      <c r="L321" s="6">
        <v>18.234400000000001</v>
      </c>
      <c r="M321" s="6">
        <v>18.2714</v>
      </c>
      <c r="N321" s="6">
        <v>-2.8277799999999998E-3</v>
      </c>
      <c r="O321" s="6">
        <v>-5.2713700000000002E-2</v>
      </c>
      <c r="P321" s="6">
        <v>18.5886</v>
      </c>
      <c r="Q321" s="6">
        <v>18.641400000000001</v>
      </c>
      <c r="R321" s="6">
        <v>110.9</v>
      </c>
      <c r="S321" s="6">
        <v>110.9</v>
      </c>
      <c r="T321" s="6">
        <v>4.0553999999999997</v>
      </c>
      <c r="U321" s="6">
        <v>14245.8</v>
      </c>
      <c r="V321">
        <f t="shared" si="8"/>
        <v>76.755387931034477</v>
      </c>
      <c r="W321">
        <f t="shared" si="9"/>
        <v>2.324976666666667E-3</v>
      </c>
    </row>
    <row r="322" spans="1:23" x14ac:dyDescent="0.3">
      <c r="A322" s="6">
        <v>315</v>
      </c>
      <c r="B322" s="6">
        <v>4.6799500000000004E-3</v>
      </c>
      <c r="C322" s="6">
        <v>0.18216199999999999</v>
      </c>
      <c r="D322" s="6">
        <v>39.106000000000002</v>
      </c>
      <c r="E322" s="6">
        <v>38.923900000000003</v>
      </c>
      <c r="F322" s="6">
        <v>-2.0005999999999999E-3</v>
      </c>
      <c r="G322" s="6">
        <v>-3.8943899999999997E-2</v>
      </c>
      <c r="H322" s="6">
        <v>19.427099999999999</v>
      </c>
      <c r="I322" s="6">
        <v>19.466100000000001</v>
      </c>
      <c r="J322" s="6">
        <v>-1.95451E-3</v>
      </c>
      <c r="K322" s="6">
        <v>-3.57115E-2</v>
      </c>
      <c r="L322" s="6">
        <v>18.235600000000002</v>
      </c>
      <c r="M322" s="6">
        <v>18.2714</v>
      </c>
      <c r="N322" s="6">
        <v>-2.7913600000000001E-3</v>
      </c>
      <c r="O322" s="6">
        <v>-5.2034799999999999E-2</v>
      </c>
      <c r="P322" s="6">
        <v>18.589300000000001</v>
      </c>
      <c r="Q322" s="6">
        <v>18.641400000000001</v>
      </c>
      <c r="R322" s="6">
        <v>111.34</v>
      </c>
      <c r="S322" s="6">
        <v>111.34</v>
      </c>
      <c r="T322" s="6">
        <v>4.0654000000000003</v>
      </c>
      <c r="U322" s="6">
        <v>14280.9</v>
      </c>
      <c r="V322">
        <f t="shared" si="8"/>
        <v>76.944504310344826</v>
      </c>
      <c r="W322">
        <f t="shared" si="9"/>
        <v>2.2488233333333332E-3</v>
      </c>
    </row>
    <row r="323" spans="1:23" x14ac:dyDescent="0.3">
      <c r="A323" s="6">
        <v>316</v>
      </c>
      <c r="B323" s="6">
        <v>4.5925899999999997E-3</v>
      </c>
      <c r="C323" s="6">
        <v>0.178761</v>
      </c>
      <c r="D323" s="6">
        <v>39.102600000000002</v>
      </c>
      <c r="E323" s="6">
        <v>38.923900000000003</v>
      </c>
      <c r="F323" s="6">
        <v>-2.2309999999999999E-3</v>
      </c>
      <c r="G323" s="6">
        <v>-4.3428700000000001E-2</v>
      </c>
      <c r="H323" s="6">
        <v>19.422599999999999</v>
      </c>
      <c r="I323" s="6">
        <v>19.466100000000001</v>
      </c>
      <c r="J323" s="6">
        <v>-2.1249799999999998E-3</v>
      </c>
      <c r="K323" s="6">
        <v>-3.8826199999999998E-2</v>
      </c>
      <c r="L323" s="6">
        <v>18.232500000000002</v>
      </c>
      <c r="M323" s="6">
        <v>18.2714</v>
      </c>
      <c r="N323" s="6">
        <v>-2.7718999999999999E-3</v>
      </c>
      <c r="O323" s="6">
        <v>-5.16719E-2</v>
      </c>
      <c r="P323" s="6">
        <v>18.589700000000001</v>
      </c>
      <c r="Q323" s="6">
        <v>18.641400000000001</v>
      </c>
      <c r="R323" s="6">
        <v>111.464</v>
      </c>
      <c r="S323" s="6">
        <v>111.464</v>
      </c>
      <c r="T323" s="6">
        <v>4.0692000000000004</v>
      </c>
      <c r="U323" s="6">
        <v>14294.4</v>
      </c>
      <c r="V323">
        <f t="shared" si="8"/>
        <v>77.017241379310349</v>
      </c>
      <c r="W323">
        <f t="shared" si="9"/>
        <v>2.3759599999999999E-3</v>
      </c>
    </row>
    <row r="324" spans="1:23" x14ac:dyDescent="0.3">
      <c r="A324" s="6">
        <v>317</v>
      </c>
      <c r="B324" s="6">
        <v>4.6827300000000004E-3</v>
      </c>
      <c r="C324" s="6">
        <v>0.18226999999999999</v>
      </c>
      <c r="D324" s="6">
        <v>39.106099999999998</v>
      </c>
      <c r="E324" s="6">
        <v>38.923900000000003</v>
      </c>
      <c r="F324" s="6">
        <v>-2.1476500000000001E-3</v>
      </c>
      <c r="G324" s="6">
        <v>-4.1806299999999998E-2</v>
      </c>
      <c r="H324" s="6">
        <v>19.424299999999999</v>
      </c>
      <c r="I324" s="6">
        <v>19.466100000000001</v>
      </c>
      <c r="J324" s="6">
        <v>-2.0458500000000001E-3</v>
      </c>
      <c r="K324" s="6">
        <v>-3.7380400000000001E-2</v>
      </c>
      <c r="L324" s="6">
        <v>18.234000000000002</v>
      </c>
      <c r="M324" s="6">
        <v>18.2714</v>
      </c>
      <c r="N324" s="6">
        <v>-2.8127199999999999E-3</v>
      </c>
      <c r="O324" s="6">
        <v>-5.2432899999999998E-2</v>
      </c>
      <c r="P324" s="6">
        <v>18.588899999999999</v>
      </c>
      <c r="Q324" s="6">
        <v>18.641400000000001</v>
      </c>
      <c r="R324" s="6">
        <v>111.65</v>
      </c>
      <c r="S324" s="6">
        <v>111.65</v>
      </c>
      <c r="T324" s="6">
        <v>4.0717999999999996</v>
      </c>
      <c r="U324" s="6">
        <v>14303.5</v>
      </c>
      <c r="V324">
        <f t="shared" si="8"/>
        <v>77.066271551724142</v>
      </c>
      <c r="W324">
        <f t="shared" si="9"/>
        <v>2.3354066666666667E-3</v>
      </c>
    </row>
    <row r="325" spans="1:23" x14ac:dyDescent="0.3">
      <c r="A325" s="6">
        <v>318</v>
      </c>
      <c r="B325" s="6">
        <v>4.7633299999999996E-3</v>
      </c>
      <c r="C325" s="6">
        <v>0.18540699999999999</v>
      </c>
      <c r="D325" s="6">
        <v>39.109299999999998</v>
      </c>
      <c r="E325" s="6">
        <v>38.923900000000003</v>
      </c>
      <c r="F325" s="6">
        <v>-2.2140900000000002E-3</v>
      </c>
      <c r="G325" s="6">
        <v>-4.3099499999999999E-2</v>
      </c>
      <c r="H325" s="6">
        <v>19.422999999999998</v>
      </c>
      <c r="I325" s="6">
        <v>19.466100000000001</v>
      </c>
      <c r="J325" s="6">
        <v>-1.9832500000000002E-3</v>
      </c>
      <c r="K325" s="6">
        <v>-3.6236699999999997E-2</v>
      </c>
      <c r="L325" s="6">
        <v>18.235099999999999</v>
      </c>
      <c r="M325" s="6">
        <v>18.2714</v>
      </c>
      <c r="N325" s="6">
        <v>-2.7302200000000002E-3</v>
      </c>
      <c r="O325" s="6">
        <v>-5.0895099999999999E-2</v>
      </c>
      <c r="P325" s="6">
        <v>18.590499999999999</v>
      </c>
      <c r="Q325" s="6">
        <v>18.641400000000001</v>
      </c>
      <c r="R325" s="6">
        <v>112.086</v>
      </c>
      <c r="S325" s="6">
        <v>112.086</v>
      </c>
      <c r="T325" s="6">
        <v>4.0862999999999996</v>
      </c>
      <c r="U325" s="6">
        <v>14354.3</v>
      </c>
      <c r="V325">
        <f t="shared" si="8"/>
        <v>77.339978448275858</v>
      </c>
      <c r="W325">
        <f t="shared" si="9"/>
        <v>2.3091866666666671E-3</v>
      </c>
    </row>
    <row r="326" spans="1:23" x14ac:dyDescent="0.3">
      <c r="A326" s="6">
        <v>319</v>
      </c>
      <c r="B326" s="6">
        <v>4.7376500000000004E-3</v>
      </c>
      <c r="C326" s="6">
        <v>0.18440799999999999</v>
      </c>
      <c r="D326" s="6">
        <v>39.1083</v>
      </c>
      <c r="E326" s="6">
        <v>38.923900000000003</v>
      </c>
      <c r="F326" s="6">
        <v>-2.17198E-3</v>
      </c>
      <c r="G326" s="6">
        <v>-4.2279900000000002E-2</v>
      </c>
      <c r="H326" s="6">
        <v>19.4238</v>
      </c>
      <c r="I326" s="6">
        <v>19.466100000000001</v>
      </c>
      <c r="J326" s="6">
        <v>-2.0642400000000002E-3</v>
      </c>
      <c r="K326" s="6">
        <v>-3.77165E-2</v>
      </c>
      <c r="L326" s="6">
        <v>18.233599999999999</v>
      </c>
      <c r="M326" s="6">
        <v>18.2714</v>
      </c>
      <c r="N326" s="6">
        <v>-2.8180100000000001E-3</v>
      </c>
      <c r="O326" s="6">
        <v>-5.2531500000000002E-2</v>
      </c>
      <c r="P326" s="6">
        <v>18.588799999999999</v>
      </c>
      <c r="Q326" s="6">
        <v>18.641400000000001</v>
      </c>
      <c r="R326" s="6">
        <v>112.648</v>
      </c>
      <c r="S326" s="6">
        <v>112.648</v>
      </c>
      <c r="T326" s="6">
        <v>4.1007999999999996</v>
      </c>
      <c r="U326" s="6">
        <v>14405.2</v>
      </c>
      <c r="V326">
        <f t="shared" si="8"/>
        <v>77.614224137931046</v>
      </c>
      <c r="W326">
        <f t="shared" si="9"/>
        <v>2.3514100000000004E-3</v>
      </c>
    </row>
    <row r="327" spans="1:23" x14ac:dyDescent="0.3">
      <c r="A327" s="6">
        <v>320</v>
      </c>
      <c r="B327" s="6">
        <v>4.7122400000000004E-3</v>
      </c>
      <c r="C327" s="6">
        <v>0.183419</v>
      </c>
      <c r="D327" s="6">
        <v>39.107300000000002</v>
      </c>
      <c r="E327" s="6">
        <v>38.923900000000003</v>
      </c>
      <c r="F327" s="6">
        <v>-2.13533E-3</v>
      </c>
      <c r="G327" s="6">
        <v>-4.1566499999999999E-2</v>
      </c>
      <c r="H327" s="6">
        <v>19.424499999999998</v>
      </c>
      <c r="I327" s="6">
        <v>19.466100000000001</v>
      </c>
      <c r="J327" s="6">
        <v>-2.04682E-3</v>
      </c>
      <c r="K327" s="6">
        <v>-3.7398099999999997E-2</v>
      </c>
      <c r="L327" s="6">
        <v>18.234000000000002</v>
      </c>
      <c r="M327" s="6">
        <v>18.2714</v>
      </c>
      <c r="N327" s="6">
        <v>-2.8507599999999999E-3</v>
      </c>
      <c r="O327" s="6">
        <v>-5.3142099999999998E-2</v>
      </c>
      <c r="P327" s="6">
        <v>18.588200000000001</v>
      </c>
      <c r="Q327" s="6">
        <v>18.641400000000001</v>
      </c>
      <c r="R327" s="6">
        <v>112.83499999999999</v>
      </c>
      <c r="S327" s="6">
        <v>112.83499999999999</v>
      </c>
      <c r="T327" s="6">
        <v>4.1192000000000002</v>
      </c>
      <c r="U327" s="6">
        <v>14469.6</v>
      </c>
      <c r="V327">
        <f t="shared" si="8"/>
        <v>77.96120689655173</v>
      </c>
      <c r="W327">
        <f t="shared" si="9"/>
        <v>2.3443033333333334E-3</v>
      </c>
    </row>
    <row r="328" spans="1:23" x14ac:dyDescent="0.3">
      <c r="A328" s="6">
        <v>321</v>
      </c>
      <c r="B328" s="6">
        <v>4.6626100000000002E-3</v>
      </c>
      <c r="C328" s="6">
        <v>0.18148700000000001</v>
      </c>
      <c r="D328" s="6">
        <v>39.1053</v>
      </c>
      <c r="E328" s="6">
        <v>38.923900000000003</v>
      </c>
      <c r="F328" s="6">
        <v>-2.1725300000000002E-3</v>
      </c>
      <c r="G328" s="6">
        <v>-4.2290700000000001E-2</v>
      </c>
      <c r="H328" s="6">
        <v>19.4238</v>
      </c>
      <c r="I328" s="6">
        <v>19.466100000000001</v>
      </c>
      <c r="J328" s="6">
        <v>-2.0845099999999999E-3</v>
      </c>
      <c r="K328" s="6">
        <v>-3.8086700000000001E-2</v>
      </c>
      <c r="L328" s="6">
        <v>18.2333</v>
      </c>
      <c r="M328" s="6">
        <v>18.2714</v>
      </c>
      <c r="N328" s="6">
        <v>-2.8797599999999999E-3</v>
      </c>
      <c r="O328" s="6">
        <v>-5.3682599999999997E-2</v>
      </c>
      <c r="P328" s="6">
        <v>18.587700000000002</v>
      </c>
      <c r="Q328" s="6">
        <v>18.641400000000001</v>
      </c>
      <c r="R328" s="6">
        <v>113.08499999999999</v>
      </c>
      <c r="S328" s="6">
        <v>113.08499999999999</v>
      </c>
      <c r="T328" s="6">
        <v>4.1214000000000004</v>
      </c>
      <c r="U328" s="6">
        <v>14477.5</v>
      </c>
      <c r="V328">
        <f t="shared" ref="V328:V391" si="10">U328/A$2/B$2</f>
        <v>78.003771551724142</v>
      </c>
      <c r="W328">
        <f t="shared" ref="W328:W391" si="11">-AVERAGE(F328,J328,N328)</f>
        <v>2.3789333333333333E-3</v>
      </c>
    </row>
    <row r="329" spans="1:23" x14ac:dyDescent="0.3">
      <c r="A329" s="6">
        <v>322</v>
      </c>
      <c r="B329" s="6">
        <v>4.70382E-3</v>
      </c>
      <c r="C329" s="6">
        <v>0.183091</v>
      </c>
      <c r="D329" s="6">
        <v>39.106900000000003</v>
      </c>
      <c r="E329" s="6">
        <v>38.923900000000003</v>
      </c>
      <c r="F329" s="6">
        <v>-2.14525E-3</v>
      </c>
      <c r="G329" s="6">
        <v>-4.1759600000000001E-2</v>
      </c>
      <c r="H329" s="6">
        <v>19.424299999999999</v>
      </c>
      <c r="I329" s="6">
        <v>19.466100000000001</v>
      </c>
      <c r="J329" s="6">
        <v>-2.0736000000000001E-3</v>
      </c>
      <c r="K329" s="6">
        <v>-3.7887400000000002E-2</v>
      </c>
      <c r="L329" s="6">
        <v>18.233499999999999</v>
      </c>
      <c r="M329" s="6">
        <v>18.2714</v>
      </c>
      <c r="N329" s="6">
        <v>-2.8756699999999999E-3</v>
      </c>
      <c r="O329" s="6">
        <v>-5.3606399999999998E-2</v>
      </c>
      <c r="P329" s="6">
        <v>18.587800000000001</v>
      </c>
      <c r="Q329" s="6">
        <v>18.641400000000001</v>
      </c>
      <c r="R329" s="6">
        <v>113.709</v>
      </c>
      <c r="S329" s="6">
        <v>113.709</v>
      </c>
      <c r="T329" s="6">
        <v>4.1436999999999999</v>
      </c>
      <c r="U329" s="6">
        <v>14555.5</v>
      </c>
      <c r="V329">
        <f t="shared" si="10"/>
        <v>78.424030172413794</v>
      </c>
      <c r="W329">
        <f t="shared" si="11"/>
        <v>2.36484E-3</v>
      </c>
    </row>
    <row r="330" spans="1:23" x14ac:dyDescent="0.3">
      <c r="A330" s="6">
        <v>323</v>
      </c>
      <c r="B330" s="6">
        <v>4.7474099999999997E-3</v>
      </c>
      <c r="C330" s="6">
        <v>0.18478700000000001</v>
      </c>
      <c r="D330" s="6">
        <v>39.108600000000003</v>
      </c>
      <c r="E330" s="6">
        <v>38.923900000000003</v>
      </c>
      <c r="F330" s="6">
        <v>-2.06931E-3</v>
      </c>
      <c r="G330" s="6">
        <v>-4.0281400000000002E-2</v>
      </c>
      <c r="H330" s="6">
        <v>19.425799999999999</v>
      </c>
      <c r="I330" s="6">
        <v>19.466100000000001</v>
      </c>
      <c r="J330" s="6">
        <v>-2.0266400000000001E-3</v>
      </c>
      <c r="K330" s="6">
        <v>-3.7029399999999997E-2</v>
      </c>
      <c r="L330" s="6">
        <v>18.234300000000001</v>
      </c>
      <c r="M330" s="6">
        <v>18.2714</v>
      </c>
      <c r="N330" s="6">
        <v>-2.7730300000000001E-3</v>
      </c>
      <c r="O330" s="6">
        <v>-5.1693099999999999E-2</v>
      </c>
      <c r="P330" s="6">
        <v>18.589700000000001</v>
      </c>
      <c r="Q330" s="6">
        <v>18.641400000000001</v>
      </c>
      <c r="R330" s="6">
        <v>113.834</v>
      </c>
      <c r="S330" s="6">
        <v>113.834</v>
      </c>
      <c r="T330" s="6">
        <v>4.1510999999999996</v>
      </c>
      <c r="U330" s="6">
        <v>14581.5</v>
      </c>
      <c r="V330">
        <f t="shared" si="10"/>
        <v>78.564116379310349</v>
      </c>
      <c r="W330">
        <f t="shared" si="11"/>
        <v>2.2896600000000002E-3</v>
      </c>
    </row>
    <row r="331" spans="1:23" x14ac:dyDescent="0.3">
      <c r="A331" s="6">
        <v>324</v>
      </c>
      <c r="B331" s="6">
        <v>4.7733599999999999E-3</v>
      </c>
      <c r="C331" s="6">
        <v>0.18579799999999999</v>
      </c>
      <c r="D331" s="6">
        <v>39.109699999999997</v>
      </c>
      <c r="E331" s="6">
        <v>38.923900000000003</v>
      </c>
      <c r="F331" s="6">
        <v>-2.1227199999999998E-3</v>
      </c>
      <c r="G331" s="6">
        <v>-4.1321099999999999E-2</v>
      </c>
      <c r="H331" s="6">
        <v>19.424700000000001</v>
      </c>
      <c r="I331" s="6">
        <v>19.466100000000001</v>
      </c>
      <c r="J331" s="6">
        <v>-2.1073200000000002E-3</v>
      </c>
      <c r="K331" s="6">
        <v>-3.8503500000000003E-2</v>
      </c>
      <c r="L331" s="6">
        <v>18.232800000000001</v>
      </c>
      <c r="M331" s="6">
        <v>18.2714</v>
      </c>
      <c r="N331" s="6">
        <v>-2.8545100000000002E-3</v>
      </c>
      <c r="O331" s="6">
        <v>-5.3211899999999999E-2</v>
      </c>
      <c r="P331" s="6">
        <v>18.588200000000001</v>
      </c>
      <c r="Q331" s="6">
        <v>18.641400000000001</v>
      </c>
      <c r="R331" s="6">
        <v>114.021</v>
      </c>
      <c r="S331" s="6">
        <v>114.021</v>
      </c>
      <c r="T331" s="6">
        <v>4.1497999999999999</v>
      </c>
      <c r="U331" s="6">
        <v>14577</v>
      </c>
      <c r="V331">
        <f t="shared" si="10"/>
        <v>78.539870689655174</v>
      </c>
      <c r="W331">
        <f t="shared" si="11"/>
        <v>2.3615166666666669E-3</v>
      </c>
    </row>
    <row r="332" spans="1:23" x14ac:dyDescent="0.3">
      <c r="A332" s="6">
        <v>325</v>
      </c>
      <c r="B332" s="6">
        <v>4.7417900000000001E-3</v>
      </c>
      <c r="C332" s="6">
        <v>0.18456900000000001</v>
      </c>
      <c r="D332" s="6">
        <v>39.108400000000003</v>
      </c>
      <c r="E332" s="6">
        <v>38.923900000000003</v>
      </c>
      <c r="F332" s="6">
        <v>-2.14329E-3</v>
      </c>
      <c r="G332" s="6">
        <v>-4.1721500000000002E-2</v>
      </c>
      <c r="H332" s="6">
        <v>19.424299999999999</v>
      </c>
      <c r="I332" s="6">
        <v>19.466100000000001</v>
      </c>
      <c r="J332" s="6">
        <v>-2.1408600000000001E-3</v>
      </c>
      <c r="K332" s="6">
        <v>-3.9116499999999998E-2</v>
      </c>
      <c r="L332" s="6">
        <v>18.232199999999999</v>
      </c>
      <c r="M332" s="6">
        <v>18.2714</v>
      </c>
      <c r="N332" s="6">
        <v>-2.8875699999999999E-3</v>
      </c>
      <c r="O332" s="6">
        <v>-5.3828300000000003E-2</v>
      </c>
      <c r="P332" s="6">
        <v>18.587499999999999</v>
      </c>
      <c r="Q332" s="6">
        <v>18.641400000000001</v>
      </c>
      <c r="R332" s="6">
        <v>114.334</v>
      </c>
      <c r="S332" s="6">
        <v>114.334</v>
      </c>
      <c r="T332" s="6">
        <v>4.1703999999999999</v>
      </c>
      <c r="U332" s="6">
        <v>14649.3</v>
      </c>
      <c r="V332">
        <f t="shared" si="10"/>
        <v>78.92941810344827</v>
      </c>
      <c r="W332">
        <f t="shared" si="11"/>
        <v>2.3905733333333336E-3</v>
      </c>
    </row>
    <row r="333" spans="1:23" x14ac:dyDescent="0.3">
      <c r="A333" s="6">
        <v>326</v>
      </c>
      <c r="B333" s="6">
        <v>4.8383499999999999E-3</v>
      </c>
      <c r="C333" s="6">
        <v>0.18832699999999999</v>
      </c>
      <c r="D333" s="6">
        <v>39.112200000000001</v>
      </c>
      <c r="E333" s="6">
        <v>38.923900000000003</v>
      </c>
      <c r="F333" s="6">
        <v>-2.3247400000000001E-3</v>
      </c>
      <c r="G333" s="6">
        <v>-4.5253399999999999E-2</v>
      </c>
      <c r="H333" s="6">
        <v>19.4208</v>
      </c>
      <c r="I333" s="6">
        <v>19.466100000000001</v>
      </c>
      <c r="J333" s="6">
        <v>-2.2170100000000002E-3</v>
      </c>
      <c r="K333" s="6">
        <v>-4.0507799999999997E-2</v>
      </c>
      <c r="L333" s="6">
        <v>18.230799999999999</v>
      </c>
      <c r="M333" s="6">
        <v>18.2714</v>
      </c>
      <c r="N333" s="6">
        <v>-2.9540600000000001E-3</v>
      </c>
      <c r="O333" s="6">
        <v>-5.5067699999999997E-2</v>
      </c>
      <c r="P333" s="6">
        <v>18.586300000000001</v>
      </c>
      <c r="Q333" s="6">
        <v>18.641400000000001</v>
      </c>
      <c r="R333" s="6">
        <v>114.896</v>
      </c>
      <c r="S333" s="6">
        <v>114.896</v>
      </c>
      <c r="T333" s="6">
        <v>4.1778000000000004</v>
      </c>
      <c r="U333" s="6">
        <v>14675.3</v>
      </c>
      <c r="V333">
        <f t="shared" si="10"/>
        <v>79.069504310344826</v>
      </c>
      <c r="W333">
        <f t="shared" si="11"/>
        <v>2.4986033333333334E-3</v>
      </c>
    </row>
    <row r="334" spans="1:23" x14ac:dyDescent="0.3">
      <c r="A334" s="6">
        <v>327</v>
      </c>
      <c r="B334" s="6">
        <v>4.8205699999999997E-3</v>
      </c>
      <c r="C334" s="6">
        <v>0.187635</v>
      </c>
      <c r="D334" s="6">
        <v>39.111499999999999</v>
      </c>
      <c r="E334" s="6">
        <v>38.923900000000003</v>
      </c>
      <c r="F334" s="6">
        <v>-2.2431600000000001E-3</v>
      </c>
      <c r="G334" s="6">
        <v>-4.3665599999999999E-2</v>
      </c>
      <c r="H334" s="6">
        <v>19.4224</v>
      </c>
      <c r="I334" s="6">
        <v>19.466100000000001</v>
      </c>
      <c r="J334" s="6">
        <v>-2.1068200000000001E-3</v>
      </c>
      <c r="K334" s="6">
        <v>-3.8494399999999998E-2</v>
      </c>
      <c r="L334" s="6">
        <v>18.232900000000001</v>
      </c>
      <c r="M334" s="6">
        <v>18.2714</v>
      </c>
      <c r="N334" s="6">
        <v>-2.9199E-3</v>
      </c>
      <c r="O334" s="6">
        <v>-5.4431E-2</v>
      </c>
      <c r="P334" s="6">
        <v>18.5869</v>
      </c>
      <c r="Q334" s="6">
        <v>18.641400000000001</v>
      </c>
      <c r="R334" s="6">
        <v>115.01900000000001</v>
      </c>
      <c r="S334" s="6">
        <v>115.01900000000001</v>
      </c>
      <c r="T334" s="6">
        <v>4.1740000000000004</v>
      </c>
      <c r="U334" s="6">
        <v>14661.8</v>
      </c>
      <c r="V334">
        <f t="shared" si="10"/>
        <v>78.996767241379303</v>
      </c>
      <c r="W334">
        <f t="shared" si="11"/>
        <v>2.4232933333333331E-3</v>
      </c>
    </row>
    <row r="335" spans="1:23" x14ac:dyDescent="0.3">
      <c r="A335" s="6">
        <v>328</v>
      </c>
      <c r="B335" s="6">
        <v>4.8344399999999997E-3</v>
      </c>
      <c r="C335" s="6">
        <v>0.18817500000000001</v>
      </c>
      <c r="D335" s="6">
        <v>39.112000000000002</v>
      </c>
      <c r="E335" s="6">
        <v>38.923900000000003</v>
      </c>
      <c r="F335" s="6">
        <v>-2.30745E-3</v>
      </c>
      <c r="G335" s="6">
        <v>-4.4916900000000003E-2</v>
      </c>
      <c r="H335" s="6">
        <v>19.421099999999999</v>
      </c>
      <c r="I335" s="6">
        <v>19.466100000000001</v>
      </c>
      <c r="J335" s="6">
        <v>-2.2641699999999998E-3</v>
      </c>
      <c r="K335" s="6">
        <v>-4.1369499999999997E-2</v>
      </c>
      <c r="L335" s="6">
        <v>18.23</v>
      </c>
      <c r="M335" s="6">
        <v>18.2714</v>
      </c>
      <c r="N335" s="6">
        <v>-3.00234E-3</v>
      </c>
      <c r="O335" s="6">
        <v>-5.5967700000000002E-2</v>
      </c>
      <c r="P335" s="6">
        <v>18.5854</v>
      </c>
      <c r="Q335" s="6">
        <v>18.641400000000001</v>
      </c>
      <c r="R335" s="6">
        <v>115.642</v>
      </c>
      <c r="S335" s="6">
        <v>115.642</v>
      </c>
      <c r="T335" s="6">
        <v>4.1959</v>
      </c>
      <c r="U335" s="6">
        <v>14738.6</v>
      </c>
      <c r="V335">
        <f t="shared" si="10"/>
        <v>79.410560344827587</v>
      </c>
      <c r="W335">
        <f t="shared" si="11"/>
        <v>2.5246533333333336E-3</v>
      </c>
    </row>
    <row r="336" spans="1:23" x14ac:dyDescent="0.3">
      <c r="A336" s="6">
        <v>329</v>
      </c>
      <c r="B336" s="6">
        <v>4.8885400000000002E-3</v>
      </c>
      <c r="C336" s="6">
        <v>0.19028100000000001</v>
      </c>
      <c r="D336" s="6">
        <v>39.114100000000001</v>
      </c>
      <c r="E336" s="6">
        <v>38.923900000000003</v>
      </c>
      <c r="F336" s="6">
        <v>-2.2499400000000002E-3</v>
      </c>
      <c r="G336" s="6">
        <v>-4.3797599999999999E-2</v>
      </c>
      <c r="H336" s="6">
        <v>19.4223</v>
      </c>
      <c r="I336" s="6">
        <v>19.466100000000001</v>
      </c>
      <c r="J336" s="6">
        <v>-2.11217E-3</v>
      </c>
      <c r="K336" s="6">
        <v>-3.85922E-2</v>
      </c>
      <c r="L336" s="6">
        <v>18.232800000000001</v>
      </c>
      <c r="M336" s="6">
        <v>18.2714</v>
      </c>
      <c r="N336" s="6">
        <v>-2.87762E-3</v>
      </c>
      <c r="O336" s="6">
        <v>-5.3642700000000001E-2</v>
      </c>
      <c r="P336" s="6">
        <v>18.587700000000002</v>
      </c>
      <c r="Q336" s="6">
        <v>18.641400000000001</v>
      </c>
      <c r="R336" s="6">
        <v>115.95399999999999</v>
      </c>
      <c r="S336" s="6">
        <v>115.95399999999999</v>
      </c>
      <c r="T336" s="6">
        <v>4.2187999999999999</v>
      </c>
      <c r="U336" s="6">
        <v>14818.9</v>
      </c>
      <c r="V336">
        <f t="shared" si="10"/>
        <v>79.843211206896555</v>
      </c>
      <c r="W336">
        <f t="shared" si="11"/>
        <v>2.4132433333333334E-3</v>
      </c>
    </row>
    <row r="337" spans="1:23" x14ac:dyDescent="0.3">
      <c r="A337" s="6">
        <v>330</v>
      </c>
      <c r="B337" s="6">
        <v>4.8742200000000003E-3</v>
      </c>
      <c r="C337" s="6">
        <v>0.189724</v>
      </c>
      <c r="D337" s="6">
        <v>39.113599999999998</v>
      </c>
      <c r="E337" s="6">
        <v>38.923900000000003</v>
      </c>
      <c r="F337" s="6">
        <v>-2.3161000000000002E-3</v>
      </c>
      <c r="G337" s="6">
        <v>-4.5085300000000002E-2</v>
      </c>
      <c r="H337" s="6">
        <v>19.420999999999999</v>
      </c>
      <c r="I337" s="6">
        <v>19.466100000000001</v>
      </c>
      <c r="J337" s="6">
        <v>-2.1967599999999999E-3</v>
      </c>
      <c r="K337" s="6">
        <v>-4.0137699999999998E-2</v>
      </c>
      <c r="L337" s="6">
        <v>18.231200000000001</v>
      </c>
      <c r="M337" s="6">
        <v>18.2714</v>
      </c>
      <c r="N337" s="6">
        <v>-2.89814E-3</v>
      </c>
      <c r="O337" s="6">
        <v>-5.4025299999999998E-2</v>
      </c>
      <c r="P337" s="6">
        <v>18.587299999999999</v>
      </c>
      <c r="Q337" s="6">
        <v>18.641400000000001</v>
      </c>
      <c r="R337" s="6">
        <v>116.51600000000001</v>
      </c>
      <c r="S337" s="6">
        <v>116.51600000000001</v>
      </c>
      <c r="T337" s="6">
        <v>4.2332999999999998</v>
      </c>
      <c r="U337" s="6">
        <v>14869.7</v>
      </c>
      <c r="V337">
        <f t="shared" si="10"/>
        <v>80.116918103448285</v>
      </c>
      <c r="W337">
        <f t="shared" si="11"/>
        <v>2.4703333333333335E-3</v>
      </c>
    </row>
    <row r="338" spans="1:23" x14ac:dyDescent="0.3">
      <c r="A338" s="6">
        <v>331</v>
      </c>
      <c r="B338" s="6">
        <v>4.8916100000000002E-3</v>
      </c>
      <c r="C338" s="6">
        <v>0.19040000000000001</v>
      </c>
      <c r="D338" s="6">
        <v>39.1143</v>
      </c>
      <c r="E338" s="6">
        <v>38.923900000000003</v>
      </c>
      <c r="F338" s="6">
        <v>-2.1599100000000001E-3</v>
      </c>
      <c r="G338" s="6">
        <v>-4.2044999999999999E-2</v>
      </c>
      <c r="H338" s="6">
        <v>19.423999999999999</v>
      </c>
      <c r="I338" s="6">
        <v>19.466100000000001</v>
      </c>
      <c r="J338" s="6">
        <v>-2.1048400000000002E-3</v>
      </c>
      <c r="K338" s="6">
        <v>-3.8458300000000001E-2</v>
      </c>
      <c r="L338" s="6">
        <v>18.232900000000001</v>
      </c>
      <c r="M338" s="6">
        <v>18.2714</v>
      </c>
      <c r="N338" s="6">
        <v>-2.88434E-3</v>
      </c>
      <c r="O338" s="6">
        <v>-5.3768000000000003E-2</v>
      </c>
      <c r="P338" s="6">
        <v>18.587599999999998</v>
      </c>
      <c r="Q338" s="6">
        <v>18.641400000000001</v>
      </c>
      <c r="R338" s="6">
        <v>116.76600000000001</v>
      </c>
      <c r="S338" s="6">
        <v>116.76600000000001</v>
      </c>
      <c r="T338" s="6">
        <v>4.242</v>
      </c>
      <c r="U338" s="6">
        <v>14900.2</v>
      </c>
      <c r="V338">
        <f t="shared" si="10"/>
        <v>80.28125</v>
      </c>
      <c r="W338">
        <f t="shared" si="11"/>
        <v>2.38303E-3</v>
      </c>
    </row>
    <row r="339" spans="1:23" x14ac:dyDescent="0.3">
      <c r="A339" s="6">
        <v>332</v>
      </c>
      <c r="B339" s="6">
        <v>4.9197800000000003E-3</v>
      </c>
      <c r="C339" s="6">
        <v>0.191497</v>
      </c>
      <c r="D339" s="6">
        <v>39.115400000000001</v>
      </c>
      <c r="E339" s="6">
        <v>38.923900000000003</v>
      </c>
      <c r="F339" s="6">
        <v>-2.2039999999999998E-3</v>
      </c>
      <c r="G339" s="6">
        <v>-4.2903299999999998E-2</v>
      </c>
      <c r="H339" s="6">
        <v>19.423200000000001</v>
      </c>
      <c r="I339" s="6">
        <v>19.466100000000001</v>
      </c>
      <c r="J339" s="6">
        <v>-2.1177399999999999E-3</v>
      </c>
      <c r="K339" s="6">
        <v>-3.8693900000000003E-2</v>
      </c>
      <c r="L339" s="6">
        <v>18.232700000000001</v>
      </c>
      <c r="M339" s="6">
        <v>18.2714</v>
      </c>
      <c r="N339" s="6">
        <v>-2.8595299999999999E-3</v>
      </c>
      <c r="O339" s="6">
        <v>-5.3305600000000002E-2</v>
      </c>
      <c r="P339" s="6">
        <v>18.588100000000001</v>
      </c>
      <c r="Q339" s="6">
        <v>18.641400000000001</v>
      </c>
      <c r="R339" s="6">
        <v>117.015</v>
      </c>
      <c r="S339" s="6">
        <v>117.015</v>
      </c>
      <c r="T339" s="6">
        <v>4.2504</v>
      </c>
      <c r="U339" s="6">
        <v>14929.6</v>
      </c>
      <c r="V339">
        <f t="shared" si="10"/>
        <v>80.439655172413794</v>
      </c>
      <c r="W339">
        <f t="shared" si="11"/>
        <v>2.3937566666666662E-3</v>
      </c>
    </row>
    <row r="340" spans="1:23" x14ac:dyDescent="0.3">
      <c r="A340" s="6">
        <v>333</v>
      </c>
      <c r="B340" s="6">
        <v>4.9147799999999997E-3</v>
      </c>
      <c r="C340" s="6">
        <v>0.191302</v>
      </c>
      <c r="D340" s="6">
        <v>39.115200000000002</v>
      </c>
      <c r="E340" s="6">
        <v>38.923900000000003</v>
      </c>
      <c r="F340" s="6">
        <v>-2.1888300000000001E-3</v>
      </c>
      <c r="G340" s="6">
        <v>-4.2607899999999997E-2</v>
      </c>
      <c r="H340" s="6">
        <v>19.423500000000001</v>
      </c>
      <c r="I340" s="6">
        <v>19.466100000000001</v>
      </c>
      <c r="J340" s="6">
        <v>-2.2008499999999999E-3</v>
      </c>
      <c r="K340" s="6">
        <v>-4.0212499999999998E-2</v>
      </c>
      <c r="L340" s="6">
        <v>18.231100000000001</v>
      </c>
      <c r="M340" s="6">
        <v>18.2714</v>
      </c>
      <c r="N340" s="6">
        <v>-3.0103899999999999E-3</v>
      </c>
      <c r="O340" s="6">
        <v>-5.6117800000000002E-2</v>
      </c>
      <c r="P340" s="6">
        <v>18.5852</v>
      </c>
      <c r="Q340" s="6">
        <v>18.641400000000001</v>
      </c>
      <c r="R340" s="6">
        <v>117.642</v>
      </c>
      <c r="S340" s="6">
        <v>117.642</v>
      </c>
      <c r="T340" s="6">
        <v>4.2648999999999999</v>
      </c>
      <c r="U340" s="6">
        <v>14980.5</v>
      </c>
      <c r="V340">
        <f t="shared" si="10"/>
        <v>80.713900862068968</v>
      </c>
      <c r="W340">
        <f t="shared" si="11"/>
        <v>2.4666900000000001E-3</v>
      </c>
    </row>
    <row r="341" spans="1:23" x14ac:dyDescent="0.3">
      <c r="A341" s="6">
        <v>334</v>
      </c>
      <c r="B341" s="6">
        <v>4.9386999999999999E-3</v>
      </c>
      <c r="C341" s="6">
        <v>0.19223299999999999</v>
      </c>
      <c r="D341" s="6">
        <v>39.116100000000003</v>
      </c>
      <c r="E341" s="6">
        <v>38.923900000000003</v>
      </c>
      <c r="F341" s="6">
        <v>-2.2531399999999998E-3</v>
      </c>
      <c r="G341" s="6">
        <v>-4.3859700000000001E-2</v>
      </c>
      <c r="H341" s="6">
        <v>19.4222</v>
      </c>
      <c r="I341" s="6">
        <v>19.466100000000001</v>
      </c>
      <c r="J341" s="6">
        <v>-2.173E-3</v>
      </c>
      <c r="K341" s="6">
        <v>-3.9703700000000001E-2</v>
      </c>
      <c r="L341" s="6">
        <v>18.2316</v>
      </c>
      <c r="M341" s="6">
        <v>18.2714</v>
      </c>
      <c r="N341" s="6">
        <v>-2.93181E-3</v>
      </c>
      <c r="O341" s="6">
        <v>-5.4653E-2</v>
      </c>
      <c r="P341" s="6">
        <v>18.5867</v>
      </c>
      <c r="Q341" s="6">
        <v>18.641400000000001</v>
      </c>
      <c r="R341" s="6">
        <v>117.95099999999999</v>
      </c>
      <c r="S341" s="6">
        <v>117.95099999999999</v>
      </c>
      <c r="T341" s="6">
        <v>4.2760999999999996</v>
      </c>
      <c r="U341" s="6">
        <v>15020</v>
      </c>
      <c r="V341">
        <f t="shared" si="10"/>
        <v>80.926724137931032</v>
      </c>
      <c r="W341">
        <f t="shared" si="11"/>
        <v>2.4526500000000002E-3</v>
      </c>
    </row>
    <row r="342" spans="1:23" x14ac:dyDescent="0.3">
      <c r="A342" s="6">
        <v>335</v>
      </c>
      <c r="B342" s="6">
        <v>4.9501700000000003E-3</v>
      </c>
      <c r="C342" s="6">
        <v>0.19267999999999999</v>
      </c>
      <c r="D342" s="6">
        <v>39.116500000000002</v>
      </c>
      <c r="E342" s="6">
        <v>38.923900000000003</v>
      </c>
      <c r="F342" s="6">
        <v>-2.20922E-3</v>
      </c>
      <c r="G342" s="6">
        <v>-4.3004800000000003E-2</v>
      </c>
      <c r="H342" s="6">
        <v>19.423100000000002</v>
      </c>
      <c r="I342" s="6">
        <v>19.466100000000001</v>
      </c>
      <c r="J342" s="6">
        <v>-2.1760899999999999E-3</v>
      </c>
      <c r="K342" s="6">
        <v>-3.9759999999999997E-2</v>
      </c>
      <c r="L342" s="6">
        <v>18.2316</v>
      </c>
      <c r="M342" s="6">
        <v>18.2714</v>
      </c>
      <c r="N342" s="6">
        <v>-3.0229499999999999E-3</v>
      </c>
      <c r="O342" s="6">
        <v>-5.6351999999999999E-2</v>
      </c>
      <c r="P342" s="6">
        <v>18.585000000000001</v>
      </c>
      <c r="Q342" s="6">
        <v>18.641400000000001</v>
      </c>
      <c r="R342" s="6">
        <v>118.325</v>
      </c>
      <c r="S342" s="6">
        <v>118.325</v>
      </c>
      <c r="T342" s="6">
        <v>4.2889999999999997</v>
      </c>
      <c r="U342" s="6">
        <v>15065.3</v>
      </c>
      <c r="V342">
        <f t="shared" si="10"/>
        <v>81.170797413793096</v>
      </c>
      <c r="W342">
        <f t="shared" si="11"/>
        <v>2.4694199999999999E-3</v>
      </c>
    </row>
    <row r="343" spans="1:23" x14ac:dyDescent="0.3">
      <c r="A343" s="6">
        <v>336</v>
      </c>
      <c r="B343" s="6">
        <v>5.0148600000000003E-3</v>
      </c>
      <c r="C343" s="6">
        <v>0.19519800000000001</v>
      </c>
      <c r="D343" s="6">
        <v>39.119100000000003</v>
      </c>
      <c r="E343" s="6">
        <v>38.923900000000003</v>
      </c>
      <c r="F343" s="6">
        <v>-2.33607E-3</v>
      </c>
      <c r="G343" s="6">
        <v>-4.5474100000000003E-2</v>
      </c>
      <c r="H343" s="6">
        <v>19.4206</v>
      </c>
      <c r="I343" s="6">
        <v>19.466100000000001</v>
      </c>
      <c r="J343" s="6">
        <v>-2.23201E-3</v>
      </c>
      <c r="K343" s="6">
        <v>-4.0781900000000003E-2</v>
      </c>
      <c r="L343" s="6">
        <v>18.230599999999999</v>
      </c>
      <c r="M343" s="6">
        <v>18.2714</v>
      </c>
      <c r="N343" s="6">
        <v>-2.9643500000000001E-3</v>
      </c>
      <c r="O343" s="6">
        <v>-5.5259500000000003E-2</v>
      </c>
      <c r="P343" s="6">
        <v>18.586099999999998</v>
      </c>
      <c r="Q343" s="6">
        <v>18.641400000000001</v>
      </c>
      <c r="R343" s="6">
        <v>118.828</v>
      </c>
      <c r="S343" s="6">
        <v>118.828</v>
      </c>
      <c r="T343" s="6">
        <v>4.3093000000000004</v>
      </c>
      <c r="U343" s="6">
        <v>15136.5</v>
      </c>
      <c r="V343">
        <f t="shared" si="10"/>
        <v>81.554418103448285</v>
      </c>
      <c r="W343">
        <f t="shared" si="11"/>
        <v>2.51081E-3</v>
      </c>
    </row>
    <row r="344" spans="1:23" x14ac:dyDescent="0.3">
      <c r="A344" s="6">
        <v>337</v>
      </c>
      <c r="B344" s="6">
        <v>4.9324E-3</v>
      </c>
      <c r="C344" s="6">
        <v>0.19198799999999999</v>
      </c>
      <c r="D344" s="6">
        <v>39.1158</v>
      </c>
      <c r="E344" s="6">
        <v>38.923900000000003</v>
      </c>
      <c r="F344" s="6">
        <v>-2.2596199999999999E-3</v>
      </c>
      <c r="G344" s="6">
        <v>-4.3985799999999999E-2</v>
      </c>
      <c r="H344" s="6">
        <v>19.4221</v>
      </c>
      <c r="I344" s="6">
        <v>19.466100000000001</v>
      </c>
      <c r="J344" s="6">
        <v>-2.2018599999999999E-3</v>
      </c>
      <c r="K344" s="6">
        <v>-4.0231000000000003E-2</v>
      </c>
      <c r="L344" s="6">
        <v>18.231100000000001</v>
      </c>
      <c r="M344" s="6">
        <v>18.2714</v>
      </c>
      <c r="N344" s="6">
        <v>-2.9722199999999998E-3</v>
      </c>
      <c r="O344" s="6">
        <v>-5.5406299999999999E-2</v>
      </c>
      <c r="P344" s="6">
        <v>18.585999999999999</v>
      </c>
      <c r="Q344" s="6">
        <v>18.641400000000001</v>
      </c>
      <c r="R344" s="6">
        <v>119.2</v>
      </c>
      <c r="S344" s="6">
        <v>119.2</v>
      </c>
      <c r="T344" s="6">
        <v>4.3170999999999999</v>
      </c>
      <c r="U344" s="6">
        <v>15163.6</v>
      </c>
      <c r="V344">
        <f t="shared" si="10"/>
        <v>81.700431034482762</v>
      </c>
      <c r="W344">
        <f t="shared" si="11"/>
        <v>2.4778999999999999E-3</v>
      </c>
    </row>
    <row r="345" spans="1:23" x14ac:dyDescent="0.3">
      <c r="A345" s="6">
        <v>338</v>
      </c>
      <c r="B345" s="6">
        <v>5.0070699999999998E-3</v>
      </c>
      <c r="C345" s="6">
        <v>0.19489500000000001</v>
      </c>
      <c r="D345" s="6">
        <v>39.1188</v>
      </c>
      <c r="E345" s="6">
        <v>38.923900000000003</v>
      </c>
      <c r="F345" s="6">
        <v>-2.2178499999999999E-3</v>
      </c>
      <c r="G345" s="6">
        <v>-4.3172700000000001E-2</v>
      </c>
      <c r="H345" s="6">
        <v>19.422899999999998</v>
      </c>
      <c r="I345" s="6">
        <v>19.466100000000001</v>
      </c>
      <c r="J345" s="6">
        <v>-2.27377E-3</v>
      </c>
      <c r="K345" s="6">
        <v>-4.15448E-2</v>
      </c>
      <c r="L345" s="6">
        <v>18.229800000000001</v>
      </c>
      <c r="M345" s="6">
        <v>18.2714</v>
      </c>
      <c r="N345" s="6">
        <v>-3.0947000000000001E-3</v>
      </c>
      <c r="O345" s="6">
        <v>-5.7689499999999998E-2</v>
      </c>
      <c r="P345" s="6">
        <v>18.5837</v>
      </c>
      <c r="Q345" s="6">
        <v>18.641400000000001</v>
      </c>
      <c r="R345" s="6">
        <v>119.636</v>
      </c>
      <c r="S345" s="6">
        <v>119.636</v>
      </c>
      <c r="T345" s="6">
        <v>4.3342000000000001</v>
      </c>
      <c r="U345" s="6">
        <v>15223.5</v>
      </c>
      <c r="V345">
        <f t="shared" si="10"/>
        <v>82.023168103448285</v>
      </c>
      <c r="W345">
        <f t="shared" si="11"/>
        <v>2.5287733333333334E-3</v>
      </c>
    </row>
    <row r="346" spans="1:23" x14ac:dyDescent="0.3">
      <c r="A346" s="6">
        <v>339</v>
      </c>
      <c r="B346" s="6">
        <v>4.9187299999999996E-3</v>
      </c>
      <c r="C346" s="6">
        <v>0.19145599999999999</v>
      </c>
      <c r="D346" s="6">
        <v>39.115299999999998</v>
      </c>
      <c r="E346" s="6">
        <v>38.923900000000003</v>
      </c>
      <c r="F346" s="6">
        <v>-2.35316E-3</v>
      </c>
      <c r="G346" s="6">
        <v>-4.5806800000000002E-2</v>
      </c>
      <c r="H346" s="6">
        <v>19.420300000000001</v>
      </c>
      <c r="I346" s="6">
        <v>19.466100000000001</v>
      </c>
      <c r="J346" s="6">
        <v>-2.3287500000000001E-3</v>
      </c>
      <c r="K346" s="6">
        <v>-4.2549400000000001E-2</v>
      </c>
      <c r="L346" s="6">
        <v>18.2288</v>
      </c>
      <c r="M346" s="6">
        <v>18.2714</v>
      </c>
      <c r="N346" s="6">
        <v>-3.1258000000000002E-3</v>
      </c>
      <c r="O346" s="6">
        <v>-5.82692E-2</v>
      </c>
      <c r="P346" s="6">
        <v>18.583100000000002</v>
      </c>
      <c r="Q346" s="6">
        <v>18.641400000000001</v>
      </c>
      <c r="R346" s="6">
        <v>119.88800000000001</v>
      </c>
      <c r="S346" s="6">
        <v>119.88800000000001</v>
      </c>
      <c r="T346" s="6">
        <v>4.3395999999999999</v>
      </c>
      <c r="U346" s="6">
        <v>15242.7</v>
      </c>
      <c r="V346">
        <f t="shared" si="10"/>
        <v>82.126616379310349</v>
      </c>
      <c r="W346">
        <f t="shared" si="11"/>
        <v>2.6025700000000002E-3</v>
      </c>
    </row>
    <row r="347" spans="1:23" x14ac:dyDescent="0.3">
      <c r="A347" s="6">
        <v>340</v>
      </c>
      <c r="B347" s="6">
        <v>5.0501900000000004E-3</v>
      </c>
      <c r="C347" s="6">
        <v>0.196573</v>
      </c>
      <c r="D347" s="6">
        <v>39.120399999999997</v>
      </c>
      <c r="E347" s="6">
        <v>38.923900000000003</v>
      </c>
      <c r="F347" s="6">
        <v>-2.3040500000000002E-3</v>
      </c>
      <c r="G347" s="6">
        <v>-4.48507E-2</v>
      </c>
      <c r="H347" s="6">
        <v>19.421199999999999</v>
      </c>
      <c r="I347" s="6">
        <v>19.466100000000001</v>
      </c>
      <c r="J347" s="6">
        <v>-2.2525700000000002E-3</v>
      </c>
      <c r="K347" s="6">
        <v>-4.11575E-2</v>
      </c>
      <c r="L347" s="6">
        <v>18.2302</v>
      </c>
      <c r="M347" s="6">
        <v>18.2714</v>
      </c>
      <c r="N347" s="6">
        <v>-2.9896900000000001E-3</v>
      </c>
      <c r="O347" s="6">
        <v>-5.5731900000000001E-2</v>
      </c>
      <c r="P347" s="6">
        <v>18.585599999999999</v>
      </c>
      <c r="Q347" s="6">
        <v>18.641400000000001</v>
      </c>
      <c r="R347" s="6">
        <v>120.262</v>
      </c>
      <c r="S347" s="6">
        <v>120.262</v>
      </c>
      <c r="T347" s="6">
        <v>4.3554000000000004</v>
      </c>
      <c r="U347" s="6">
        <v>15298.1</v>
      </c>
      <c r="V347">
        <f t="shared" si="10"/>
        <v>82.425107758620697</v>
      </c>
      <c r="W347">
        <f t="shared" si="11"/>
        <v>2.515436666666667E-3</v>
      </c>
    </row>
    <row r="348" spans="1:23" x14ac:dyDescent="0.3">
      <c r="A348" s="6">
        <v>341</v>
      </c>
      <c r="B348" s="6">
        <v>5.0531400000000002E-3</v>
      </c>
      <c r="C348" s="6">
        <v>0.196688</v>
      </c>
      <c r="D348" s="6">
        <v>39.1205</v>
      </c>
      <c r="E348" s="6">
        <v>38.923900000000003</v>
      </c>
      <c r="F348" s="6">
        <v>-2.26698E-3</v>
      </c>
      <c r="G348" s="6">
        <v>-4.41292E-2</v>
      </c>
      <c r="H348" s="6">
        <v>19.421900000000001</v>
      </c>
      <c r="I348" s="6">
        <v>19.466100000000001</v>
      </c>
      <c r="J348" s="6">
        <v>-2.1879199999999999E-3</v>
      </c>
      <c r="K348" s="6">
        <v>-3.9976299999999999E-2</v>
      </c>
      <c r="L348" s="6">
        <v>18.231400000000001</v>
      </c>
      <c r="M348" s="6">
        <v>18.2714</v>
      </c>
      <c r="N348" s="6">
        <v>-2.9995E-3</v>
      </c>
      <c r="O348" s="6">
        <v>-5.5914800000000001E-2</v>
      </c>
      <c r="P348" s="6">
        <v>18.5854</v>
      </c>
      <c r="Q348" s="6">
        <v>18.641400000000001</v>
      </c>
      <c r="R348" s="6">
        <v>120.887</v>
      </c>
      <c r="S348" s="6">
        <v>120.887</v>
      </c>
      <c r="T348" s="6">
        <v>4.3738000000000001</v>
      </c>
      <c r="U348" s="6">
        <v>15362.5</v>
      </c>
      <c r="V348">
        <f t="shared" si="10"/>
        <v>82.772090517241381</v>
      </c>
      <c r="W348">
        <f t="shared" si="11"/>
        <v>2.4848000000000001E-3</v>
      </c>
    </row>
    <row r="349" spans="1:23" x14ac:dyDescent="0.3">
      <c r="A349" s="6">
        <v>342</v>
      </c>
      <c r="B349" s="6">
        <v>5.0476799999999997E-3</v>
      </c>
      <c r="C349" s="6">
        <v>0.19647500000000001</v>
      </c>
      <c r="D349" s="6">
        <v>39.1203</v>
      </c>
      <c r="E349" s="6">
        <v>38.923900000000003</v>
      </c>
      <c r="F349" s="6">
        <v>-2.16971E-3</v>
      </c>
      <c r="G349" s="6">
        <v>-4.2235599999999998E-2</v>
      </c>
      <c r="H349" s="6">
        <v>19.4238</v>
      </c>
      <c r="I349" s="6">
        <v>19.466100000000001</v>
      </c>
      <c r="J349" s="6">
        <v>-2.1164000000000001E-3</v>
      </c>
      <c r="K349" s="6">
        <v>-3.86694E-2</v>
      </c>
      <c r="L349" s="6">
        <v>18.232700000000001</v>
      </c>
      <c r="M349" s="6">
        <v>18.2714</v>
      </c>
      <c r="N349" s="6">
        <v>-2.9346699999999999E-3</v>
      </c>
      <c r="O349" s="6">
        <v>-5.4706299999999999E-2</v>
      </c>
      <c r="P349" s="6">
        <v>18.5867</v>
      </c>
      <c r="Q349" s="6">
        <v>18.641400000000001</v>
      </c>
      <c r="R349" s="6">
        <v>121.136</v>
      </c>
      <c r="S349" s="6">
        <v>121.137</v>
      </c>
      <c r="T349" s="6">
        <v>4.3973000000000004</v>
      </c>
      <c r="U349" s="6">
        <v>15445</v>
      </c>
      <c r="V349">
        <f t="shared" si="10"/>
        <v>83.216594827586206</v>
      </c>
      <c r="W349">
        <f t="shared" si="11"/>
        <v>2.4069266666666665E-3</v>
      </c>
    </row>
    <row r="350" spans="1:23" x14ac:dyDescent="0.3">
      <c r="A350" s="6">
        <v>343</v>
      </c>
      <c r="B350" s="6">
        <v>5.0580399999999998E-3</v>
      </c>
      <c r="C350" s="6">
        <v>0.196878</v>
      </c>
      <c r="D350" s="6">
        <v>39.120699999999999</v>
      </c>
      <c r="E350" s="6">
        <v>38.923900000000003</v>
      </c>
      <c r="F350" s="6">
        <v>-2.3542300000000001E-3</v>
      </c>
      <c r="G350" s="6">
        <v>-4.5827600000000003E-2</v>
      </c>
      <c r="H350" s="6">
        <v>19.420200000000001</v>
      </c>
      <c r="I350" s="6">
        <v>19.466100000000001</v>
      </c>
      <c r="J350" s="6">
        <v>-2.27955E-3</v>
      </c>
      <c r="K350" s="6">
        <v>-4.1650399999999997E-2</v>
      </c>
      <c r="L350" s="6">
        <v>18.229700000000001</v>
      </c>
      <c r="M350" s="6">
        <v>18.2714</v>
      </c>
      <c r="N350" s="6">
        <v>-3.02462E-3</v>
      </c>
      <c r="O350" s="6">
        <v>-5.6383099999999998E-2</v>
      </c>
      <c r="P350" s="6">
        <v>18.585000000000001</v>
      </c>
      <c r="Q350" s="6">
        <v>18.641400000000001</v>
      </c>
      <c r="R350" s="6">
        <v>121.447</v>
      </c>
      <c r="S350" s="6">
        <v>121.447</v>
      </c>
      <c r="T350" s="6">
        <v>4.3973000000000004</v>
      </c>
      <c r="U350" s="6">
        <v>15445</v>
      </c>
      <c r="V350">
        <f t="shared" si="10"/>
        <v>83.216594827586206</v>
      </c>
      <c r="W350">
        <f t="shared" si="11"/>
        <v>2.5528000000000005E-3</v>
      </c>
    </row>
    <row r="351" spans="1:23" x14ac:dyDescent="0.3">
      <c r="A351" s="6">
        <v>344</v>
      </c>
      <c r="B351" s="6">
        <v>5.0541900000000001E-3</v>
      </c>
      <c r="C351" s="6">
        <v>0.19672799999999999</v>
      </c>
      <c r="D351" s="6">
        <v>39.120600000000003</v>
      </c>
      <c r="E351" s="6">
        <v>38.923900000000003</v>
      </c>
      <c r="F351" s="6">
        <v>-2.3416399999999999E-3</v>
      </c>
      <c r="G351" s="6">
        <v>-4.5582400000000002E-2</v>
      </c>
      <c r="H351" s="6">
        <v>19.420500000000001</v>
      </c>
      <c r="I351" s="6">
        <v>19.466100000000001</v>
      </c>
      <c r="J351" s="6">
        <v>-2.2927400000000001E-3</v>
      </c>
      <c r="K351" s="6">
        <v>-4.1891400000000002E-2</v>
      </c>
      <c r="L351" s="6">
        <v>18.229500000000002</v>
      </c>
      <c r="M351" s="6">
        <v>18.2714</v>
      </c>
      <c r="N351" s="6">
        <v>-3.1010299999999998E-3</v>
      </c>
      <c r="O351" s="6">
        <v>-5.7807499999999998E-2</v>
      </c>
      <c r="P351" s="6">
        <v>18.583600000000001</v>
      </c>
      <c r="Q351" s="6">
        <v>18.641400000000001</v>
      </c>
      <c r="R351" s="6">
        <v>122.009</v>
      </c>
      <c r="S351" s="6">
        <v>122.009</v>
      </c>
      <c r="T351" s="6">
        <v>4.4183000000000003</v>
      </c>
      <c r="U351" s="6">
        <v>15518.5</v>
      </c>
      <c r="V351">
        <f t="shared" si="10"/>
        <v>83.612607758620697</v>
      </c>
      <c r="W351">
        <f t="shared" si="11"/>
        <v>2.5784699999999998E-3</v>
      </c>
    </row>
    <row r="352" spans="1:23" x14ac:dyDescent="0.3">
      <c r="A352" s="6">
        <v>345</v>
      </c>
      <c r="B352" s="6">
        <v>5.0715400000000002E-3</v>
      </c>
      <c r="C352" s="6">
        <v>0.197404</v>
      </c>
      <c r="D352" s="6">
        <v>39.121299999999998</v>
      </c>
      <c r="E352" s="6">
        <v>38.923900000000003</v>
      </c>
      <c r="F352" s="6">
        <v>-2.3509400000000001E-3</v>
      </c>
      <c r="G352" s="6">
        <v>-4.5763499999999999E-2</v>
      </c>
      <c r="H352" s="6">
        <v>19.420300000000001</v>
      </c>
      <c r="I352" s="6">
        <v>19.466100000000001</v>
      </c>
      <c r="J352" s="6">
        <v>-2.22762E-3</v>
      </c>
      <c r="K352" s="6">
        <v>-4.07017E-2</v>
      </c>
      <c r="L352" s="6">
        <v>18.230699999999999</v>
      </c>
      <c r="M352" s="6">
        <v>18.2714</v>
      </c>
      <c r="N352" s="6">
        <v>-3.0315099999999998E-3</v>
      </c>
      <c r="O352" s="6">
        <v>-5.6511400000000003E-2</v>
      </c>
      <c r="P352" s="6">
        <v>18.584900000000001</v>
      </c>
      <c r="Q352" s="6">
        <v>18.641400000000001</v>
      </c>
      <c r="R352" s="6">
        <v>122.13200000000001</v>
      </c>
      <c r="S352" s="6">
        <v>122.133</v>
      </c>
      <c r="T352" s="6">
        <v>4.4143999999999997</v>
      </c>
      <c r="U352" s="6">
        <v>15504.9</v>
      </c>
      <c r="V352">
        <f t="shared" si="10"/>
        <v>83.53933189655173</v>
      </c>
      <c r="W352">
        <f t="shared" si="11"/>
        <v>2.5366899999999999E-3</v>
      </c>
    </row>
    <row r="353" spans="1:23" x14ac:dyDescent="0.3">
      <c r="A353" s="6">
        <v>346</v>
      </c>
      <c r="B353" s="6">
        <v>5.0775500000000001E-3</v>
      </c>
      <c r="C353" s="6">
        <v>0.19763800000000001</v>
      </c>
      <c r="D353" s="6">
        <v>39.121499999999997</v>
      </c>
      <c r="E353" s="6">
        <v>38.923900000000003</v>
      </c>
      <c r="F353" s="6">
        <v>-2.26267E-3</v>
      </c>
      <c r="G353" s="6">
        <v>-4.40452E-2</v>
      </c>
      <c r="H353" s="6">
        <v>19.422000000000001</v>
      </c>
      <c r="I353" s="6">
        <v>19.466100000000001</v>
      </c>
      <c r="J353" s="6">
        <v>-2.2043900000000001E-3</v>
      </c>
      <c r="K353" s="6">
        <v>-4.0277300000000002E-2</v>
      </c>
      <c r="L353" s="6">
        <v>18.231100000000001</v>
      </c>
      <c r="M353" s="6">
        <v>18.2714</v>
      </c>
      <c r="N353" s="6">
        <v>-2.9672000000000001E-3</v>
      </c>
      <c r="O353" s="6">
        <v>-5.5312699999999999E-2</v>
      </c>
      <c r="P353" s="6">
        <v>18.586099999999998</v>
      </c>
      <c r="Q353" s="6">
        <v>18.641400000000001</v>
      </c>
      <c r="R353" s="6">
        <v>122.509</v>
      </c>
      <c r="S353" s="6">
        <v>122.509</v>
      </c>
      <c r="T353" s="6">
        <v>4.4307999999999996</v>
      </c>
      <c r="U353" s="6">
        <v>15562.6</v>
      </c>
      <c r="V353">
        <f t="shared" si="10"/>
        <v>83.850215517241381</v>
      </c>
      <c r="W353">
        <f t="shared" si="11"/>
        <v>2.4780866666666668E-3</v>
      </c>
    </row>
    <row r="354" spans="1:23" x14ac:dyDescent="0.3">
      <c r="A354" s="6">
        <v>347</v>
      </c>
      <c r="B354" s="6">
        <v>5.1352699999999999E-3</v>
      </c>
      <c r="C354" s="6">
        <v>0.19988400000000001</v>
      </c>
      <c r="D354" s="6">
        <v>39.123699999999999</v>
      </c>
      <c r="E354" s="6">
        <v>38.923900000000003</v>
      </c>
      <c r="F354" s="6">
        <v>-2.3678900000000001E-3</v>
      </c>
      <c r="G354" s="6">
        <v>-4.6093500000000003E-2</v>
      </c>
      <c r="H354" s="6">
        <v>19.420000000000002</v>
      </c>
      <c r="I354" s="6">
        <v>19.466100000000001</v>
      </c>
      <c r="J354" s="6">
        <v>-2.27261E-3</v>
      </c>
      <c r="K354" s="6">
        <v>-4.1523699999999997E-2</v>
      </c>
      <c r="L354" s="6">
        <v>18.229800000000001</v>
      </c>
      <c r="M354" s="6">
        <v>18.2714</v>
      </c>
      <c r="N354" s="6">
        <v>-3.1107700000000001E-3</v>
      </c>
      <c r="O354" s="6">
        <v>-5.7988999999999999E-2</v>
      </c>
      <c r="P354" s="6">
        <v>18.583400000000001</v>
      </c>
      <c r="Q354" s="6">
        <v>18.641400000000001</v>
      </c>
      <c r="R354" s="6">
        <v>123.194</v>
      </c>
      <c r="S354" s="6">
        <v>123.194</v>
      </c>
      <c r="T354" s="6">
        <v>4.4579000000000004</v>
      </c>
      <c r="U354" s="6">
        <v>15657.5</v>
      </c>
      <c r="V354">
        <f t="shared" si="10"/>
        <v>84.361530172413794</v>
      </c>
      <c r="W354">
        <f t="shared" si="11"/>
        <v>2.5837566666666672E-3</v>
      </c>
    </row>
    <row r="355" spans="1:23" x14ac:dyDescent="0.3">
      <c r="A355" s="6">
        <v>348</v>
      </c>
      <c r="B355" s="6">
        <v>5.1043599999999996E-3</v>
      </c>
      <c r="C355" s="6">
        <v>0.198681</v>
      </c>
      <c r="D355" s="6">
        <v>39.122500000000002</v>
      </c>
      <c r="E355" s="6">
        <v>38.923900000000003</v>
      </c>
      <c r="F355" s="6">
        <v>-2.3992200000000001E-3</v>
      </c>
      <c r="G355" s="6">
        <v>-4.6703399999999999E-2</v>
      </c>
      <c r="H355" s="6">
        <v>19.4194</v>
      </c>
      <c r="I355" s="6">
        <v>19.466100000000001</v>
      </c>
      <c r="J355" s="6">
        <v>-2.2877700000000002E-3</v>
      </c>
      <c r="K355" s="6">
        <v>-4.18006E-2</v>
      </c>
      <c r="L355" s="6">
        <v>18.229600000000001</v>
      </c>
      <c r="M355" s="6">
        <v>18.2714</v>
      </c>
      <c r="N355" s="6">
        <v>-3.13233E-3</v>
      </c>
      <c r="O355" s="6">
        <v>-5.8390999999999998E-2</v>
      </c>
      <c r="P355" s="6">
        <v>18.582999999999998</v>
      </c>
      <c r="Q355" s="6">
        <v>18.641400000000001</v>
      </c>
      <c r="R355" s="6">
        <v>123.56699999999999</v>
      </c>
      <c r="S355" s="6">
        <v>123.568</v>
      </c>
      <c r="T355" s="6">
        <v>4.4653</v>
      </c>
      <c r="U355" s="6">
        <v>15683.5</v>
      </c>
      <c r="V355">
        <f t="shared" si="10"/>
        <v>84.501616379310349</v>
      </c>
      <c r="W355">
        <f t="shared" si="11"/>
        <v>2.6064400000000002E-3</v>
      </c>
    </row>
    <row r="356" spans="1:23" x14ac:dyDescent="0.3">
      <c r="A356" s="6">
        <v>349</v>
      </c>
      <c r="B356" s="6">
        <v>5.1329699999999997E-3</v>
      </c>
      <c r="C356" s="6">
        <v>0.199795</v>
      </c>
      <c r="D356" s="6">
        <v>39.123699999999999</v>
      </c>
      <c r="E356" s="6">
        <v>38.923900000000003</v>
      </c>
      <c r="F356" s="6">
        <v>-2.3315300000000001E-3</v>
      </c>
      <c r="G356" s="6">
        <v>-4.5385799999999997E-2</v>
      </c>
      <c r="H356" s="6">
        <v>19.4207</v>
      </c>
      <c r="I356" s="6">
        <v>19.466100000000001</v>
      </c>
      <c r="J356" s="6">
        <v>-2.19644E-3</v>
      </c>
      <c r="K356" s="6">
        <v>-4.0132000000000001E-2</v>
      </c>
      <c r="L356" s="6">
        <v>18.231200000000001</v>
      </c>
      <c r="M356" s="6">
        <v>18.2714</v>
      </c>
      <c r="N356" s="6">
        <v>-3.0610300000000002E-3</v>
      </c>
      <c r="O356" s="6">
        <v>-5.7061899999999999E-2</v>
      </c>
      <c r="P356" s="6">
        <v>18.584299999999999</v>
      </c>
      <c r="Q356" s="6">
        <v>18.641400000000001</v>
      </c>
      <c r="R356" s="6">
        <v>123.694</v>
      </c>
      <c r="S356" s="6">
        <v>123.69499999999999</v>
      </c>
      <c r="T356" s="6">
        <v>4.4676</v>
      </c>
      <c r="U356" s="6">
        <v>15691.4</v>
      </c>
      <c r="V356">
        <f t="shared" si="10"/>
        <v>84.544181034482762</v>
      </c>
      <c r="W356">
        <f t="shared" si="11"/>
        <v>2.5296666666666666E-3</v>
      </c>
    </row>
    <row r="357" spans="1:23" x14ac:dyDescent="0.3">
      <c r="A357" s="6">
        <v>350</v>
      </c>
      <c r="B357" s="6">
        <v>5.1660899999999999E-3</v>
      </c>
      <c r="C357" s="6">
        <v>0.20108400000000001</v>
      </c>
      <c r="D357" s="6">
        <v>39.124899999999997</v>
      </c>
      <c r="E357" s="6">
        <v>38.923900000000003</v>
      </c>
      <c r="F357" s="6">
        <v>-2.4430200000000002E-3</v>
      </c>
      <c r="G357" s="6">
        <v>-4.7556099999999997E-2</v>
      </c>
      <c r="H357" s="6">
        <v>19.418500000000002</v>
      </c>
      <c r="I357" s="6">
        <v>19.466100000000001</v>
      </c>
      <c r="J357" s="6">
        <v>-2.3736999999999999E-3</v>
      </c>
      <c r="K357" s="6">
        <v>-4.3370800000000001E-2</v>
      </c>
      <c r="L357" s="6">
        <v>18.228000000000002</v>
      </c>
      <c r="M357" s="6">
        <v>18.2714</v>
      </c>
      <c r="N357" s="6">
        <v>-3.1882E-3</v>
      </c>
      <c r="O357" s="6">
        <v>-5.9432400000000003E-2</v>
      </c>
      <c r="P357" s="6">
        <v>18.581900000000001</v>
      </c>
      <c r="Q357" s="6">
        <v>18.641400000000001</v>
      </c>
      <c r="R357" s="6">
        <v>124.194</v>
      </c>
      <c r="S357" s="6">
        <v>124.194</v>
      </c>
      <c r="T357" s="6">
        <v>4.4869000000000003</v>
      </c>
      <c r="U357" s="6">
        <v>15759.2</v>
      </c>
      <c r="V357">
        <f t="shared" si="10"/>
        <v>84.909482758620697</v>
      </c>
      <c r="W357">
        <f t="shared" si="11"/>
        <v>2.6683066666666668E-3</v>
      </c>
    </row>
    <row r="358" spans="1:23" x14ac:dyDescent="0.3">
      <c r="A358" s="6">
        <v>351</v>
      </c>
      <c r="B358" s="6">
        <v>5.19499E-3</v>
      </c>
      <c r="C358" s="6">
        <v>0.202209</v>
      </c>
      <c r="D358" s="6">
        <v>39.126100000000001</v>
      </c>
      <c r="E358" s="6">
        <v>38.923900000000003</v>
      </c>
      <c r="F358" s="6">
        <v>-2.4645499999999998E-3</v>
      </c>
      <c r="G358" s="6">
        <v>-4.79751E-2</v>
      </c>
      <c r="H358" s="6">
        <v>19.418099999999999</v>
      </c>
      <c r="I358" s="6">
        <v>19.466100000000001</v>
      </c>
      <c r="J358" s="6">
        <v>-2.3751100000000002E-3</v>
      </c>
      <c r="K358" s="6">
        <v>-4.3396499999999998E-2</v>
      </c>
      <c r="L358" s="6">
        <v>18.228000000000002</v>
      </c>
      <c r="M358" s="6">
        <v>18.2714</v>
      </c>
      <c r="N358" s="6">
        <v>-3.1796699999999999E-3</v>
      </c>
      <c r="O358" s="6">
        <v>-5.9273300000000001E-2</v>
      </c>
      <c r="P358" s="6">
        <v>18.582100000000001</v>
      </c>
      <c r="Q358" s="6">
        <v>18.641400000000001</v>
      </c>
      <c r="R358" s="6">
        <v>124.379</v>
      </c>
      <c r="S358" s="6">
        <v>124.379</v>
      </c>
      <c r="T358" s="6">
        <v>4.4911000000000003</v>
      </c>
      <c r="U358" s="6">
        <v>15773.9</v>
      </c>
      <c r="V358">
        <f t="shared" si="10"/>
        <v>84.988685344827587</v>
      </c>
      <c r="W358">
        <f t="shared" si="11"/>
        <v>2.6731099999999998E-3</v>
      </c>
    </row>
    <row r="359" spans="1:23" x14ac:dyDescent="0.3">
      <c r="A359" s="6">
        <v>352</v>
      </c>
      <c r="B359" s="6">
        <v>5.11466E-3</v>
      </c>
      <c r="C359" s="6">
        <v>0.19908200000000001</v>
      </c>
      <c r="D359" s="6">
        <v>39.122900000000001</v>
      </c>
      <c r="E359" s="6">
        <v>38.923900000000003</v>
      </c>
      <c r="F359" s="6">
        <v>-2.4604499999999999E-3</v>
      </c>
      <c r="G359" s="6">
        <v>-4.7895300000000002E-2</v>
      </c>
      <c r="H359" s="6">
        <v>19.418199999999999</v>
      </c>
      <c r="I359" s="6">
        <v>19.466100000000001</v>
      </c>
      <c r="J359" s="6">
        <v>-2.39617E-3</v>
      </c>
      <c r="K359" s="6">
        <v>-4.3781199999999999E-2</v>
      </c>
      <c r="L359" s="6">
        <v>18.227599999999999</v>
      </c>
      <c r="M359" s="6">
        <v>18.2714</v>
      </c>
      <c r="N359" s="6">
        <v>-3.20076E-3</v>
      </c>
      <c r="O359" s="6">
        <v>-5.96666E-2</v>
      </c>
      <c r="P359" s="6">
        <v>18.581700000000001</v>
      </c>
      <c r="Q359" s="6">
        <v>18.641400000000001</v>
      </c>
      <c r="R359" s="6">
        <v>125.06399999999999</v>
      </c>
      <c r="S359" s="6">
        <v>125.065</v>
      </c>
      <c r="T359" s="6">
        <v>4.5137</v>
      </c>
      <c r="U359" s="6">
        <v>15853.1</v>
      </c>
      <c r="V359">
        <f t="shared" si="10"/>
        <v>85.415409482758619</v>
      </c>
      <c r="W359">
        <f t="shared" si="11"/>
        <v>2.6857933333333333E-3</v>
      </c>
    </row>
    <row r="360" spans="1:23" x14ac:dyDescent="0.3">
      <c r="A360" s="6">
        <v>353</v>
      </c>
      <c r="B360" s="6">
        <v>5.2264800000000004E-3</v>
      </c>
      <c r="C360" s="6">
        <v>0.203435</v>
      </c>
      <c r="D360" s="6">
        <v>39.127299999999998</v>
      </c>
      <c r="E360" s="6">
        <v>38.923900000000003</v>
      </c>
      <c r="F360" s="6">
        <v>-2.3545100000000002E-3</v>
      </c>
      <c r="G360" s="6">
        <v>-4.5832999999999999E-2</v>
      </c>
      <c r="H360" s="6">
        <v>19.420200000000001</v>
      </c>
      <c r="I360" s="6">
        <v>19.466100000000001</v>
      </c>
      <c r="J360" s="6">
        <v>-2.2521099999999999E-3</v>
      </c>
      <c r="K360" s="6">
        <v>-4.1149100000000001E-2</v>
      </c>
      <c r="L360" s="6">
        <v>18.2302</v>
      </c>
      <c r="M360" s="6">
        <v>18.2714</v>
      </c>
      <c r="N360" s="6">
        <v>-3.0875500000000001E-3</v>
      </c>
      <c r="O360" s="6">
        <v>-5.7556099999999999E-2</v>
      </c>
      <c r="P360" s="6">
        <v>18.5838</v>
      </c>
      <c r="Q360" s="6">
        <v>18.641400000000001</v>
      </c>
      <c r="R360" s="6">
        <v>125.377</v>
      </c>
      <c r="S360" s="6">
        <v>125.377</v>
      </c>
      <c r="T360" s="6">
        <v>4.5236999999999998</v>
      </c>
      <c r="U360" s="6">
        <v>15888.1</v>
      </c>
      <c r="V360">
        <f t="shared" si="10"/>
        <v>85.603987068965523</v>
      </c>
      <c r="W360">
        <f t="shared" si="11"/>
        <v>2.5647233333333332E-3</v>
      </c>
    </row>
    <row r="361" spans="1:23" x14ac:dyDescent="0.3">
      <c r="A361" s="6">
        <v>354</v>
      </c>
      <c r="B361" s="6">
        <v>5.2119899999999997E-3</v>
      </c>
      <c r="C361" s="6">
        <v>0.202871</v>
      </c>
      <c r="D361" s="6">
        <v>39.1267</v>
      </c>
      <c r="E361" s="6">
        <v>38.923900000000003</v>
      </c>
      <c r="F361" s="6">
        <v>-2.3778499999999999E-3</v>
      </c>
      <c r="G361" s="6">
        <v>-4.6287300000000003E-2</v>
      </c>
      <c r="H361" s="6">
        <v>19.419799999999999</v>
      </c>
      <c r="I361" s="6">
        <v>19.466100000000001</v>
      </c>
      <c r="J361" s="6">
        <v>-2.2761499999999998E-3</v>
      </c>
      <c r="K361" s="6">
        <v>-4.1588399999999998E-2</v>
      </c>
      <c r="L361" s="6">
        <v>18.229800000000001</v>
      </c>
      <c r="M361" s="6">
        <v>18.2714</v>
      </c>
      <c r="N361" s="6">
        <v>-3.09173E-3</v>
      </c>
      <c r="O361" s="6">
        <v>-5.7633999999999998E-2</v>
      </c>
      <c r="P361" s="6">
        <v>18.5837</v>
      </c>
      <c r="Q361" s="6">
        <v>18.641400000000001</v>
      </c>
      <c r="R361" s="6">
        <v>125.755</v>
      </c>
      <c r="S361" s="6">
        <v>125.756</v>
      </c>
      <c r="T361" s="6">
        <v>4.5324</v>
      </c>
      <c r="U361" s="6">
        <v>15918.6</v>
      </c>
      <c r="V361">
        <f t="shared" si="10"/>
        <v>85.768318965517253</v>
      </c>
      <c r="W361">
        <f t="shared" si="11"/>
        <v>2.5819100000000002E-3</v>
      </c>
    </row>
    <row r="362" spans="1:23" x14ac:dyDescent="0.3">
      <c r="A362" s="6">
        <v>355</v>
      </c>
      <c r="B362" s="6">
        <v>5.2853400000000004E-3</v>
      </c>
      <c r="C362" s="6">
        <v>0.20572599999999999</v>
      </c>
      <c r="D362" s="6">
        <v>39.129600000000003</v>
      </c>
      <c r="E362" s="6">
        <v>38.923900000000003</v>
      </c>
      <c r="F362" s="6">
        <v>-2.2951500000000001E-3</v>
      </c>
      <c r="G362" s="6">
        <v>-4.4677500000000002E-2</v>
      </c>
      <c r="H362" s="6">
        <v>19.421399999999998</v>
      </c>
      <c r="I362" s="6">
        <v>19.466100000000001</v>
      </c>
      <c r="J362" s="6">
        <v>-2.2011499999999998E-3</v>
      </c>
      <c r="K362" s="6">
        <v>-4.0217999999999997E-2</v>
      </c>
      <c r="L362" s="6">
        <v>18.231100000000001</v>
      </c>
      <c r="M362" s="6">
        <v>18.2714</v>
      </c>
      <c r="N362" s="6">
        <v>-2.9505600000000001E-3</v>
      </c>
      <c r="O362" s="6">
        <v>-5.5002500000000003E-2</v>
      </c>
      <c r="P362" s="6">
        <v>18.586400000000001</v>
      </c>
      <c r="Q362" s="6">
        <v>18.641400000000001</v>
      </c>
      <c r="R362" s="6">
        <v>126.126</v>
      </c>
      <c r="S362" s="6">
        <v>126.126</v>
      </c>
      <c r="T362" s="6">
        <v>4.5472000000000001</v>
      </c>
      <c r="U362" s="6">
        <v>15970.6</v>
      </c>
      <c r="V362">
        <f t="shared" si="10"/>
        <v>86.048491379310349</v>
      </c>
      <c r="W362">
        <f t="shared" si="11"/>
        <v>2.4822866666666665E-3</v>
      </c>
    </row>
    <row r="363" spans="1:23" x14ac:dyDescent="0.3">
      <c r="A363" s="6">
        <v>356</v>
      </c>
      <c r="B363" s="6">
        <v>5.2648199999999999E-3</v>
      </c>
      <c r="C363" s="6">
        <v>0.204927</v>
      </c>
      <c r="D363" s="6">
        <v>39.128799999999998</v>
      </c>
      <c r="E363" s="6">
        <v>38.923900000000003</v>
      </c>
      <c r="F363" s="6">
        <v>-2.3300399999999998E-3</v>
      </c>
      <c r="G363" s="6">
        <v>-4.5356800000000003E-2</v>
      </c>
      <c r="H363" s="6">
        <v>19.4207</v>
      </c>
      <c r="I363" s="6">
        <v>19.466100000000001</v>
      </c>
      <c r="J363" s="6">
        <v>-2.2764500000000002E-3</v>
      </c>
      <c r="K363" s="6">
        <v>-4.1593699999999997E-2</v>
      </c>
      <c r="L363" s="6">
        <v>18.229800000000001</v>
      </c>
      <c r="M363" s="6">
        <v>18.2714</v>
      </c>
      <c r="N363" s="6">
        <v>-3.1318000000000001E-3</v>
      </c>
      <c r="O363" s="6">
        <v>-5.8381000000000002E-2</v>
      </c>
      <c r="P363" s="6">
        <v>18.582999999999998</v>
      </c>
      <c r="Q363" s="6">
        <v>18.641400000000001</v>
      </c>
      <c r="R363" s="6">
        <v>126.313</v>
      </c>
      <c r="S363" s="6">
        <v>126.313</v>
      </c>
      <c r="T363" s="6">
        <v>4.5594000000000001</v>
      </c>
      <c r="U363" s="6">
        <v>16013.6</v>
      </c>
      <c r="V363">
        <f t="shared" si="10"/>
        <v>86.28017241379311</v>
      </c>
      <c r="W363">
        <f t="shared" si="11"/>
        <v>2.5794300000000002E-3</v>
      </c>
    </row>
    <row r="364" spans="1:23" x14ac:dyDescent="0.3">
      <c r="A364" s="6">
        <v>357</v>
      </c>
      <c r="B364" s="6">
        <v>5.2665000000000003E-3</v>
      </c>
      <c r="C364" s="6">
        <v>0.20499200000000001</v>
      </c>
      <c r="D364" s="6">
        <v>39.128799999999998</v>
      </c>
      <c r="E364" s="6">
        <v>38.923900000000003</v>
      </c>
      <c r="F364" s="6">
        <v>-2.4031500000000002E-3</v>
      </c>
      <c r="G364" s="6">
        <v>-4.6779800000000003E-2</v>
      </c>
      <c r="H364" s="6">
        <v>19.4193</v>
      </c>
      <c r="I364" s="6">
        <v>19.466100000000001</v>
      </c>
      <c r="J364" s="6">
        <v>-2.3508299999999999E-3</v>
      </c>
      <c r="K364" s="6">
        <v>-4.2952900000000002E-2</v>
      </c>
      <c r="L364" s="6">
        <v>18.228400000000001</v>
      </c>
      <c r="M364" s="6">
        <v>18.2714</v>
      </c>
      <c r="N364" s="6">
        <v>-3.1849999999999999E-3</v>
      </c>
      <c r="O364" s="6">
        <v>-5.93727E-2</v>
      </c>
      <c r="P364" s="6">
        <v>18.582000000000001</v>
      </c>
      <c r="Q364" s="6">
        <v>18.641400000000001</v>
      </c>
      <c r="R364" s="6">
        <v>126.93899999999999</v>
      </c>
      <c r="S364" s="6">
        <v>126.93899999999999</v>
      </c>
      <c r="T364" s="6">
        <v>4.5713999999999997</v>
      </c>
      <c r="U364" s="6">
        <v>16055.4</v>
      </c>
      <c r="V364">
        <f t="shared" si="10"/>
        <v>86.505387931034477</v>
      </c>
      <c r="W364">
        <f t="shared" si="11"/>
        <v>2.6463266666666668E-3</v>
      </c>
    </row>
    <row r="365" spans="1:23" x14ac:dyDescent="0.3">
      <c r="A365" s="6">
        <v>358</v>
      </c>
      <c r="B365" s="6">
        <v>5.2554699999999999E-3</v>
      </c>
      <c r="C365" s="6">
        <v>0.20456299999999999</v>
      </c>
      <c r="D365" s="6">
        <v>39.128399999999999</v>
      </c>
      <c r="E365" s="6">
        <v>38.923900000000003</v>
      </c>
      <c r="F365" s="6">
        <v>-2.5140900000000001E-3</v>
      </c>
      <c r="G365" s="6">
        <v>-4.8939400000000001E-2</v>
      </c>
      <c r="H365" s="6">
        <v>19.417100000000001</v>
      </c>
      <c r="I365" s="6">
        <v>19.466100000000001</v>
      </c>
      <c r="J365" s="6">
        <v>-2.3931099999999999E-3</v>
      </c>
      <c r="K365" s="6">
        <v>-4.3725300000000002E-2</v>
      </c>
      <c r="L365" s="6">
        <v>18.227599999999999</v>
      </c>
      <c r="M365" s="6">
        <v>18.2714</v>
      </c>
      <c r="N365" s="6">
        <v>-3.2294799999999999E-3</v>
      </c>
      <c r="O365" s="6">
        <v>-6.0201900000000003E-2</v>
      </c>
      <c r="P365" s="6">
        <v>18.581199999999999</v>
      </c>
      <c r="Q365" s="6">
        <v>18.641400000000001</v>
      </c>
      <c r="R365" s="6">
        <v>127.25</v>
      </c>
      <c r="S365" s="6">
        <v>127.25</v>
      </c>
      <c r="T365" s="6">
        <v>4.593</v>
      </c>
      <c r="U365" s="6">
        <v>16131.1</v>
      </c>
      <c r="V365">
        <f t="shared" si="10"/>
        <v>86.913254310344826</v>
      </c>
      <c r="W365">
        <f t="shared" si="11"/>
        <v>2.7122266666666666E-3</v>
      </c>
    </row>
    <row r="366" spans="1:23" x14ac:dyDescent="0.3">
      <c r="A366" s="6">
        <v>359</v>
      </c>
      <c r="B366" s="6">
        <v>5.2701600000000003E-3</v>
      </c>
      <c r="C366" s="6">
        <v>0.20513500000000001</v>
      </c>
      <c r="D366" s="6">
        <v>39.128999999999998</v>
      </c>
      <c r="E366" s="6">
        <v>38.923900000000003</v>
      </c>
      <c r="F366" s="6">
        <v>-2.5449600000000002E-3</v>
      </c>
      <c r="G366" s="6">
        <v>-4.9540399999999998E-2</v>
      </c>
      <c r="H366" s="6">
        <v>19.416499999999999</v>
      </c>
      <c r="I366" s="6">
        <v>19.466100000000001</v>
      </c>
      <c r="J366" s="6">
        <v>-2.4427400000000001E-3</v>
      </c>
      <c r="K366" s="6">
        <v>-4.4632199999999997E-2</v>
      </c>
      <c r="L366" s="6">
        <v>18.226700000000001</v>
      </c>
      <c r="M366" s="6">
        <v>18.2714</v>
      </c>
      <c r="N366" s="6">
        <v>-3.27152E-3</v>
      </c>
      <c r="O366" s="6">
        <v>-6.0985699999999997E-2</v>
      </c>
      <c r="P366" s="6">
        <v>18.580400000000001</v>
      </c>
      <c r="Q366" s="6">
        <v>18.641400000000001</v>
      </c>
      <c r="R366" s="6">
        <v>127.68600000000001</v>
      </c>
      <c r="S366" s="6">
        <v>127.68600000000001</v>
      </c>
      <c r="T366" s="6">
        <v>4.6055000000000001</v>
      </c>
      <c r="U366" s="6">
        <v>16175.2</v>
      </c>
      <c r="V366">
        <f t="shared" si="10"/>
        <v>87.150862068965523</v>
      </c>
      <c r="W366">
        <f t="shared" si="11"/>
        <v>2.7530733333333336E-3</v>
      </c>
    </row>
    <row r="367" spans="1:23" x14ac:dyDescent="0.3">
      <c r="A367" s="6">
        <v>360</v>
      </c>
      <c r="B367" s="6">
        <v>5.2481699999999999E-3</v>
      </c>
      <c r="C367" s="6">
        <v>0.20427899999999999</v>
      </c>
      <c r="D367" s="6">
        <v>39.128100000000003</v>
      </c>
      <c r="E367" s="6">
        <v>38.923900000000003</v>
      </c>
      <c r="F367" s="6">
        <v>-2.5116800000000001E-3</v>
      </c>
      <c r="G367" s="6">
        <v>-4.8892600000000001E-2</v>
      </c>
      <c r="H367" s="6">
        <v>19.417200000000001</v>
      </c>
      <c r="I367" s="6">
        <v>19.466100000000001</v>
      </c>
      <c r="J367" s="6">
        <v>-2.4207999999999999E-3</v>
      </c>
      <c r="K367" s="6">
        <v>-4.4231300000000001E-2</v>
      </c>
      <c r="L367" s="6">
        <v>18.2271</v>
      </c>
      <c r="M367" s="6">
        <v>18.2714</v>
      </c>
      <c r="N367" s="6">
        <v>-3.2954799999999999E-3</v>
      </c>
      <c r="O367" s="6">
        <v>-6.1432199999999999E-2</v>
      </c>
      <c r="P367" s="6">
        <v>18.579899999999999</v>
      </c>
      <c r="Q367" s="6">
        <v>18.641400000000001</v>
      </c>
      <c r="R367" s="6">
        <v>127.812</v>
      </c>
      <c r="S367" s="6">
        <v>127.812</v>
      </c>
      <c r="T367" s="6">
        <v>4.6020000000000003</v>
      </c>
      <c r="U367" s="6">
        <v>16162.8</v>
      </c>
      <c r="V367">
        <f t="shared" si="10"/>
        <v>87.084051724137936</v>
      </c>
      <c r="W367">
        <f t="shared" si="11"/>
        <v>2.742653333333333E-3</v>
      </c>
    </row>
    <row r="368" spans="1:23" x14ac:dyDescent="0.3">
      <c r="A368" s="6">
        <v>361</v>
      </c>
      <c r="B368" s="6">
        <v>5.2769100000000001E-3</v>
      </c>
      <c r="C368" s="6">
        <v>0.205398</v>
      </c>
      <c r="D368" s="6">
        <v>39.129300000000001</v>
      </c>
      <c r="E368" s="6">
        <v>38.923900000000003</v>
      </c>
      <c r="F368" s="6">
        <v>-2.4466000000000002E-3</v>
      </c>
      <c r="G368" s="6">
        <v>-4.7625599999999997E-2</v>
      </c>
      <c r="H368" s="6">
        <v>19.418399999999998</v>
      </c>
      <c r="I368" s="6">
        <v>19.466100000000001</v>
      </c>
      <c r="J368" s="6">
        <v>-2.37288E-3</v>
      </c>
      <c r="K368" s="6">
        <v>-4.3355699999999997E-2</v>
      </c>
      <c r="L368" s="6">
        <v>18.228000000000002</v>
      </c>
      <c r="M368" s="6">
        <v>18.2714</v>
      </c>
      <c r="N368" s="6">
        <v>-3.2254900000000001E-3</v>
      </c>
      <c r="O368" s="6">
        <v>-6.01275E-2</v>
      </c>
      <c r="P368" s="6">
        <v>18.581199999999999</v>
      </c>
      <c r="Q368" s="6">
        <v>18.641400000000001</v>
      </c>
      <c r="R368" s="6">
        <v>127.998</v>
      </c>
      <c r="S368" s="6">
        <v>127.998</v>
      </c>
      <c r="T368" s="6">
        <v>4.6167999999999996</v>
      </c>
      <c r="U368" s="6">
        <v>16214.7</v>
      </c>
      <c r="V368">
        <f t="shared" si="10"/>
        <v>87.363685344827587</v>
      </c>
      <c r="W368">
        <f t="shared" si="11"/>
        <v>2.6816566666666669E-3</v>
      </c>
    </row>
    <row r="369" spans="1:23" x14ac:dyDescent="0.3">
      <c r="A369" s="6">
        <v>362</v>
      </c>
      <c r="B369" s="6">
        <v>5.3036799999999999E-3</v>
      </c>
      <c r="C369" s="6">
        <v>0.20644000000000001</v>
      </c>
      <c r="D369" s="6">
        <v>39.130299999999998</v>
      </c>
      <c r="E369" s="6">
        <v>38.923900000000003</v>
      </c>
      <c r="F369" s="6">
        <v>-2.4771099999999998E-3</v>
      </c>
      <c r="G369" s="6">
        <v>-4.8219600000000001E-2</v>
      </c>
      <c r="H369" s="6">
        <v>19.4178</v>
      </c>
      <c r="I369" s="6">
        <v>19.466100000000001</v>
      </c>
      <c r="J369" s="6">
        <v>-2.4025000000000001E-3</v>
      </c>
      <c r="K369" s="6">
        <v>-4.3896999999999999E-2</v>
      </c>
      <c r="L369" s="6">
        <v>18.227499999999999</v>
      </c>
      <c r="M369" s="6">
        <v>18.2714</v>
      </c>
      <c r="N369" s="6">
        <v>-3.2344499999999998E-3</v>
      </c>
      <c r="O369" s="6">
        <v>-6.0294500000000001E-2</v>
      </c>
      <c r="P369" s="6">
        <v>18.581099999999999</v>
      </c>
      <c r="Q369" s="6">
        <v>18.641400000000001</v>
      </c>
      <c r="R369" s="6">
        <v>128.25</v>
      </c>
      <c r="S369" s="6">
        <v>128.25</v>
      </c>
      <c r="T369" s="6">
        <v>4.6252000000000004</v>
      </c>
      <c r="U369" s="6">
        <v>16244.1</v>
      </c>
      <c r="V369">
        <f t="shared" si="10"/>
        <v>87.522090517241381</v>
      </c>
      <c r="W369">
        <f t="shared" si="11"/>
        <v>2.7046866666666663E-3</v>
      </c>
    </row>
    <row r="370" spans="1:23" x14ac:dyDescent="0.3">
      <c r="A370" s="6">
        <v>363</v>
      </c>
      <c r="B370" s="6">
        <v>5.32191E-3</v>
      </c>
      <c r="C370" s="6">
        <v>0.207149</v>
      </c>
      <c r="D370" s="6">
        <v>39.131</v>
      </c>
      <c r="E370" s="6">
        <v>38.923900000000003</v>
      </c>
      <c r="F370" s="6">
        <v>-2.42413E-3</v>
      </c>
      <c r="G370" s="6">
        <v>-4.71882E-2</v>
      </c>
      <c r="H370" s="6">
        <v>19.418900000000001</v>
      </c>
      <c r="I370" s="6">
        <v>19.466100000000001</v>
      </c>
      <c r="J370" s="6">
        <v>-2.3509799999999999E-3</v>
      </c>
      <c r="K370" s="6">
        <v>-4.2955500000000001E-2</v>
      </c>
      <c r="L370" s="6">
        <v>18.228400000000001</v>
      </c>
      <c r="M370" s="6">
        <v>18.2714</v>
      </c>
      <c r="N370" s="6">
        <v>-3.2459199999999998E-3</v>
      </c>
      <c r="O370" s="6">
        <v>-6.0508399999999997E-2</v>
      </c>
      <c r="P370" s="6">
        <v>18.5809</v>
      </c>
      <c r="Q370" s="6">
        <v>18.641400000000001</v>
      </c>
      <c r="R370" s="6">
        <v>128.81</v>
      </c>
      <c r="S370" s="6">
        <v>128.81</v>
      </c>
      <c r="T370" s="6">
        <v>4.6383999999999999</v>
      </c>
      <c r="U370" s="6">
        <v>16290.5</v>
      </c>
      <c r="V370">
        <f t="shared" si="10"/>
        <v>87.772090517241381</v>
      </c>
      <c r="W370">
        <f t="shared" si="11"/>
        <v>2.6736766666666666E-3</v>
      </c>
    </row>
    <row r="371" spans="1:23" x14ac:dyDescent="0.3">
      <c r="A371" s="6">
        <v>364</v>
      </c>
      <c r="B371" s="6">
        <v>5.3902300000000002E-3</v>
      </c>
      <c r="C371" s="6">
        <v>0.20980799999999999</v>
      </c>
      <c r="D371" s="6">
        <v>39.133699999999997</v>
      </c>
      <c r="E371" s="6">
        <v>38.923900000000003</v>
      </c>
      <c r="F371" s="6">
        <v>-2.4239700000000001E-3</v>
      </c>
      <c r="G371" s="6">
        <v>-4.7185199999999997E-2</v>
      </c>
      <c r="H371" s="6">
        <v>19.418900000000001</v>
      </c>
      <c r="I371" s="6">
        <v>19.466100000000001</v>
      </c>
      <c r="J371" s="6">
        <v>-2.3376E-3</v>
      </c>
      <c r="K371" s="6">
        <v>-4.2711199999999998E-2</v>
      </c>
      <c r="L371" s="6">
        <v>18.2286</v>
      </c>
      <c r="M371" s="6">
        <v>18.2714</v>
      </c>
      <c r="N371" s="6">
        <v>-3.2503900000000001E-3</v>
      </c>
      <c r="O371" s="6">
        <v>-6.0591800000000001E-2</v>
      </c>
      <c r="P371" s="6">
        <v>18.5808</v>
      </c>
      <c r="Q371" s="6">
        <v>18.641400000000001</v>
      </c>
      <c r="R371" s="6">
        <v>129.184</v>
      </c>
      <c r="S371" s="6">
        <v>129.184</v>
      </c>
      <c r="T371" s="6">
        <v>4.6563999999999997</v>
      </c>
      <c r="U371" s="6">
        <v>16353.8</v>
      </c>
      <c r="V371">
        <f t="shared" si="10"/>
        <v>88.113146551724142</v>
      </c>
      <c r="W371">
        <f t="shared" si="11"/>
        <v>2.6706533333333334E-3</v>
      </c>
    </row>
    <row r="372" spans="1:23" x14ac:dyDescent="0.3">
      <c r="A372" s="6">
        <v>365</v>
      </c>
      <c r="B372" s="6">
        <v>5.3932499999999996E-3</v>
      </c>
      <c r="C372" s="6">
        <v>0.209926</v>
      </c>
      <c r="D372" s="6">
        <v>39.133800000000001</v>
      </c>
      <c r="E372" s="6">
        <v>38.923900000000003</v>
      </c>
      <c r="F372" s="6">
        <v>-2.4462199999999998E-3</v>
      </c>
      <c r="G372" s="6">
        <v>-4.7618300000000002E-2</v>
      </c>
      <c r="H372" s="6">
        <v>19.418399999999998</v>
      </c>
      <c r="I372" s="6">
        <v>19.466100000000001</v>
      </c>
      <c r="J372" s="6">
        <v>-2.3466300000000002E-3</v>
      </c>
      <c r="K372" s="6">
        <v>-4.28761E-2</v>
      </c>
      <c r="L372" s="6">
        <v>18.2285</v>
      </c>
      <c r="M372" s="6">
        <v>18.2714</v>
      </c>
      <c r="N372" s="6">
        <v>-3.2346100000000002E-3</v>
      </c>
      <c r="O372" s="6">
        <v>-6.0297499999999997E-2</v>
      </c>
      <c r="P372" s="6">
        <v>18.581099999999999</v>
      </c>
      <c r="Q372" s="6">
        <v>18.641400000000001</v>
      </c>
      <c r="R372" s="6">
        <v>129.56</v>
      </c>
      <c r="S372" s="6">
        <v>129.56</v>
      </c>
      <c r="T372" s="6">
        <v>4.6631999999999998</v>
      </c>
      <c r="U372" s="6">
        <v>16377.5</v>
      </c>
      <c r="V372">
        <f t="shared" si="10"/>
        <v>88.240840517241381</v>
      </c>
      <c r="W372">
        <f t="shared" si="11"/>
        <v>2.6758200000000002E-3</v>
      </c>
    </row>
    <row r="373" spans="1:23" x14ac:dyDescent="0.3">
      <c r="A373" s="6">
        <v>366</v>
      </c>
      <c r="B373" s="6">
        <v>5.3961699999999996E-3</v>
      </c>
      <c r="C373" s="6">
        <v>0.21004</v>
      </c>
      <c r="D373" s="6">
        <v>39.133899999999997</v>
      </c>
      <c r="E373" s="6">
        <v>38.923900000000003</v>
      </c>
      <c r="F373" s="6">
        <v>-2.4412499999999998E-3</v>
      </c>
      <c r="G373" s="6">
        <v>-4.7521500000000001E-2</v>
      </c>
      <c r="H373" s="6">
        <v>19.418500000000002</v>
      </c>
      <c r="I373" s="6">
        <v>19.466100000000001</v>
      </c>
      <c r="J373" s="6">
        <v>-2.3266099999999998E-3</v>
      </c>
      <c r="K373" s="6">
        <v>-4.2510300000000001E-2</v>
      </c>
      <c r="L373" s="6">
        <v>18.2288</v>
      </c>
      <c r="M373" s="6">
        <v>18.2714</v>
      </c>
      <c r="N373" s="6">
        <v>-3.2206800000000001E-3</v>
      </c>
      <c r="O373" s="6">
        <v>-6.0037899999999998E-2</v>
      </c>
      <c r="P373" s="6">
        <v>18.581299999999999</v>
      </c>
      <c r="Q373" s="6">
        <v>18.641400000000001</v>
      </c>
      <c r="R373" s="6">
        <v>129.99700000000001</v>
      </c>
      <c r="S373" s="6">
        <v>129.99700000000001</v>
      </c>
      <c r="T373" s="6">
        <v>4.6947999999999999</v>
      </c>
      <c r="U373" s="6">
        <v>16488.3</v>
      </c>
      <c r="V373">
        <f t="shared" si="10"/>
        <v>88.837823275862064</v>
      </c>
      <c r="W373">
        <f t="shared" si="11"/>
        <v>2.6628466666666663E-3</v>
      </c>
    </row>
    <row r="374" spans="1:23" x14ac:dyDescent="0.3">
      <c r="A374" s="6">
        <v>367</v>
      </c>
      <c r="B374" s="6">
        <v>5.3641399999999999E-3</v>
      </c>
      <c r="C374" s="6">
        <v>0.20879300000000001</v>
      </c>
      <c r="D374" s="6">
        <v>39.132599999999996</v>
      </c>
      <c r="E374" s="6">
        <v>38.923900000000003</v>
      </c>
      <c r="F374" s="6">
        <v>-2.4733200000000002E-3</v>
      </c>
      <c r="G374" s="6">
        <v>-4.8145899999999998E-2</v>
      </c>
      <c r="H374" s="6">
        <v>19.417899999999999</v>
      </c>
      <c r="I374" s="6">
        <v>19.466100000000001</v>
      </c>
      <c r="J374" s="6">
        <v>-2.3711299999999999E-3</v>
      </c>
      <c r="K374" s="6">
        <v>-4.33237E-2</v>
      </c>
      <c r="L374" s="6">
        <v>18.228000000000002</v>
      </c>
      <c r="M374" s="6">
        <v>18.2714</v>
      </c>
      <c r="N374" s="6">
        <v>-3.1758799999999998E-3</v>
      </c>
      <c r="O374" s="6">
        <v>-5.9202699999999997E-2</v>
      </c>
      <c r="P374" s="6">
        <v>18.5822</v>
      </c>
      <c r="Q374" s="6">
        <v>18.641400000000001</v>
      </c>
      <c r="R374" s="6">
        <v>130.244</v>
      </c>
      <c r="S374" s="6">
        <v>130.244</v>
      </c>
      <c r="T374" s="6">
        <v>4.6921999999999997</v>
      </c>
      <c r="U374" s="6">
        <v>16479.2</v>
      </c>
      <c r="V374">
        <f t="shared" si="10"/>
        <v>88.788793103448285</v>
      </c>
      <c r="W374">
        <f t="shared" si="11"/>
        <v>2.6734433333333329E-3</v>
      </c>
    </row>
    <row r="375" spans="1:23" x14ac:dyDescent="0.3">
      <c r="A375" s="6">
        <v>368</v>
      </c>
      <c r="B375" s="6">
        <v>5.4138299999999997E-3</v>
      </c>
      <c r="C375" s="6">
        <v>0.210727</v>
      </c>
      <c r="D375" s="6">
        <v>39.134599999999999</v>
      </c>
      <c r="E375" s="6">
        <v>38.923900000000003</v>
      </c>
      <c r="F375" s="6">
        <v>-2.4562099999999999E-3</v>
      </c>
      <c r="G375" s="6">
        <v>-4.78127E-2</v>
      </c>
      <c r="H375" s="6">
        <v>19.418199999999999</v>
      </c>
      <c r="I375" s="6">
        <v>19.466100000000001</v>
      </c>
      <c r="J375" s="6">
        <v>-2.34045E-3</v>
      </c>
      <c r="K375" s="6">
        <v>-4.2763299999999997E-2</v>
      </c>
      <c r="L375" s="6">
        <v>18.2286</v>
      </c>
      <c r="M375" s="6">
        <v>18.2714</v>
      </c>
      <c r="N375" s="6">
        <v>-3.1963199999999999E-3</v>
      </c>
      <c r="O375" s="6">
        <v>-5.9583700000000003E-2</v>
      </c>
      <c r="P375" s="6">
        <v>18.581800000000001</v>
      </c>
      <c r="Q375" s="6">
        <v>18.641400000000001</v>
      </c>
      <c r="R375" s="6">
        <v>130.43299999999999</v>
      </c>
      <c r="S375" s="6">
        <v>130.434</v>
      </c>
      <c r="T375" s="6">
        <v>4.6977000000000002</v>
      </c>
      <c r="U375" s="6">
        <v>16498.400000000001</v>
      </c>
      <c r="V375">
        <f t="shared" si="10"/>
        <v>88.892241379310349</v>
      </c>
      <c r="W375">
        <f t="shared" si="11"/>
        <v>2.6643266666666666E-3</v>
      </c>
    </row>
    <row r="376" spans="1:23" x14ac:dyDescent="0.3">
      <c r="A376" s="6">
        <v>369</v>
      </c>
      <c r="B376" s="6">
        <v>5.4072800000000004E-3</v>
      </c>
      <c r="C376" s="6">
        <v>0.21047199999999999</v>
      </c>
      <c r="D376" s="6">
        <v>39.134300000000003</v>
      </c>
      <c r="E376" s="6">
        <v>38.923900000000003</v>
      </c>
      <c r="F376" s="6">
        <v>-2.4722099999999999E-3</v>
      </c>
      <c r="G376" s="6">
        <v>-4.8124199999999999E-2</v>
      </c>
      <c r="H376" s="6">
        <v>19.417899999999999</v>
      </c>
      <c r="I376" s="6">
        <v>19.466100000000001</v>
      </c>
      <c r="J376" s="6">
        <v>-2.4028299999999999E-3</v>
      </c>
      <c r="K376" s="6">
        <v>-4.3902900000000002E-2</v>
      </c>
      <c r="L376" s="6">
        <v>18.227499999999999</v>
      </c>
      <c r="M376" s="6">
        <v>18.2714</v>
      </c>
      <c r="N376" s="6">
        <v>-3.2575199999999999E-3</v>
      </c>
      <c r="O376" s="6">
        <v>-6.0724599999999997E-2</v>
      </c>
      <c r="P376" s="6">
        <v>18.5806</v>
      </c>
      <c r="Q376" s="6">
        <v>18.641400000000001</v>
      </c>
      <c r="R376" s="6">
        <v>130.62299999999999</v>
      </c>
      <c r="S376" s="6">
        <v>130.62299999999999</v>
      </c>
      <c r="T376" s="6">
        <v>4.7115999999999998</v>
      </c>
      <c r="U376" s="6">
        <v>16547</v>
      </c>
      <c r="V376">
        <f t="shared" si="10"/>
        <v>89.154094827586206</v>
      </c>
      <c r="W376">
        <f t="shared" si="11"/>
        <v>2.7108533333333336E-3</v>
      </c>
    </row>
    <row r="377" spans="1:23" x14ac:dyDescent="0.3">
      <c r="A377" s="6">
        <v>370</v>
      </c>
      <c r="B377" s="6">
        <v>5.3867200000000002E-3</v>
      </c>
      <c r="C377" s="6">
        <v>0.209672</v>
      </c>
      <c r="D377" s="6">
        <v>39.133499999999998</v>
      </c>
      <c r="E377" s="6">
        <v>38.923900000000003</v>
      </c>
      <c r="F377" s="6">
        <v>-2.5539099999999999E-3</v>
      </c>
      <c r="G377" s="6">
        <v>-4.9714500000000002E-2</v>
      </c>
      <c r="H377" s="6">
        <v>19.4163</v>
      </c>
      <c r="I377" s="6">
        <v>19.466100000000001</v>
      </c>
      <c r="J377" s="6">
        <v>-2.4033599999999998E-3</v>
      </c>
      <c r="K377" s="6">
        <v>-4.3912699999999999E-2</v>
      </c>
      <c r="L377" s="6">
        <v>18.227399999999999</v>
      </c>
      <c r="M377" s="6">
        <v>18.2714</v>
      </c>
      <c r="N377" s="6">
        <v>-3.2889600000000001E-3</v>
      </c>
      <c r="O377" s="6">
        <v>-6.1310700000000003E-2</v>
      </c>
      <c r="P377" s="6">
        <v>18.580100000000002</v>
      </c>
      <c r="Q377" s="6">
        <v>18.641400000000001</v>
      </c>
      <c r="R377" s="6">
        <v>130.995</v>
      </c>
      <c r="S377" s="6">
        <v>130.995</v>
      </c>
      <c r="T377" s="6">
        <v>4.7148000000000003</v>
      </c>
      <c r="U377" s="6">
        <v>16558.3</v>
      </c>
      <c r="V377">
        <f t="shared" si="10"/>
        <v>89.214978448275858</v>
      </c>
      <c r="W377">
        <f t="shared" si="11"/>
        <v>2.7487433333333333E-3</v>
      </c>
    </row>
    <row r="378" spans="1:23" x14ac:dyDescent="0.3">
      <c r="A378" s="6">
        <v>371</v>
      </c>
      <c r="B378" s="6">
        <v>5.4279699999999998E-3</v>
      </c>
      <c r="C378" s="6">
        <v>0.21127799999999999</v>
      </c>
      <c r="D378" s="6">
        <v>39.135100000000001</v>
      </c>
      <c r="E378" s="6">
        <v>38.923900000000003</v>
      </c>
      <c r="F378" s="6">
        <v>-2.5479000000000001E-3</v>
      </c>
      <c r="G378" s="6">
        <v>-4.9597500000000003E-2</v>
      </c>
      <c r="H378" s="6">
        <v>19.416499999999999</v>
      </c>
      <c r="I378" s="6">
        <v>19.466100000000001</v>
      </c>
      <c r="J378" s="6">
        <v>-2.4148099999999999E-3</v>
      </c>
      <c r="K378" s="6">
        <v>-4.4121899999999999E-2</v>
      </c>
      <c r="L378" s="6">
        <v>18.2272</v>
      </c>
      <c r="M378" s="6">
        <v>18.2714</v>
      </c>
      <c r="N378" s="6">
        <v>-3.2260399999999999E-3</v>
      </c>
      <c r="O378" s="6">
        <v>-6.0137700000000002E-2</v>
      </c>
      <c r="P378" s="6">
        <v>18.581199999999999</v>
      </c>
      <c r="Q378" s="6">
        <v>18.641400000000001</v>
      </c>
      <c r="R378" s="6">
        <v>131.12100000000001</v>
      </c>
      <c r="S378" s="6">
        <v>131.12100000000001</v>
      </c>
      <c r="T378" s="6">
        <v>4.7228000000000003</v>
      </c>
      <c r="U378" s="6">
        <v>16586.599999999999</v>
      </c>
      <c r="V378">
        <f t="shared" si="10"/>
        <v>89.367456896551715</v>
      </c>
      <c r="W378">
        <f t="shared" si="11"/>
        <v>2.7295833333333334E-3</v>
      </c>
    </row>
    <row r="379" spans="1:23" x14ac:dyDescent="0.3">
      <c r="A379" s="6">
        <v>372</v>
      </c>
      <c r="B379" s="6">
        <v>5.4225699999999998E-3</v>
      </c>
      <c r="C379" s="6">
        <v>0.211067</v>
      </c>
      <c r="D379" s="6">
        <v>39.134900000000002</v>
      </c>
      <c r="E379" s="6">
        <v>38.923900000000003</v>
      </c>
      <c r="F379" s="6">
        <v>-2.48913E-3</v>
      </c>
      <c r="G379" s="6">
        <v>-4.8453599999999999E-2</v>
      </c>
      <c r="H379" s="6">
        <v>19.4176</v>
      </c>
      <c r="I379" s="6">
        <v>19.466100000000001</v>
      </c>
      <c r="J379" s="6">
        <v>-2.4501800000000002E-3</v>
      </c>
      <c r="K379" s="6">
        <v>-4.4768200000000001E-2</v>
      </c>
      <c r="L379" s="6">
        <v>18.226600000000001</v>
      </c>
      <c r="M379" s="6">
        <v>18.2714</v>
      </c>
      <c r="N379" s="6">
        <v>-3.3755999999999999E-3</v>
      </c>
      <c r="O379" s="6">
        <v>-6.2925900000000007E-2</v>
      </c>
      <c r="P379" s="6">
        <v>18.578399999999998</v>
      </c>
      <c r="Q379" s="6">
        <v>18.641400000000001</v>
      </c>
      <c r="R379" s="6">
        <v>131.435</v>
      </c>
      <c r="S379" s="6">
        <v>131.43600000000001</v>
      </c>
      <c r="T379" s="6">
        <v>4.7331000000000003</v>
      </c>
      <c r="U379" s="6">
        <v>16622.8</v>
      </c>
      <c r="V379">
        <f t="shared" si="10"/>
        <v>89.5625</v>
      </c>
      <c r="W379">
        <f t="shared" si="11"/>
        <v>2.7716366666666668E-3</v>
      </c>
    </row>
    <row r="380" spans="1:23" x14ac:dyDescent="0.3">
      <c r="A380" s="6">
        <v>373</v>
      </c>
      <c r="B380" s="6">
        <v>5.4550299999999996E-3</v>
      </c>
      <c r="C380" s="6">
        <v>0.21233099999999999</v>
      </c>
      <c r="D380" s="6">
        <v>39.136200000000002</v>
      </c>
      <c r="E380" s="6">
        <v>38.923900000000003</v>
      </c>
      <c r="F380" s="6">
        <v>-2.5141199999999999E-3</v>
      </c>
      <c r="G380" s="6">
        <v>-4.89401E-2</v>
      </c>
      <c r="H380" s="6">
        <v>19.417100000000001</v>
      </c>
      <c r="I380" s="6">
        <v>19.466100000000001</v>
      </c>
      <c r="J380" s="6">
        <v>-2.4068499999999999E-3</v>
      </c>
      <c r="K380" s="6">
        <v>-4.3976399999999999E-2</v>
      </c>
      <c r="L380" s="6">
        <v>18.227399999999999</v>
      </c>
      <c r="M380" s="6">
        <v>18.2714</v>
      </c>
      <c r="N380" s="6">
        <v>-3.2935899999999999E-3</v>
      </c>
      <c r="O380" s="6">
        <v>-6.1397100000000003E-2</v>
      </c>
      <c r="P380" s="6">
        <v>18.579999999999998</v>
      </c>
      <c r="Q380" s="6">
        <v>18.641400000000001</v>
      </c>
      <c r="R380" s="6">
        <v>131.679</v>
      </c>
      <c r="S380" s="6">
        <v>131.679</v>
      </c>
      <c r="T380" s="6">
        <v>4.7382999999999997</v>
      </c>
      <c r="U380" s="6">
        <v>16640.900000000001</v>
      </c>
      <c r="V380">
        <f t="shared" si="10"/>
        <v>89.660021551724142</v>
      </c>
      <c r="W380">
        <f t="shared" si="11"/>
        <v>2.7381866666666664E-3</v>
      </c>
    </row>
    <row r="381" spans="1:23" x14ac:dyDescent="0.3">
      <c r="A381" s="6">
        <v>374</v>
      </c>
      <c r="B381" s="6">
        <v>5.3911000000000002E-3</v>
      </c>
      <c r="C381" s="6">
        <v>0.209842</v>
      </c>
      <c r="D381" s="6">
        <v>39.133699999999997</v>
      </c>
      <c r="E381" s="6">
        <v>38.923900000000003</v>
      </c>
      <c r="F381" s="6">
        <v>-2.5646699999999998E-3</v>
      </c>
      <c r="G381" s="6">
        <v>-4.9924000000000003E-2</v>
      </c>
      <c r="H381" s="6">
        <v>19.4161</v>
      </c>
      <c r="I381" s="6">
        <v>19.466100000000001</v>
      </c>
      <c r="J381" s="6">
        <v>-2.48496E-3</v>
      </c>
      <c r="K381" s="6">
        <v>-4.5403600000000002E-2</v>
      </c>
      <c r="L381" s="6">
        <v>18.225999999999999</v>
      </c>
      <c r="M381" s="6">
        <v>18.2714</v>
      </c>
      <c r="N381" s="6">
        <v>-3.3650799999999999E-3</v>
      </c>
      <c r="O381" s="6">
        <v>-6.2729800000000002E-2</v>
      </c>
      <c r="P381" s="6">
        <v>18.578600000000002</v>
      </c>
      <c r="Q381" s="6">
        <v>18.641400000000001</v>
      </c>
      <c r="R381" s="6">
        <v>132.11699999999999</v>
      </c>
      <c r="S381" s="6">
        <v>132.11699999999999</v>
      </c>
      <c r="T381" s="6">
        <v>4.7541000000000002</v>
      </c>
      <c r="U381" s="6">
        <v>16696.2</v>
      </c>
      <c r="V381">
        <f t="shared" si="10"/>
        <v>89.957974137931046</v>
      </c>
      <c r="W381">
        <f t="shared" si="11"/>
        <v>2.8049033333333328E-3</v>
      </c>
    </row>
    <row r="382" spans="1:23" x14ac:dyDescent="0.3">
      <c r="A382" s="6">
        <v>375</v>
      </c>
      <c r="B382" s="6">
        <v>5.4666000000000003E-3</v>
      </c>
      <c r="C382" s="6">
        <v>0.212781</v>
      </c>
      <c r="D382" s="6">
        <v>39.136600000000001</v>
      </c>
      <c r="E382" s="6">
        <v>38.923900000000003</v>
      </c>
      <c r="F382" s="6">
        <v>-2.5381700000000002E-3</v>
      </c>
      <c r="G382" s="6">
        <v>-4.9408100000000003E-2</v>
      </c>
      <c r="H382" s="6">
        <v>19.416699999999999</v>
      </c>
      <c r="I382" s="6">
        <v>19.466100000000001</v>
      </c>
      <c r="J382" s="6">
        <v>-2.4295300000000001E-3</v>
      </c>
      <c r="K382" s="6">
        <v>-4.4390800000000001E-2</v>
      </c>
      <c r="L382" s="6">
        <v>18.227</v>
      </c>
      <c r="M382" s="6">
        <v>18.2714</v>
      </c>
      <c r="N382" s="6">
        <v>-3.2973199999999999E-3</v>
      </c>
      <c r="O382" s="6">
        <v>-6.1466600000000003E-2</v>
      </c>
      <c r="P382" s="6">
        <v>18.579899999999999</v>
      </c>
      <c r="Q382" s="6">
        <v>18.641400000000001</v>
      </c>
      <c r="R382" s="6">
        <v>132.24299999999999</v>
      </c>
      <c r="S382" s="6">
        <v>132.244</v>
      </c>
      <c r="T382" s="6">
        <v>4.7541000000000002</v>
      </c>
      <c r="U382" s="6">
        <v>16696.2</v>
      </c>
      <c r="V382">
        <f t="shared" si="10"/>
        <v>89.957974137931046</v>
      </c>
      <c r="W382">
        <f t="shared" si="11"/>
        <v>2.7550066666666667E-3</v>
      </c>
    </row>
    <row r="383" spans="1:23" x14ac:dyDescent="0.3">
      <c r="A383" s="6">
        <v>376</v>
      </c>
      <c r="B383" s="6">
        <v>5.4682100000000003E-3</v>
      </c>
      <c r="C383" s="6">
        <v>0.21284400000000001</v>
      </c>
      <c r="D383" s="6">
        <v>39.136699999999998</v>
      </c>
      <c r="E383" s="6">
        <v>38.923900000000003</v>
      </c>
      <c r="F383" s="6">
        <v>-2.5518200000000002E-3</v>
      </c>
      <c r="G383" s="6">
        <v>-4.9674000000000003E-2</v>
      </c>
      <c r="H383" s="6">
        <v>19.416399999999999</v>
      </c>
      <c r="I383" s="6">
        <v>19.466100000000001</v>
      </c>
      <c r="J383" s="6">
        <v>-2.45956E-3</v>
      </c>
      <c r="K383" s="6">
        <v>-4.49395E-2</v>
      </c>
      <c r="L383" s="6">
        <v>18.226400000000002</v>
      </c>
      <c r="M383" s="6">
        <v>18.2714</v>
      </c>
      <c r="N383" s="6">
        <v>-3.33234E-3</v>
      </c>
      <c r="O383" s="6">
        <v>-6.2119300000000002E-2</v>
      </c>
      <c r="P383" s="6">
        <v>18.5792</v>
      </c>
      <c r="Q383" s="6">
        <v>18.641400000000001</v>
      </c>
      <c r="R383" s="6">
        <v>132.553</v>
      </c>
      <c r="S383" s="6">
        <v>132.553</v>
      </c>
      <c r="T383" s="6">
        <v>4.7717999999999998</v>
      </c>
      <c r="U383" s="6">
        <v>16758.400000000001</v>
      </c>
      <c r="V383">
        <f t="shared" si="10"/>
        <v>90.293103448275872</v>
      </c>
      <c r="W383">
        <f t="shared" si="11"/>
        <v>2.7812400000000004E-3</v>
      </c>
    </row>
    <row r="384" spans="1:23" x14ac:dyDescent="0.3">
      <c r="A384" s="6">
        <v>377</v>
      </c>
      <c r="B384" s="6">
        <v>5.5368300000000004E-3</v>
      </c>
      <c r="C384" s="6">
        <v>0.21551500000000001</v>
      </c>
      <c r="D384" s="6">
        <v>39.139400000000002</v>
      </c>
      <c r="E384" s="6">
        <v>38.923900000000003</v>
      </c>
      <c r="F384" s="6">
        <v>-2.5814800000000001E-3</v>
      </c>
      <c r="G384" s="6">
        <v>-5.0251299999999999E-2</v>
      </c>
      <c r="H384" s="6">
        <v>19.415800000000001</v>
      </c>
      <c r="I384" s="6">
        <v>19.466100000000001</v>
      </c>
      <c r="J384" s="6">
        <v>-2.44824E-3</v>
      </c>
      <c r="K384" s="6">
        <v>-4.47327E-2</v>
      </c>
      <c r="L384" s="6">
        <v>18.226600000000001</v>
      </c>
      <c r="M384" s="6">
        <v>18.2714</v>
      </c>
      <c r="N384" s="6">
        <v>-3.3091100000000001E-3</v>
      </c>
      <c r="O384" s="6">
        <v>-6.1686299999999999E-2</v>
      </c>
      <c r="P384" s="6">
        <v>18.579699999999999</v>
      </c>
      <c r="Q384" s="6">
        <v>18.641400000000001</v>
      </c>
      <c r="R384" s="6">
        <v>132.99</v>
      </c>
      <c r="S384" s="6">
        <v>132.99</v>
      </c>
      <c r="T384" s="6">
        <v>4.7878999999999996</v>
      </c>
      <c r="U384" s="6">
        <v>16814.900000000001</v>
      </c>
      <c r="V384">
        <f t="shared" si="10"/>
        <v>90.597521551724142</v>
      </c>
      <c r="W384">
        <f t="shared" si="11"/>
        <v>2.7796100000000001E-3</v>
      </c>
    </row>
    <row r="385" spans="1:23" x14ac:dyDescent="0.3">
      <c r="A385" s="6">
        <v>378</v>
      </c>
      <c r="B385" s="6">
        <v>5.4926799999999998E-3</v>
      </c>
      <c r="C385" s="6">
        <v>0.21379600000000001</v>
      </c>
      <c r="D385" s="6">
        <v>39.137700000000002</v>
      </c>
      <c r="E385" s="6">
        <v>38.923900000000003</v>
      </c>
      <c r="F385" s="6">
        <v>-2.6566799999999998E-3</v>
      </c>
      <c r="G385" s="6">
        <v>-5.17151E-2</v>
      </c>
      <c r="H385" s="6">
        <v>19.414300000000001</v>
      </c>
      <c r="I385" s="6">
        <v>19.466100000000001</v>
      </c>
      <c r="J385" s="6">
        <v>-2.5482899999999999E-3</v>
      </c>
      <c r="K385" s="6">
        <v>-4.6560799999999999E-2</v>
      </c>
      <c r="L385" s="6">
        <v>18.224799999999998</v>
      </c>
      <c r="M385" s="6">
        <v>18.2714</v>
      </c>
      <c r="N385" s="6">
        <v>-3.3724499999999999E-3</v>
      </c>
      <c r="O385" s="6">
        <v>-6.2867099999999995E-2</v>
      </c>
      <c r="P385" s="6">
        <v>18.578499999999998</v>
      </c>
      <c r="Q385" s="6">
        <v>18.641400000000001</v>
      </c>
      <c r="R385" s="6">
        <v>133.30199999999999</v>
      </c>
      <c r="S385" s="6">
        <v>133.30199999999999</v>
      </c>
      <c r="T385" s="6">
        <v>4.7972999999999999</v>
      </c>
      <c r="U385" s="6">
        <v>16847.7</v>
      </c>
      <c r="V385">
        <f t="shared" si="10"/>
        <v>90.774245689655174</v>
      </c>
      <c r="W385">
        <f t="shared" si="11"/>
        <v>2.8591399999999996E-3</v>
      </c>
    </row>
    <row r="386" spans="1:23" x14ac:dyDescent="0.3">
      <c r="A386" s="6">
        <v>379</v>
      </c>
      <c r="B386" s="6">
        <v>5.5092700000000001E-3</v>
      </c>
      <c r="C386" s="6">
        <v>0.21444199999999999</v>
      </c>
      <c r="D386" s="6">
        <v>39.138300000000001</v>
      </c>
      <c r="E386" s="6">
        <v>38.923900000000003</v>
      </c>
      <c r="F386" s="6">
        <v>-2.5812700000000001E-3</v>
      </c>
      <c r="G386" s="6">
        <v>-5.0247199999999999E-2</v>
      </c>
      <c r="H386" s="6">
        <v>19.415800000000001</v>
      </c>
      <c r="I386" s="6">
        <v>19.466100000000001</v>
      </c>
      <c r="J386" s="6">
        <v>-2.4293399999999999E-3</v>
      </c>
      <c r="K386" s="6">
        <v>-4.4387299999999998E-2</v>
      </c>
      <c r="L386" s="6">
        <v>18.227</v>
      </c>
      <c r="M386" s="6">
        <v>18.2714</v>
      </c>
      <c r="N386" s="6">
        <v>-3.3322400000000002E-3</v>
      </c>
      <c r="O386" s="6">
        <v>-6.2117499999999999E-2</v>
      </c>
      <c r="P386" s="6">
        <v>18.5792</v>
      </c>
      <c r="Q386" s="6">
        <v>18.641400000000001</v>
      </c>
      <c r="R386" s="6">
        <v>133.61699999999999</v>
      </c>
      <c r="S386" s="6">
        <v>133.61699999999999</v>
      </c>
      <c r="T386" s="6">
        <v>4.8044000000000002</v>
      </c>
      <c r="U386" s="6">
        <v>16872.599999999999</v>
      </c>
      <c r="V386">
        <f t="shared" si="10"/>
        <v>90.908405172413794</v>
      </c>
      <c r="W386">
        <f t="shared" si="11"/>
        <v>2.7809500000000003E-3</v>
      </c>
    </row>
    <row r="387" spans="1:23" x14ac:dyDescent="0.3">
      <c r="A387" s="6">
        <v>380</v>
      </c>
      <c r="B387" s="6">
        <v>5.5454199999999997E-3</v>
      </c>
      <c r="C387" s="6">
        <v>0.21584900000000001</v>
      </c>
      <c r="D387" s="6">
        <v>39.139699999999998</v>
      </c>
      <c r="E387" s="6">
        <v>38.923900000000003</v>
      </c>
      <c r="F387" s="6">
        <v>-2.5582399999999998E-3</v>
      </c>
      <c r="G387" s="6">
        <v>-4.9798799999999997E-2</v>
      </c>
      <c r="H387" s="6">
        <v>19.4163</v>
      </c>
      <c r="I387" s="6">
        <v>19.466100000000001</v>
      </c>
      <c r="J387" s="6">
        <v>-2.44838E-3</v>
      </c>
      <c r="K387" s="6">
        <v>-4.4735299999999999E-2</v>
      </c>
      <c r="L387" s="6">
        <v>18.226600000000001</v>
      </c>
      <c r="M387" s="6">
        <v>18.2714</v>
      </c>
      <c r="N387" s="6">
        <v>-3.3537900000000002E-3</v>
      </c>
      <c r="O387" s="6">
        <v>-6.2519099999999994E-2</v>
      </c>
      <c r="P387" s="6">
        <v>18.578800000000001</v>
      </c>
      <c r="Q387" s="6">
        <v>18.641400000000001</v>
      </c>
      <c r="R387" s="6">
        <v>134.05199999999999</v>
      </c>
      <c r="S387" s="6">
        <v>134.05199999999999</v>
      </c>
      <c r="T387" s="6">
        <v>4.8234000000000004</v>
      </c>
      <c r="U387" s="6">
        <v>16939.2</v>
      </c>
      <c r="V387">
        <f t="shared" si="10"/>
        <v>91.267241379310349</v>
      </c>
      <c r="W387">
        <f t="shared" si="11"/>
        <v>2.7868033333333336E-3</v>
      </c>
    </row>
    <row r="388" spans="1:23" x14ac:dyDescent="0.3">
      <c r="A388" s="6">
        <v>381</v>
      </c>
      <c r="B388" s="6">
        <v>5.6232900000000004E-3</v>
      </c>
      <c r="C388" s="6">
        <v>0.21887999999999999</v>
      </c>
      <c r="D388" s="6">
        <v>39.142699999999998</v>
      </c>
      <c r="E388" s="6">
        <v>38.923900000000003</v>
      </c>
      <c r="F388" s="6">
        <v>-2.6298200000000002E-3</v>
      </c>
      <c r="G388" s="6">
        <v>-5.11922E-2</v>
      </c>
      <c r="H388" s="6">
        <v>19.414899999999999</v>
      </c>
      <c r="I388" s="6">
        <v>19.466100000000001</v>
      </c>
      <c r="J388" s="6">
        <v>-2.4781299999999998E-3</v>
      </c>
      <c r="K388" s="6">
        <v>-4.5278800000000001E-2</v>
      </c>
      <c r="L388" s="6">
        <v>18.226099999999999</v>
      </c>
      <c r="M388" s="6">
        <v>18.2714</v>
      </c>
      <c r="N388" s="6">
        <v>-3.3233999999999998E-3</v>
      </c>
      <c r="O388" s="6">
        <v>-6.1952599999999997E-2</v>
      </c>
      <c r="P388" s="6">
        <v>18.5794</v>
      </c>
      <c r="Q388" s="6">
        <v>18.641400000000001</v>
      </c>
      <c r="R388" s="6">
        <v>134.42500000000001</v>
      </c>
      <c r="S388" s="6">
        <v>134.42500000000001</v>
      </c>
      <c r="T388" s="6">
        <v>4.8407999999999998</v>
      </c>
      <c r="U388" s="6">
        <v>17000.3</v>
      </c>
      <c r="V388">
        <f t="shared" si="10"/>
        <v>91.596443965517238</v>
      </c>
      <c r="W388">
        <f t="shared" si="11"/>
        <v>2.8104500000000004E-3</v>
      </c>
    </row>
    <row r="389" spans="1:23" x14ac:dyDescent="0.3">
      <c r="A389" s="6">
        <v>382</v>
      </c>
      <c r="B389" s="6">
        <v>5.5698400000000004E-3</v>
      </c>
      <c r="C389" s="6">
        <v>0.21679999999999999</v>
      </c>
      <c r="D389" s="6">
        <v>39.140700000000002</v>
      </c>
      <c r="E389" s="6">
        <v>38.923900000000003</v>
      </c>
      <c r="F389" s="6">
        <v>-2.6057099999999998E-3</v>
      </c>
      <c r="G389" s="6">
        <v>-5.0722900000000001E-2</v>
      </c>
      <c r="H389" s="6">
        <v>19.415299999999998</v>
      </c>
      <c r="I389" s="6">
        <v>19.466100000000001</v>
      </c>
      <c r="J389" s="6">
        <v>-2.4574900000000001E-3</v>
      </c>
      <c r="K389" s="6">
        <v>-4.4901700000000003E-2</v>
      </c>
      <c r="L389" s="6">
        <v>18.226500000000001</v>
      </c>
      <c r="M389" s="6">
        <v>18.2714</v>
      </c>
      <c r="N389" s="6">
        <v>-3.47869E-3</v>
      </c>
      <c r="O389" s="6">
        <v>-6.4847500000000002E-2</v>
      </c>
      <c r="P389" s="6">
        <v>18.576499999999999</v>
      </c>
      <c r="Q389" s="6">
        <v>18.641400000000001</v>
      </c>
      <c r="R389" s="6">
        <v>134.738</v>
      </c>
      <c r="S389" s="6">
        <v>134.738</v>
      </c>
      <c r="T389" s="6">
        <v>4.8442999999999996</v>
      </c>
      <c r="U389" s="6">
        <v>17012.7</v>
      </c>
      <c r="V389">
        <f t="shared" si="10"/>
        <v>91.66325431034484</v>
      </c>
      <c r="W389">
        <f t="shared" si="11"/>
        <v>2.8472966666666668E-3</v>
      </c>
    </row>
    <row r="390" spans="1:23" x14ac:dyDescent="0.3">
      <c r="A390" s="6">
        <v>383</v>
      </c>
      <c r="B390" s="6">
        <v>5.6069199999999996E-3</v>
      </c>
      <c r="C390" s="6">
        <v>0.21824299999999999</v>
      </c>
      <c r="D390" s="6">
        <v>39.142099999999999</v>
      </c>
      <c r="E390" s="6">
        <v>38.923900000000003</v>
      </c>
      <c r="F390" s="6">
        <v>-2.6051E-3</v>
      </c>
      <c r="G390" s="6">
        <v>-5.0710999999999999E-2</v>
      </c>
      <c r="H390" s="6">
        <v>19.415400000000002</v>
      </c>
      <c r="I390" s="6">
        <v>19.466100000000001</v>
      </c>
      <c r="J390" s="6">
        <v>-2.47642E-3</v>
      </c>
      <c r="K390" s="6">
        <v>-4.5247599999999999E-2</v>
      </c>
      <c r="L390" s="6">
        <v>18.226099999999999</v>
      </c>
      <c r="M390" s="6">
        <v>18.2714</v>
      </c>
      <c r="N390" s="6">
        <v>-3.3431300000000001E-3</v>
      </c>
      <c r="O390" s="6">
        <v>-6.2320399999999998E-2</v>
      </c>
      <c r="P390" s="6">
        <v>18.579000000000001</v>
      </c>
      <c r="Q390" s="6">
        <v>18.641400000000001</v>
      </c>
      <c r="R390" s="6">
        <v>135.23599999999999</v>
      </c>
      <c r="S390" s="6">
        <v>135.23599999999999</v>
      </c>
      <c r="T390" s="6">
        <v>4.8620999999999999</v>
      </c>
      <c r="U390" s="6">
        <v>17074.900000000001</v>
      </c>
      <c r="V390">
        <f t="shared" si="10"/>
        <v>91.998383620689665</v>
      </c>
      <c r="W390">
        <f t="shared" si="11"/>
        <v>2.8082166666666668E-3</v>
      </c>
    </row>
    <row r="391" spans="1:23" x14ac:dyDescent="0.3">
      <c r="A391" s="6">
        <v>384</v>
      </c>
      <c r="B391" s="6">
        <v>5.6037099999999996E-3</v>
      </c>
      <c r="C391" s="6">
        <v>0.21811800000000001</v>
      </c>
      <c r="D391" s="6">
        <v>39.142000000000003</v>
      </c>
      <c r="E391" s="6">
        <v>38.923900000000003</v>
      </c>
      <c r="F391" s="6">
        <v>-2.6239800000000001E-3</v>
      </c>
      <c r="G391" s="6">
        <v>-5.1078600000000002E-2</v>
      </c>
      <c r="H391" s="6">
        <v>19.414999999999999</v>
      </c>
      <c r="I391" s="6">
        <v>19.466100000000001</v>
      </c>
      <c r="J391" s="6">
        <v>-2.4841300000000002E-3</v>
      </c>
      <c r="K391" s="6">
        <v>-4.5388400000000002E-2</v>
      </c>
      <c r="L391" s="6">
        <v>18.225999999999999</v>
      </c>
      <c r="M391" s="6">
        <v>18.2714</v>
      </c>
      <c r="N391" s="6">
        <v>-3.36959E-3</v>
      </c>
      <c r="O391" s="6">
        <v>-6.2813800000000003E-2</v>
      </c>
      <c r="P391" s="6">
        <v>18.578600000000002</v>
      </c>
      <c r="Q391" s="6">
        <v>18.641400000000001</v>
      </c>
      <c r="R391" s="6">
        <v>135.42500000000001</v>
      </c>
      <c r="S391" s="6">
        <v>135.42500000000001</v>
      </c>
      <c r="T391" s="6">
        <v>4.8681999999999999</v>
      </c>
      <c r="U391" s="6">
        <v>17096.400000000001</v>
      </c>
      <c r="V391">
        <f t="shared" si="10"/>
        <v>92.114224137931046</v>
      </c>
      <c r="W391">
        <f t="shared" si="11"/>
        <v>2.8259000000000005E-3</v>
      </c>
    </row>
    <row r="392" spans="1:23" x14ac:dyDescent="0.3">
      <c r="A392" s="6">
        <v>385</v>
      </c>
      <c r="B392" s="6">
        <v>5.6092900000000003E-3</v>
      </c>
      <c r="C392" s="6">
        <v>0.218335</v>
      </c>
      <c r="D392" s="6">
        <v>39.142200000000003</v>
      </c>
      <c r="E392" s="6">
        <v>38.923900000000003</v>
      </c>
      <c r="F392" s="6">
        <v>-2.6031600000000002E-3</v>
      </c>
      <c r="G392" s="6">
        <v>-5.0673200000000002E-2</v>
      </c>
      <c r="H392" s="6">
        <v>19.415400000000002</v>
      </c>
      <c r="I392" s="6">
        <v>19.466100000000001</v>
      </c>
      <c r="J392" s="6">
        <v>-2.5236899999999999E-3</v>
      </c>
      <c r="K392" s="6">
        <v>-4.6111199999999998E-2</v>
      </c>
      <c r="L392" s="6">
        <v>18.225200000000001</v>
      </c>
      <c r="M392" s="6">
        <v>18.2714</v>
      </c>
      <c r="N392" s="6">
        <v>-3.4083799999999999E-3</v>
      </c>
      <c r="O392" s="6">
        <v>-6.3536899999999993E-2</v>
      </c>
      <c r="P392" s="6">
        <v>18.5778</v>
      </c>
      <c r="Q392" s="6">
        <v>18.641400000000001</v>
      </c>
      <c r="R392" s="6">
        <v>135.798</v>
      </c>
      <c r="S392" s="6">
        <v>135.798</v>
      </c>
      <c r="T392" s="6">
        <v>4.8807999999999998</v>
      </c>
      <c r="U392" s="6">
        <v>17140.400000000001</v>
      </c>
      <c r="V392">
        <f t="shared" ref="V392:V455" si="12">U392/A$2/B$2</f>
        <v>92.351293103448285</v>
      </c>
      <c r="W392">
        <f t="shared" ref="W392:W455" si="13">-AVERAGE(F392,J392,N392)</f>
        <v>2.845076666666667E-3</v>
      </c>
    </row>
    <row r="393" spans="1:23" x14ac:dyDescent="0.3">
      <c r="A393" s="6">
        <v>386</v>
      </c>
      <c r="B393" s="6">
        <v>5.6500500000000002E-3</v>
      </c>
      <c r="C393" s="6">
        <v>0.21992200000000001</v>
      </c>
      <c r="D393" s="6">
        <v>39.143799999999999</v>
      </c>
      <c r="E393" s="6">
        <v>38.923900000000003</v>
      </c>
      <c r="F393" s="6">
        <v>-2.6393499999999999E-3</v>
      </c>
      <c r="G393" s="6">
        <v>-5.1377800000000001E-2</v>
      </c>
      <c r="H393" s="6">
        <v>19.4147</v>
      </c>
      <c r="I393" s="6">
        <v>19.466100000000001</v>
      </c>
      <c r="J393" s="6">
        <v>-2.53908E-3</v>
      </c>
      <c r="K393" s="6">
        <v>-4.6392500000000003E-2</v>
      </c>
      <c r="L393" s="6">
        <v>18.225000000000001</v>
      </c>
      <c r="M393" s="6">
        <v>18.2714</v>
      </c>
      <c r="N393" s="6">
        <v>-3.4015E-3</v>
      </c>
      <c r="O393" s="6">
        <v>-6.3408599999999996E-2</v>
      </c>
      <c r="P393" s="6">
        <v>18.577999999999999</v>
      </c>
      <c r="Q393" s="6">
        <v>18.641400000000001</v>
      </c>
      <c r="R393" s="6">
        <v>136.23599999999999</v>
      </c>
      <c r="S393" s="6">
        <v>136.23599999999999</v>
      </c>
      <c r="T393" s="6">
        <v>4.8982000000000001</v>
      </c>
      <c r="U393" s="6">
        <v>17201.5</v>
      </c>
      <c r="V393">
        <f t="shared" si="12"/>
        <v>92.680495689655174</v>
      </c>
      <c r="W393">
        <f t="shared" si="13"/>
        <v>2.8599766666666665E-3</v>
      </c>
    </row>
    <row r="394" spans="1:23" x14ac:dyDescent="0.3">
      <c r="A394" s="6">
        <v>387</v>
      </c>
      <c r="B394" s="6">
        <v>5.6667100000000001E-3</v>
      </c>
      <c r="C394" s="6">
        <v>0.22056999999999999</v>
      </c>
      <c r="D394" s="6">
        <v>39.144399999999997</v>
      </c>
      <c r="E394" s="6">
        <v>38.923900000000003</v>
      </c>
      <c r="F394" s="6">
        <v>-2.6032799999999999E-3</v>
      </c>
      <c r="G394" s="6">
        <v>-5.0675600000000001E-2</v>
      </c>
      <c r="H394" s="6">
        <v>19.415400000000002</v>
      </c>
      <c r="I394" s="6">
        <v>19.466100000000001</v>
      </c>
      <c r="J394" s="6">
        <v>-2.4986399999999999E-3</v>
      </c>
      <c r="K394" s="6">
        <v>-4.5653600000000003E-2</v>
      </c>
      <c r="L394" s="6">
        <v>18.2257</v>
      </c>
      <c r="M394" s="6">
        <v>18.2714</v>
      </c>
      <c r="N394" s="6">
        <v>-3.4019300000000001E-3</v>
      </c>
      <c r="O394" s="6">
        <v>-6.3416700000000006E-2</v>
      </c>
      <c r="P394" s="6">
        <v>18.5779</v>
      </c>
      <c r="Q394" s="6">
        <v>18.641400000000001</v>
      </c>
      <c r="R394" s="6">
        <v>136.61099999999999</v>
      </c>
      <c r="S394" s="6">
        <v>136.61099999999999</v>
      </c>
      <c r="T394" s="6">
        <v>4.9104000000000001</v>
      </c>
      <c r="U394" s="6">
        <v>17244.400000000001</v>
      </c>
      <c r="V394">
        <f t="shared" si="12"/>
        <v>92.911637931034491</v>
      </c>
      <c r="W394">
        <f t="shared" si="13"/>
        <v>2.8346166666666666E-3</v>
      </c>
    </row>
    <row r="395" spans="1:23" x14ac:dyDescent="0.3">
      <c r="A395" s="6">
        <v>388</v>
      </c>
      <c r="B395" s="6">
        <v>5.6631900000000002E-3</v>
      </c>
      <c r="C395" s="6">
        <v>0.22043299999999999</v>
      </c>
      <c r="D395" s="6">
        <v>39.144300000000001</v>
      </c>
      <c r="E395" s="6">
        <v>38.923900000000003</v>
      </c>
      <c r="F395" s="6">
        <v>-2.6121500000000001E-3</v>
      </c>
      <c r="G395" s="6">
        <v>-5.0848400000000002E-2</v>
      </c>
      <c r="H395" s="6">
        <v>19.415199999999999</v>
      </c>
      <c r="I395" s="6">
        <v>19.466100000000001</v>
      </c>
      <c r="J395" s="6">
        <v>-2.4940800000000001E-3</v>
      </c>
      <c r="K395" s="6">
        <v>-4.5570199999999998E-2</v>
      </c>
      <c r="L395" s="6">
        <v>18.2258</v>
      </c>
      <c r="M395" s="6">
        <v>18.2714</v>
      </c>
      <c r="N395" s="6">
        <v>-3.39413E-3</v>
      </c>
      <c r="O395" s="6">
        <v>-6.3271300000000003E-2</v>
      </c>
      <c r="P395" s="6">
        <v>18.578099999999999</v>
      </c>
      <c r="Q395" s="6">
        <v>18.641400000000001</v>
      </c>
      <c r="R395" s="6">
        <v>137.04599999999999</v>
      </c>
      <c r="S395" s="6">
        <v>137.04599999999999</v>
      </c>
      <c r="T395" s="6">
        <v>4.9252000000000002</v>
      </c>
      <c r="U395" s="6">
        <v>17296.400000000001</v>
      </c>
      <c r="V395">
        <f t="shared" si="12"/>
        <v>93.191810344827601</v>
      </c>
      <c r="W395">
        <f t="shared" si="13"/>
        <v>2.8334533333333333E-3</v>
      </c>
    </row>
    <row r="396" spans="1:23" x14ac:dyDescent="0.3">
      <c r="A396" s="6">
        <v>389</v>
      </c>
      <c r="B396" s="6">
        <v>5.5782200000000001E-3</v>
      </c>
      <c r="C396" s="6">
        <v>0.21712600000000001</v>
      </c>
      <c r="D396" s="6">
        <v>39.140999999999998</v>
      </c>
      <c r="E396" s="6">
        <v>38.923900000000003</v>
      </c>
      <c r="F396" s="6">
        <v>-2.6863999999999998E-3</v>
      </c>
      <c r="G396" s="6">
        <v>-5.2293600000000003E-2</v>
      </c>
      <c r="H396" s="6">
        <v>19.413799999999998</v>
      </c>
      <c r="I396" s="6">
        <v>19.466100000000001</v>
      </c>
      <c r="J396" s="6">
        <v>-2.5718999999999998E-3</v>
      </c>
      <c r="K396" s="6">
        <v>-4.6992100000000002E-2</v>
      </c>
      <c r="L396" s="6">
        <v>18.224399999999999</v>
      </c>
      <c r="M396" s="6">
        <v>18.2714</v>
      </c>
      <c r="N396" s="6">
        <v>-3.4742200000000001E-3</v>
      </c>
      <c r="O396" s="6">
        <v>-6.4764199999999994E-2</v>
      </c>
      <c r="P396" s="6">
        <v>18.576599999999999</v>
      </c>
      <c r="Q396" s="6">
        <v>18.641400000000001</v>
      </c>
      <c r="R396" s="6">
        <v>137.547</v>
      </c>
      <c r="S396" s="6">
        <v>137.547</v>
      </c>
      <c r="T396" s="6">
        <v>4.9401000000000002</v>
      </c>
      <c r="U396" s="6">
        <v>17348.400000000001</v>
      </c>
      <c r="V396">
        <f t="shared" si="12"/>
        <v>93.471982758620697</v>
      </c>
      <c r="W396">
        <f t="shared" si="13"/>
        <v>2.91084E-3</v>
      </c>
    </row>
    <row r="397" spans="1:23" x14ac:dyDescent="0.3">
      <c r="A397" s="6">
        <v>390</v>
      </c>
      <c r="B397" s="6">
        <v>5.6271899999999998E-3</v>
      </c>
      <c r="C397" s="6">
        <v>0.219032</v>
      </c>
      <c r="D397" s="6">
        <v>39.142899999999997</v>
      </c>
      <c r="E397" s="6">
        <v>38.923900000000003</v>
      </c>
      <c r="F397" s="6">
        <v>-2.6443999999999999E-3</v>
      </c>
      <c r="G397" s="6">
        <v>-5.1476000000000001E-2</v>
      </c>
      <c r="H397" s="6">
        <v>19.4146</v>
      </c>
      <c r="I397" s="6">
        <v>19.466100000000001</v>
      </c>
      <c r="J397" s="6">
        <v>-2.5211399999999998E-3</v>
      </c>
      <c r="K397" s="6">
        <v>-4.6064599999999997E-2</v>
      </c>
      <c r="L397" s="6">
        <v>18.225300000000001</v>
      </c>
      <c r="M397" s="6">
        <v>18.2714</v>
      </c>
      <c r="N397" s="6">
        <v>-3.4971400000000001E-3</v>
      </c>
      <c r="O397" s="6">
        <v>-6.5191399999999997E-2</v>
      </c>
      <c r="P397" s="6">
        <v>18.5762</v>
      </c>
      <c r="Q397" s="6">
        <v>18.641400000000001</v>
      </c>
      <c r="R397" s="6">
        <v>137.732</v>
      </c>
      <c r="S397" s="6">
        <v>137.732</v>
      </c>
      <c r="T397" s="6">
        <v>4.9467999999999996</v>
      </c>
      <c r="U397" s="6">
        <v>17372.099999999999</v>
      </c>
      <c r="V397">
        <f t="shared" si="12"/>
        <v>93.599676724137922</v>
      </c>
      <c r="W397">
        <f t="shared" si="13"/>
        <v>2.8875599999999995E-3</v>
      </c>
    </row>
    <row r="398" spans="1:23" x14ac:dyDescent="0.3">
      <c r="A398" s="6">
        <v>391</v>
      </c>
      <c r="B398" s="6">
        <v>5.6280200000000001E-3</v>
      </c>
      <c r="C398" s="6">
        <v>0.21906400000000001</v>
      </c>
      <c r="D398" s="6">
        <v>39.142899999999997</v>
      </c>
      <c r="E398" s="6">
        <v>38.923900000000003</v>
      </c>
      <c r="F398" s="6">
        <v>-2.6964599999999999E-3</v>
      </c>
      <c r="G398" s="6">
        <v>-5.2489500000000001E-2</v>
      </c>
      <c r="H398" s="6">
        <v>19.413599999999999</v>
      </c>
      <c r="I398" s="6">
        <v>19.466100000000001</v>
      </c>
      <c r="J398" s="6">
        <v>-2.58779E-3</v>
      </c>
      <c r="K398" s="6">
        <v>-4.7282499999999998E-2</v>
      </c>
      <c r="L398" s="6">
        <v>18.2241</v>
      </c>
      <c r="M398" s="6">
        <v>18.2714</v>
      </c>
      <c r="N398" s="6">
        <v>-3.48344E-3</v>
      </c>
      <c r="O398" s="6">
        <v>-6.4935999999999994E-2</v>
      </c>
      <c r="P398" s="6">
        <v>18.5764</v>
      </c>
      <c r="Q398" s="6">
        <v>18.641400000000001</v>
      </c>
      <c r="R398" s="6">
        <v>138.04400000000001</v>
      </c>
      <c r="S398" s="6">
        <v>138.04499999999999</v>
      </c>
      <c r="T398" s="6">
        <v>4.9593999999999996</v>
      </c>
      <c r="U398" s="6">
        <v>17416.2</v>
      </c>
      <c r="V398">
        <f t="shared" si="12"/>
        <v>93.837284482758633</v>
      </c>
      <c r="W398">
        <f t="shared" si="13"/>
        <v>2.9225633333333331E-3</v>
      </c>
    </row>
    <row r="399" spans="1:23" x14ac:dyDescent="0.3">
      <c r="A399" s="6">
        <v>392</v>
      </c>
      <c r="B399" s="6">
        <v>5.78284E-3</v>
      </c>
      <c r="C399" s="6">
        <v>0.22509100000000001</v>
      </c>
      <c r="D399" s="6">
        <v>39.148899999999998</v>
      </c>
      <c r="E399" s="6">
        <v>38.923900000000003</v>
      </c>
      <c r="F399" s="6">
        <v>-2.7191099999999998E-3</v>
      </c>
      <c r="G399" s="6">
        <v>-5.2930400000000002E-2</v>
      </c>
      <c r="H399" s="6">
        <v>19.4131</v>
      </c>
      <c r="I399" s="6">
        <v>19.466100000000001</v>
      </c>
      <c r="J399" s="6">
        <v>-2.57596E-3</v>
      </c>
      <c r="K399" s="6">
        <v>-4.7066299999999998E-2</v>
      </c>
      <c r="L399" s="6">
        <v>18.224299999999999</v>
      </c>
      <c r="M399" s="6">
        <v>18.2714</v>
      </c>
      <c r="N399" s="6">
        <v>-3.4911E-3</v>
      </c>
      <c r="O399" s="6">
        <v>-6.5078899999999995E-2</v>
      </c>
      <c r="P399" s="6">
        <v>18.5763</v>
      </c>
      <c r="Q399" s="6">
        <v>18.641400000000001</v>
      </c>
      <c r="R399" s="6">
        <v>138.29400000000001</v>
      </c>
      <c r="S399" s="6">
        <v>138.29499999999999</v>
      </c>
      <c r="T399" s="6">
        <v>4.9675000000000002</v>
      </c>
      <c r="U399" s="6">
        <v>17444.5</v>
      </c>
      <c r="V399">
        <f t="shared" si="12"/>
        <v>93.989762931034491</v>
      </c>
      <c r="W399">
        <f t="shared" si="13"/>
        <v>2.928723333333333E-3</v>
      </c>
    </row>
    <row r="400" spans="1:23" x14ac:dyDescent="0.3">
      <c r="A400" s="6">
        <v>393</v>
      </c>
      <c r="B400" s="6">
        <v>5.6936299999999999E-3</v>
      </c>
      <c r="C400" s="6">
        <v>0.22161800000000001</v>
      </c>
      <c r="D400" s="6">
        <v>39.145499999999998</v>
      </c>
      <c r="E400" s="6">
        <v>38.923900000000003</v>
      </c>
      <c r="F400" s="6">
        <v>-2.7073000000000002E-3</v>
      </c>
      <c r="G400" s="6">
        <v>-5.2700400000000001E-2</v>
      </c>
      <c r="H400" s="6">
        <v>19.413399999999999</v>
      </c>
      <c r="I400" s="6">
        <v>19.466100000000001</v>
      </c>
      <c r="J400" s="6">
        <v>-2.57325E-3</v>
      </c>
      <c r="K400" s="6">
        <v>-4.7016799999999997E-2</v>
      </c>
      <c r="L400" s="6">
        <v>18.224299999999999</v>
      </c>
      <c r="M400" s="6">
        <v>18.2714</v>
      </c>
      <c r="N400" s="6">
        <v>-3.4740299999999999E-3</v>
      </c>
      <c r="O400" s="6">
        <v>-6.4760700000000004E-2</v>
      </c>
      <c r="P400" s="6">
        <v>18.576599999999999</v>
      </c>
      <c r="Q400" s="6">
        <v>18.641400000000001</v>
      </c>
      <c r="R400" s="6">
        <v>138.982</v>
      </c>
      <c r="S400" s="6">
        <v>138.983</v>
      </c>
      <c r="T400" s="6">
        <v>4.9813000000000001</v>
      </c>
      <c r="U400" s="6">
        <v>17493.099999999999</v>
      </c>
      <c r="V400">
        <f t="shared" si="12"/>
        <v>94.251616379310335</v>
      </c>
      <c r="W400">
        <f t="shared" si="13"/>
        <v>2.9181933333333331E-3</v>
      </c>
    </row>
    <row r="401" spans="1:23" x14ac:dyDescent="0.3">
      <c r="A401" s="6">
        <v>394</v>
      </c>
      <c r="B401" s="6">
        <v>5.7118200000000003E-3</v>
      </c>
      <c r="C401" s="6">
        <v>0.222326</v>
      </c>
      <c r="D401" s="6">
        <v>39.1462</v>
      </c>
      <c r="E401" s="6">
        <v>38.923900000000003</v>
      </c>
      <c r="F401" s="6">
        <v>-2.67593E-3</v>
      </c>
      <c r="G401" s="6">
        <v>-5.2089799999999999E-2</v>
      </c>
      <c r="H401" s="6">
        <v>19.414000000000001</v>
      </c>
      <c r="I401" s="6">
        <v>19.466100000000001</v>
      </c>
      <c r="J401" s="6">
        <v>-2.58793E-3</v>
      </c>
      <c r="K401" s="6">
        <v>-4.7285099999999997E-2</v>
      </c>
      <c r="L401" s="6">
        <v>18.2241</v>
      </c>
      <c r="M401" s="6">
        <v>18.2714</v>
      </c>
      <c r="N401" s="6">
        <v>-3.48607E-3</v>
      </c>
      <c r="O401" s="6">
        <v>-6.4985100000000004E-2</v>
      </c>
      <c r="P401" s="6">
        <v>18.5764</v>
      </c>
      <c r="Q401" s="6">
        <v>18.641400000000001</v>
      </c>
      <c r="R401" s="6">
        <v>139.23099999999999</v>
      </c>
      <c r="S401" s="6">
        <v>139.23099999999999</v>
      </c>
      <c r="T401" s="6">
        <v>4.9981</v>
      </c>
      <c r="U401" s="6">
        <v>17551.900000000001</v>
      </c>
      <c r="V401">
        <f t="shared" si="12"/>
        <v>94.568426724137936</v>
      </c>
      <c r="W401">
        <f t="shared" si="13"/>
        <v>2.9166433333333332E-3</v>
      </c>
    </row>
    <row r="402" spans="1:23" x14ac:dyDescent="0.3">
      <c r="A402" s="6">
        <v>395</v>
      </c>
      <c r="B402" s="6">
        <v>5.7307699999999996E-3</v>
      </c>
      <c r="C402" s="6">
        <v>0.22306400000000001</v>
      </c>
      <c r="D402" s="6">
        <v>39.146900000000002</v>
      </c>
      <c r="E402" s="6">
        <v>38.923900000000003</v>
      </c>
      <c r="F402" s="6">
        <v>-2.6352599999999999E-3</v>
      </c>
      <c r="G402" s="6">
        <v>-5.1298099999999999E-2</v>
      </c>
      <c r="H402" s="6">
        <v>19.4148</v>
      </c>
      <c r="I402" s="6">
        <v>19.466100000000001</v>
      </c>
      <c r="J402" s="6">
        <v>-2.57808E-3</v>
      </c>
      <c r="K402" s="6">
        <v>-4.7105099999999997E-2</v>
      </c>
      <c r="L402" s="6">
        <v>18.2242</v>
      </c>
      <c r="M402" s="6">
        <v>18.2714</v>
      </c>
      <c r="N402" s="6">
        <v>-3.47116E-3</v>
      </c>
      <c r="O402" s="6">
        <v>-6.4707200000000006E-2</v>
      </c>
      <c r="P402" s="6">
        <v>18.576699999999999</v>
      </c>
      <c r="Q402" s="6">
        <v>18.641400000000001</v>
      </c>
      <c r="R402" s="6">
        <v>139.54400000000001</v>
      </c>
      <c r="S402" s="6">
        <v>139.54400000000001</v>
      </c>
      <c r="T402" s="6">
        <v>5.0115999999999996</v>
      </c>
      <c r="U402" s="6">
        <v>17599.3</v>
      </c>
      <c r="V402">
        <f t="shared" si="12"/>
        <v>94.823814655172413</v>
      </c>
      <c r="W402">
        <f t="shared" si="13"/>
        <v>2.8948333333333339E-3</v>
      </c>
    </row>
    <row r="403" spans="1:23" x14ac:dyDescent="0.3">
      <c r="A403" s="6">
        <v>396</v>
      </c>
      <c r="B403" s="6">
        <v>5.8077900000000002E-3</v>
      </c>
      <c r="C403" s="6">
        <v>0.22606200000000001</v>
      </c>
      <c r="D403" s="6">
        <v>39.149900000000002</v>
      </c>
      <c r="E403" s="6">
        <v>38.923900000000003</v>
      </c>
      <c r="F403" s="6">
        <v>-2.71507E-3</v>
      </c>
      <c r="G403" s="6">
        <v>-5.2851700000000001E-2</v>
      </c>
      <c r="H403" s="6">
        <v>19.4132</v>
      </c>
      <c r="I403" s="6">
        <v>19.466100000000001</v>
      </c>
      <c r="J403" s="6">
        <v>-2.5739000000000001E-3</v>
      </c>
      <c r="K403" s="6">
        <v>-4.7028599999999997E-2</v>
      </c>
      <c r="L403" s="6">
        <v>18.224299999999999</v>
      </c>
      <c r="M403" s="6">
        <v>18.2714</v>
      </c>
      <c r="N403" s="6">
        <v>-3.43561E-3</v>
      </c>
      <c r="O403" s="6">
        <v>-6.4044599999999993E-2</v>
      </c>
      <c r="P403" s="6">
        <v>18.577300000000001</v>
      </c>
      <c r="Q403" s="6">
        <v>18.641400000000001</v>
      </c>
      <c r="R403" s="6">
        <v>139.85400000000001</v>
      </c>
      <c r="S403" s="6">
        <v>139.85400000000001</v>
      </c>
      <c r="T403" s="6">
        <v>5.0228999999999999</v>
      </c>
      <c r="U403" s="6">
        <v>17638.900000000001</v>
      </c>
      <c r="V403">
        <f t="shared" si="12"/>
        <v>95.037176724137936</v>
      </c>
      <c r="W403">
        <f t="shared" si="13"/>
        <v>2.9081933333333335E-3</v>
      </c>
    </row>
    <row r="404" spans="1:23" x14ac:dyDescent="0.3">
      <c r="A404" s="6">
        <v>397</v>
      </c>
      <c r="B404" s="6">
        <v>5.7289999999999997E-3</v>
      </c>
      <c r="C404" s="6">
        <v>0.222995</v>
      </c>
      <c r="D404" s="6">
        <v>39.146900000000002</v>
      </c>
      <c r="E404" s="6">
        <v>38.923900000000003</v>
      </c>
      <c r="F404" s="6">
        <v>-2.65343E-3</v>
      </c>
      <c r="G404" s="6">
        <v>-5.1651700000000002E-2</v>
      </c>
      <c r="H404" s="6">
        <v>19.414400000000001</v>
      </c>
      <c r="I404" s="6">
        <v>19.466100000000001</v>
      </c>
      <c r="J404" s="6">
        <v>-2.5533399999999999E-3</v>
      </c>
      <c r="K404" s="6">
        <v>-4.6652899999999997E-2</v>
      </c>
      <c r="L404" s="6">
        <v>18.224699999999999</v>
      </c>
      <c r="M404" s="6">
        <v>18.2714</v>
      </c>
      <c r="N404" s="6">
        <v>-3.4787899999999998E-3</v>
      </c>
      <c r="O404" s="6">
        <v>-6.4849400000000001E-2</v>
      </c>
      <c r="P404" s="6">
        <v>18.576499999999999</v>
      </c>
      <c r="Q404" s="6">
        <v>18.641400000000001</v>
      </c>
      <c r="R404" s="6">
        <v>140.417</v>
      </c>
      <c r="S404" s="6">
        <v>140.417</v>
      </c>
      <c r="T404" s="6">
        <v>5.0438000000000001</v>
      </c>
      <c r="U404" s="6">
        <v>17712.400000000001</v>
      </c>
      <c r="V404">
        <f t="shared" si="12"/>
        <v>95.433189655172427</v>
      </c>
      <c r="W404">
        <f t="shared" si="13"/>
        <v>2.895186666666666E-3</v>
      </c>
    </row>
    <row r="405" spans="1:23" x14ac:dyDescent="0.3">
      <c r="A405" s="6">
        <v>398</v>
      </c>
      <c r="B405" s="6">
        <v>5.7888799999999997E-3</v>
      </c>
      <c r="C405" s="6">
        <v>0.225326</v>
      </c>
      <c r="D405" s="6">
        <v>39.1492</v>
      </c>
      <c r="E405" s="6">
        <v>38.923900000000003</v>
      </c>
      <c r="F405" s="6">
        <v>-2.7298399999999999E-3</v>
      </c>
      <c r="G405" s="6">
        <v>-5.3139199999999998E-2</v>
      </c>
      <c r="H405" s="6">
        <v>19.4129</v>
      </c>
      <c r="I405" s="6">
        <v>19.466100000000001</v>
      </c>
      <c r="J405" s="6">
        <v>-2.6315900000000001E-3</v>
      </c>
      <c r="K405" s="6">
        <v>-4.8082600000000003E-2</v>
      </c>
      <c r="L405" s="6">
        <v>18.223299999999998</v>
      </c>
      <c r="M405" s="6">
        <v>18.2714</v>
      </c>
      <c r="N405" s="6">
        <v>-3.4970600000000002E-3</v>
      </c>
      <c r="O405" s="6">
        <v>-6.5189999999999998E-2</v>
      </c>
      <c r="P405" s="6">
        <v>18.5762</v>
      </c>
      <c r="Q405" s="6">
        <v>18.641400000000001</v>
      </c>
      <c r="R405" s="6">
        <v>140.72900000000001</v>
      </c>
      <c r="S405" s="6">
        <v>140.72900000000001</v>
      </c>
      <c r="T405" s="6">
        <v>5.0473999999999997</v>
      </c>
      <c r="U405" s="6">
        <v>17724.8</v>
      </c>
      <c r="V405">
        <f t="shared" si="12"/>
        <v>95.5</v>
      </c>
      <c r="W405">
        <f t="shared" si="13"/>
        <v>2.95283E-3</v>
      </c>
    </row>
    <row r="406" spans="1:23" x14ac:dyDescent="0.3">
      <c r="A406" s="6">
        <v>399</v>
      </c>
      <c r="B406" s="6">
        <v>5.7899400000000004E-3</v>
      </c>
      <c r="C406" s="6">
        <v>0.22536700000000001</v>
      </c>
      <c r="D406" s="6">
        <v>39.1492</v>
      </c>
      <c r="E406" s="6">
        <v>38.923900000000003</v>
      </c>
      <c r="F406" s="6">
        <v>-2.6966300000000002E-3</v>
      </c>
      <c r="G406" s="6">
        <v>-5.2492799999999999E-2</v>
      </c>
      <c r="H406" s="6">
        <v>19.413599999999999</v>
      </c>
      <c r="I406" s="6">
        <v>19.466100000000001</v>
      </c>
      <c r="J406" s="6">
        <v>-2.6223900000000001E-3</v>
      </c>
      <c r="K406" s="6">
        <v>-4.7914600000000002E-2</v>
      </c>
      <c r="L406" s="6">
        <v>18.223400000000002</v>
      </c>
      <c r="M406" s="6">
        <v>18.2714</v>
      </c>
      <c r="N406" s="6">
        <v>-3.5511499999999999E-3</v>
      </c>
      <c r="O406" s="6">
        <v>-6.6198300000000002E-2</v>
      </c>
      <c r="P406" s="6">
        <v>18.575199999999999</v>
      </c>
      <c r="Q406" s="6">
        <v>18.641400000000001</v>
      </c>
      <c r="R406" s="6">
        <v>141.04</v>
      </c>
      <c r="S406" s="6">
        <v>141.041</v>
      </c>
      <c r="T406" s="6">
        <v>5.0658000000000003</v>
      </c>
      <c r="U406" s="6">
        <v>17789.2</v>
      </c>
      <c r="V406">
        <f t="shared" si="12"/>
        <v>95.846982758620697</v>
      </c>
      <c r="W406">
        <f t="shared" si="13"/>
        <v>2.9567233333333332E-3</v>
      </c>
    </row>
    <row r="407" spans="1:23" x14ac:dyDescent="0.3">
      <c r="A407" s="6">
        <v>400</v>
      </c>
      <c r="B407" s="6">
        <v>5.8669799999999999E-3</v>
      </c>
      <c r="C407" s="6">
        <v>0.22836500000000001</v>
      </c>
      <c r="D407" s="6">
        <v>39.152200000000001</v>
      </c>
      <c r="E407" s="6">
        <v>38.923900000000003</v>
      </c>
      <c r="F407" s="6">
        <v>-2.73259E-3</v>
      </c>
      <c r="G407" s="6">
        <v>-5.3192799999999998E-2</v>
      </c>
      <c r="H407" s="6">
        <v>19.4129</v>
      </c>
      <c r="I407" s="6">
        <v>19.466100000000001</v>
      </c>
      <c r="J407" s="6">
        <v>-2.5779399999999999E-3</v>
      </c>
      <c r="K407" s="6">
        <v>-4.7102499999999999E-2</v>
      </c>
      <c r="L407" s="6">
        <v>18.224299999999999</v>
      </c>
      <c r="M407" s="6">
        <v>18.2714</v>
      </c>
      <c r="N407" s="6">
        <v>-3.5251900000000001E-3</v>
      </c>
      <c r="O407" s="6">
        <v>-6.5714300000000003E-2</v>
      </c>
      <c r="P407" s="6">
        <v>18.575600000000001</v>
      </c>
      <c r="Q407" s="6">
        <v>18.641400000000001</v>
      </c>
      <c r="R407" s="6">
        <v>141.417</v>
      </c>
      <c r="S407" s="6">
        <v>141.417</v>
      </c>
      <c r="T407" s="6">
        <v>5.0808999999999997</v>
      </c>
      <c r="U407" s="6">
        <v>17842.3</v>
      </c>
      <c r="V407">
        <f t="shared" si="12"/>
        <v>96.13308189655173</v>
      </c>
      <c r="W407">
        <f t="shared" si="13"/>
        <v>2.94524E-3</v>
      </c>
    </row>
    <row r="408" spans="1:23" x14ac:dyDescent="0.3">
      <c r="A408" s="6">
        <v>401</v>
      </c>
      <c r="B408" s="6">
        <v>5.8342899999999998E-3</v>
      </c>
      <c r="C408" s="6">
        <v>0.22709299999999999</v>
      </c>
      <c r="D408" s="6">
        <v>39.151000000000003</v>
      </c>
      <c r="E408" s="6">
        <v>38.923900000000003</v>
      </c>
      <c r="F408" s="6">
        <v>-2.7534899999999999E-3</v>
      </c>
      <c r="G408" s="6">
        <v>-5.3599500000000001E-2</v>
      </c>
      <c r="H408" s="6">
        <v>19.412500000000001</v>
      </c>
      <c r="I408" s="6">
        <v>19.466100000000001</v>
      </c>
      <c r="J408" s="6">
        <v>-2.6661100000000002E-3</v>
      </c>
      <c r="K408" s="6">
        <v>-4.8713399999999997E-2</v>
      </c>
      <c r="L408" s="6">
        <v>18.2226</v>
      </c>
      <c r="M408" s="6">
        <v>18.2714</v>
      </c>
      <c r="N408" s="6">
        <v>-3.6193499999999999E-3</v>
      </c>
      <c r="O408" s="6">
        <v>-6.7469500000000002E-2</v>
      </c>
      <c r="P408" s="6">
        <v>18.573899999999998</v>
      </c>
      <c r="Q408" s="6">
        <v>18.641400000000001</v>
      </c>
      <c r="R408" s="6">
        <v>141.78899999999999</v>
      </c>
      <c r="S408" s="6">
        <v>141.79</v>
      </c>
      <c r="T408" s="6">
        <v>5.0948000000000002</v>
      </c>
      <c r="U408" s="6">
        <v>17890.900000000001</v>
      </c>
      <c r="V408">
        <f t="shared" si="12"/>
        <v>96.394935344827601</v>
      </c>
      <c r="W408">
        <f t="shared" si="13"/>
        <v>3.0129833333333335E-3</v>
      </c>
    </row>
    <row r="409" spans="1:23" x14ac:dyDescent="0.3">
      <c r="A409" s="6">
        <v>402</v>
      </c>
      <c r="B409" s="6">
        <v>5.84711E-3</v>
      </c>
      <c r="C409" s="6">
        <v>0.22759199999999999</v>
      </c>
      <c r="D409" s="6">
        <v>39.151400000000002</v>
      </c>
      <c r="E409" s="6">
        <v>38.923900000000003</v>
      </c>
      <c r="F409" s="6">
        <v>-2.7728499999999999E-3</v>
      </c>
      <c r="G409" s="6">
        <v>-5.3976499999999997E-2</v>
      </c>
      <c r="H409" s="6">
        <v>19.412099999999999</v>
      </c>
      <c r="I409" s="6">
        <v>19.466100000000001</v>
      </c>
      <c r="J409" s="6">
        <v>-2.63737E-3</v>
      </c>
      <c r="K409" s="6">
        <v>-4.81882E-2</v>
      </c>
      <c r="L409" s="6">
        <v>18.223199999999999</v>
      </c>
      <c r="M409" s="6">
        <v>18.2714</v>
      </c>
      <c r="N409" s="6">
        <v>-3.57157E-3</v>
      </c>
      <c r="O409" s="6">
        <v>-6.6578899999999996E-2</v>
      </c>
      <c r="P409" s="6">
        <v>18.5748</v>
      </c>
      <c r="Q409" s="6">
        <v>18.641400000000001</v>
      </c>
      <c r="R409" s="6">
        <v>142.22499999999999</v>
      </c>
      <c r="S409" s="6">
        <v>142.226</v>
      </c>
      <c r="T409" s="6">
        <v>5.0956999999999999</v>
      </c>
      <c r="U409" s="6">
        <v>17894.3</v>
      </c>
      <c r="V409">
        <f t="shared" si="12"/>
        <v>96.413254310344826</v>
      </c>
      <c r="W409">
        <f t="shared" si="13"/>
        <v>2.9939300000000001E-3</v>
      </c>
    </row>
    <row r="410" spans="1:23" x14ac:dyDescent="0.3">
      <c r="A410" s="6">
        <v>403</v>
      </c>
      <c r="B410" s="6">
        <v>5.8732599999999999E-3</v>
      </c>
      <c r="C410" s="6">
        <v>0.22861000000000001</v>
      </c>
      <c r="D410" s="6">
        <v>39.152500000000003</v>
      </c>
      <c r="E410" s="6">
        <v>38.923900000000003</v>
      </c>
      <c r="F410" s="6">
        <v>-2.7910399999999998E-3</v>
      </c>
      <c r="G410" s="6">
        <v>-5.43306E-2</v>
      </c>
      <c r="H410" s="6">
        <v>19.4117</v>
      </c>
      <c r="I410" s="6">
        <v>19.466100000000001</v>
      </c>
      <c r="J410" s="6">
        <v>-2.6506699999999999E-3</v>
      </c>
      <c r="K410" s="6">
        <v>-4.8431299999999997E-2</v>
      </c>
      <c r="L410" s="6">
        <v>18.222899999999999</v>
      </c>
      <c r="M410" s="6">
        <v>18.2714</v>
      </c>
      <c r="N410" s="6">
        <v>-3.5917499999999999E-3</v>
      </c>
      <c r="O410" s="6">
        <v>-6.6955100000000004E-2</v>
      </c>
      <c r="P410" s="6">
        <v>18.574400000000001</v>
      </c>
      <c r="Q410" s="6">
        <v>18.641400000000001</v>
      </c>
      <c r="R410" s="6">
        <v>142.476</v>
      </c>
      <c r="S410" s="6">
        <v>142.476</v>
      </c>
      <c r="T410" s="6">
        <v>5.1098999999999997</v>
      </c>
      <c r="U410" s="6">
        <v>17944.099999999999</v>
      </c>
      <c r="V410">
        <f t="shared" si="12"/>
        <v>96.681573275862064</v>
      </c>
      <c r="W410">
        <f t="shared" si="13"/>
        <v>3.0111533333333335E-3</v>
      </c>
    </row>
    <row r="411" spans="1:23" x14ac:dyDescent="0.3">
      <c r="A411" s="6">
        <v>404</v>
      </c>
      <c r="B411" s="6">
        <v>5.8733500000000003E-3</v>
      </c>
      <c r="C411" s="6">
        <v>0.22861300000000001</v>
      </c>
      <c r="D411" s="6">
        <v>39.152500000000003</v>
      </c>
      <c r="E411" s="6">
        <v>38.923900000000003</v>
      </c>
      <c r="F411" s="6">
        <v>-2.7775500000000002E-3</v>
      </c>
      <c r="G411" s="6">
        <v>-5.4067999999999998E-2</v>
      </c>
      <c r="H411" s="6">
        <v>19.411999999999999</v>
      </c>
      <c r="I411" s="6">
        <v>19.466100000000001</v>
      </c>
      <c r="J411" s="6">
        <v>-2.6735700000000001E-3</v>
      </c>
      <c r="K411" s="6">
        <v>-4.8849700000000003E-2</v>
      </c>
      <c r="L411" s="6">
        <v>18.2225</v>
      </c>
      <c r="M411" s="6">
        <v>18.2714</v>
      </c>
      <c r="N411" s="6">
        <v>-3.6111899999999998E-3</v>
      </c>
      <c r="O411" s="6">
        <v>-6.7317500000000002E-2</v>
      </c>
      <c r="P411" s="6">
        <v>18.574000000000002</v>
      </c>
      <c r="Q411" s="6">
        <v>18.641400000000001</v>
      </c>
      <c r="R411" s="6">
        <v>142.792</v>
      </c>
      <c r="S411" s="6">
        <v>142.792</v>
      </c>
      <c r="T411" s="6">
        <v>5.1262999999999996</v>
      </c>
      <c r="U411" s="6">
        <v>18001.7</v>
      </c>
      <c r="V411">
        <f t="shared" si="12"/>
        <v>96.991918103448285</v>
      </c>
      <c r="W411">
        <f t="shared" si="13"/>
        <v>3.0207700000000003E-3</v>
      </c>
    </row>
    <row r="412" spans="1:23" x14ac:dyDescent="0.3">
      <c r="A412" s="6">
        <v>405</v>
      </c>
      <c r="B412" s="6">
        <v>5.8683199999999998E-3</v>
      </c>
      <c r="C412" s="6">
        <v>0.22841800000000001</v>
      </c>
      <c r="D412" s="6">
        <v>39.152299999999997</v>
      </c>
      <c r="E412" s="6">
        <v>38.923900000000003</v>
      </c>
      <c r="F412" s="6">
        <v>-2.7787200000000001E-3</v>
      </c>
      <c r="G412" s="6">
        <v>-5.4090699999999999E-2</v>
      </c>
      <c r="H412" s="6">
        <v>19.411999999999999</v>
      </c>
      <c r="I412" s="6">
        <v>19.466100000000001</v>
      </c>
      <c r="J412" s="6">
        <v>-2.6784399999999998E-3</v>
      </c>
      <c r="K412" s="6">
        <v>-4.8938700000000002E-2</v>
      </c>
      <c r="L412" s="6">
        <v>18.2224</v>
      </c>
      <c r="M412" s="6">
        <v>18.2714</v>
      </c>
      <c r="N412" s="6">
        <v>-3.6361800000000001E-3</v>
      </c>
      <c r="O412" s="6">
        <v>-6.7783399999999994E-2</v>
      </c>
      <c r="P412" s="6">
        <v>18.573599999999999</v>
      </c>
      <c r="Q412" s="6">
        <v>18.641400000000001</v>
      </c>
      <c r="R412" s="6">
        <v>143.1</v>
      </c>
      <c r="S412" s="6">
        <v>143.1</v>
      </c>
      <c r="T412" s="6">
        <v>5.1302000000000003</v>
      </c>
      <c r="U412" s="6">
        <v>18015.3</v>
      </c>
      <c r="V412">
        <f t="shared" si="12"/>
        <v>97.065193965517238</v>
      </c>
      <c r="W412">
        <f t="shared" si="13"/>
        <v>3.0311133333333334E-3</v>
      </c>
    </row>
    <row r="413" spans="1:23" x14ac:dyDescent="0.3">
      <c r="A413" s="6">
        <v>406</v>
      </c>
      <c r="B413" s="6">
        <v>5.8726899999999999E-3</v>
      </c>
      <c r="C413" s="6">
        <v>0.22858800000000001</v>
      </c>
      <c r="D413" s="6">
        <v>39.1524</v>
      </c>
      <c r="E413" s="6">
        <v>38.923900000000003</v>
      </c>
      <c r="F413" s="6">
        <v>-2.7440799999999999E-3</v>
      </c>
      <c r="G413" s="6">
        <v>-5.3416499999999999E-2</v>
      </c>
      <c r="H413" s="6">
        <v>19.412600000000001</v>
      </c>
      <c r="I413" s="6">
        <v>19.466100000000001</v>
      </c>
      <c r="J413" s="6">
        <v>-2.6488499999999999E-3</v>
      </c>
      <c r="K413" s="6">
        <v>-4.8398200000000002E-2</v>
      </c>
      <c r="L413" s="6">
        <v>18.222999999999999</v>
      </c>
      <c r="M413" s="6">
        <v>18.2714</v>
      </c>
      <c r="N413" s="6">
        <v>-3.5630499999999999E-3</v>
      </c>
      <c r="O413" s="6">
        <v>-6.6420099999999996E-2</v>
      </c>
      <c r="P413" s="6">
        <v>18.5749</v>
      </c>
      <c r="Q413" s="6">
        <v>18.641400000000001</v>
      </c>
      <c r="R413" s="6">
        <v>143.661</v>
      </c>
      <c r="S413" s="6">
        <v>143.661</v>
      </c>
      <c r="T413" s="6">
        <v>5.1540999999999997</v>
      </c>
      <c r="U413" s="6">
        <v>18098.900000000001</v>
      </c>
      <c r="V413">
        <f t="shared" si="12"/>
        <v>97.515625000000014</v>
      </c>
      <c r="W413">
        <f t="shared" si="13"/>
        <v>2.9853266666666663E-3</v>
      </c>
    </row>
    <row r="414" spans="1:23" x14ac:dyDescent="0.3">
      <c r="A414" s="6">
        <v>407</v>
      </c>
      <c r="B414" s="6">
        <v>5.9233200000000001E-3</v>
      </c>
      <c r="C414" s="6">
        <v>0.23055800000000001</v>
      </c>
      <c r="D414" s="6">
        <v>39.154400000000003</v>
      </c>
      <c r="E414" s="6">
        <v>38.923900000000003</v>
      </c>
      <c r="F414" s="6">
        <v>-2.8083600000000002E-3</v>
      </c>
      <c r="G414" s="6">
        <v>-5.4667800000000003E-2</v>
      </c>
      <c r="H414" s="6">
        <v>19.4114</v>
      </c>
      <c r="I414" s="6">
        <v>19.466100000000001</v>
      </c>
      <c r="J414" s="6">
        <v>-2.68958E-3</v>
      </c>
      <c r="K414" s="6">
        <v>-4.9142400000000003E-2</v>
      </c>
      <c r="L414" s="6">
        <v>18.222200000000001</v>
      </c>
      <c r="M414" s="6">
        <v>18.2714</v>
      </c>
      <c r="N414" s="6">
        <v>-3.6601099999999998E-3</v>
      </c>
      <c r="O414" s="6">
        <v>-6.8229499999999998E-2</v>
      </c>
      <c r="P414" s="6">
        <v>18.5731</v>
      </c>
      <c r="Q414" s="6">
        <v>18.641400000000001</v>
      </c>
      <c r="R414" s="6">
        <v>144.03700000000001</v>
      </c>
      <c r="S414" s="6">
        <v>144.03700000000001</v>
      </c>
      <c r="T414" s="6">
        <v>5.1646999999999998</v>
      </c>
      <c r="U414" s="6">
        <v>18136.2</v>
      </c>
      <c r="V414">
        <f t="shared" si="12"/>
        <v>97.716594827586221</v>
      </c>
      <c r="W414">
        <f t="shared" si="13"/>
        <v>3.0526833333333332E-3</v>
      </c>
    </row>
    <row r="415" spans="1:23" x14ac:dyDescent="0.3">
      <c r="A415" s="6">
        <v>408</v>
      </c>
      <c r="B415" s="6">
        <v>5.89895E-3</v>
      </c>
      <c r="C415" s="6">
        <v>0.22961000000000001</v>
      </c>
      <c r="D415" s="6">
        <v>39.153500000000001</v>
      </c>
      <c r="E415" s="6">
        <v>38.923900000000003</v>
      </c>
      <c r="F415" s="6">
        <v>-2.8230500000000001E-3</v>
      </c>
      <c r="G415" s="6">
        <v>-5.4953700000000001E-2</v>
      </c>
      <c r="H415" s="6">
        <v>19.411100000000001</v>
      </c>
      <c r="I415" s="6">
        <v>19.466100000000001</v>
      </c>
      <c r="J415" s="6">
        <v>-2.6606099999999999E-3</v>
      </c>
      <c r="K415" s="6">
        <v>-4.8612900000000001E-2</v>
      </c>
      <c r="L415" s="6">
        <v>18.2227</v>
      </c>
      <c r="M415" s="6">
        <v>18.2714</v>
      </c>
      <c r="N415" s="6">
        <v>-3.6131700000000002E-3</v>
      </c>
      <c r="O415" s="6">
        <v>-6.7354399999999995E-2</v>
      </c>
      <c r="P415" s="6">
        <v>18.574000000000002</v>
      </c>
      <c r="Q415" s="6">
        <v>18.641400000000001</v>
      </c>
      <c r="R415" s="6">
        <v>144.28700000000001</v>
      </c>
      <c r="S415" s="6">
        <v>144.28700000000001</v>
      </c>
      <c r="T415" s="6">
        <v>5.1844000000000001</v>
      </c>
      <c r="U415" s="6">
        <v>18205.2</v>
      </c>
      <c r="V415">
        <f t="shared" si="12"/>
        <v>98.088362068965523</v>
      </c>
      <c r="W415">
        <f t="shared" si="13"/>
        <v>3.0322766666666667E-3</v>
      </c>
    </row>
    <row r="416" spans="1:23" x14ac:dyDescent="0.3">
      <c r="A416" s="6">
        <v>409</v>
      </c>
      <c r="B416" s="6">
        <v>5.9178399999999997E-3</v>
      </c>
      <c r="C416" s="6">
        <v>0.23034499999999999</v>
      </c>
      <c r="D416" s="6">
        <v>39.154200000000003</v>
      </c>
      <c r="E416" s="6">
        <v>38.923900000000003</v>
      </c>
      <c r="F416" s="6">
        <v>-2.84871E-3</v>
      </c>
      <c r="G416" s="6">
        <v>-5.5453200000000001E-2</v>
      </c>
      <c r="H416" s="6">
        <v>19.410599999999999</v>
      </c>
      <c r="I416" s="6">
        <v>19.466100000000001</v>
      </c>
      <c r="J416" s="6">
        <v>-2.7388199999999999E-3</v>
      </c>
      <c r="K416" s="6">
        <v>-5.00419E-2</v>
      </c>
      <c r="L416" s="6">
        <v>18.221299999999999</v>
      </c>
      <c r="M416" s="6">
        <v>18.2714</v>
      </c>
      <c r="N416" s="6">
        <v>-3.70148E-3</v>
      </c>
      <c r="O416" s="6">
        <v>-6.9000599999999995E-2</v>
      </c>
      <c r="P416" s="6">
        <v>18.572399999999998</v>
      </c>
      <c r="Q416" s="6">
        <v>18.641400000000001</v>
      </c>
      <c r="R416" s="6">
        <v>144.596</v>
      </c>
      <c r="S416" s="6">
        <v>144.596</v>
      </c>
      <c r="T416" s="6">
        <v>5.1901999999999999</v>
      </c>
      <c r="U416" s="6">
        <v>18225.5</v>
      </c>
      <c r="V416">
        <f t="shared" si="12"/>
        <v>98.197737068965523</v>
      </c>
      <c r="W416">
        <f t="shared" si="13"/>
        <v>3.0963366666666666E-3</v>
      </c>
    </row>
    <row r="417" spans="1:23" x14ac:dyDescent="0.3">
      <c r="A417" s="6">
        <v>410</v>
      </c>
      <c r="B417" s="6">
        <v>6.0001799999999999E-3</v>
      </c>
      <c r="C417" s="6">
        <v>0.23355000000000001</v>
      </c>
      <c r="D417" s="6">
        <v>39.157400000000003</v>
      </c>
      <c r="E417" s="6">
        <v>38.923900000000003</v>
      </c>
      <c r="F417" s="6">
        <v>-2.7862199999999998E-3</v>
      </c>
      <c r="G417" s="6">
        <v>-5.4236699999999999E-2</v>
      </c>
      <c r="H417" s="6">
        <v>19.411799999999999</v>
      </c>
      <c r="I417" s="6">
        <v>19.466100000000001</v>
      </c>
      <c r="J417" s="6">
        <v>-2.6651700000000001E-3</v>
      </c>
      <c r="K417" s="6">
        <v>-4.8696299999999998E-2</v>
      </c>
      <c r="L417" s="6">
        <v>18.2227</v>
      </c>
      <c r="M417" s="6">
        <v>18.2714</v>
      </c>
      <c r="N417" s="6">
        <v>-3.6028800000000001E-3</v>
      </c>
      <c r="O417" s="6">
        <v>-6.71625E-2</v>
      </c>
      <c r="P417" s="6">
        <v>18.574200000000001</v>
      </c>
      <c r="Q417" s="6">
        <v>18.641400000000001</v>
      </c>
      <c r="R417" s="6">
        <v>145.03399999999999</v>
      </c>
      <c r="S417" s="6">
        <v>145.03399999999999</v>
      </c>
      <c r="T417" s="6">
        <v>5.2023999999999999</v>
      </c>
      <c r="U417" s="6">
        <v>18268.400000000001</v>
      </c>
      <c r="V417">
        <f t="shared" si="12"/>
        <v>98.42887931034484</v>
      </c>
      <c r="W417">
        <f t="shared" si="13"/>
        <v>3.0180899999999997E-3</v>
      </c>
    </row>
    <row r="418" spans="1:23" x14ac:dyDescent="0.3">
      <c r="A418" s="6">
        <v>411</v>
      </c>
      <c r="B418" s="6">
        <v>6.0244799999999996E-3</v>
      </c>
      <c r="C418" s="6">
        <v>0.23449600000000001</v>
      </c>
      <c r="D418" s="6">
        <v>39.1584</v>
      </c>
      <c r="E418" s="6">
        <v>38.923900000000003</v>
      </c>
      <c r="F418" s="6">
        <v>-2.7860900000000002E-3</v>
      </c>
      <c r="G418" s="6">
        <v>-5.4234200000000003E-2</v>
      </c>
      <c r="H418" s="6">
        <v>19.411799999999999</v>
      </c>
      <c r="I418" s="6">
        <v>19.466100000000001</v>
      </c>
      <c r="J418" s="6">
        <v>-2.6545399999999999E-3</v>
      </c>
      <c r="K418" s="6">
        <v>-4.8502099999999999E-2</v>
      </c>
      <c r="L418" s="6">
        <v>18.222899999999999</v>
      </c>
      <c r="M418" s="6">
        <v>18.2714</v>
      </c>
      <c r="N418" s="6">
        <v>-3.6060900000000002E-3</v>
      </c>
      <c r="O418" s="6">
        <v>-6.7222500000000004E-2</v>
      </c>
      <c r="P418" s="6">
        <v>18.574100000000001</v>
      </c>
      <c r="Q418" s="6">
        <v>18.641400000000001</v>
      </c>
      <c r="R418" s="6">
        <v>145.345</v>
      </c>
      <c r="S418" s="6">
        <v>145.345</v>
      </c>
      <c r="T418" s="6">
        <v>5.2153</v>
      </c>
      <c r="U418" s="6">
        <v>18313.7</v>
      </c>
      <c r="V418">
        <f t="shared" si="12"/>
        <v>98.672952586206904</v>
      </c>
      <c r="W418">
        <f t="shared" si="13"/>
        <v>3.0155733333333337E-3</v>
      </c>
    </row>
    <row r="419" spans="1:23" x14ac:dyDescent="0.3">
      <c r="A419" s="6">
        <v>412</v>
      </c>
      <c r="B419" s="6">
        <v>6.0231399999999997E-3</v>
      </c>
      <c r="C419" s="6">
        <v>0.23444400000000001</v>
      </c>
      <c r="D419" s="6">
        <v>39.158299999999997</v>
      </c>
      <c r="E419" s="6">
        <v>38.923900000000003</v>
      </c>
      <c r="F419" s="6">
        <v>-2.8381000000000001E-3</v>
      </c>
      <c r="G419" s="6">
        <v>-5.52466E-2</v>
      </c>
      <c r="H419" s="6">
        <v>19.410799999999998</v>
      </c>
      <c r="I419" s="6">
        <v>19.466100000000001</v>
      </c>
      <c r="J419" s="6">
        <v>-2.7338699999999998E-3</v>
      </c>
      <c r="K419" s="6">
        <v>-4.9951500000000003E-2</v>
      </c>
      <c r="L419" s="6">
        <v>18.221399999999999</v>
      </c>
      <c r="M419" s="6">
        <v>18.2714</v>
      </c>
      <c r="N419" s="6">
        <v>-3.6508700000000001E-3</v>
      </c>
      <c r="O419" s="6">
        <v>-6.8057300000000001E-2</v>
      </c>
      <c r="P419" s="6">
        <v>18.5733</v>
      </c>
      <c r="Q419" s="6">
        <v>18.641400000000001</v>
      </c>
      <c r="R419" s="6">
        <v>145.846</v>
      </c>
      <c r="S419" s="6">
        <v>145.846</v>
      </c>
      <c r="T419" s="6">
        <v>5.2266000000000004</v>
      </c>
      <c r="U419" s="6">
        <v>18353.2</v>
      </c>
      <c r="V419">
        <f t="shared" si="12"/>
        <v>98.885775862068968</v>
      </c>
      <c r="W419">
        <f t="shared" si="13"/>
        <v>3.07428E-3</v>
      </c>
    </row>
    <row r="420" spans="1:23" x14ac:dyDescent="0.3">
      <c r="A420" s="6">
        <v>413</v>
      </c>
      <c r="B420" s="6">
        <v>6.0195800000000001E-3</v>
      </c>
      <c r="C420" s="6">
        <v>0.23430500000000001</v>
      </c>
      <c r="D420" s="6">
        <v>39.158200000000001</v>
      </c>
      <c r="E420" s="6">
        <v>38.923900000000003</v>
      </c>
      <c r="F420" s="6">
        <v>-2.8924100000000002E-3</v>
      </c>
      <c r="G420" s="6">
        <v>-5.6303800000000001E-2</v>
      </c>
      <c r="H420" s="6">
        <v>19.409800000000001</v>
      </c>
      <c r="I420" s="6">
        <v>19.466100000000001</v>
      </c>
      <c r="J420" s="6">
        <v>-2.6854299999999999E-3</v>
      </c>
      <c r="K420" s="6">
        <v>-4.9066400000000003E-2</v>
      </c>
      <c r="L420" s="6">
        <v>18.222300000000001</v>
      </c>
      <c r="M420" s="6">
        <v>18.2714</v>
      </c>
      <c r="N420" s="6">
        <v>-3.62197E-3</v>
      </c>
      <c r="O420" s="6">
        <v>-6.7518400000000006E-2</v>
      </c>
      <c r="P420" s="6">
        <v>18.573799999999999</v>
      </c>
      <c r="Q420" s="6">
        <v>18.641400000000001</v>
      </c>
      <c r="R420" s="6">
        <v>146.03700000000001</v>
      </c>
      <c r="S420" s="6">
        <v>146.03700000000001</v>
      </c>
      <c r="T420" s="6">
        <v>5.2423999999999999</v>
      </c>
      <c r="U420" s="6">
        <v>18408.599999999999</v>
      </c>
      <c r="V420">
        <f t="shared" si="12"/>
        <v>99.184267241379303</v>
      </c>
      <c r="W420">
        <f t="shared" si="13"/>
        <v>3.0666033333333338E-3</v>
      </c>
    </row>
    <row r="421" spans="1:23" x14ac:dyDescent="0.3">
      <c r="A421" s="6">
        <v>414</v>
      </c>
      <c r="B421" s="6">
        <v>6.0120399999999997E-3</v>
      </c>
      <c r="C421" s="6">
        <v>0.234012</v>
      </c>
      <c r="D421" s="6">
        <v>39.157899999999998</v>
      </c>
      <c r="E421" s="6">
        <v>38.923900000000003</v>
      </c>
      <c r="F421" s="6">
        <v>-2.8086500000000002E-3</v>
      </c>
      <c r="G421" s="6">
        <v>-5.4673399999999997E-2</v>
      </c>
      <c r="H421" s="6">
        <v>19.4114</v>
      </c>
      <c r="I421" s="6">
        <v>19.466100000000001</v>
      </c>
      <c r="J421" s="6">
        <v>-2.6831400000000001E-3</v>
      </c>
      <c r="K421" s="6">
        <v>-4.9024600000000002E-2</v>
      </c>
      <c r="L421" s="6">
        <v>18.222300000000001</v>
      </c>
      <c r="M421" s="6">
        <v>18.2714</v>
      </c>
      <c r="N421" s="6">
        <v>-3.7002300000000001E-3</v>
      </c>
      <c r="O421" s="6">
        <v>-6.8977300000000005E-2</v>
      </c>
      <c r="P421" s="6">
        <v>18.572399999999998</v>
      </c>
      <c r="Q421" s="6">
        <v>18.641400000000001</v>
      </c>
      <c r="R421" s="6">
        <v>146.53200000000001</v>
      </c>
      <c r="S421" s="6">
        <v>146.53200000000001</v>
      </c>
      <c r="T421" s="6">
        <v>5.2598000000000003</v>
      </c>
      <c r="U421" s="6">
        <v>18469.599999999999</v>
      </c>
      <c r="V421">
        <f t="shared" si="12"/>
        <v>99.512931034482747</v>
      </c>
      <c r="W421">
        <f t="shared" si="13"/>
        <v>3.0640066666666669E-3</v>
      </c>
    </row>
    <row r="422" spans="1:23" x14ac:dyDescent="0.3">
      <c r="A422" s="6">
        <v>415</v>
      </c>
      <c r="B422" s="6">
        <v>6.08589E-3</v>
      </c>
      <c r="C422" s="6">
        <v>0.23688600000000001</v>
      </c>
      <c r="D422" s="6">
        <v>39.160699999999999</v>
      </c>
      <c r="E422" s="6">
        <v>38.923900000000003</v>
      </c>
      <c r="F422" s="6">
        <v>-2.9393700000000002E-3</v>
      </c>
      <c r="G422" s="6">
        <v>-5.7217999999999998E-2</v>
      </c>
      <c r="H422" s="6">
        <v>19.408799999999999</v>
      </c>
      <c r="I422" s="6">
        <v>19.466100000000001</v>
      </c>
      <c r="J422" s="6">
        <v>-2.7694799999999999E-3</v>
      </c>
      <c r="K422" s="6">
        <v>-5.0602099999999997E-2</v>
      </c>
      <c r="L422" s="6">
        <v>18.220800000000001</v>
      </c>
      <c r="M422" s="6">
        <v>18.2714</v>
      </c>
      <c r="N422" s="6">
        <v>-3.7176399999999999E-3</v>
      </c>
      <c r="O422" s="6">
        <v>-6.93019E-2</v>
      </c>
      <c r="P422" s="6">
        <v>18.572099999999999</v>
      </c>
      <c r="Q422" s="6">
        <v>18.641400000000001</v>
      </c>
      <c r="R422" s="6">
        <v>147.21899999999999</v>
      </c>
      <c r="S422" s="6">
        <v>147.21899999999999</v>
      </c>
      <c r="T422" s="6">
        <v>5.2823000000000002</v>
      </c>
      <c r="U422" s="6">
        <v>18548.8</v>
      </c>
      <c r="V422">
        <f t="shared" si="12"/>
        <v>99.939655172413794</v>
      </c>
      <c r="W422">
        <f t="shared" si="13"/>
        <v>3.1421633333333331E-3</v>
      </c>
    </row>
    <row r="423" spans="1:23" x14ac:dyDescent="0.3">
      <c r="A423" s="6">
        <v>416</v>
      </c>
      <c r="B423" s="6">
        <v>6.0726599999999997E-3</v>
      </c>
      <c r="C423" s="6">
        <v>0.236371</v>
      </c>
      <c r="D423" s="6">
        <v>39.160200000000003</v>
      </c>
      <c r="E423" s="6">
        <v>38.923900000000003</v>
      </c>
      <c r="F423" s="6">
        <v>-2.6736300000000002E-3</v>
      </c>
      <c r="G423" s="6">
        <v>-5.2045099999999997E-2</v>
      </c>
      <c r="H423" s="6">
        <v>19.414000000000001</v>
      </c>
      <c r="I423" s="6">
        <v>19.466100000000001</v>
      </c>
      <c r="J423" s="6">
        <v>-2.5927099999999998E-3</v>
      </c>
      <c r="K423" s="6">
        <v>-4.7372400000000002E-2</v>
      </c>
      <c r="L423" s="6">
        <v>18.224</v>
      </c>
      <c r="M423" s="6">
        <v>18.2714</v>
      </c>
      <c r="N423" s="6">
        <v>-3.6379099999999998E-3</v>
      </c>
      <c r="O423" s="6">
        <v>-6.7815500000000001E-2</v>
      </c>
      <c r="P423" s="6">
        <v>18.573499999999999</v>
      </c>
      <c r="Q423" s="6">
        <v>18.641400000000001</v>
      </c>
      <c r="R423" s="6">
        <v>147.59299999999999</v>
      </c>
      <c r="S423" s="6">
        <v>147.59299999999999</v>
      </c>
      <c r="T423" s="6">
        <v>5.2968000000000002</v>
      </c>
      <c r="U423" s="6">
        <v>18599.599999999999</v>
      </c>
      <c r="V423">
        <f t="shared" si="12"/>
        <v>100.21336206896551</v>
      </c>
      <c r="W423">
        <f t="shared" si="13"/>
        <v>2.968083333333333E-3</v>
      </c>
    </row>
    <row r="424" spans="1:23" x14ac:dyDescent="0.3">
      <c r="A424" s="6">
        <v>417</v>
      </c>
      <c r="B424" s="6">
        <v>6.0576299999999996E-3</v>
      </c>
      <c r="C424" s="6">
        <v>0.235786</v>
      </c>
      <c r="D424" s="6">
        <v>39.159599999999998</v>
      </c>
      <c r="E424" s="6">
        <v>38.923900000000003</v>
      </c>
      <c r="F424" s="6">
        <v>-2.9051599999999999E-3</v>
      </c>
      <c r="G424" s="6">
        <v>-5.6551999999999998E-2</v>
      </c>
      <c r="H424" s="6">
        <v>19.409500000000001</v>
      </c>
      <c r="I424" s="6">
        <v>19.466100000000001</v>
      </c>
      <c r="J424" s="6">
        <v>-2.7508099999999998E-3</v>
      </c>
      <c r="K424" s="6">
        <v>-5.0261E-2</v>
      </c>
      <c r="L424" s="6">
        <v>18.2211</v>
      </c>
      <c r="M424" s="6">
        <v>18.2714</v>
      </c>
      <c r="N424" s="6">
        <v>-3.7072300000000002E-3</v>
      </c>
      <c r="O424" s="6">
        <v>-6.91079E-2</v>
      </c>
      <c r="P424" s="6">
        <v>18.572299999999998</v>
      </c>
      <c r="Q424" s="6">
        <v>18.641400000000001</v>
      </c>
      <c r="R424" s="6">
        <v>147.96600000000001</v>
      </c>
      <c r="S424" s="6">
        <v>147.96600000000001</v>
      </c>
      <c r="T424" s="6">
        <v>5.3078000000000003</v>
      </c>
      <c r="U424" s="6">
        <v>18638</v>
      </c>
      <c r="V424">
        <f t="shared" si="12"/>
        <v>100.42025862068965</v>
      </c>
      <c r="W424">
        <f t="shared" si="13"/>
        <v>3.1210666666666668E-3</v>
      </c>
    </row>
    <row r="425" spans="1:23" x14ac:dyDescent="0.3">
      <c r="A425" s="6">
        <v>418</v>
      </c>
      <c r="B425" s="6">
        <v>6.0747500000000003E-3</v>
      </c>
      <c r="C425" s="6">
        <v>0.236453</v>
      </c>
      <c r="D425" s="6">
        <v>39.160299999999999</v>
      </c>
      <c r="E425" s="6">
        <v>38.923900000000003</v>
      </c>
      <c r="F425" s="6">
        <v>-2.9156E-3</v>
      </c>
      <c r="G425" s="6">
        <v>-5.6755199999999999E-2</v>
      </c>
      <c r="H425" s="6">
        <v>19.409300000000002</v>
      </c>
      <c r="I425" s="6">
        <v>19.466100000000001</v>
      </c>
      <c r="J425" s="6">
        <v>-2.7633599999999999E-3</v>
      </c>
      <c r="K425" s="6">
        <v>-5.0490399999999998E-2</v>
      </c>
      <c r="L425" s="6">
        <v>18.2209</v>
      </c>
      <c r="M425" s="6">
        <v>18.2714</v>
      </c>
      <c r="N425" s="6">
        <v>-3.7625100000000002E-3</v>
      </c>
      <c r="O425" s="6">
        <v>-7.0138400000000004E-2</v>
      </c>
      <c r="P425" s="6">
        <v>18.571200000000001</v>
      </c>
      <c r="Q425" s="6">
        <v>18.641400000000001</v>
      </c>
      <c r="R425" s="6">
        <v>148.405</v>
      </c>
      <c r="S425" s="6">
        <v>148.405</v>
      </c>
      <c r="T425" s="6">
        <v>5.3228999999999997</v>
      </c>
      <c r="U425" s="6">
        <v>18691.2</v>
      </c>
      <c r="V425">
        <f t="shared" si="12"/>
        <v>100.70689655172414</v>
      </c>
      <c r="W425">
        <f t="shared" si="13"/>
        <v>3.1471566666666667E-3</v>
      </c>
    </row>
    <row r="426" spans="1:23" x14ac:dyDescent="0.3">
      <c r="A426" s="6">
        <v>419</v>
      </c>
      <c r="B426" s="6">
        <v>6.1968700000000002E-3</v>
      </c>
      <c r="C426" s="6">
        <v>0.241206</v>
      </c>
      <c r="D426" s="6">
        <v>39.165100000000002</v>
      </c>
      <c r="E426" s="6">
        <v>38.923900000000003</v>
      </c>
      <c r="F426" s="6">
        <v>-2.8118000000000001E-3</v>
      </c>
      <c r="G426" s="6">
        <v>-5.4734699999999997E-2</v>
      </c>
      <c r="H426" s="6">
        <v>19.411300000000001</v>
      </c>
      <c r="I426" s="6">
        <v>19.466100000000001</v>
      </c>
      <c r="J426" s="6">
        <v>-2.7159699999999998E-3</v>
      </c>
      <c r="K426" s="6">
        <v>-4.9624500000000002E-2</v>
      </c>
      <c r="L426" s="6">
        <v>18.221699999999998</v>
      </c>
      <c r="M426" s="6">
        <v>18.2714</v>
      </c>
      <c r="N426" s="6">
        <v>-3.7071399999999998E-3</v>
      </c>
      <c r="O426" s="6">
        <v>-6.9106100000000004E-2</v>
      </c>
      <c r="P426" s="6">
        <v>18.572299999999998</v>
      </c>
      <c r="Q426" s="6">
        <v>18.641400000000001</v>
      </c>
      <c r="R426" s="6">
        <v>148.77699999999999</v>
      </c>
      <c r="S426" s="6">
        <v>148.77699999999999</v>
      </c>
      <c r="T426" s="6">
        <v>5.3223000000000003</v>
      </c>
      <c r="U426" s="6">
        <v>18688.900000000001</v>
      </c>
      <c r="V426">
        <f t="shared" si="12"/>
        <v>100.69450431034484</v>
      </c>
      <c r="W426">
        <f t="shared" si="13"/>
        <v>3.0783033333333328E-3</v>
      </c>
    </row>
    <row r="427" spans="1:23" x14ac:dyDescent="0.3">
      <c r="A427" s="6">
        <v>420</v>
      </c>
      <c r="B427" s="6">
        <v>6.0827800000000003E-3</v>
      </c>
      <c r="C427" s="6">
        <v>0.236765</v>
      </c>
      <c r="D427" s="6">
        <v>39.160600000000002</v>
      </c>
      <c r="E427" s="6">
        <v>38.923900000000003</v>
      </c>
      <c r="F427" s="6">
        <v>-2.8440499999999999E-3</v>
      </c>
      <c r="G427" s="6">
        <v>-5.5362399999999999E-2</v>
      </c>
      <c r="H427" s="6">
        <v>19.410699999999999</v>
      </c>
      <c r="I427" s="6">
        <v>19.466100000000001</v>
      </c>
      <c r="J427" s="6">
        <v>-2.75801E-3</v>
      </c>
      <c r="K427" s="6">
        <v>-5.0392600000000003E-2</v>
      </c>
      <c r="L427" s="6">
        <v>18.221</v>
      </c>
      <c r="M427" s="6">
        <v>18.2714</v>
      </c>
      <c r="N427" s="6">
        <v>-3.7218300000000002E-3</v>
      </c>
      <c r="O427" s="6">
        <v>-6.9379999999999997E-2</v>
      </c>
      <c r="P427" s="6">
        <v>18.571999999999999</v>
      </c>
      <c r="Q427" s="6">
        <v>18.641400000000001</v>
      </c>
      <c r="R427" s="6">
        <v>148.904</v>
      </c>
      <c r="S427" s="6">
        <v>148.905</v>
      </c>
      <c r="T427" s="6">
        <v>5.3323</v>
      </c>
      <c r="U427" s="6">
        <v>18723.900000000001</v>
      </c>
      <c r="V427">
        <f t="shared" si="12"/>
        <v>100.88308189655173</v>
      </c>
      <c r="W427">
        <f t="shared" si="13"/>
        <v>3.1079633333333332E-3</v>
      </c>
    </row>
    <row r="428" spans="1:23" x14ac:dyDescent="0.3">
      <c r="A428" s="6">
        <v>421</v>
      </c>
      <c r="B428" s="6">
        <v>6.16593E-3</v>
      </c>
      <c r="C428" s="6">
        <v>0.24000199999999999</v>
      </c>
      <c r="D428" s="6">
        <v>39.163899999999998</v>
      </c>
      <c r="E428" s="6">
        <v>38.923900000000003</v>
      </c>
      <c r="F428" s="6">
        <v>-2.9119100000000002E-3</v>
      </c>
      <c r="G428" s="6">
        <v>-5.6683499999999998E-2</v>
      </c>
      <c r="H428" s="6">
        <v>19.409400000000002</v>
      </c>
      <c r="I428" s="6">
        <v>19.466100000000001</v>
      </c>
      <c r="J428" s="6">
        <v>-2.7522100000000002E-3</v>
      </c>
      <c r="K428" s="6">
        <v>-5.0286699999999997E-2</v>
      </c>
      <c r="L428" s="6">
        <v>18.2211</v>
      </c>
      <c r="M428" s="6">
        <v>18.2714</v>
      </c>
      <c r="N428" s="6">
        <v>-3.7478899999999998E-3</v>
      </c>
      <c r="O428" s="6">
        <v>-6.9865800000000006E-2</v>
      </c>
      <c r="P428" s="6">
        <v>18.5715</v>
      </c>
      <c r="Q428" s="6">
        <v>18.641400000000001</v>
      </c>
      <c r="R428" s="6">
        <v>149.464</v>
      </c>
      <c r="S428" s="6">
        <v>149.464</v>
      </c>
      <c r="T428" s="6">
        <v>5.3616000000000001</v>
      </c>
      <c r="U428" s="6">
        <v>18826.8</v>
      </c>
      <c r="V428">
        <f t="shared" si="12"/>
        <v>101.4375</v>
      </c>
      <c r="W428">
        <f t="shared" si="13"/>
        <v>3.1373366666666669E-3</v>
      </c>
    </row>
    <row r="429" spans="1:23" x14ac:dyDescent="0.3">
      <c r="A429" s="6">
        <v>422</v>
      </c>
      <c r="B429" s="6">
        <v>6.13E-3</v>
      </c>
      <c r="C429" s="6">
        <v>0.23860300000000001</v>
      </c>
      <c r="D429" s="6">
        <v>39.162500000000001</v>
      </c>
      <c r="E429" s="6">
        <v>38.923900000000003</v>
      </c>
      <c r="F429" s="6">
        <v>-2.9297400000000001E-3</v>
      </c>
      <c r="G429" s="6">
        <v>-5.7030499999999998E-2</v>
      </c>
      <c r="H429" s="6">
        <v>19.408999999999999</v>
      </c>
      <c r="I429" s="6">
        <v>19.466100000000001</v>
      </c>
      <c r="J429" s="6">
        <v>-2.8010499999999998E-3</v>
      </c>
      <c r="K429" s="6">
        <v>-5.1179099999999998E-2</v>
      </c>
      <c r="L429" s="6">
        <v>18.220199999999998</v>
      </c>
      <c r="M429" s="6">
        <v>18.2714</v>
      </c>
      <c r="N429" s="6">
        <v>-3.7954299999999998E-3</v>
      </c>
      <c r="O429" s="6">
        <v>-7.0751999999999995E-2</v>
      </c>
      <c r="P429" s="6">
        <v>18.570599999999999</v>
      </c>
      <c r="Q429" s="6">
        <v>18.641400000000001</v>
      </c>
      <c r="R429" s="6">
        <v>149.71299999999999</v>
      </c>
      <c r="S429" s="6">
        <v>149.71299999999999</v>
      </c>
      <c r="T429" s="6">
        <v>5.3705999999999996</v>
      </c>
      <c r="U429" s="6">
        <v>18858.400000000001</v>
      </c>
      <c r="V429">
        <f t="shared" si="12"/>
        <v>101.60775862068967</v>
      </c>
      <c r="W429">
        <f t="shared" si="13"/>
        <v>3.1754066666666663E-3</v>
      </c>
    </row>
    <row r="430" spans="1:23" x14ac:dyDescent="0.3">
      <c r="A430" s="6">
        <v>423</v>
      </c>
      <c r="B430" s="6">
        <v>6.1663600000000001E-3</v>
      </c>
      <c r="C430" s="6">
        <v>0.24001800000000001</v>
      </c>
      <c r="D430" s="6">
        <v>39.163899999999998</v>
      </c>
      <c r="E430" s="6">
        <v>38.923900000000003</v>
      </c>
      <c r="F430" s="6">
        <v>-2.8736600000000001E-3</v>
      </c>
      <c r="G430" s="6">
        <v>-5.5938799999999997E-2</v>
      </c>
      <c r="H430" s="6">
        <v>19.4101</v>
      </c>
      <c r="I430" s="6">
        <v>19.466100000000001</v>
      </c>
      <c r="J430" s="6">
        <v>-2.7936900000000001E-3</v>
      </c>
      <c r="K430" s="6">
        <v>-5.10445E-2</v>
      </c>
      <c r="L430" s="6">
        <v>18.220300000000002</v>
      </c>
      <c r="M430" s="6">
        <v>18.2714</v>
      </c>
      <c r="N430" s="6">
        <v>-3.83213E-3</v>
      </c>
      <c r="O430" s="6">
        <v>-7.1436200000000005E-2</v>
      </c>
      <c r="P430" s="6">
        <v>18.569900000000001</v>
      </c>
      <c r="Q430" s="6">
        <v>18.641400000000001</v>
      </c>
      <c r="R430" s="6">
        <v>150.21199999999999</v>
      </c>
      <c r="S430" s="6">
        <v>150.21199999999999</v>
      </c>
      <c r="T430" s="6">
        <v>5.3925999999999998</v>
      </c>
      <c r="U430" s="6">
        <v>18935.3</v>
      </c>
      <c r="V430">
        <f t="shared" si="12"/>
        <v>102.02209051724138</v>
      </c>
      <c r="W430">
        <f t="shared" si="13"/>
        <v>3.166493333333333E-3</v>
      </c>
    </row>
    <row r="431" spans="1:23" x14ac:dyDescent="0.3">
      <c r="A431" s="6">
        <v>424</v>
      </c>
      <c r="B431" s="6">
        <v>6.20259E-3</v>
      </c>
      <c r="C431" s="6">
        <v>0.241429</v>
      </c>
      <c r="D431" s="6">
        <v>39.165300000000002</v>
      </c>
      <c r="E431" s="6">
        <v>38.923900000000003</v>
      </c>
      <c r="F431" s="6">
        <v>-2.8091800000000001E-3</v>
      </c>
      <c r="G431" s="6">
        <v>-5.4683799999999998E-2</v>
      </c>
      <c r="H431" s="6">
        <v>19.4114</v>
      </c>
      <c r="I431" s="6">
        <v>19.466100000000001</v>
      </c>
      <c r="J431" s="6">
        <v>-2.6979899999999999E-3</v>
      </c>
      <c r="K431" s="6">
        <v>-4.9296E-2</v>
      </c>
      <c r="L431" s="6">
        <v>18.222100000000001</v>
      </c>
      <c r="M431" s="6">
        <v>18.2714</v>
      </c>
      <c r="N431" s="6">
        <v>-3.6760899999999999E-3</v>
      </c>
      <c r="O431" s="6">
        <v>-6.8527299999999999E-2</v>
      </c>
      <c r="P431" s="6">
        <v>18.572800000000001</v>
      </c>
      <c r="Q431" s="6">
        <v>18.641400000000001</v>
      </c>
      <c r="R431" s="6">
        <v>150.4</v>
      </c>
      <c r="S431" s="6">
        <v>150.4</v>
      </c>
      <c r="T431" s="6">
        <v>5.3944999999999999</v>
      </c>
      <c r="U431" s="6">
        <v>18942.099999999999</v>
      </c>
      <c r="V431">
        <f t="shared" si="12"/>
        <v>102.05872844827586</v>
      </c>
      <c r="W431">
        <f t="shared" si="13"/>
        <v>3.0610866666666669E-3</v>
      </c>
    </row>
    <row r="432" spans="1:23" x14ac:dyDescent="0.3">
      <c r="A432" s="6">
        <v>425</v>
      </c>
      <c r="B432" s="6">
        <v>6.1670800000000001E-3</v>
      </c>
      <c r="C432" s="6">
        <v>0.24004700000000001</v>
      </c>
      <c r="D432" s="6">
        <v>39.163899999999998</v>
      </c>
      <c r="E432" s="6">
        <v>38.923900000000003</v>
      </c>
      <c r="F432" s="6">
        <v>-2.9151200000000002E-3</v>
      </c>
      <c r="G432" s="6">
        <v>-5.6745900000000002E-2</v>
      </c>
      <c r="H432" s="6">
        <v>19.409300000000002</v>
      </c>
      <c r="I432" s="6">
        <v>19.466100000000001</v>
      </c>
      <c r="J432" s="6">
        <v>-2.78867E-3</v>
      </c>
      <c r="K432" s="6">
        <v>-5.0952699999999997E-2</v>
      </c>
      <c r="L432" s="6">
        <v>18.220400000000001</v>
      </c>
      <c r="M432" s="6">
        <v>18.2714</v>
      </c>
      <c r="N432" s="6">
        <v>-3.80591E-3</v>
      </c>
      <c r="O432" s="6">
        <v>-7.0947399999999994E-2</v>
      </c>
      <c r="P432" s="6">
        <v>18.570399999999999</v>
      </c>
      <c r="Q432" s="6">
        <v>18.641400000000001</v>
      </c>
      <c r="R432" s="6">
        <v>150.65100000000001</v>
      </c>
      <c r="S432" s="6">
        <v>150.65100000000001</v>
      </c>
      <c r="T432" s="6">
        <v>5.4077000000000002</v>
      </c>
      <c r="U432" s="6">
        <v>18988.400000000001</v>
      </c>
      <c r="V432">
        <f t="shared" si="12"/>
        <v>102.30818965517243</v>
      </c>
      <c r="W432">
        <f t="shared" si="13"/>
        <v>3.1698999999999998E-3</v>
      </c>
    </row>
    <row r="433" spans="1:23" x14ac:dyDescent="0.3">
      <c r="A433" s="6">
        <v>426</v>
      </c>
      <c r="B433" s="6">
        <v>6.2484200000000002E-3</v>
      </c>
      <c r="C433" s="6">
        <v>0.24321200000000001</v>
      </c>
      <c r="D433" s="6">
        <v>39.167099999999998</v>
      </c>
      <c r="E433" s="6">
        <v>38.923900000000003</v>
      </c>
      <c r="F433" s="6">
        <v>-2.9217100000000001E-3</v>
      </c>
      <c r="G433" s="6">
        <v>-5.6874099999999997E-2</v>
      </c>
      <c r="H433" s="6">
        <v>19.409199999999998</v>
      </c>
      <c r="I433" s="6">
        <v>19.466100000000001</v>
      </c>
      <c r="J433" s="6">
        <v>-2.8066699999999998E-3</v>
      </c>
      <c r="K433" s="6">
        <v>-5.1281599999999997E-2</v>
      </c>
      <c r="L433" s="6">
        <v>18.220099999999999</v>
      </c>
      <c r="M433" s="6">
        <v>18.2714</v>
      </c>
      <c r="N433" s="6">
        <v>-3.82417E-3</v>
      </c>
      <c r="O433" s="6">
        <v>-7.1287799999999998E-2</v>
      </c>
      <c r="P433" s="6">
        <v>18.5701</v>
      </c>
      <c r="Q433" s="6">
        <v>18.641400000000001</v>
      </c>
      <c r="R433" s="6">
        <v>150.96100000000001</v>
      </c>
      <c r="S433" s="6">
        <v>150.96199999999999</v>
      </c>
      <c r="T433" s="6">
        <v>5.4173999999999998</v>
      </c>
      <c r="U433" s="6">
        <v>19022.3</v>
      </c>
      <c r="V433">
        <f t="shared" si="12"/>
        <v>102.49084051724138</v>
      </c>
      <c r="W433">
        <f t="shared" si="13"/>
        <v>3.1841833333333333E-3</v>
      </c>
    </row>
    <row r="434" spans="1:23" x14ac:dyDescent="0.3">
      <c r="A434" s="6">
        <v>427</v>
      </c>
      <c r="B434" s="6">
        <v>6.1736100000000004E-3</v>
      </c>
      <c r="C434" s="6">
        <v>0.24030099999999999</v>
      </c>
      <c r="D434" s="6">
        <v>39.164200000000001</v>
      </c>
      <c r="E434" s="6">
        <v>38.923900000000003</v>
      </c>
      <c r="F434" s="6">
        <v>-2.9987099999999999E-3</v>
      </c>
      <c r="G434" s="6">
        <v>-5.8373099999999997E-2</v>
      </c>
      <c r="H434" s="6">
        <v>19.407699999999998</v>
      </c>
      <c r="I434" s="6">
        <v>19.466100000000001</v>
      </c>
      <c r="J434" s="6">
        <v>-2.9010400000000001E-3</v>
      </c>
      <c r="K434" s="6">
        <v>-5.3005900000000002E-2</v>
      </c>
      <c r="L434" s="6">
        <v>18.218299999999999</v>
      </c>
      <c r="M434" s="6">
        <v>18.2714</v>
      </c>
      <c r="N434" s="6">
        <v>-3.8920500000000002E-3</v>
      </c>
      <c r="O434" s="6">
        <v>-7.2553099999999995E-2</v>
      </c>
      <c r="P434" s="6">
        <v>18.5688</v>
      </c>
      <c r="Q434" s="6">
        <v>18.641400000000001</v>
      </c>
      <c r="R434" s="6">
        <v>151.08799999999999</v>
      </c>
      <c r="S434" s="6">
        <v>151.08799999999999</v>
      </c>
      <c r="T434" s="6">
        <v>5.4009</v>
      </c>
      <c r="U434" s="6">
        <v>18964.7</v>
      </c>
      <c r="V434">
        <f t="shared" si="12"/>
        <v>102.18049568965517</v>
      </c>
      <c r="W434">
        <f t="shared" si="13"/>
        <v>3.2639333333333333E-3</v>
      </c>
    </row>
    <row r="435" spans="1:23" x14ac:dyDescent="0.3">
      <c r="A435" s="6">
        <v>428</v>
      </c>
      <c r="B435" s="6">
        <v>6.2682099999999998E-3</v>
      </c>
      <c r="C435" s="6">
        <v>0.24398300000000001</v>
      </c>
      <c r="D435" s="6">
        <v>39.1678</v>
      </c>
      <c r="E435" s="6">
        <v>38.923900000000003</v>
      </c>
      <c r="F435" s="6">
        <v>-2.8776800000000001E-3</v>
      </c>
      <c r="G435" s="6">
        <v>-5.60171E-2</v>
      </c>
      <c r="H435" s="6">
        <v>19.41</v>
      </c>
      <c r="I435" s="6">
        <v>19.466100000000001</v>
      </c>
      <c r="J435" s="6">
        <v>-2.7709399999999999E-3</v>
      </c>
      <c r="K435" s="6">
        <v>-5.0628800000000002E-2</v>
      </c>
      <c r="L435" s="6">
        <v>18.220700000000001</v>
      </c>
      <c r="M435" s="6">
        <v>18.2714</v>
      </c>
      <c r="N435" s="6">
        <v>-3.8108500000000002E-3</v>
      </c>
      <c r="O435" s="6">
        <v>-7.1039500000000005E-2</v>
      </c>
      <c r="P435" s="6">
        <v>18.5703</v>
      </c>
      <c r="Q435" s="6">
        <v>18.641400000000001</v>
      </c>
      <c r="R435" s="6">
        <v>151.21199999999999</v>
      </c>
      <c r="S435" s="6">
        <v>151.21199999999999</v>
      </c>
      <c r="T435" s="6">
        <v>5.4269999999999996</v>
      </c>
      <c r="U435" s="6">
        <v>19056.2</v>
      </c>
      <c r="V435">
        <f t="shared" si="12"/>
        <v>102.67349137931035</v>
      </c>
      <c r="W435">
        <f t="shared" si="13"/>
        <v>3.153156666666667E-3</v>
      </c>
    </row>
    <row r="436" spans="1:23" x14ac:dyDescent="0.3">
      <c r="A436" s="6">
        <v>429</v>
      </c>
      <c r="B436" s="6">
        <v>6.2361200000000004E-3</v>
      </c>
      <c r="C436" s="6">
        <v>0.24273400000000001</v>
      </c>
      <c r="D436" s="6">
        <v>39.166600000000003</v>
      </c>
      <c r="E436" s="6">
        <v>38.923900000000003</v>
      </c>
      <c r="F436" s="6">
        <v>-2.9788499999999999E-3</v>
      </c>
      <c r="G436" s="6">
        <v>-5.7986500000000003E-2</v>
      </c>
      <c r="H436" s="6">
        <v>19.408100000000001</v>
      </c>
      <c r="I436" s="6">
        <v>19.466100000000001</v>
      </c>
      <c r="J436" s="6">
        <v>-2.8081199999999999E-3</v>
      </c>
      <c r="K436" s="6">
        <v>-5.1308100000000002E-2</v>
      </c>
      <c r="L436" s="6">
        <v>18.22</v>
      </c>
      <c r="M436" s="6">
        <v>18.2714</v>
      </c>
      <c r="N436" s="6">
        <v>-3.7676699999999999E-3</v>
      </c>
      <c r="O436" s="6">
        <v>-7.0234400000000002E-2</v>
      </c>
      <c r="P436" s="6">
        <v>18.571100000000001</v>
      </c>
      <c r="Q436" s="6">
        <v>18.641400000000001</v>
      </c>
      <c r="R436" s="6">
        <v>151.58500000000001</v>
      </c>
      <c r="S436" s="6">
        <v>151.58500000000001</v>
      </c>
      <c r="T436" s="6">
        <v>5.4419000000000004</v>
      </c>
      <c r="U436" s="6">
        <v>19108.2</v>
      </c>
      <c r="V436">
        <f t="shared" si="12"/>
        <v>102.95366379310346</v>
      </c>
      <c r="W436">
        <f t="shared" si="13"/>
        <v>3.1848799999999997E-3</v>
      </c>
    </row>
    <row r="437" spans="1:23" x14ac:dyDescent="0.3">
      <c r="A437" s="6">
        <v>430</v>
      </c>
      <c r="B437" s="6">
        <v>6.3064699999999998E-3</v>
      </c>
      <c r="C437" s="6">
        <v>0.245472</v>
      </c>
      <c r="D437" s="6">
        <v>39.1693</v>
      </c>
      <c r="E437" s="6">
        <v>38.923900000000003</v>
      </c>
      <c r="F437" s="6">
        <v>-2.9867100000000001E-3</v>
      </c>
      <c r="G437" s="6">
        <v>-5.81396E-2</v>
      </c>
      <c r="H437" s="6">
        <v>19.407900000000001</v>
      </c>
      <c r="I437" s="6">
        <v>19.466100000000001</v>
      </c>
      <c r="J437" s="6">
        <v>-2.8707899999999998E-3</v>
      </c>
      <c r="K437" s="6">
        <v>-5.2453300000000001E-2</v>
      </c>
      <c r="L437" s="6">
        <v>18.218900000000001</v>
      </c>
      <c r="M437" s="6">
        <v>18.2714</v>
      </c>
      <c r="N437" s="6">
        <v>-3.87551E-3</v>
      </c>
      <c r="O437" s="6">
        <v>-7.2244799999999998E-2</v>
      </c>
      <c r="P437" s="6">
        <v>18.569099999999999</v>
      </c>
      <c r="Q437" s="6">
        <v>18.641400000000001</v>
      </c>
      <c r="R437" s="6">
        <v>152.08500000000001</v>
      </c>
      <c r="S437" s="6">
        <v>152.08500000000001</v>
      </c>
      <c r="T437" s="6">
        <v>5.4466999999999999</v>
      </c>
      <c r="U437" s="6">
        <v>19125.2</v>
      </c>
      <c r="V437">
        <f t="shared" si="12"/>
        <v>103.04525862068967</v>
      </c>
      <c r="W437">
        <f t="shared" si="13"/>
        <v>3.2443366666666668E-3</v>
      </c>
    </row>
    <row r="438" spans="1:23" x14ac:dyDescent="0.3">
      <c r="A438" s="6">
        <v>431</v>
      </c>
      <c r="B438" s="6">
        <v>6.2551100000000004E-3</v>
      </c>
      <c r="C438" s="6">
        <v>0.24347299999999999</v>
      </c>
      <c r="D438" s="6">
        <v>39.167299999999997</v>
      </c>
      <c r="E438" s="6">
        <v>38.923900000000003</v>
      </c>
      <c r="F438" s="6">
        <v>-2.9423800000000001E-3</v>
      </c>
      <c r="G438" s="6">
        <v>-5.7276599999999997E-2</v>
      </c>
      <c r="H438" s="6">
        <v>19.408799999999999</v>
      </c>
      <c r="I438" s="6">
        <v>19.466100000000001</v>
      </c>
      <c r="J438" s="6">
        <v>-2.85315E-3</v>
      </c>
      <c r="K438" s="6">
        <v>-5.2130799999999998E-2</v>
      </c>
      <c r="L438" s="6">
        <v>18.219200000000001</v>
      </c>
      <c r="M438" s="6">
        <v>18.2714</v>
      </c>
      <c r="N438" s="6">
        <v>-3.9243100000000003E-3</v>
      </c>
      <c r="O438" s="6">
        <v>-7.3154499999999997E-2</v>
      </c>
      <c r="P438" s="6">
        <v>18.568200000000001</v>
      </c>
      <c r="Q438" s="6">
        <v>18.641400000000001</v>
      </c>
      <c r="R438" s="6">
        <v>152.583</v>
      </c>
      <c r="S438" s="6">
        <v>152.583</v>
      </c>
      <c r="T438" s="6">
        <v>5.4699</v>
      </c>
      <c r="U438" s="6">
        <v>19206.599999999999</v>
      </c>
      <c r="V438">
        <f t="shared" si="12"/>
        <v>103.48383620689654</v>
      </c>
      <c r="W438">
        <f t="shared" si="13"/>
        <v>3.2399466666666668E-3</v>
      </c>
    </row>
    <row r="439" spans="1:23" x14ac:dyDescent="0.3">
      <c r="A439" s="6">
        <v>432</v>
      </c>
      <c r="B439" s="6">
        <v>6.3029399999999999E-3</v>
      </c>
      <c r="C439" s="6">
        <v>0.245335</v>
      </c>
      <c r="D439" s="6">
        <v>39.169199999999996</v>
      </c>
      <c r="E439" s="6">
        <v>38.923900000000003</v>
      </c>
      <c r="F439" s="6">
        <v>-2.8756599999999999E-3</v>
      </c>
      <c r="G439" s="6">
        <v>-5.5977800000000001E-2</v>
      </c>
      <c r="H439" s="6">
        <v>19.4101</v>
      </c>
      <c r="I439" s="6">
        <v>19.466100000000001</v>
      </c>
      <c r="J439" s="6">
        <v>-2.73815E-3</v>
      </c>
      <c r="K439" s="6">
        <v>-5.0029700000000003E-2</v>
      </c>
      <c r="L439" s="6">
        <v>18.221299999999999</v>
      </c>
      <c r="M439" s="6">
        <v>18.2714</v>
      </c>
      <c r="N439" s="6">
        <v>-3.8016899999999999E-3</v>
      </c>
      <c r="O439" s="6">
        <v>-7.0868700000000007E-2</v>
      </c>
      <c r="P439" s="6">
        <v>18.570499999999999</v>
      </c>
      <c r="Q439" s="6">
        <v>18.641400000000001</v>
      </c>
      <c r="R439" s="6">
        <v>152.89500000000001</v>
      </c>
      <c r="S439" s="6">
        <v>152.89500000000001</v>
      </c>
      <c r="T439" s="6">
        <v>5.4837999999999996</v>
      </c>
      <c r="U439" s="6">
        <v>19255.2</v>
      </c>
      <c r="V439">
        <f t="shared" si="12"/>
        <v>103.74568965517243</v>
      </c>
      <c r="W439">
        <f t="shared" si="13"/>
        <v>3.1385000000000002E-3</v>
      </c>
    </row>
    <row r="440" spans="1:23" x14ac:dyDescent="0.3">
      <c r="A440" s="6">
        <v>433</v>
      </c>
      <c r="B440" s="6">
        <v>6.3330599999999997E-3</v>
      </c>
      <c r="C440" s="6">
        <v>0.246507</v>
      </c>
      <c r="D440" s="6">
        <v>39.170400000000001</v>
      </c>
      <c r="E440" s="6">
        <v>38.923900000000003</v>
      </c>
      <c r="F440" s="6">
        <v>-2.8647400000000002E-3</v>
      </c>
      <c r="G440" s="6">
        <v>-5.5765299999999997E-2</v>
      </c>
      <c r="H440" s="6">
        <v>19.410299999999999</v>
      </c>
      <c r="I440" s="6">
        <v>19.466100000000001</v>
      </c>
      <c r="J440" s="6">
        <v>-2.6936E-3</v>
      </c>
      <c r="K440" s="6">
        <v>-4.9215799999999997E-2</v>
      </c>
      <c r="L440" s="6">
        <v>18.222100000000001</v>
      </c>
      <c r="M440" s="6">
        <v>18.2714</v>
      </c>
      <c r="N440" s="6">
        <v>-3.6889599999999998E-3</v>
      </c>
      <c r="O440" s="6">
        <v>-6.8767300000000003E-2</v>
      </c>
      <c r="P440" s="6">
        <v>18.572600000000001</v>
      </c>
      <c r="Q440" s="6">
        <v>18.641400000000001</v>
      </c>
      <c r="R440" s="6">
        <v>153.083</v>
      </c>
      <c r="S440" s="6">
        <v>153.083</v>
      </c>
      <c r="T440" s="6">
        <v>5.4885999999999999</v>
      </c>
      <c r="U440" s="6">
        <v>19272.099999999999</v>
      </c>
      <c r="V440">
        <f t="shared" si="12"/>
        <v>103.83674568965517</v>
      </c>
      <c r="W440">
        <f t="shared" si="13"/>
        <v>3.0824333333333335E-3</v>
      </c>
    </row>
    <row r="441" spans="1:23" x14ac:dyDescent="0.3">
      <c r="A441" s="6">
        <v>434</v>
      </c>
      <c r="B441" s="6">
        <v>6.3391599999999999E-3</v>
      </c>
      <c r="C441" s="6">
        <v>0.24674499999999999</v>
      </c>
      <c r="D441" s="6">
        <v>39.1706</v>
      </c>
      <c r="E441" s="6">
        <v>38.923900000000003</v>
      </c>
      <c r="F441" s="6">
        <v>-3.0004699999999999E-3</v>
      </c>
      <c r="G441" s="6">
        <v>-5.8407399999999998E-2</v>
      </c>
      <c r="H441" s="6">
        <v>19.407699999999998</v>
      </c>
      <c r="I441" s="6">
        <v>19.466100000000001</v>
      </c>
      <c r="J441" s="6">
        <v>-2.8302900000000001E-3</v>
      </c>
      <c r="K441" s="6">
        <v>-5.1713200000000001E-2</v>
      </c>
      <c r="L441" s="6">
        <v>18.2196</v>
      </c>
      <c r="M441" s="6">
        <v>18.2714</v>
      </c>
      <c r="N441" s="6">
        <v>-3.8218000000000002E-3</v>
      </c>
      <c r="O441" s="6">
        <v>-7.1243500000000001E-2</v>
      </c>
      <c r="P441" s="6">
        <v>18.5701</v>
      </c>
      <c r="Q441" s="6">
        <v>18.641400000000001</v>
      </c>
      <c r="R441" s="6">
        <v>153.398</v>
      </c>
      <c r="S441" s="6">
        <v>153.398</v>
      </c>
      <c r="T441" s="6">
        <v>5.4924999999999997</v>
      </c>
      <c r="U441" s="6">
        <v>19285.7</v>
      </c>
      <c r="V441">
        <f t="shared" si="12"/>
        <v>103.91002155172414</v>
      </c>
      <c r="W441">
        <f t="shared" si="13"/>
        <v>3.2175200000000002E-3</v>
      </c>
    </row>
    <row r="442" spans="1:23" x14ac:dyDescent="0.3">
      <c r="A442" s="6">
        <v>435</v>
      </c>
      <c r="B442" s="6">
        <v>6.31169E-3</v>
      </c>
      <c r="C442" s="6">
        <v>0.245675</v>
      </c>
      <c r="D442" s="6">
        <v>39.169499999999999</v>
      </c>
      <c r="E442" s="6">
        <v>38.923900000000003</v>
      </c>
      <c r="F442" s="6">
        <v>-2.9460699999999999E-3</v>
      </c>
      <c r="G442" s="6">
        <v>-5.7348400000000001E-2</v>
      </c>
      <c r="H442" s="6">
        <v>19.4087</v>
      </c>
      <c r="I442" s="6">
        <v>19.466100000000001</v>
      </c>
      <c r="J442" s="6">
        <v>-2.8035099999999999E-3</v>
      </c>
      <c r="K442" s="6">
        <v>-5.1223900000000003E-2</v>
      </c>
      <c r="L442" s="6">
        <v>18.220099999999999</v>
      </c>
      <c r="M442" s="6">
        <v>18.2714</v>
      </c>
      <c r="N442" s="6">
        <v>-3.8151700000000001E-3</v>
      </c>
      <c r="O442" s="6">
        <v>-7.11199E-2</v>
      </c>
      <c r="P442" s="6">
        <v>18.5702</v>
      </c>
      <c r="Q442" s="6">
        <v>18.641400000000001</v>
      </c>
      <c r="R442" s="6">
        <v>153.70599999999999</v>
      </c>
      <c r="S442" s="6">
        <v>153.70599999999999</v>
      </c>
      <c r="T442" s="6">
        <v>5.5118</v>
      </c>
      <c r="U442" s="6">
        <v>19353.5</v>
      </c>
      <c r="V442">
        <f t="shared" si="12"/>
        <v>104.27532327586208</v>
      </c>
      <c r="W442">
        <f t="shared" si="13"/>
        <v>3.1882500000000001E-3</v>
      </c>
    </row>
    <row r="443" spans="1:23" x14ac:dyDescent="0.3">
      <c r="A443" s="6">
        <v>436</v>
      </c>
      <c r="B443" s="6">
        <v>6.378E-3</v>
      </c>
      <c r="C443" s="6">
        <v>0.248256</v>
      </c>
      <c r="D443" s="6">
        <v>39.1721</v>
      </c>
      <c r="E443" s="6">
        <v>38.923900000000003</v>
      </c>
      <c r="F443" s="6">
        <v>-3.00206E-3</v>
      </c>
      <c r="G443" s="6">
        <v>-5.8438200000000003E-2</v>
      </c>
      <c r="H443" s="6">
        <v>19.407599999999999</v>
      </c>
      <c r="I443" s="6">
        <v>19.466100000000001</v>
      </c>
      <c r="J443" s="6">
        <v>-2.8150900000000001E-3</v>
      </c>
      <c r="K443" s="6">
        <v>-5.1435500000000002E-2</v>
      </c>
      <c r="L443" s="6">
        <v>18.219899999999999</v>
      </c>
      <c r="M443" s="6">
        <v>18.2714</v>
      </c>
      <c r="N443" s="6">
        <v>-3.87347E-3</v>
      </c>
      <c r="O443" s="6">
        <v>-7.2206800000000002E-2</v>
      </c>
      <c r="P443" s="6">
        <v>18.569199999999999</v>
      </c>
      <c r="Q443" s="6">
        <v>18.641400000000001</v>
      </c>
      <c r="R443" s="6">
        <v>154.27000000000001</v>
      </c>
      <c r="S443" s="6">
        <v>154.27000000000001</v>
      </c>
      <c r="T443" s="6">
        <v>5.5336999999999996</v>
      </c>
      <c r="U443" s="6">
        <v>19430.400000000001</v>
      </c>
      <c r="V443">
        <f t="shared" si="12"/>
        <v>104.68965517241381</v>
      </c>
      <c r="W443">
        <f t="shared" si="13"/>
        <v>3.230206666666667E-3</v>
      </c>
    </row>
    <row r="444" spans="1:23" x14ac:dyDescent="0.3">
      <c r="A444" s="6">
        <v>437</v>
      </c>
      <c r="B444" s="6">
        <v>6.2897500000000002E-3</v>
      </c>
      <c r="C444" s="6">
        <v>0.24482100000000001</v>
      </c>
      <c r="D444" s="6">
        <v>39.168700000000001</v>
      </c>
      <c r="E444" s="6">
        <v>38.923900000000003</v>
      </c>
      <c r="F444" s="6">
        <v>-3.02806E-3</v>
      </c>
      <c r="G444" s="6">
        <v>-5.8944299999999998E-2</v>
      </c>
      <c r="H444" s="6">
        <v>19.4071</v>
      </c>
      <c r="I444" s="6">
        <v>19.466100000000001</v>
      </c>
      <c r="J444" s="6">
        <v>-2.8876599999999998E-3</v>
      </c>
      <c r="K444" s="6">
        <v>-5.27614E-2</v>
      </c>
      <c r="L444" s="6">
        <v>18.218599999999999</v>
      </c>
      <c r="M444" s="6">
        <v>18.2714</v>
      </c>
      <c r="N444" s="6">
        <v>-3.9330299999999997E-3</v>
      </c>
      <c r="O444" s="6">
        <v>-7.3317099999999996E-2</v>
      </c>
      <c r="P444" s="6">
        <v>18.568000000000001</v>
      </c>
      <c r="Q444" s="6">
        <v>18.641400000000001</v>
      </c>
      <c r="R444" s="6">
        <v>154.518</v>
      </c>
      <c r="S444" s="6">
        <v>154.518</v>
      </c>
      <c r="T444" s="6">
        <v>5.5353000000000003</v>
      </c>
      <c r="U444" s="6">
        <v>19436</v>
      </c>
      <c r="V444">
        <f t="shared" si="12"/>
        <v>104.7198275862069</v>
      </c>
      <c r="W444">
        <f t="shared" si="13"/>
        <v>3.2829166666666666E-3</v>
      </c>
    </row>
    <row r="445" spans="1:23" x14ac:dyDescent="0.3">
      <c r="A445" s="6">
        <v>438</v>
      </c>
      <c r="B445" s="6">
        <v>6.3941400000000004E-3</v>
      </c>
      <c r="C445" s="6">
        <v>0.248885</v>
      </c>
      <c r="D445" s="6">
        <v>39.172699999999999</v>
      </c>
      <c r="E445" s="6">
        <v>38.923900000000003</v>
      </c>
      <c r="F445" s="6">
        <v>-3.1506199999999998E-3</v>
      </c>
      <c r="G445" s="6">
        <v>-6.1330099999999999E-2</v>
      </c>
      <c r="H445" s="6">
        <v>19.404699999999998</v>
      </c>
      <c r="I445" s="6">
        <v>19.466100000000001</v>
      </c>
      <c r="J445" s="6">
        <v>-2.91888E-3</v>
      </c>
      <c r="K445" s="6">
        <v>-5.3331999999999997E-2</v>
      </c>
      <c r="L445" s="6">
        <v>18.218</v>
      </c>
      <c r="M445" s="6">
        <v>18.2714</v>
      </c>
      <c r="N445" s="6">
        <v>-3.8582199999999999E-3</v>
      </c>
      <c r="O445" s="6">
        <v>-7.19225E-2</v>
      </c>
      <c r="P445" s="6">
        <v>18.569400000000002</v>
      </c>
      <c r="Q445" s="6">
        <v>18.641400000000001</v>
      </c>
      <c r="R445" s="6">
        <v>154.95699999999999</v>
      </c>
      <c r="S445" s="6">
        <v>154.95699999999999</v>
      </c>
      <c r="T445" s="6">
        <v>5.5533999999999999</v>
      </c>
      <c r="U445" s="6">
        <v>19499.3</v>
      </c>
      <c r="V445">
        <f t="shared" si="12"/>
        <v>105.06088362068965</v>
      </c>
      <c r="W445">
        <f t="shared" si="13"/>
        <v>3.3092400000000002E-3</v>
      </c>
    </row>
    <row r="446" spans="1:23" x14ac:dyDescent="0.3">
      <c r="A446" s="6">
        <v>439</v>
      </c>
      <c r="B446" s="6">
        <v>6.40954E-3</v>
      </c>
      <c r="C446" s="6">
        <v>0.24948400000000001</v>
      </c>
      <c r="D446" s="6">
        <v>39.173299999999998</v>
      </c>
      <c r="E446" s="6">
        <v>38.923900000000003</v>
      </c>
      <c r="F446" s="6">
        <v>-2.9100699999999998E-3</v>
      </c>
      <c r="G446" s="6">
        <v>-5.6647500000000003E-2</v>
      </c>
      <c r="H446" s="6">
        <v>19.409400000000002</v>
      </c>
      <c r="I446" s="6">
        <v>19.466100000000001</v>
      </c>
      <c r="J446" s="6">
        <v>-2.7760699999999998E-3</v>
      </c>
      <c r="K446" s="6">
        <v>-5.07226E-2</v>
      </c>
      <c r="L446" s="6">
        <v>18.220600000000001</v>
      </c>
      <c r="M446" s="6">
        <v>18.2714</v>
      </c>
      <c r="N446" s="6">
        <v>-3.7593000000000001E-3</v>
      </c>
      <c r="O446" s="6">
        <v>-7.0078399999999999E-2</v>
      </c>
      <c r="P446" s="6">
        <v>18.571300000000001</v>
      </c>
      <c r="Q446" s="6">
        <v>18.641400000000001</v>
      </c>
      <c r="R446" s="6">
        <v>155.393</v>
      </c>
      <c r="S446" s="6">
        <v>155.393</v>
      </c>
      <c r="T446" s="6">
        <v>5.5629999999999997</v>
      </c>
      <c r="U446" s="6">
        <v>19533.2</v>
      </c>
      <c r="V446">
        <f t="shared" si="12"/>
        <v>105.24353448275863</v>
      </c>
      <c r="W446">
        <f t="shared" si="13"/>
        <v>3.1484799999999999E-3</v>
      </c>
    </row>
    <row r="447" spans="1:23" x14ac:dyDescent="0.3">
      <c r="A447" s="6">
        <v>440</v>
      </c>
      <c r="B447" s="6">
        <v>6.4124000000000004E-3</v>
      </c>
      <c r="C447" s="6">
        <v>0.24959500000000001</v>
      </c>
      <c r="D447" s="6">
        <v>39.173499999999997</v>
      </c>
      <c r="E447" s="6">
        <v>38.923900000000003</v>
      </c>
      <c r="F447" s="6">
        <v>-3.0492100000000001E-3</v>
      </c>
      <c r="G447" s="6">
        <v>-5.9356100000000002E-2</v>
      </c>
      <c r="H447" s="6">
        <v>19.406700000000001</v>
      </c>
      <c r="I447" s="6">
        <v>19.466100000000001</v>
      </c>
      <c r="J447" s="6">
        <v>-2.8862499999999999E-3</v>
      </c>
      <c r="K447" s="6">
        <v>-5.2735600000000001E-2</v>
      </c>
      <c r="L447" s="6">
        <v>18.218599999999999</v>
      </c>
      <c r="M447" s="6">
        <v>18.2714</v>
      </c>
      <c r="N447" s="6">
        <v>-3.8252500000000001E-3</v>
      </c>
      <c r="O447" s="6">
        <v>-7.1307800000000005E-2</v>
      </c>
      <c r="P447" s="6">
        <v>18.5701</v>
      </c>
      <c r="Q447" s="6">
        <v>18.641400000000001</v>
      </c>
      <c r="R447" s="6">
        <v>155.518</v>
      </c>
      <c r="S447" s="6">
        <v>155.518</v>
      </c>
      <c r="T447" s="6">
        <v>5.5669000000000004</v>
      </c>
      <c r="U447" s="6">
        <v>19546.8</v>
      </c>
      <c r="V447">
        <f t="shared" si="12"/>
        <v>105.31681034482759</v>
      </c>
      <c r="W447">
        <f t="shared" si="13"/>
        <v>3.2535700000000003E-3</v>
      </c>
    </row>
    <row r="448" spans="1:23" x14ac:dyDescent="0.3">
      <c r="A448" s="6">
        <v>441</v>
      </c>
      <c r="B448" s="6">
        <v>6.4299700000000001E-3</v>
      </c>
      <c r="C448" s="6">
        <v>0.25027899999999997</v>
      </c>
      <c r="D448" s="6">
        <v>39.174100000000003</v>
      </c>
      <c r="E448" s="6">
        <v>38.923900000000003</v>
      </c>
      <c r="F448" s="6">
        <v>-2.9815900000000001E-3</v>
      </c>
      <c r="G448" s="6">
        <v>-5.8039800000000003E-2</v>
      </c>
      <c r="H448" s="6">
        <v>19.408000000000001</v>
      </c>
      <c r="I448" s="6">
        <v>19.466100000000001</v>
      </c>
      <c r="J448" s="6">
        <v>-2.8751200000000001E-3</v>
      </c>
      <c r="K448" s="6">
        <v>-5.2532299999999997E-2</v>
      </c>
      <c r="L448" s="6">
        <v>18.218800000000002</v>
      </c>
      <c r="M448" s="6">
        <v>18.2714</v>
      </c>
      <c r="N448" s="6">
        <v>-3.9644399999999996E-3</v>
      </c>
      <c r="O448" s="6">
        <v>-7.3902499999999996E-2</v>
      </c>
      <c r="P448" s="6">
        <v>18.567499999999999</v>
      </c>
      <c r="Q448" s="6">
        <v>18.641400000000001</v>
      </c>
      <c r="R448" s="6">
        <v>156.01499999999999</v>
      </c>
      <c r="S448" s="6">
        <v>156.01599999999999</v>
      </c>
      <c r="T448" s="6">
        <v>5.5837000000000003</v>
      </c>
      <c r="U448" s="6">
        <v>19605.599999999999</v>
      </c>
      <c r="V448">
        <f t="shared" si="12"/>
        <v>105.63362068965517</v>
      </c>
      <c r="W448">
        <f t="shared" si="13"/>
        <v>3.273716666666667E-3</v>
      </c>
    </row>
    <row r="449" spans="1:23" x14ac:dyDescent="0.3">
      <c r="A449" s="6">
        <v>442</v>
      </c>
      <c r="B449" s="6">
        <v>6.5161200000000002E-3</v>
      </c>
      <c r="C449" s="6">
        <v>0.25363200000000002</v>
      </c>
      <c r="D449" s="6">
        <v>39.177500000000002</v>
      </c>
      <c r="E449" s="6">
        <v>38.923900000000003</v>
      </c>
      <c r="F449" s="6">
        <v>-2.92384E-3</v>
      </c>
      <c r="G449" s="6">
        <v>-5.6915599999999997E-2</v>
      </c>
      <c r="H449" s="6">
        <v>19.409099999999999</v>
      </c>
      <c r="I449" s="6">
        <v>19.466100000000001</v>
      </c>
      <c r="J449" s="6">
        <v>-2.7670400000000001E-3</v>
      </c>
      <c r="K449" s="6">
        <v>-5.0557600000000001E-2</v>
      </c>
      <c r="L449" s="6">
        <v>18.220800000000001</v>
      </c>
      <c r="M449" s="6">
        <v>18.2714</v>
      </c>
      <c r="N449" s="6">
        <v>-3.7856399999999998E-3</v>
      </c>
      <c r="O449" s="6">
        <v>-7.0569400000000004E-2</v>
      </c>
      <c r="P449" s="6">
        <v>18.570799999999998</v>
      </c>
      <c r="Q449" s="6">
        <v>18.641400000000001</v>
      </c>
      <c r="R449" s="6">
        <v>156.38999999999999</v>
      </c>
      <c r="S449" s="6">
        <v>156.38999999999999</v>
      </c>
      <c r="T449" s="6">
        <v>5.6059000000000001</v>
      </c>
      <c r="U449" s="6">
        <v>19683.5</v>
      </c>
      <c r="V449">
        <f t="shared" si="12"/>
        <v>106.05334051724138</v>
      </c>
      <c r="W449">
        <f t="shared" si="13"/>
        <v>3.15884E-3</v>
      </c>
    </row>
    <row r="450" spans="1:23" x14ac:dyDescent="0.3">
      <c r="A450" s="6">
        <v>443</v>
      </c>
      <c r="B450" s="6">
        <v>6.4057799999999998E-3</v>
      </c>
      <c r="C450" s="6">
        <v>0.249338</v>
      </c>
      <c r="D450" s="6">
        <v>39.173200000000001</v>
      </c>
      <c r="E450" s="6">
        <v>38.923900000000003</v>
      </c>
      <c r="F450" s="6">
        <v>-3.0784599999999999E-3</v>
      </c>
      <c r="G450" s="6">
        <v>-5.9925600000000002E-2</v>
      </c>
      <c r="H450" s="6">
        <v>19.406099999999999</v>
      </c>
      <c r="I450" s="6">
        <v>19.466100000000001</v>
      </c>
      <c r="J450" s="6">
        <v>-2.8958299999999998E-3</v>
      </c>
      <c r="K450" s="6">
        <v>-5.2910600000000002E-2</v>
      </c>
      <c r="L450" s="6">
        <v>18.218399999999999</v>
      </c>
      <c r="M450" s="6">
        <v>18.2714</v>
      </c>
      <c r="N450" s="6">
        <v>-3.9596400000000004E-3</v>
      </c>
      <c r="O450" s="6">
        <v>-7.3813100000000006E-2</v>
      </c>
      <c r="P450" s="6">
        <v>18.567599999999999</v>
      </c>
      <c r="Q450" s="6">
        <v>18.641400000000001</v>
      </c>
      <c r="R450" s="6">
        <v>156.76400000000001</v>
      </c>
      <c r="S450" s="6">
        <v>156.76400000000001</v>
      </c>
      <c r="T450" s="6">
        <v>5.6124000000000001</v>
      </c>
      <c r="U450" s="6">
        <v>19706.2</v>
      </c>
      <c r="V450">
        <f t="shared" si="12"/>
        <v>106.17564655172414</v>
      </c>
      <c r="W450">
        <f t="shared" si="13"/>
        <v>3.31131E-3</v>
      </c>
    </row>
    <row r="451" spans="1:23" x14ac:dyDescent="0.3">
      <c r="A451" s="6">
        <v>444</v>
      </c>
      <c r="B451" s="6">
        <v>6.49834E-3</v>
      </c>
      <c r="C451" s="6">
        <v>0.25294</v>
      </c>
      <c r="D451" s="6">
        <v>39.1768</v>
      </c>
      <c r="E451" s="6">
        <v>38.923900000000003</v>
      </c>
      <c r="F451" s="6">
        <v>-3.0521900000000002E-3</v>
      </c>
      <c r="G451" s="6">
        <v>-5.9414099999999997E-2</v>
      </c>
      <c r="H451" s="6">
        <v>19.406600000000001</v>
      </c>
      <c r="I451" s="6">
        <v>19.466100000000001</v>
      </c>
      <c r="J451" s="6">
        <v>-2.8957800000000001E-3</v>
      </c>
      <c r="K451" s="6">
        <v>-5.2909900000000003E-2</v>
      </c>
      <c r="L451" s="6">
        <v>18.218399999999999</v>
      </c>
      <c r="M451" s="6">
        <v>18.2714</v>
      </c>
      <c r="N451" s="6">
        <v>-3.9079199999999996E-3</v>
      </c>
      <c r="O451" s="6">
        <v>-7.2848999999999997E-2</v>
      </c>
      <c r="P451" s="6">
        <v>18.5685</v>
      </c>
      <c r="Q451" s="6">
        <v>18.641400000000001</v>
      </c>
      <c r="R451" s="6">
        <v>157.328</v>
      </c>
      <c r="S451" s="6">
        <v>157.328</v>
      </c>
      <c r="T451" s="6">
        <v>5.6401000000000003</v>
      </c>
      <c r="U451" s="6">
        <v>19803.400000000001</v>
      </c>
      <c r="V451">
        <f t="shared" si="12"/>
        <v>106.69935344827587</v>
      </c>
      <c r="W451">
        <f t="shared" si="13"/>
        <v>3.2852966666666664E-3</v>
      </c>
    </row>
    <row r="452" spans="1:23" x14ac:dyDescent="0.3">
      <c r="A452" s="6">
        <v>445</v>
      </c>
      <c r="B452" s="6">
        <v>6.5482300000000004E-3</v>
      </c>
      <c r="C452" s="6">
        <v>0.254882</v>
      </c>
      <c r="D452" s="6">
        <v>39.178699999999999</v>
      </c>
      <c r="E452" s="6">
        <v>38.923900000000003</v>
      </c>
      <c r="F452" s="6">
        <v>-2.9582900000000001E-3</v>
      </c>
      <c r="G452" s="6">
        <v>-5.7586199999999997E-2</v>
      </c>
      <c r="H452" s="6">
        <v>19.4085</v>
      </c>
      <c r="I452" s="6">
        <v>19.466100000000001</v>
      </c>
      <c r="J452" s="6">
        <v>-2.7876300000000001E-3</v>
      </c>
      <c r="K452" s="6">
        <v>-5.0933800000000001E-2</v>
      </c>
      <c r="L452" s="6">
        <v>18.220400000000001</v>
      </c>
      <c r="M452" s="6">
        <v>18.2714</v>
      </c>
      <c r="N452" s="6">
        <v>-3.8824300000000001E-3</v>
      </c>
      <c r="O452" s="6">
        <v>-7.2373900000000005E-2</v>
      </c>
      <c r="P452" s="6">
        <v>18.568999999999999</v>
      </c>
      <c r="Q452" s="6">
        <v>18.641400000000001</v>
      </c>
      <c r="R452" s="6">
        <v>157.95099999999999</v>
      </c>
      <c r="S452" s="6">
        <v>157.95099999999999</v>
      </c>
      <c r="T452" s="6">
        <v>5.6680999999999999</v>
      </c>
      <c r="U452" s="6">
        <v>19901.7</v>
      </c>
      <c r="V452">
        <f t="shared" si="12"/>
        <v>107.22898706896552</v>
      </c>
      <c r="W452">
        <f t="shared" si="13"/>
        <v>3.2094500000000004E-3</v>
      </c>
    </row>
    <row r="453" spans="1:23" x14ac:dyDescent="0.3">
      <c r="A453" s="6">
        <v>446</v>
      </c>
      <c r="B453" s="6">
        <v>6.5350299999999998E-3</v>
      </c>
      <c r="C453" s="6">
        <v>0.25436900000000001</v>
      </c>
      <c r="D453" s="6">
        <v>39.178199999999997</v>
      </c>
      <c r="E453" s="6">
        <v>38.923900000000003</v>
      </c>
      <c r="F453" s="6">
        <v>-3.0507400000000001E-3</v>
      </c>
      <c r="G453" s="6">
        <v>-5.9385899999999998E-2</v>
      </c>
      <c r="H453" s="6">
        <v>19.406700000000001</v>
      </c>
      <c r="I453" s="6">
        <v>19.466100000000001</v>
      </c>
      <c r="J453" s="6">
        <v>-2.8847899999999999E-3</v>
      </c>
      <c r="K453" s="6">
        <v>-5.2709100000000002E-2</v>
      </c>
      <c r="L453" s="6">
        <v>18.218599999999999</v>
      </c>
      <c r="M453" s="6">
        <v>18.2714</v>
      </c>
      <c r="N453" s="6">
        <v>-3.9541799999999998E-3</v>
      </c>
      <c r="O453" s="6">
        <v>-7.3711399999999996E-2</v>
      </c>
      <c r="P453" s="6">
        <v>18.567699999999999</v>
      </c>
      <c r="Q453" s="6">
        <v>18.641400000000001</v>
      </c>
      <c r="R453" s="6">
        <v>158.203</v>
      </c>
      <c r="S453" s="6">
        <v>158.203</v>
      </c>
      <c r="T453" s="6">
        <v>5.6661999999999999</v>
      </c>
      <c r="U453" s="6">
        <v>19894.900000000001</v>
      </c>
      <c r="V453">
        <f t="shared" si="12"/>
        <v>107.19234913793105</v>
      </c>
      <c r="W453">
        <f t="shared" si="13"/>
        <v>3.29657E-3</v>
      </c>
    </row>
    <row r="454" spans="1:23" x14ac:dyDescent="0.3">
      <c r="A454" s="6">
        <v>447</v>
      </c>
      <c r="B454" s="6">
        <v>6.5383100000000003E-3</v>
      </c>
      <c r="C454" s="6">
        <v>0.254496</v>
      </c>
      <c r="D454" s="6">
        <v>39.178400000000003</v>
      </c>
      <c r="E454" s="6">
        <v>38.923900000000003</v>
      </c>
      <c r="F454" s="6">
        <v>-3.2031300000000002E-3</v>
      </c>
      <c r="G454" s="6">
        <v>-6.2352299999999999E-2</v>
      </c>
      <c r="H454" s="6">
        <v>19.403700000000001</v>
      </c>
      <c r="I454" s="6">
        <v>19.466100000000001</v>
      </c>
      <c r="J454" s="6">
        <v>-3.0015100000000002E-3</v>
      </c>
      <c r="K454" s="6">
        <v>-5.48417E-2</v>
      </c>
      <c r="L454" s="6">
        <v>18.2165</v>
      </c>
      <c r="M454" s="6">
        <v>18.2714</v>
      </c>
      <c r="N454" s="6">
        <v>-3.9546599999999996E-3</v>
      </c>
      <c r="O454" s="6">
        <v>-7.3720300000000002E-2</v>
      </c>
      <c r="P454" s="6">
        <v>18.567599999999999</v>
      </c>
      <c r="Q454" s="6">
        <v>18.641400000000001</v>
      </c>
      <c r="R454" s="6">
        <v>158.44900000000001</v>
      </c>
      <c r="S454" s="6">
        <v>158.44900000000001</v>
      </c>
      <c r="T454" s="6">
        <v>5.6719999999999997</v>
      </c>
      <c r="U454" s="6">
        <v>19915.3</v>
      </c>
      <c r="V454">
        <f t="shared" si="12"/>
        <v>107.30226293103448</v>
      </c>
      <c r="W454">
        <f t="shared" si="13"/>
        <v>3.386433333333333E-3</v>
      </c>
    </row>
    <row r="455" spans="1:23" x14ac:dyDescent="0.3">
      <c r="A455" s="6">
        <v>448</v>
      </c>
      <c r="B455" s="6">
        <v>6.5332000000000003E-3</v>
      </c>
      <c r="C455" s="6">
        <v>0.254297</v>
      </c>
      <c r="D455" s="6">
        <v>39.178199999999997</v>
      </c>
      <c r="E455" s="6">
        <v>38.923900000000003</v>
      </c>
      <c r="F455" s="6">
        <v>-3.0747299999999999E-3</v>
      </c>
      <c r="G455" s="6">
        <v>-5.9852900000000001E-2</v>
      </c>
      <c r="H455" s="6">
        <v>19.406199999999998</v>
      </c>
      <c r="I455" s="6">
        <v>19.466100000000001</v>
      </c>
      <c r="J455" s="6">
        <v>-2.9005699999999999E-3</v>
      </c>
      <c r="K455" s="6">
        <v>-5.29974E-2</v>
      </c>
      <c r="L455" s="6">
        <v>18.218399999999999</v>
      </c>
      <c r="M455" s="6">
        <v>18.2714</v>
      </c>
      <c r="N455" s="6">
        <v>-4.0068899999999999E-3</v>
      </c>
      <c r="O455" s="6">
        <v>-7.4693899999999994E-2</v>
      </c>
      <c r="P455" s="6">
        <v>18.566700000000001</v>
      </c>
      <c r="Q455" s="6">
        <v>18.641400000000001</v>
      </c>
      <c r="R455" s="6">
        <v>158.886</v>
      </c>
      <c r="S455" s="6">
        <v>158.886</v>
      </c>
      <c r="T455" s="6">
        <v>5.7065000000000001</v>
      </c>
      <c r="U455" s="6">
        <v>20036.2</v>
      </c>
      <c r="V455">
        <f t="shared" si="12"/>
        <v>107.95366379310346</v>
      </c>
      <c r="W455">
        <f t="shared" si="13"/>
        <v>3.3273966666666661E-3</v>
      </c>
    </row>
    <row r="456" spans="1:23" x14ac:dyDescent="0.3">
      <c r="A456" s="6">
        <v>449</v>
      </c>
      <c r="B456" s="6">
        <v>6.5641099999999997E-3</v>
      </c>
      <c r="C456" s="6">
        <v>0.25550099999999998</v>
      </c>
      <c r="D456" s="6">
        <v>39.179400000000001</v>
      </c>
      <c r="E456" s="6">
        <v>38.923900000000003</v>
      </c>
      <c r="F456" s="6">
        <v>-3.05171E-3</v>
      </c>
      <c r="G456" s="6">
        <v>-5.9404699999999998E-2</v>
      </c>
      <c r="H456" s="6">
        <v>19.406700000000001</v>
      </c>
      <c r="I456" s="6">
        <v>19.466100000000001</v>
      </c>
      <c r="J456" s="6">
        <v>-2.8886200000000002E-3</v>
      </c>
      <c r="K456" s="6">
        <v>-5.2778899999999997E-2</v>
      </c>
      <c r="L456" s="6">
        <v>18.218599999999999</v>
      </c>
      <c r="M456" s="6">
        <v>18.2714</v>
      </c>
      <c r="N456" s="6">
        <v>-3.9484799999999999E-3</v>
      </c>
      <c r="O456" s="6">
        <v>-7.3605000000000004E-2</v>
      </c>
      <c r="P456" s="6">
        <v>18.567799999999998</v>
      </c>
      <c r="Q456" s="6">
        <v>18.641400000000001</v>
      </c>
      <c r="R456" s="6">
        <v>159.01499999999999</v>
      </c>
      <c r="S456" s="6">
        <v>159.01499999999999</v>
      </c>
      <c r="T456" s="6">
        <v>5.6993999999999998</v>
      </c>
      <c r="U456" s="6">
        <v>20011.3</v>
      </c>
      <c r="V456">
        <f t="shared" ref="V456:V469" si="14">U456/A$2/B$2</f>
        <v>107.81950431034483</v>
      </c>
      <c r="W456">
        <f t="shared" ref="W456:W469" si="15">-AVERAGE(F456,J456,N456)</f>
        <v>3.2962700000000004E-3</v>
      </c>
    </row>
    <row r="457" spans="1:23" x14ac:dyDescent="0.3">
      <c r="A457" s="6">
        <v>450</v>
      </c>
      <c r="B457" s="6">
        <v>6.5373899999999997E-3</v>
      </c>
      <c r="C457" s="6">
        <v>0.25446099999999999</v>
      </c>
      <c r="D457" s="6">
        <v>39.1783</v>
      </c>
      <c r="E457" s="6">
        <v>38.923900000000003</v>
      </c>
      <c r="F457" s="6">
        <v>-3.1826200000000002E-3</v>
      </c>
      <c r="G457" s="6">
        <v>-6.1953000000000001E-2</v>
      </c>
      <c r="H457" s="6">
        <v>19.4041</v>
      </c>
      <c r="I457" s="6">
        <v>19.466100000000001</v>
      </c>
      <c r="J457" s="6">
        <v>-2.9714899999999998E-3</v>
      </c>
      <c r="K457" s="6">
        <v>-5.42932E-2</v>
      </c>
      <c r="L457" s="6">
        <v>18.217099999999999</v>
      </c>
      <c r="M457" s="6">
        <v>18.2714</v>
      </c>
      <c r="N457" s="6">
        <v>-3.9868300000000002E-3</v>
      </c>
      <c r="O457" s="6">
        <v>-7.4319899999999994E-2</v>
      </c>
      <c r="P457" s="6">
        <v>18.567</v>
      </c>
      <c r="Q457" s="6">
        <v>18.641400000000001</v>
      </c>
      <c r="R457" s="6">
        <v>159.32300000000001</v>
      </c>
      <c r="S457" s="6">
        <v>159.32300000000001</v>
      </c>
      <c r="T457" s="6">
        <v>5.7016</v>
      </c>
      <c r="U457" s="6">
        <v>20019.2</v>
      </c>
      <c r="V457">
        <f t="shared" si="14"/>
        <v>107.86206896551725</v>
      </c>
      <c r="W457">
        <f t="shared" si="15"/>
        <v>3.3803133333333338E-3</v>
      </c>
    </row>
    <row r="458" spans="1:23" x14ac:dyDescent="0.3">
      <c r="A458" s="6">
        <v>451</v>
      </c>
      <c r="B458" s="6">
        <v>6.5704800000000001E-3</v>
      </c>
      <c r="C458" s="6">
        <v>0.25574799999999998</v>
      </c>
      <c r="D458" s="6">
        <v>39.179600000000001</v>
      </c>
      <c r="E458" s="6">
        <v>38.923900000000003</v>
      </c>
      <c r="F458" s="6">
        <v>-3.07078E-3</v>
      </c>
      <c r="G458" s="6">
        <v>-5.97759E-2</v>
      </c>
      <c r="H458" s="6">
        <v>19.406300000000002</v>
      </c>
      <c r="I458" s="6">
        <v>19.466100000000001</v>
      </c>
      <c r="J458" s="6">
        <v>-2.89653E-3</v>
      </c>
      <c r="K458" s="6">
        <v>-5.2923499999999998E-2</v>
      </c>
      <c r="L458" s="6">
        <v>18.218399999999999</v>
      </c>
      <c r="M458" s="6">
        <v>18.2714</v>
      </c>
      <c r="N458" s="6">
        <v>-4.0331000000000004E-3</v>
      </c>
      <c r="O458" s="6">
        <v>-7.5182499999999999E-2</v>
      </c>
      <c r="P458" s="6">
        <v>18.566199999999998</v>
      </c>
      <c r="Q458" s="6">
        <v>18.641400000000001</v>
      </c>
      <c r="R458" s="6">
        <v>159.63499999999999</v>
      </c>
      <c r="S458" s="6">
        <v>159.63499999999999</v>
      </c>
      <c r="T458" s="6">
        <v>5.7206000000000001</v>
      </c>
      <c r="U458" s="6">
        <v>20085.900000000001</v>
      </c>
      <c r="V458">
        <f t="shared" si="14"/>
        <v>108.22144396551725</v>
      </c>
      <c r="W458">
        <f t="shared" si="15"/>
        <v>3.3334700000000003E-3</v>
      </c>
    </row>
    <row r="459" spans="1:23" x14ac:dyDescent="0.3">
      <c r="A459" s="6">
        <v>452</v>
      </c>
      <c r="B459" s="6">
        <v>6.63051E-3</v>
      </c>
      <c r="C459" s="6">
        <v>0.25808500000000001</v>
      </c>
      <c r="D459" s="6">
        <v>39.181899999999999</v>
      </c>
      <c r="E459" s="6">
        <v>38.923900000000003</v>
      </c>
      <c r="F459" s="6">
        <v>-2.9714199999999998E-3</v>
      </c>
      <c r="G459" s="6">
        <v>-5.7841799999999999E-2</v>
      </c>
      <c r="H459" s="6">
        <v>19.408200000000001</v>
      </c>
      <c r="I459" s="6">
        <v>19.466100000000001</v>
      </c>
      <c r="J459" s="6">
        <v>-2.8214500000000001E-3</v>
      </c>
      <c r="K459" s="6">
        <v>-5.1551699999999999E-2</v>
      </c>
      <c r="L459" s="6">
        <v>18.219799999999999</v>
      </c>
      <c r="M459" s="6">
        <v>18.2714</v>
      </c>
      <c r="N459" s="6">
        <v>-3.94393E-3</v>
      </c>
      <c r="O459" s="6">
        <v>-7.3520299999999997E-2</v>
      </c>
      <c r="P459" s="6">
        <v>18.567799999999998</v>
      </c>
      <c r="Q459" s="6">
        <v>18.641400000000001</v>
      </c>
      <c r="R459" s="6">
        <v>159.946</v>
      </c>
      <c r="S459" s="6">
        <v>159.947</v>
      </c>
      <c r="T459" s="6">
        <v>5.7309999999999999</v>
      </c>
      <c r="U459" s="6">
        <v>20122.099999999999</v>
      </c>
      <c r="V459">
        <f t="shared" si="14"/>
        <v>108.41648706896551</v>
      </c>
      <c r="W459">
        <f t="shared" si="15"/>
        <v>3.2456E-3</v>
      </c>
    </row>
    <row r="460" spans="1:23" x14ac:dyDescent="0.3">
      <c r="A460" s="6">
        <v>453</v>
      </c>
      <c r="B460" s="6">
        <v>6.5814599999999999E-3</v>
      </c>
      <c r="C460" s="6">
        <v>0.25617600000000001</v>
      </c>
      <c r="D460" s="6">
        <v>39.18</v>
      </c>
      <c r="E460" s="6">
        <v>38.923900000000003</v>
      </c>
      <c r="F460" s="6">
        <v>-3.10122E-3</v>
      </c>
      <c r="G460" s="6">
        <v>-6.0368600000000001E-2</v>
      </c>
      <c r="H460" s="6">
        <v>19.4057</v>
      </c>
      <c r="I460" s="6">
        <v>19.466100000000001</v>
      </c>
      <c r="J460" s="6">
        <v>-2.9834599999999998E-3</v>
      </c>
      <c r="K460" s="6">
        <v>-5.4511799999999999E-2</v>
      </c>
      <c r="L460" s="6">
        <v>18.216799999999999</v>
      </c>
      <c r="M460" s="6">
        <v>18.2714</v>
      </c>
      <c r="N460" s="6">
        <v>-4.0977399999999999E-3</v>
      </c>
      <c r="O460" s="6">
        <v>-7.6387499999999997E-2</v>
      </c>
      <c r="P460" s="6">
        <v>18.565000000000001</v>
      </c>
      <c r="Q460" s="6">
        <v>18.641400000000001</v>
      </c>
      <c r="R460" s="6">
        <v>160.447</v>
      </c>
      <c r="S460" s="6">
        <v>160.447</v>
      </c>
      <c r="T460" s="6">
        <v>5.7529000000000003</v>
      </c>
      <c r="U460" s="6">
        <v>20199</v>
      </c>
      <c r="V460">
        <f t="shared" si="14"/>
        <v>108.83081896551724</v>
      </c>
      <c r="W460">
        <f t="shared" si="15"/>
        <v>3.3941400000000004E-3</v>
      </c>
    </row>
    <row r="461" spans="1:23" x14ac:dyDescent="0.3">
      <c r="A461" s="6">
        <v>454</v>
      </c>
      <c r="F461" s="6">
        <v>-2.8308100000000002E-4</v>
      </c>
      <c r="G461" s="6">
        <v>-5.51047E-3</v>
      </c>
      <c r="H461" s="6">
        <v>19.460599999999999</v>
      </c>
      <c r="I461" s="6">
        <v>19.466100000000001</v>
      </c>
      <c r="J461" s="6">
        <v>-4.1930199999999998E-4</v>
      </c>
      <c r="K461" s="6">
        <v>-7.6612099999999999E-3</v>
      </c>
      <c r="L461" s="6">
        <v>18.2637</v>
      </c>
      <c r="M461" s="6">
        <v>18.2714</v>
      </c>
      <c r="N461" s="6">
        <v>-2.4437900000000003E-4</v>
      </c>
      <c r="O461" s="6">
        <v>-4.5555500000000002E-3</v>
      </c>
      <c r="P461" s="6">
        <v>18.636800000000001</v>
      </c>
      <c r="Q461" s="6">
        <v>18.641400000000001</v>
      </c>
      <c r="R461" s="6">
        <v>160.75899999999999</v>
      </c>
      <c r="S461" s="6">
        <v>160.76</v>
      </c>
      <c r="T461" s="6">
        <v>2.9424999999999999</v>
      </c>
      <c r="U461" s="6">
        <v>10343</v>
      </c>
      <c r="V461">
        <f t="shared" si="14"/>
        <v>55.727370689655174</v>
      </c>
      <c r="W461">
        <f t="shared" si="15"/>
        <v>3.1558733333333336E-4</v>
      </c>
    </row>
    <row r="462" spans="1:23" x14ac:dyDescent="0.3">
      <c r="A462" s="6">
        <v>455</v>
      </c>
      <c r="F462" s="6">
        <v>-1.7401499999999999E-4</v>
      </c>
      <c r="G462" s="6">
        <v>-3.3873800000000002E-3</v>
      </c>
      <c r="H462" s="6">
        <v>19.462700000000002</v>
      </c>
      <c r="I462" s="6">
        <v>19.466100000000001</v>
      </c>
      <c r="J462" s="6">
        <v>-2.5026399999999999E-4</v>
      </c>
      <c r="K462" s="6">
        <v>-4.57267E-3</v>
      </c>
      <c r="L462" s="6">
        <v>18.2668</v>
      </c>
      <c r="M462" s="6">
        <v>18.2714</v>
      </c>
      <c r="N462" s="7">
        <v>2.69767E-6</v>
      </c>
      <c r="O462" s="7">
        <v>5.0288299999999998E-5</v>
      </c>
      <c r="P462" s="6">
        <v>18.641400000000001</v>
      </c>
      <c r="Q462" s="6">
        <v>18.641400000000001</v>
      </c>
      <c r="R462" s="6">
        <v>160.88300000000001</v>
      </c>
      <c r="S462" s="6">
        <v>160.88399999999999</v>
      </c>
      <c r="T462" s="6">
        <v>1.3227</v>
      </c>
      <c r="U462" s="6">
        <v>4662.3100000000004</v>
      </c>
      <c r="V462">
        <f t="shared" si="14"/>
        <v>25.120204741379315</v>
      </c>
      <c r="W462">
        <f t="shared" si="15"/>
        <v>1.4052710999999999E-4</v>
      </c>
    </row>
    <row r="463" spans="1:23" x14ac:dyDescent="0.3">
      <c r="A463" s="6">
        <v>456</v>
      </c>
      <c r="F463" s="6">
        <v>-1.28322E-4</v>
      </c>
      <c r="G463" s="6">
        <v>-2.4979300000000002E-3</v>
      </c>
      <c r="H463" s="6">
        <v>19.4636</v>
      </c>
      <c r="I463" s="6">
        <v>19.466100000000001</v>
      </c>
      <c r="J463" s="6">
        <v>-1.7715499999999999E-4</v>
      </c>
      <c r="K463" s="6">
        <v>-3.2368599999999998E-3</v>
      </c>
      <c r="L463" s="6">
        <v>18.2681</v>
      </c>
      <c r="M463" s="6">
        <v>18.2714</v>
      </c>
      <c r="N463" s="7">
        <v>-2.4384799999999999E-6</v>
      </c>
      <c r="O463" s="7">
        <v>-4.5456600000000001E-5</v>
      </c>
      <c r="P463" s="6">
        <v>18.641300000000001</v>
      </c>
      <c r="Q463" s="6">
        <v>18.641400000000001</v>
      </c>
      <c r="R463" s="6">
        <v>161.00899999999999</v>
      </c>
      <c r="S463" s="6">
        <v>161.01</v>
      </c>
      <c r="T463" s="6">
        <v>0.61040000000000005</v>
      </c>
      <c r="U463" s="6">
        <v>2164.44</v>
      </c>
      <c r="V463">
        <f t="shared" si="14"/>
        <v>11.661853448275863</v>
      </c>
      <c r="W463">
        <f t="shared" si="15"/>
        <v>1.0263849333333332E-4</v>
      </c>
    </row>
    <row r="464" spans="1:23" x14ac:dyDescent="0.3">
      <c r="A464" s="6">
        <v>457</v>
      </c>
      <c r="F464" s="6">
        <v>-1.01811E-4</v>
      </c>
      <c r="G464" s="6">
        <v>-1.9818700000000002E-3</v>
      </c>
      <c r="H464" s="6">
        <v>19.464099999999998</v>
      </c>
      <c r="I464" s="6">
        <v>19.466100000000001</v>
      </c>
      <c r="J464" s="7">
        <v>-6.1085600000000003E-5</v>
      </c>
      <c r="K464" s="6">
        <v>-1.11612E-3</v>
      </c>
      <c r="L464" s="6">
        <v>18.270199999999999</v>
      </c>
      <c r="M464" s="6">
        <v>18.2714</v>
      </c>
      <c r="N464" s="7">
        <v>8.4146099999999997E-5</v>
      </c>
      <c r="O464" s="6">
        <v>1.5686000000000001E-3</v>
      </c>
      <c r="P464" s="6">
        <v>18.642900000000001</v>
      </c>
      <c r="Q464" s="6">
        <v>18.641400000000001</v>
      </c>
      <c r="R464" s="6">
        <v>161.13300000000001</v>
      </c>
      <c r="S464" s="6">
        <v>161.13300000000001</v>
      </c>
      <c r="T464" s="6">
        <v>0.27400000000000002</v>
      </c>
      <c r="U464" s="6">
        <v>984.44299999999998</v>
      </c>
      <c r="V464">
        <f t="shared" si="14"/>
        <v>5.3041109913793107</v>
      </c>
      <c r="W464">
        <f t="shared" si="15"/>
        <v>2.6250166666666672E-5</v>
      </c>
    </row>
    <row r="465" spans="1:23" x14ac:dyDescent="0.3">
      <c r="A465" s="6">
        <v>458</v>
      </c>
      <c r="F465" s="7">
        <v>-7.5776299999999995E-5</v>
      </c>
      <c r="G465" s="6">
        <v>-1.47507E-3</v>
      </c>
      <c r="H465" s="6">
        <v>19.464600000000001</v>
      </c>
      <c r="I465" s="6">
        <v>19.466100000000001</v>
      </c>
      <c r="J465" s="7">
        <v>-6.1416799999999998E-5</v>
      </c>
      <c r="K465" s="6">
        <v>-1.12217E-3</v>
      </c>
      <c r="L465" s="6">
        <v>18.270199999999999</v>
      </c>
      <c r="M465" s="6">
        <v>18.2714</v>
      </c>
      <c r="N465" s="7">
        <v>5.5954500000000001E-5</v>
      </c>
      <c r="O465" s="6">
        <v>1.0430700000000001E-3</v>
      </c>
      <c r="P465" s="6">
        <v>18.642399999999999</v>
      </c>
      <c r="Q465" s="6">
        <v>18.641400000000001</v>
      </c>
      <c r="R465" s="6">
        <v>161.25899999999999</v>
      </c>
      <c r="S465" s="6">
        <v>161.25899999999999</v>
      </c>
      <c r="T465" s="6">
        <v>0.1235</v>
      </c>
      <c r="U465" s="6">
        <v>456.61200000000002</v>
      </c>
      <c r="V465">
        <f t="shared" si="14"/>
        <v>2.4601939655172416</v>
      </c>
      <c r="W465">
        <f t="shared" si="15"/>
        <v>2.7079533333333337E-5</v>
      </c>
    </row>
    <row r="466" spans="1:23" x14ac:dyDescent="0.3">
      <c r="A466" s="6">
        <v>459</v>
      </c>
      <c r="F466" s="6">
        <v>-1.5394700000000001E-4</v>
      </c>
      <c r="G466" s="6">
        <v>-2.9967399999999999E-3</v>
      </c>
      <c r="H466" s="6">
        <v>19.463100000000001</v>
      </c>
      <c r="I466" s="6">
        <v>19.466100000000001</v>
      </c>
      <c r="J466" s="6">
        <v>-1.2315000000000001E-4</v>
      </c>
      <c r="K466" s="6">
        <v>-2.25011E-3</v>
      </c>
      <c r="L466" s="6">
        <v>18.269100000000002</v>
      </c>
      <c r="M466" s="6">
        <v>18.2714</v>
      </c>
      <c r="N466" s="7">
        <v>4.7331299999999999E-5</v>
      </c>
      <c r="O466" s="6">
        <v>8.8232100000000004E-4</v>
      </c>
      <c r="P466" s="6">
        <v>18.642199999999999</v>
      </c>
      <c r="Q466" s="6">
        <v>18.641400000000001</v>
      </c>
      <c r="R466" s="6">
        <v>161.381</v>
      </c>
      <c r="S466" s="6">
        <v>161.38200000000001</v>
      </c>
      <c r="T466" s="6">
        <v>5.6800000000000003E-2</v>
      </c>
      <c r="U466" s="6">
        <v>222.648</v>
      </c>
      <c r="V466">
        <f t="shared" si="14"/>
        <v>1.1996120689655172</v>
      </c>
      <c r="W466">
        <f t="shared" si="15"/>
        <v>7.6588566666666667E-5</v>
      </c>
    </row>
    <row r="467" spans="1:23" x14ac:dyDescent="0.3">
      <c r="A467" s="6">
        <v>460</v>
      </c>
      <c r="F467" s="6">
        <v>-1.9009499999999999E-4</v>
      </c>
      <c r="G467" s="6">
        <v>-3.7004099999999999E-3</v>
      </c>
      <c r="H467" s="6">
        <v>19.462399999999999</v>
      </c>
      <c r="I467" s="6">
        <v>19.466100000000001</v>
      </c>
      <c r="J467" s="7">
        <v>-9.9516499999999995E-5</v>
      </c>
      <c r="K467" s="6">
        <v>-1.8182999999999999E-3</v>
      </c>
      <c r="L467" s="6">
        <v>18.269500000000001</v>
      </c>
      <c r="M467" s="6">
        <v>18.2714</v>
      </c>
      <c r="N467" s="7">
        <v>4.59104E-5</v>
      </c>
      <c r="O467" s="6">
        <v>8.5583299999999996E-4</v>
      </c>
      <c r="P467" s="6">
        <v>18.642199999999999</v>
      </c>
      <c r="Q467" s="6">
        <v>18.641400000000001</v>
      </c>
      <c r="R467" s="6">
        <v>161.50899999999999</v>
      </c>
      <c r="S467" s="6">
        <v>161.50899999999999</v>
      </c>
      <c r="T467" s="6">
        <v>3.1E-2</v>
      </c>
      <c r="U467" s="6">
        <v>132.227</v>
      </c>
      <c r="V467">
        <f t="shared" si="14"/>
        <v>0.71242995689655175</v>
      </c>
      <c r="W467">
        <f t="shared" si="15"/>
        <v>8.1233700000000008E-5</v>
      </c>
    </row>
    <row r="468" spans="1:23" x14ac:dyDescent="0.3">
      <c r="A468" s="6">
        <v>461</v>
      </c>
      <c r="F468" s="6">
        <v>-1.0367800000000001E-4</v>
      </c>
      <c r="G468" s="6">
        <v>-2.0181999999999999E-3</v>
      </c>
      <c r="H468" s="6">
        <v>19.463999999999999</v>
      </c>
      <c r="I468" s="6">
        <v>19.466100000000001</v>
      </c>
      <c r="J468" s="7">
        <v>-6.4906799999999993E-5</v>
      </c>
      <c r="K468" s="6">
        <v>-1.18593E-3</v>
      </c>
      <c r="L468" s="6">
        <v>18.270199999999999</v>
      </c>
      <c r="M468" s="6">
        <v>18.2714</v>
      </c>
      <c r="N468" s="7">
        <v>-8.6834299999999993E-6</v>
      </c>
      <c r="O468" s="6">
        <v>-1.6187100000000001E-4</v>
      </c>
      <c r="P468" s="6">
        <v>18.641200000000001</v>
      </c>
      <c r="Q468" s="6">
        <v>18.641400000000001</v>
      </c>
      <c r="R468" s="6">
        <v>161.75899999999999</v>
      </c>
      <c r="S468" s="6">
        <v>161.75899999999999</v>
      </c>
      <c r="T468" s="6">
        <v>-8.0000000000000002E-3</v>
      </c>
      <c r="U468" s="6">
        <v>-4.5345000000000004</v>
      </c>
      <c r="V468">
        <f t="shared" si="14"/>
        <v>-2.4431573275862071E-2</v>
      </c>
      <c r="W468">
        <f t="shared" si="15"/>
        <v>5.9089409999999998E-5</v>
      </c>
    </row>
    <row r="469" spans="1:23" x14ac:dyDescent="0.3">
      <c r="A469" s="6">
        <v>462</v>
      </c>
      <c r="F469" s="7">
        <v>-2.3723600000000001E-5</v>
      </c>
      <c r="G469" s="6">
        <v>-4.6180400000000001E-4</v>
      </c>
      <c r="H469" s="6">
        <v>19.465599999999998</v>
      </c>
      <c r="I469" s="6">
        <v>19.466100000000001</v>
      </c>
      <c r="J469" s="7">
        <v>6.4144800000000003E-5</v>
      </c>
      <c r="K469" s="6">
        <v>1.17201E-3</v>
      </c>
      <c r="L469" s="6">
        <v>18.272500000000001</v>
      </c>
      <c r="M469" s="6">
        <v>18.2714</v>
      </c>
      <c r="N469" s="7">
        <v>7.89247E-5</v>
      </c>
      <c r="O469" s="6">
        <v>1.4712600000000001E-3</v>
      </c>
      <c r="P469" s="6">
        <v>18.642800000000001</v>
      </c>
      <c r="Q469" s="6">
        <v>18.641400000000001</v>
      </c>
      <c r="R469" s="6">
        <v>161.94499999999999</v>
      </c>
      <c r="S469" s="6">
        <v>161.946</v>
      </c>
      <c r="T469" s="6">
        <v>4.1999999999999997E-3</v>
      </c>
      <c r="U469" s="6">
        <v>38.415399999999998</v>
      </c>
      <c r="V469">
        <f t="shared" si="14"/>
        <v>0.20697952586206897</v>
      </c>
      <c r="W469">
        <f t="shared" si="15"/>
        <v>-3.9781966666666666E-5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F5A8C9-D0BA-418B-9109-839439C45A40}">
  <dimension ref="A1:AD414"/>
  <sheetViews>
    <sheetView topLeftCell="K1" workbookViewId="0">
      <selection activeCell="AF7" sqref="AF7"/>
    </sheetView>
  </sheetViews>
  <sheetFormatPr defaultRowHeight="14.4" x14ac:dyDescent="0.3"/>
  <cols>
    <col min="1" max="16384" width="8.88671875" style="6"/>
  </cols>
  <sheetData>
    <row r="1" spans="1:30" x14ac:dyDescent="0.3">
      <c r="A1" t="s">
        <v>15</v>
      </c>
      <c r="B1" t="s">
        <v>16</v>
      </c>
    </row>
    <row r="2" spans="1:30" x14ac:dyDescent="0.3">
      <c r="A2">
        <v>23.2</v>
      </c>
      <c r="B2">
        <v>8</v>
      </c>
    </row>
    <row r="3" spans="1:30" x14ac:dyDescent="0.3">
      <c r="B3">
        <f>MATCH(V5,V7:V1048570,0)-1</f>
        <v>394</v>
      </c>
    </row>
    <row r="4" spans="1:30" ht="15.6" x14ac:dyDescent="0.35">
      <c r="B4" t="s">
        <v>18</v>
      </c>
      <c r="U4" t="s">
        <v>24</v>
      </c>
      <c r="V4" t="s">
        <v>17</v>
      </c>
      <c r="X4" t="s">
        <v>23</v>
      </c>
      <c r="Y4" s="2" t="s">
        <v>19</v>
      </c>
      <c r="Z4" s="2" t="s">
        <v>19</v>
      </c>
      <c r="AA4" s="2" t="s">
        <v>19</v>
      </c>
      <c r="AB4"/>
      <c r="AC4"/>
      <c r="AD4"/>
    </row>
    <row r="5" spans="1:30" x14ac:dyDescent="0.3">
      <c r="A5" s="6" t="s">
        <v>0</v>
      </c>
      <c r="B5">
        <f>INDEX(B7:B1048570,MATCH(V5,V7:V1048570,0))</f>
        <v>6.6205099999999996E-3</v>
      </c>
      <c r="F5" s="6" t="s">
        <v>1</v>
      </c>
      <c r="J5" s="6" t="s">
        <v>2</v>
      </c>
      <c r="N5" s="6" t="s">
        <v>3</v>
      </c>
      <c r="R5" s="6" t="s">
        <v>4</v>
      </c>
      <c r="U5">
        <f>MAX(U8:U1048571)</f>
        <v>17623.099999999999</v>
      </c>
      <c r="V5">
        <f>MAX(V8:V1048571)</f>
        <v>94.952047413793096</v>
      </c>
      <c r="X5">
        <f>INDEX(LINEST(V7:V395,B7:B395),1)</f>
        <v>14861.821463350207</v>
      </c>
      <c r="Y5">
        <f>-INDEX(LINEST(F80:F400,B80:B400),1)</f>
        <v>0.21573116829709854</v>
      </c>
      <c r="Z5">
        <f>-INDEX(LINEST(J80:J400,B80:B400),1)</f>
        <v>0.50460375641964406</v>
      </c>
      <c r="AA5">
        <f>-INDEX(LINEST(N80:N400,B80:B400),1)</f>
        <v>0.50155284453666593</v>
      </c>
      <c r="AB5" s="3">
        <f>AVERAGE(Y5:AA5)</f>
        <v>0.40729592308446949</v>
      </c>
      <c r="AC5" s="5">
        <f>STDEV(Y5:AA5)</f>
        <v>0.16590695727843532</v>
      </c>
      <c r="AD5" s="4">
        <f>AC5/AB5</f>
        <v>0.40733763309491244</v>
      </c>
    </row>
    <row r="6" spans="1:30" x14ac:dyDescent="0.3">
      <c r="A6" s="6" t="s">
        <v>5</v>
      </c>
      <c r="B6" s="6" t="s">
        <v>6</v>
      </c>
      <c r="C6" s="6" t="s">
        <v>7</v>
      </c>
      <c r="D6" s="6" t="s">
        <v>8</v>
      </c>
      <c r="E6" s="6" t="s">
        <v>9</v>
      </c>
      <c r="F6" s="6" t="s">
        <v>6</v>
      </c>
      <c r="G6" s="6" t="s">
        <v>7</v>
      </c>
      <c r="H6" s="6" t="s">
        <v>8</v>
      </c>
      <c r="I6" s="6" t="s">
        <v>9</v>
      </c>
      <c r="J6" s="6" t="s">
        <v>6</v>
      </c>
      <c r="K6" s="6" t="s">
        <v>7</v>
      </c>
      <c r="L6" s="6" t="s">
        <v>8</v>
      </c>
      <c r="M6" s="6" t="s">
        <v>9</v>
      </c>
      <c r="N6" s="6" t="s">
        <v>6</v>
      </c>
      <c r="O6" s="6" t="s">
        <v>7</v>
      </c>
      <c r="P6" s="6" t="s">
        <v>8</v>
      </c>
      <c r="Q6" s="6" t="s">
        <v>9</v>
      </c>
      <c r="R6" s="6" t="s">
        <v>10</v>
      </c>
      <c r="S6" s="6" t="s">
        <v>11</v>
      </c>
      <c r="T6" s="6" t="s">
        <v>12</v>
      </c>
      <c r="U6" s="6" t="s">
        <v>13</v>
      </c>
      <c r="V6" t="s">
        <v>14</v>
      </c>
      <c r="W6" t="s">
        <v>25</v>
      </c>
    </row>
    <row r="7" spans="1:30" x14ac:dyDescent="0.3">
      <c r="A7" s="6">
        <v>0</v>
      </c>
      <c r="B7" s="6">
        <v>0</v>
      </c>
      <c r="C7" s="6">
        <v>0</v>
      </c>
      <c r="D7" s="6">
        <v>36.564399999999999</v>
      </c>
      <c r="E7" s="6">
        <v>36.564399999999999</v>
      </c>
      <c r="F7" s="6">
        <v>0</v>
      </c>
      <c r="G7" s="6">
        <v>0</v>
      </c>
      <c r="H7" s="6">
        <v>17.199200000000001</v>
      </c>
      <c r="I7" s="6">
        <v>17.199200000000001</v>
      </c>
      <c r="J7" s="6">
        <v>0</v>
      </c>
      <c r="K7" s="6">
        <v>0</v>
      </c>
      <c r="L7" s="6">
        <v>14.477399999999999</v>
      </c>
      <c r="M7" s="6">
        <v>14.477399999999999</v>
      </c>
      <c r="N7" s="6">
        <v>0</v>
      </c>
      <c r="O7" s="6">
        <v>0</v>
      </c>
      <c r="P7" s="6">
        <v>13.718299999999999</v>
      </c>
      <c r="Q7" s="6">
        <v>13.718299999999999</v>
      </c>
      <c r="R7" s="6">
        <v>0</v>
      </c>
      <c r="S7" s="6">
        <v>4.0000000000000001E-3</v>
      </c>
      <c r="T7" s="6">
        <v>9.4000000000000004E-3</v>
      </c>
      <c r="U7" s="6">
        <v>56.499499999999998</v>
      </c>
      <c r="V7">
        <f>U7/A$2/B$2</f>
        <v>0.30441540948275864</v>
      </c>
      <c r="W7">
        <f>-AVERAGE(F7,J7,N7)</f>
        <v>0</v>
      </c>
    </row>
    <row r="8" spans="1:30" x14ac:dyDescent="0.3">
      <c r="A8" s="6">
        <v>1</v>
      </c>
      <c r="B8" s="6">
        <v>1.3264400000000001E-4</v>
      </c>
      <c r="C8" s="6">
        <v>4.8500499999999998E-3</v>
      </c>
      <c r="D8" s="6">
        <v>36.569200000000002</v>
      </c>
      <c r="E8" s="6">
        <v>36.564399999999999</v>
      </c>
      <c r="F8" s="7">
        <v>7.9031100000000003E-5</v>
      </c>
      <c r="G8" s="6">
        <v>1.35928E-3</v>
      </c>
      <c r="H8" s="6">
        <v>17.200600000000001</v>
      </c>
      <c r="I8" s="6">
        <v>17.199200000000001</v>
      </c>
      <c r="J8" s="7">
        <v>8.3634000000000006E-5</v>
      </c>
      <c r="K8" s="6">
        <v>1.2107999999999999E-3</v>
      </c>
      <c r="L8" s="6">
        <v>14.4786</v>
      </c>
      <c r="M8" s="6">
        <v>14.477399999999999</v>
      </c>
      <c r="N8" s="7">
        <v>7.9221200000000006E-5</v>
      </c>
      <c r="O8" s="6">
        <v>1.0867800000000001E-3</v>
      </c>
      <c r="P8" s="6">
        <v>13.7194</v>
      </c>
      <c r="Q8" s="6">
        <v>13.718299999999999</v>
      </c>
      <c r="R8" s="6">
        <v>1.873</v>
      </c>
      <c r="S8" s="6">
        <v>1.8740000000000001</v>
      </c>
      <c r="T8" s="6">
        <v>1.32E-2</v>
      </c>
      <c r="U8" s="6">
        <v>70.062700000000007</v>
      </c>
      <c r="V8">
        <f t="shared" ref="V8:V71" si="0">U8/A$2/B$2</f>
        <v>0.37749299568965522</v>
      </c>
      <c r="W8">
        <f t="shared" ref="W8:W71" si="1">-AVERAGE(F8,J8,N8)</f>
        <v>-8.0628766666666676E-5</v>
      </c>
    </row>
    <row r="9" spans="1:30" x14ac:dyDescent="0.3">
      <c r="A9" s="6">
        <v>2</v>
      </c>
      <c r="B9" s="7">
        <v>9.6184800000000001E-5</v>
      </c>
      <c r="C9" s="6">
        <v>3.5169300000000001E-3</v>
      </c>
      <c r="D9" s="6">
        <v>36.567900000000002</v>
      </c>
      <c r="E9" s="6">
        <v>36.564399999999999</v>
      </c>
      <c r="F9" s="7">
        <v>-3.2011499999999997E-5</v>
      </c>
      <c r="G9" s="6">
        <v>-5.5057399999999996E-4</v>
      </c>
      <c r="H9" s="6">
        <v>17.198699999999999</v>
      </c>
      <c r="I9" s="6">
        <v>17.199200000000001</v>
      </c>
      <c r="J9" s="7">
        <v>2.5999E-5</v>
      </c>
      <c r="K9" s="6">
        <v>3.7639699999999999E-4</v>
      </c>
      <c r="L9" s="6">
        <v>14.4778</v>
      </c>
      <c r="M9" s="6">
        <v>14.477399999999999</v>
      </c>
      <c r="N9" s="7">
        <v>3.72761E-5</v>
      </c>
      <c r="O9" s="6">
        <v>5.1136400000000005E-4</v>
      </c>
      <c r="P9" s="6">
        <v>13.7188</v>
      </c>
      <c r="Q9" s="6">
        <v>13.718299999999999</v>
      </c>
      <c r="R9" s="6">
        <v>2.06</v>
      </c>
      <c r="S9" s="6">
        <v>2.0609999999999999</v>
      </c>
      <c r="T9" s="6">
        <v>1.23E-2</v>
      </c>
      <c r="U9" s="6">
        <v>66.671899999999994</v>
      </c>
      <c r="V9">
        <f t="shared" si="0"/>
        <v>0.359223599137931</v>
      </c>
      <c r="W9">
        <f t="shared" si="1"/>
        <v>-1.0421200000000001E-5</v>
      </c>
    </row>
    <row r="10" spans="1:30" x14ac:dyDescent="0.3">
      <c r="A10" s="6">
        <v>3</v>
      </c>
      <c r="B10" s="7">
        <v>1.32269E-5</v>
      </c>
      <c r="C10" s="6">
        <v>4.8363399999999998E-4</v>
      </c>
      <c r="D10" s="6">
        <v>36.564799999999998</v>
      </c>
      <c r="E10" s="6">
        <v>36.564399999999999</v>
      </c>
      <c r="F10" s="7">
        <v>-6.54412E-5</v>
      </c>
      <c r="G10" s="6">
        <v>-1.12554E-3</v>
      </c>
      <c r="H10" s="6">
        <v>17.1981</v>
      </c>
      <c r="I10" s="6">
        <v>17.199200000000001</v>
      </c>
      <c r="J10" s="6">
        <v>-1.14676E-4</v>
      </c>
      <c r="K10" s="6">
        <v>-1.6602100000000001E-3</v>
      </c>
      <c r="L10" s="6">
        <v>14.4757</v>
      </c>
      <c r="M10" s="6">
        <v>14.477399999999999</v>
      </c>
      <c r="N10" s="6">
        <v>-1.3895699999999999E-4</v>
      </c>
      <c r="O10" s="6">
        <v>-1.90625E-3</v>
      </c>
      <c r="P10" s="6">
        <v>13.7164</v>
      </c>
      <c r="Q10" s="6">
        <v>13.718299999999999</v>
      </c>
      <c r="R10" s="6">
        <v>7.1130000000000004</v>
      </c>
      <c r="S10" s="6">
        <v>7.1139999999999999</v>
      </c>
      <c r="T10" s="6">
        <v>1.4200000000000001E-2</v>
      </c>
      <c r="U10" s="6">
        <v>73.453400000000002</v>
      </c>
      <c r="V10">
        <f t="shared" si="0"/>
        <v>0.39576185344827586</v>
      </c>
      <c r="W10">
        <f t="shared" si="1"/>
        <v>1.0635806666666667E-4</v>
      </c>
    </row>
    <row r="11" spans="1:30" x14ac:dyDescent="0.3">
      <c r="A11" s="6">
        <v>4</v>
      </c>
      <c r="B11" s="7">
        <v>9.7854299999999996E-5</v>
      </c>
      <c r="C11" s="6">
        <v>3.5779800000000001E-3</v>
      </c>
      <c r="D11" s="6">
        <v>36.567900000000002</v>
      </c>
      <c r="E11" s="6">
        <v>36.564399999999999</v>
      </c>
      <c r="F11" s="7">
        <v>3.1978800000000002E-6</v>
      </c>
      <c r="G11" s="7">
        <v>5.5001199999999998E-5</v>
      </c>
      <c r="H11" s="6">
        <v>17.199300000000001</v>
      </c>
      <c r="I11" s="6">
        <v>17.199200000000001</v>
      </c>
      <c r="J11" s="7">
        <v>5.76746E-6</v>
      </c>
      <c r="K11" s="7">
        <v>8.3497600000000005E-5</v>
      </c>
      <c r="L11" s="6">
        <v>14.477499999999999</v>
      </c>
      <c r="M11" s="6">
        <v>14.477399999999999</v>
      </c>
      <c r="N11" s="7">
        <v>4.3853200000000002E-5</v>
      </c>
      <c r="O11" s="6">
        <v>6.0159099999999995E-4</v>
      </c>
      <c r="P11" s="6">
        <v>13.7189</v>
      </c>
      <c r="Q11" s="6">
        <v>13.718299999999999</v>
      </c>
      <c r="R11" s="6">
        <v>12.169</v>
      </c>
      <c r="S11" s="6">
        <v>12.169</v>
      </c>
      <c r="T11" s="6">
        <v>4.4999999999999997E-3</v>
      </c>
      <c r="U11" s="6">
        <v>39.5456</v>
      </c>
      <c r="V11">
        <f t="shared" si="0"/>
        <v>0.21306896551724139</v>
      </c>
      <c r="W11">
        <f t="shared" si="1"/>
        <v>-1.7606180000000003E-5</v>
      </c>
    </row>
    <row r="12" spans="1:30" x14ac:dyDescent="0.3">
      <c r="A12" s="6">
        <v>5</v>
      </c>
      <c r="B12" s="6">
        <v>1.2861599999999999E-4</v>
      </c>
      <c r="C12" s="6">
        <v>4.7027400000000004E-3</v>
      </c>
      <c r="D12" s="6">
        <v>36.569099999999999</v>
      </c>
      <c r="E12" s="6">
        <v>36.564399999999999</v>
      </c>
      <c r="F12" s="7">
        <v>4.7706400000000001E-5</v>
      </c>
      <c r="G12" s="6">
        <v>8.2051400000000005E-4</v>
      </c>
      <c r="H12" s="6">
        <v>17.200099999999999</v>
      </c>
      <c r="I12" s="6">
        <v>17.199200000000001</v>
      </c>
      <c r="J12" s="7">
        <v>6.6698600000000005E-5</v>
      </c>
      <c r="K12" s="6">
        <v>9.6562099999999995E-4</v>
      </c>
      <c r="L12" s="6">
        <v>14.478300000000001</v>
      </c>
      <c r="M12" s="6">
        <v>14.477399999999999</v>
      </c>
      <c r="N12" s="6">
        <v>1.1745599999999999E-4</v>
      </c>
      <c r="O12" s="6">
        <v>1.61129E-3</v>
      </c>
      <c r="P12" s="6">
        <v>13.719900000000001</v>
      </c>
      <c r="Q12" s="6">
        <v>13.718299999999999</v>
      </c>
      <c r="R12" s="6">
        <v>12.861000000000001</v>
      </c>
      <c r="S12" s="6">
        <v>12.861000000000001</v>
      </c>
      <c r="T12" s="6">
        <v>3.5799999999999998E-2</v>
      </c>
      <c r="U12" s="6">
        <v>149.18100000000001</v>
      </c>
      <c r="V12">
        <f t="shared" si="0"/>
        <v>0.8037769396551725</v>
      </c>
      <c r="W12">
        <f t="shared" si="1"/>
        <v>-7.7287000000000007E-5</v>
      </c>
    </row>
    <row r="13" spans="1:30" x14ac:dyDescent="0.3">
      <c r="A13" s="6">
        <v>6</v>
      </c>
      <c r="B13" s="6">
        <v>2.72203E-4</v>
      </c>
      <c r="C13" s="6">
        <v>9.9529300000000005E-3</v>
      </c>
      <c r="D13" s="6">
        <v>36.574300000000001</v>
      </c>
      <c r="E13" s="6">
        <v>36.564399999999999</v>
      </c>
      <c r="F13" s="7">
        <v>6.4503899999999997E-5</v>
      </c>
      <c r="G13" s="6">
        <v>1.1094200000000001E-3</v>
      </c>
      <c r="H13" s="6">
        <v>17.200399999999998</v>
      </c>
      <c r="I13" s="6">
        <v>17.199200000000001</v>
      </c>
      <c r="J13" s="7">
        <v>4.23968E-5</v>
      </c>
      <c r="K13" s="6">
        <v>6.1379399999999997E-4</v>
      </c>
      <c r="L13" s="6">
        <v>14.478</v>
      </c>
      <c r="M13" s="6">
        <v>14.477399999999999</v>
      </c>
      <c r="N13" s="7">
        <v>6.47213E-5</v>
      </c>
      <c r="O13" s="6">
        <v>8.8786500000000005E-4</v>
      </c>
      <c r="P13" s="6">
        <v>13.719200000000001</v>
      </c>
      <c r="Q13" s="6">
        <v>13.718299999999999</v>
      </c>
      <c r="R13" s="6">
        <v>12.978999999999999</v>
      </c>
      <c r="S13" s="6">
        <v>12.978999999999999</v>
      </c>
      <c r="T13" s="6">
        <v>5.3900000000000003E-2</v>
      </c>
      <c r="U13" s="6">
        <v>212.47499999999999</v>
      </c>
      <c r="V13">
        <f t="shared" si="0"/>
        <v>1.1448006465517242</v>
      </c>
      <c r="W13">
        <f t="shared" si="1"/>
        <v>-5.720733333333333E-5</v>
      </c>
    </row>
    <row r="14" spans="1:30" x14ac:dyDescent="0.3">
      <c r="A14" s="6">
        <v>7</v>
      </c>
      <c r="B14" s="6">
        <v>1.48412E-4</v>
      </c>
      <c r="C14" s="6">
        <v>5.4265900000000002E-3</v>
      </c>
      <c r="D14" s="6">
        <v>36.569800000000001</v>
      </c>
      <c r="E14" s="6">
        <v>36.564399999999999</v>
      </c>
      <c r="F14" s="7">
        <v>-1.5294900000000002E-5</v>
      </c>
      <c r="G14" s="6">
        <v>-2.6306000000000002E-4</v>
      </c>
      <c r="H14" s="6">
        <v>17.199000000000002</v>
      </c>
      <c r="I14" s="6">
        <v>17.199200000000001</v>
      </c>
      <c r="J14" s="7">
        <v>-7.4513599999999998E-5</v>
      </c>
      <c r="K14" s="6">
        <v>-1.07876E-3</v>
      </c>
      <c r="L14" s="6">
        <v>14.4763</v>
      </c>
      <c r="M14" s="6">
        <v>14.477399999999999</v>
      </c>
      <c r="N14" s="7">
        <v>2.9285099999999999E-5</v>
      </c>
      <c r="O14" s="6">
        <v>4.0174200000000002E-4</v>
      </c>
      <c r="P14" s="6">
        <v>13.7187</v>
      </c>
      <c r="Q14" s="6">
        <v>13.718299999999999</v>
      </c>
      <c r="R14" s="6">
        <v>13.164999999999999</v>
      </c>
      <c r="S14" s="6">
        <v>13.164999999999999</v>
      </c>
      <c r="T14" s="6">
        <v>7.0900000000000005E-2</v>
      </c>
      <c r="U14" s="6">
        <v>272.37900000000002</v>
      </c>
      <c r="V14">
        <f t="shared" si="0"/>
        <v>1.4675592672413795</v>
      </c>
      <c r="W14">
        <f t="shared" si="1"/>
        <v>2.0174466666666668E-5</v>
      </c>
    </row>
    <row r="15" spans="1:30" x14ac:dyDescent="0.3">
      <c r="A15" s="6">
        <v>8</v>
      </c>
      <c r="B15" s="6">
        <v>2.1116200000000001E-4</v>
      </c>
      <c r="C15" s="6">
        <v>7.7210100000000004E-3</v>
      </c>
      <c r="D15" s="6">
        <v>36.572099999999999</v>
      </c>
      <c r="E15" s="6">
        <v>36.564399999999999</v>
      </c>
      <c r="F15" s="7">
        <v>3.6250700000000002E-5</v>
      </c>
      <c r="G15" s="6">
        <v>6.23484E-4</v>
      </c>
      <c r="H15" s="6">
        <v>17.1999</v>
      </c>
      <c r="I15" s="6">
        <v>17.199200000000001</v>
      </c>
      <c r="J15" s="7">
        <v>-4.5782199999999997E-5</v>
      </c>
      <c r="K15" s="6">
        <v>-6.6280600000000005E-4</v>
      </c>
      <c r="L15" s="6">
        <v>14.476699999999999</v>
      </c>
      <c r="M15" s="6">
        <v>14.477399999999999</v>
      </c>
      <c r="N15" s="7">
        <v>-2.5910799999999999E-5</v>
      </c>
      <c r="O15" s="6">
        <v>-3.5545200000000002E-4</v>
      </c>
      <c r="P15" s="6">
        <v>13.7179</v>
      </c>
      <c r="Q15" s="6">
        <v>13.718299999999999</v>
      </c>
      <c r="R15" s="6">
        <v>13.29</v>
      </c>
      <c r="S15" s="6">
        <v>13.29</v>
      </c>
      <c r="T15" s="6">
        <v>8.5099999999999995E-2</v>
      </c>
      <c r="U15" s="6">
        <v>322.11099999999999</v>
      </c>
      <c r="V15">
        <f t="shared" si="0"/>
        <v>1.7355118534482759</v>
      </c>
      <c r="W15">
        <f t="shared" si="1"/>
        <v>1.1814099999999999E-5</v>
      </c>
    </row>
    <row r="16" spans="1:30" x14ac:dyDescent="0.3">
      <c r="A16" s="6">
        <v>9</v>
      </c>
      <c r="B16" s="6">
        <v>1.5896899999999999E-4</v>
      </c>
      <c r="C16" s="6">
        <v>5.8126100000000002E-3</v>
      </c>
      <c r="D16" s="6">
        <v>36.5702</v>
      </c>
      <c r="E16" s="6">
        <v>36.564399999999999</v>
      </c>
      <c r="F16" s="7">
        <v>-5.3567599999999999E-5</v>
      </c>
      <c r="G16" s="6">
        <v>-9.2132200000000003E-4</v>
      </c>
      <c r="H16" s="6">
        <v>17.1983</v>
      </c>
      <c r="I16" s="6">
        <v>17.199200000000001</v>
      </c>
      <c r="J16" s="6">
        <v>-1.22526E-4</v>
      </c>
      <c r="K16" s="6">
        <v>-1.7738599999999999E-3</v>
      </c>
      <c r="L16" s="6">
        <v>14.4756</v>
      </c>
      <c r="M16" s="6">
        <v>14.477399999999999</v>
      </c>
      <c r="N16" s="7">
        <v>-3.6508099999999997E-5</v>
      </c>
      <c r="O16" s="6">
        <v>-5.0082800000000004E-4</v>
      </c>
      <c r="P16" s="6">
        <v>13.7178</v>
      </c>
      <c r="Q16" s="6">
        <v>13.718299999999999</v>
      </c>
      <c r="R16" s="6">
        <v>13.603999999999999</v>
      </c>
      <c r="S16" s="6">
        <v>13.603999999999999</v>
      </c>
      <c r="T16" s="6">
        <v>0.11899999999999999</v>
      </c>
      <c r="U16" s="6">
        <v>440.78800000000001</v>
      </c>
      <c r="V16">
        <f t="shared" si="0"/>
        <v>2.3749353448275863</v>
      </c>
      <c r="W16">
        <f t="shared" si="1"/>
        <v>7.0867233333333325E-5</v>
      </c>
    </row>
    <row r="17" spans="1:23" x14ac:dyDescent="0.3">
      <c r="A17" s="6">
        <v>10</v>
      </c>
      <c r="B17" s="6">
        <v>2.6481900000000001E-4</v>
      </c>
      <c r="C17" s="6">
        <v>9.6829399999999993E-3</v>
      </c>
      <c r="D17" s="6">
        <v>36.573999999999998</v>
      </c>
      <c r="E17" s="6">
        <v>36.564399999999999</v>
      </c>
      <c r="F17" s="7">
        <v>-7.3630899999999993E-5</v>
      </c>
      <c r="G17" s="6">
        <v>-1.2664E-3</v>
      </c>
      <c r="H17" s="6">
        <v>17.198</v>
      </c>
      <c r="I17" s="6">
        <v>17.199200000000001</v>
      </c>
      <c r="J17" s="6">
        <v>-1.0890799999999999E-4</v>
      </c>
      <c r="K17" s="6">
        <v>-1.5767000000000001E-3</v>
      </c>
      <c r="L17" s="6">
        <v>14.4758</v>
      </c>
      <c r="M17" s="6">
        <v>14.477399999999999</v>
      </c>
      <c r="N17" s="7">
        <v>-2.9000899999999999E-5</v>
      </c>
      <c r="O17" s="6">
        <v>-3.9784299999999999E-4</v>
      </c>
      <c r="P17" s="6">
        <v>13.7179</v>
      </c>
      <c r="Q17" s="6">
        <v>13.718299999999999</v>
      </c>
      <c r="R17" s="6">
        <v>13.727</v>
      </c>
      <c r="S17" s="6">
        <v>13.727</v>
      </c>
      <c r="T17" s="6">
        <v>0.13220000000000001</v>
      </c>
      <c r="U17" s="6">
        <v>487.12900000000002</v>
      </c>
      <c r="V17">
        <f t="shared" si="0"/>
        <v>2.6246174568965519</v>
      </c>
      <c r="W17">
        <f t="shared" si="1"/>
        <v>7.0513266666666661E-5</v>
      </c>
    </row>
    <row r="18" spans="1:23" x14ac:dyDescent="0.3">
      <c r="A18" s="6">
        <v>11</v>
      </c>
      <c r="B18" s="6">
        <v>2.7356400000000001E-4</v>
      </c>
      <c r="C18" s="6">
        <v>1.00027E-2</v>
      </c>
      <c r="D18" s="6">
        <v>36.574399999999997</v>
      </c>
      <c r="E18" s="6">
        <v>36.564399999999999</v>
      </c>
      <c r="F18" s="7">
        <v>-2.48219E-5</v>
      </c>
      <c r="G18" s="6">
        <v>-4.2691700000000002E-4</v>
      </c>
      <c r="H18" s="6">
        <v>17.198799999999999</v>
      </c>
      <c r="I18" s="6">
        <v>17.199200000000001</v>
      </c>
      <c r="J18" s="6">
        <v>-1.6766E-4</v>
      </c>
      <c r="K18" s="6">
        <v>-2.42728E-3</v>
      </c>
      <c r="L18" s="6">
        <v>14.4749</v>
      </c>
      <c r="M18" s="6">
        <v>14.477399999999999</v>
      </c>
      <c r="N18" s="6">
        <v>-1.29877E-4</v>
      </c>
      <c r="O18" s="6">
        <v>-1.7816900000000001E-3</v>
      </c>
      <c r="P18" s="6">
        <v>13.7165</v>
      </c>
      <c r="Q18" s="6">
        <v>13.718299999999999</v>
      </c>
      <c r="R18" s="6">
        <v>13.916</v>
      </c>
      <c r="S18" s="6">
        <v>13.916</v>
      </c>
      <c r="T18" s="6">
        <v>0.156</v>
      </c>
      <c r="U18" s="6">
        <v>570.76800000000003</v>
      </c>
      <c r="V18">
        <f t="shared" si="0"/>
        <v>3.0752586206896555</v>
      </c>
      <c r="W18">
        <f t="shared" si="1"/>
        <v>1.0745296666666666E-4</v>
      </c>
    </row>
    <row r="19" spans="1:23" x14ac:dyDescent="0.3">
      <c r="A19" s="6">
        <v>12</v>
      </c>
      <c r="B19" s="6">
        <v>3.1324100000000002E-4</v>
      </c>
      <c r="C19" s="6">
        <v>1.1453400000000001E-2</v>
      </c>
      <c r="D19" s="6">
        <v>36.575800000000001</v>
      </c>
      <c r="E19" s="6">
        <v>36.564399999999999</v>
      </c>
      <c r="F19" s="7">
        <v>-4.36977E-5</v>
      </c>
      <c r="G19" s="6">
        <v>-7.5156799999999998E-4</v>
      </c>
      <c r="H19" s="6">
        <v>17.198499999999999</v>
      </c>
      <c r="I19" s="6">
        <v>17.199200000000001</v>
      </c>
      <c r="J19" s="6">
        <v>-1.93616E-4</v>
      </c>
      <c r="K19" s="6">
        <v>-2.80306E-3</v>
      </c>
      <c r="L19" s="6">
        <v>14.474600000000001</v>
      </c>
      <c r="M19" s="6">
        <v>14.477399999999999</v>
      </c>
      <c r="N19" s="7">
        <v>-9.1726700000000004E-5</v>
      </c>
      <c r="O19" s="6">
        <v>-1.25833E-3</v>
      </c>
      <c r="P19" s="6">
        <v>13.717000000000001</v>
      </c>
      <c r="Q19" s="6">
        <v>13.718299999999999</v>
      </c>
      <c r="R19" s="6">
        <v>14.164</v>
      </c>
      <c r="S19" s="6">
        <v>14.164</v>
      </c>
      <c r="T19" s="6">
        <v>0.1741</v>
      </c>
      <c r="U19" s="6">
        <v>634.06299999999999</v>
      </c>
      <c r="V19">
        <f t="shared" si="0"/>
        <v>3.4162877155172415</v>
      </c>
      <c r="W19">
        <f t="shared" si="1"/>
        <v>1.0968013333333333E-4</v>
      </c>
    </row>
    <row r="20" spans="1:23" x14ac:dyDescent="0.3">
      <c r="A20" s="6">
        <v>13</v>
      </c>
      <c r="B20" s="6">
        <v>3.3128600000000003E-4</v>
      </c>
      <c r="C20" s="6">
        <v>1.21133E-2</v>
      </c>
      <c r="D20" s="6">
        <v>36.576500000000003</v>
      </c>
      <c r="E20" s="6">
        <v>36.564399999999999</v>
      </c>
      <c r="F20" s="6">
        <v>1.11599E-4</v>
      </c>
      <c r="G20" s="6">
        <v>1.9194100000000001E-3</v>
      </c>
      <c r="H20" s="6">
        <v>17.2012</v>
      </c>
      <c r="I20" s="6">
        <v>17.199200000000001</v>
      </c>
      <c r="J20" s="6">
        <v>-1.06517E-4</v>
      </c>
      <c r="K20" s="6">
        <v>-1.5420900000000001E-3</v>
      </c>
      <c r="L20" s="6">
        <v>14.4758</v>
      </c>
      <c r="M20" s="6">
        <v>14.477399999999999</v>
      </c>
      <c r="N20" s="7">
        <v>-7.4512700000000002E-5</v>
      </c>
      <c r="O20" s="6">
        <v>-1.0221900000000001E-3</v>
      </c>
      <c r="P20" s="6">
        <v>13.7173</v>
      </c>
      <c r="Q20" s="6">
        <v>13.718299999999999</v>
      </c>
      <c r="R20" s="6">
        <v>14.289</v>
      </c>
      <c r="S20" s="6">
        <v>14.289</v>
      </c>
      <c r="T20" s="6">
        <v>0.1792</v>
      </c>
      <c r="U20" s="6">
        <v>652.14700000000005</v>
      </c>
      <c r="V20">
        <f t="shared" si="0"/>
        <v>3.513723060344828</v>
      </c>
      <c r="W20">
        <f t="shared" si="1"/>
        <v>2.3143566666666666E-5</v>
      </c>
    </row>
    <row r="21" spans="1:23" x14ac:dyDescent="0.3">
      <c r="A21" s="6">
        <v>14</v>
      </c>
      <c r="B21" s="6">
        <v>3.6447999999999998E-4</v>
      </c>
      <c r="C21" s="6">
        <v>1.3327E-2</v>
      </c>
      <c r="D21" s="6">
        <v>36.5777</v>
      </c>
      <c r="E21" s="6">
        <v>36.564399999999999</v>
      </c>
      <c r="F21" s="7">
        <v>-5.88094E-5</v>
      </c>
      <c r="G21" s="6">
        <v>-1.0114799999999999E-3</v>
      </c>
      <c r="H21" s="6">
        <v>17.1982</v>
      </c>
      <c r="I21" s="6">
        <v>17.199200000000001</v>
      </c>
      <c r="J21" s="6">
        <v>-1.9652E-4</v>
      </c>
      <c r="K21" s="6">
        <v>-2.8451000000000001E-3</v>
      </c>
      <c r="L21" s="6">
        <v>14.474500000000001</v>
      </c>
      <c r="M21" s="6">
        <v>14.477399999999999</v>
      </c>
      <c r="N21" s="6">
        <v>-1.8254299999999999E-4</v>
      </c>
      <c r="O21" s="6">
        <v>-2.5041799999999999E-3</v>
      </c>
      <c r="P21" s="6">
        <v>13.7158</v>
      </c>
      <c r="Q21" s="6">
        <v>13.718299999999999</v>
      </c>
      <c r="R21" s="6">
        <v>14.414</v>
      </c>
      <c r="S21" s="6">
        <v>14.414</v>
      </c>
      <c r="T21" s="6">
        <v>0.19889999999999999</v>
      </c>
      <c r="U21" s="6">
        <v>721.09299999999996</v>
      </c>
      <c r="V21">
        <f t="shared" si="0"/>
        <v>3.8851993534482756</v>
      </c>
      <c r="W21">
        <f t="shared" si="1"/>
        <v>1.4595746666666665E-4</v>
      </c>
    </row>
    <row r="22" spans="1:23" x14ac:dyDescent="0.3">
      <c r="A22" s="6">
        <v>15</v>
      </c>
      <c r="B22" s="6">
        <v>4.5769499999999999E-4</v>
      </c>
      <c r="C22" s="6">
        <v>1.6735300000000002E-2</v>
      </c>
      <c r="D22" s="6">
        <v>36.581099999999999</v>
      </c>
      <c r="E22" s="6">
        <v>36.564399999999999</v>
      </c>
      <c r="F22" s="7">
        <v>-6.3965599999999996E-6</v>
      </c>
      <c r="G22" s="6">
        <v>-1.10016E-4</v>
      </c>
      <c r="H22" s="6">
        <v>17.199100000000001</v>
      </c>
      <c r="I22" s="6">
        <v>17.199200000000001</v>
      </c>
      <c r="J22" s="6">
        <v>-1.0358599999999999E-4</v>
      </c>
      <c r="K22" s="6">
        <v>-1.4996499999999999E-3</v>
      </c>
      <c r="L22" s="6">
        <v>14.475899999999999</v>
      </c>
      <c r="M22" s="6">
        <v>14.477399999999999</v>
      </c>
      <c r="N22" s="7">
        <v>-4.3720999999999997E-5</v>
      </c>
      <c r="O22" s="6">
        <v>-5.99776E-4</v>
      </c>
      <c r="P22" s="6">
        <v>13.717700000000001</v>
      </c>
      <c r="Q22" s="6">
        <v>13.718299999999999</v>
      </c>
      <c r="R22" s="6">
        <v>14.54</v>
      </c>
      <c r="S22" s="6">
        <v>14.54</v>
      </c>
      <c r="T22" s="6">
        <v>0.20630000000000001</v>
      </c>
      <c r="U22" s="6">
        <v>747.08900000000006</v>
      </c>
      <c r="V22">
        <f t="shared" si="0"/>
        <v>4.0252640086206899</v>
      </c>
      <c r="W22">
        <f t="shared" si="1"/>
        <v>5.1234519999999993E-5</v>
      </c>
    </row>
    <row r="23" spans="1:23" x14ac:dyDescent="0.3">
      <c r="A23" s="6">
        <v>16</v>
      </c>
      <c r="B23" s="6">
        <v>3.4277100000000002E-4</v>
      </c>
      <c r="C23" s="6">
        <v>1.25332E-2</v>
      </c>
      <c r="D23" s="6">
        <v>36.576900000000002</v>
      </c>
      <c r="E23" s="6">
        <v>36.564399999999999</v>
      </c>
      <c r="F23" s="7">
        <v>3.5671699999999999E-5</v>
      </c>
      <c r="G23" s="6">
        <v>6.1352599999999998E-4</v>
      </c>
      <c r="H23" s="6">
        <v>17.1999</v>
      </c>
      <c r="I23" s="6">
        <v>17.199200000000001</v>
      </c>
      <c r="J23" s="7">
        <v>6.9300700000000004E-6</v>
      </c>
      <c r="K23" s="6">
        <v>1.0032899999999999E-4</v>
      </c>
      <c r="L23" s="6">
        <v>14.477499999999999</v>
      </c>
      <c r="M23" s="6">
        <v>14.477399999999999</v>
      </c>
      <c r="N23" s="7">
        <v>9.1147800000000002E-5</v>
      </c>
      <c r="O23" s="6">
        <v>1.2503900000000001E-3</v>
      </c>
      <c r="P23" s="6">
        <v>13.7195</v>
      </c>
      <c r="Q23" s="6">
        <v>13.718299999999999</v>
      </c>
      <c r="R23" s="6">
        <v>14.663</v>
      </c>
      <c r="S23" s="6">
        <v>14.663</v>
      </c>
      <c r="T23" s="6">
        <v>0.2198</v>
      </c>
      <c r="U23" s="6">
        <v>794.56</v>
      </c>
      <c r="V23">
        <f t="shared" si="0"/>
        <v>4.2810344827586206</v>
      </c>
      <c r="W23">
        <f t="shared" si="1"/>
        <v>-4.4583190000000003E-5</v>
      </c>
    </row>
    <row r="24" spans="1:23" x14ac:dyDescent="0.3">
      <c r="A24" s="6">
        <v>17</v>
      </c>
      <c r="B24" s="6">
        <v>4.0045599999999999E-4</v>
      </c>
      <c r="C24" s="6">
        <v>1.46424E-2</v>
      </c>
      <c r="D24" s="6">
        <v>36.579000000000001</v>
      </c>
      <c r="E24" s="6">
        <v>36.564399999999999</v>
      </c>
      <c r="F24" s="7">
        <v>6.1606199999999996E-6</v>
      </c>
      <c r="G24" s="6">
        <v>1.05958E-4</v>
      </c>
      <c r="H24" s="6">
        <v>17.199300000000001</v>
      </c>
      <c r="I24" s="6">
        <v>17.199200000000001</v>
      </c>
      <c r="J24" s="6">
        <v>-1.17343E-4</v>
      </c>
      <c r="K24" s="6">
        <v>-1.69882E-3</v>
      </c>
      <c r="L24" s="6">
        <v>14.4757</v>
      </c>
      <c r="M24" s="6">
        <v>14.477399999999999</v>
      </c>
      <c r="N24" s="6">
        <v>-1.48255E-4</v>
      </c>
      <c r="O24" s="6">
        <v>-2.03381E-3</v>
      </c>
      <c r="P24" s="6">
        <v>13.716200000000001</v>
      </c>
      <c r="Q24" s="6">
        <v>13.718299999999999</v>
      </c>
      <c r="R24" s="6">
        <v>14.788</v>
      </c>
      <c r="S24" s="6">
        <v>14.788</v>
      </c>
      <c r="T24" s="6">
        <v>0.2382</v>
      </c>
      <c r="U24" s="6">
        <v>858.98500000000001</v>
      </c>
      <c r="V24">
        <f t="shared" si="0"/>
        <v>4.6281519396551722</v>
      </c>
      <c r="W24">
        <f t="shared" si="1"/>
        <v>8.6479126666666668E-5</v>
      </c>
    </row>
    <row r="25" spans="1:23" x14ac:dyDescent="0.3">
      <c r="A25" s="6">
        <v>18</v>
      </c>
      <c r="B25" s="6">
        <v>4.2308100000000001E-4</v>
      </c>
      <c r="C25" s="6">
        <v>1.5469699999999999E-2</v>
      </c>
      <c r="D25" s="6">
        <v>36.579799999999999</v>
      </c>
      <c r="E25" s="6">
        <v>36.564399999999999</v>
      </c>
      <c r="F25" s="7">
        <v>3.1194E-5</v>
      </c>
      <c r="G25" s="6">
        <v>5.3651399999999998E-4</v>
      </c>
      <c r="H25" s="6">
        <v>17.1998</v>
      </c>
      <c r="I25" s="6">
        <v>17.199200000000001</v>
      </c>
      <c r="J25" s="6">
        <v>-1.52368E-4</v>
      </c>
      <c r="K25" s="6">
        <v>-2.2058899999999998E-3</v>
      </c>
      <c r="L25" s="6">
        <v>14.475199999999999</v>
      </c>
      <c r="M25" s="6">
        <v>14.477399999999999</v>
      </c>
      <c r="N25" s="6">
        <v>-2.18548E-4</v>
      </c>
      <c r="O25" s="6">
        <v>-2.99811E-3</v>
      </c>
      <c r="P25" s="6">
        <v>13.715299999999999</v>
      </c>
      <c r="Q25" s="6">
        <v>13.718299999999999</v>
      </c>
      <c r="R25" s="6">
        <v>14.976000000000001</v>
      </c>
      <c r="S25" s="6">
        <v>14.976000000000001</v>
      </c>
      <c r="T25" s="6">
        <v>0.2495</v>
      </c>
      <c r="U25" s="6">
        <v>898.54399999999998</v>
      </c>
      <c r="V25">
        <f t="shared" si="0"/>
        <v>4.841293103448276</v>
      </c>
      <c r="W25">
        <f t="shared" si="1"/>
        <v>1.1324066666666666E-4</v>
      </c>
    </row>
    <row r="26" spans="1:23" x14ac:dyDescent="0.3">
      <c r="A26" s="6">
        <v>19</v>
      </c>
      <c r="B26" s="6">
        <v>4.7637500000000002E-4</v>
      </c>
      <c r="C26" s="6">
        <v>1.7418300000000001E-2</v>
      </c>
      <c r="D26" s="6">
        <v>36.581800000000001</v>
      </c>
      <c r="E26" s="6">
        <v>36.564399999999999</v>
      </c>
      <c r="F26" s="6">
        <v>-1.9334199999999999E-4</v>
      </c>
      <c r="G26" s="6">
        <v>-3.32534E-3</v>
      </c>
      <c r="H26" s="6">
        <v>17.195900000000002</v>
      </c>
      <c r="I26" s="6">
        <v>17.199200000000001</v>
      </c>
      <c r="J26" s="6">
        <v>-3.3755699999999999E-4</v>
      </c>
      <c r="K26" s="6">
        <v>-4.8869300000000003E-3</v>
      </c>
      <c r="L26" s="6">
        <v>14.4725</v>
      </c>
      <c r="M26" s="6">
        <v>14.477399999999999</v>
      </c>
      <c r="N26" s="6">
        <v>-1.6601499999999999E-4</v>
      </c>
      <c r="O26" s="6">
        <v>-2.2774399999999999E-3</v>
      </c>
      <c r="P26" s="6">
        <v>13.715999999999999</v>
      </c>
      <c r="Q26" s="6">
        <v>13.718299999999999</v>
      </c>
      <c r="R26" s="6">
        <v>15.101000000000001</v>
      </c>
      <c r="S26" s="6">
        <v>15.101000000000001</v>
      </c>
      <c r="T26" s="6">
        <v>0.26269999999999999</v>
      </c>
      <c r="U26" s="6">
        <v>944.88400000000001</v>
      </c>
      <c r="V26">
        <f t="shared" si="0"/>
        <v>5.090969827586207</v>
      </c>
      <c r="W26">
        <f t="shared" si="1"/>
        <v>2.3230466666666669E-4</v>
      </c>
    </row>
    <row r="27" spans="1:23" x14ac:dyDescent="0.3">
      <c r="A27" s="6">
        <v>20</v>
      </c>
      <c r="B27" s="6">
        <v>4.29133E-4</v>
      </c>
      <c r="C27" s="6">
        <v>1.5691E-2</v>
      </c>
      <c r="D27" s="6">
        <v>36.58</v>
      </c>
      <c r="E27" s="6">
        <v>36.564399999999999</v>
      </c>
      <c r="F27" s="7">
        <v>-4.4100200000000002E-5</v>
      </c>
      <c r="G27" s="6">
        <v>-7.5849000000000001E-4</v>
      </c>
      <c r="H27" s="6">
        <v>17.198499999999999</v>
      </c>
      <c r="I27" s="6">
        <v>17.199200000000001</v>
      </c>
      <c r="J27" s="6">
        <v>-1.17837E-4</v>
      </c>
      <c r="K27" s="6">
        <v>-1.70597E-3</v>
      </c>
      <c r="L27" s="6">
        <v>14.4757</v>
      </c>
      <c r="M27" s="6">
        <v>14.477399999999999</v>
      </c>
      <c r="N27" s="7">
        <v>-2.1127600000000001E-5</v>
      </c>
      <c r="O27" s="6">
        <v>-2.8983399999999999E-4</v>
      </c>
      <c r="P27" s="6">
        <v>13.718</v>
      </c>
      <c r="Q27" s="6">
        <v>13.718299999999999</v>
      </c>
      <c r="R27" s="6">
        <v>15.292</v>
      </c>
      <c r="S27" s="6">
        <v>15.292</v>
      </c>
      <c r="T27" s="6">
        <v>0.2707</v>
      </c>
      <c r="U27" s="6">
        <v>973.14099999999996</v>
      </c>
      <c r="V27">
        <f t="shared" si="0"/>
        <v>5.2432165948275857</v>
      </c>
      <c r="W27">
        <f t="shared" si="1"/>
        <v>6.1021600000000005E-5</v>
      </c>
    </row>
    <row r="28" spans="1:23" x14ac:dyDescent="0.3">
      <c r="A28" s="6">
        <v>21</v>
      </c>
      <c r="B28" s="6">
        <v>5.0467999999999997E-4</v>
      </c>
      <c r="C28" s="6">
        <v>1.8453299999999999E-2</v>
      </c>
      <c r="D28" s="6">
        <v>36.582799999999999</v>
      </c>
      <c r="E28" s="6">
        <v>36.564399999999999</v>
      </c>
      <c r="F28" s="7">
        <v>4.1024900000000003E-6</v>
      </c>
      <c r="G28" s="7">
        <v>7.0559699999999995E-5</v>
      </c>
      <c r="H28" s="6">
        <v>17.199300000000001</v>
      </c>
      <c r="I28" s="6">
        <v>17.199200000000001</v>
      </c>
      <c r="J28" s="6">
        <v>-1.2417799999999999E-4</v>
      </c>
      <c r="K28" s="6">
        <v>-1.79777E-3</v>
      </c>
      <c r="L28" s="6">
        <v>14.4756</v>
      </c>
      <c r="M28" s="6">
        <v>14.477399999999999</v>
      </c>
      <c r="N28" s="7">
        <v>-8.6529300000000005E-5</v>
      </c>
      <c r="O28" s="6">
        <v>-1.1870299999999999E-3</v>
      </c>
      <c r="P28" s="6">
        <v>13.7171</v>
      </c>
      <c r="Q28" s="6">
        <v>13.718299999999999</v>
      </c>
      <c r="R28" s="6">
        <v>15.413</v>
      </c>
      <c r="S28" s="6">
        <v>15.413</v>
      </c>
      <c r="T28" s="6">
        <v>0.28399999999999997</v>
      </c>
      <c r="U28" s="6">
        <v>1019.48</v>
      </c>
      <c r="V28">
        <f t="shared" si="0"/>
        <v>5.4928879310344829</v>
      </c>
      <c r="W28">
        <f t="shared" si="1"/>
        <v>6.8868269999999997E-5</v>
      </c>
    </row>
    <row r="29" spans="1:23" x14ac:dyDescent="0.3">
      <c r="A29" s="6">
        <v>22</v>
      </c>
      <c r="B29" s="6">
        <v>5.4243399999999995E-4</v>
      </c>
      <c r="C29" s="6">
        <v>1.9833799999999999E-2</v>
      </c>
      <c r="D29" s="6">
        <v>36.584200000000003</v>
      </c>
      <c r="E29" s="6">
        <v>36.564399999999999</v>
      </c>
      <c r="F29" s="7">
        <v>-3.2438299999999997E-7</v>
      </c>
      <c r="G29" s="7">
        <v>-5.5791300000000001E-6</v>
      </c>
      <c r="H29" s="6">
        <v>17.199200000000001</v>
      </c>
      <c r="I29" s="6">
        <v>17.199200000000001</v>
      </c>
      <c r="J29" s="6">
        <v>-1.2608699999999999E-4</v>
      </c>
      <c r="K29" s="6">
        <v>-1.82541E-3</v>
      </c>
      <c r="L29" s="6">
        <v>14.4756</v>
      </c>
      <c r="M29" s="6">
        <v>14.477399999999999</v>
      </c>
      <c r="N29" s="7">
        <v>-8.7409400000000004E-5</v>
      </c>
      <c r="O29" s="6">
        <v>-1.19911E-3</v>
      </c>
      <c r="P29" s="6">
        <v>13.7171</v>
      </c>
      <c r="Q29" s="6">
        <v>13.718299999999999</v>
      </c>
      <c r="R29" s="6">
        <v>15.536</v>
      </c>
      <c r="S29" s="6">
        <v>15.536</v>
      </c>
      <c r="T29" s="6">
        <v>0.29139999999999999</v>
      </c>
      <c r="U29" s="6">
        <v>1045.48</v>
      </c>
      <c r="V29">
        <f t="shared" si="0"/>
        <v>5.6329741379310345</v>
      </c>
      <c r="W29">
        <f t="shared" si="1"/>
        <v>7.1273594333333328E-5</v>
      </c>
    </row>
    <row r="30" spans="1:23" x14ac:dyDescent="0.3">
      <c r="A30" s="6">
        <v>23</v>
      </c>
      <c r="B30" s="6">
        <v>5.0959699999999998E-4</v>
      </c>
      <c r="C30" s="6">
        <v>1.86331E-2</v>
      </c>
      <c r="D30" s="6">
        <v>36.582999999999998</v>
      </c>
      <c r="E30" s="6">
        <v>36.564399999999999</v>
      </c>
      <c r="F30" s="6">
        <v>-1.8334300000000001E-4</v>
      </c>
      <c r="G30" s="6">
        <v>-3.1533500000000001E-3</v>
      </c>
      <c r="H30" s="6">
        <v>17.196100000000001</v>
      </c>
      <c r="I30" s="6">
        <v>17.199200000000001</v>
      </c>
      <c r="J30" s="6">
        <v>-3.1163399999999998E-4</v>
      </c>
      <c r="K30" s="6">
        <v>-4.5116499999999999E-3</v>
      </c>
      <c r="L30" s="6">
        <v>14.472899999999999</v>
      </c>
      <c r="M30" s="6">
        <v>14.477399999999999</v>
      </c>
      <c r="N30" s="6">
        <v>-2.1736100000000001E-4</v>
      </c>
      <c r="O30" s="6">
        <v>-2.98182E-3</v>
      </c>
      <c r="P30" s="6">
        <v>13.715299999999999</v>
      </c>
      <c r="Q30" s="6">
        <v>13.718299999999999</v>
      </c>
      <c r="R30" s="6">
        <v>15.788</v>
      </c>
      <c r="S30" s="6">
        <v>15.788</v>
      </c>
      <c r="T30" s="6">
        <v>0.31390000000000001</v>
      </c>
      <c r="U30" s="6">
        <v>1124.5999999999999</v>
      </c>
      <c r="V30">
        <f t="shared" si="0"/>
        <v>6.0592672413793096</v>
      </c>
      <c r="W30">
        <f t="shared" si="1"/>
        <v>2.3744599999999999E-4</v>
      </c>
    </row>
    <row r="31" spans="1:23" x14ac:dyDescent="0.3">
      <c r="A31" s="6">
        <v>24</v>
      </c>
      <c r="B31" s="6">
        <v>4.6505299999999999E-4</v>
      </c>
      <c r="C31" s="6">
        <v>1.7004399999999999E-2</v>
      </c>
      <c r="D31" s="6">
        <v>36.581400000000002</v>
      </c>
      <c r="E31" s="6">
        <v>36.564399999999999</v>
      </c>
      <c r="F31" s="7">
        <v>-2.7843000000000001E-5</v>
      </c>
      <c r="G31" s="6">
        <v>-4.7887899999999998E-4</v>
      </c>
      <c r="H31" s="6">
        <v>17.198799999999999</v>
      </c>
      <c r="I31" s="6">
        <v>17.199200000000001</v>
      </c>
      <c r="J31" s="6">
        <v>-2.6940200000000002E-4</v>
      </c>
      <c r="K31" s="6">
        <v>-3.9002400000000001E-3</v>
      </c>
      <c r="L31" s="6">
        <v>14.4735</v>
      </c>
      <c r="M31" s="6">
        <v>14.477399999999999</v>
      </c>
      <c r="N31" s="6">
        <v>-2.0932599999999999E-4</v>
      </c>
      <c r="O31" s="6">
        <v>-2.8715899999999998E-3</v>
      </c>
      <c r="P31" s="6">
        <v>13.715400000000001</v>
      </c>
      <c r="Q31" s="6">
        <v>13.718299999999999</v>
      </c>
      <c r="R31" s="6">
        <v>15.913</v>
      </c>
      <c r="S31" s="6">
        <v>15.913</v>
      </c>
      <c r="T31" s="6">
        <v>0.32200000000000001</v>
      </c>
      <c r="U31" s="6">
        <v>1152.8499999999999</v>
      </c>
      <c r="V31">
        <f t="shared" si="0"/>
        <v>6.2114762931034484</v>
      </c>
      <c r="W31">
        <f t="shared" si="1"/>
        <v>1.6885700000000001E-4</v>
      </c>
    </row>
    <row r="32" spans="1:23" x14ac:dyDescent="0.3">
      <c r="A32" s="6">
        <v>25</v>
      </c>
      <c r="B32" s="6">
        <v>5.5402900000000004E-4</v>
      </c>
      <c r="C32" s="6">
        <v>2.02577E-2</v>
      </c>
      <c r="D32" s="6">
        <v>36.584600000000002</v>
      </c>
      <c r="E32" s="6">
        <v>36.564399999999999</v>
      </c>
      <c r="F32" s="6">
        <v>-1.43817E-4</v>
      </c>
      <c r="G32" s="6">
        <v>-2.4735500000000001E-3</v>
      </c>
      <c r="H32" s="6">
        <v>17.1968</v>
      </c>
      <c r="I32" s="6">
        <v>17.199200000000001</v>
      </c>
      <c r="J32" s="6">
        <v>-2.7146599999999999E-4</v>
      </c>
      <c r="K32" s="6">
        <v>-3.9301199999999996E-3</v>
      </c>
      <c r="L32" s="6">
        <v>14.4734</v>
      </c>
      <c r="M32" s="6">
        <v>14.477399999999999</v>
      </c>
      <c r="N32" s="7">
        <v>-8.3607400000000002E-5</v>
      </c>
      <c r="O32" s="6">
        <v>-1.1469500000000001E-3</v>
      </c>
      <c r="P32" s="6">
        <v>13.7171</v>
      </c>
      <c r="Q32" s="6">
        <v>13.718299999999999</v>
      </c>
      <c r="R32" s="6">
        <v>16.102</v>
      </c>
      <c r="S32" s="6">
        <v>16.103000000000002</v>
      </c>
      <c r="T32" s="6">
        <v>0.3417</v>
      </c>
      <c r="U32" s="6">
        <v>1221.8</v>
      </c>
      <c r="V32">
        <f t="shared" si="0"/>
        <v>6.5829741379310347</v>
      </c>
      <c r="W32">
        <f t="shared" si="1"/>
        <v>1.662968E-4</v>
      </c>
    </row>
    <row r="33" spans="1:23" x14ac:dyDescent="0.3">
      <c r="A33" s="6">
        <v>26</v>
      </c>
      <c r="B33" s="6">
        <v>4.7554299999999998E-4</v>
      </c>
      <c r="C33" s="6">
        <v>1.7387900000000001E-2</v>
      </c>
      <c r="D33" s="6">
        <v>36.581699999999998</v>
      </c>
      <c r="E33" s="6">
        <v>36.564399999999999</v>
      </c>
      <c r="F33" s="6">
        <v>-1.06099E-4</v>
      </c>
      <c r="G33" s="6">
        <v>-1.82482E-3</v>
      </c>
      <c r="H33" s="6">
        <v>17.197399999999998</v>
      </c>
      <c r="I33" s="6">
        <v>17.199200000000001</v>
      </c>
      <c r="J33" s="6">
        <v>-2.7781700000000003E-4</v>
      </c>
      <c r="K33" s="6">
        <v>-4.02206E-3</v>
      </c>
      <c r="L33" s="6">
        <v>14.4734</v>
      </c>
      <c r="M33" s="6">
        <v>14.477399999999999</v>
      </c>
      <c r="N33" s="6">
        <v>-2.03525E-4</v>
      </c>
      <c r="O33" s="6">
        <v>-2.7920200000000001E-3</v>
      </c>
      <c r="P33" s="6">
        <v>13.7155</v>
      </c>
      <c r="Q33" s="6">
        <v>13.718299999999999</v>
      </c>
      <c r="R33" s="6">
        <v>16.286999999999999</v>
      </c>
      <c r="S33" s="6">
        <v>16.286999999999999</v>
      </c>
      <c r="T33" s="6">
        <v>0.34970000000000001</v>
      </c>
      <c r="U33" s="6">
        <v>1250.05</v>
      </c>
      <c r="V33">
        <f t="shared" si="0"/>
        <v>6.7351831896551726</v>
      </c>
      <c r="W33">
        <f t="shared" si="1"/>
        <v>1.958136666666667E-4</v>
      </c>
    </row>
    <row r="34" spans="1:23" x14ac:dyDescent="0.3">
      <c r="A34" s="6">
        <v>27</v>
      </c>
      <c r="B34" s="6">
        <v>5.8130699999999998E-4</v>
      </c>
      <c r="C34" s="6">
        <v>2.1255099999999999E-2</v>
      </c>
      <c r="D34" s="6">
        <v>36.585599999999999</v>
      </c>
      <c r="E34" s="6">
        <v>36.564399999999999</v>
      </c>
      <c r="F34" s="7">
        <v>3.7937900000000001E-5</v>
      </c>
      <c r="G34" s="6">
        <v>6.5250300000000002E-4</v>
      </c>
      <c r="H34" s="6">
        <v>17.1999</v>
      </c>
      <c r="I34" s="6">
        <v>17.199200000000001</v>
      </c>
      <c r="J34" s="6">
        <v>-2.10335E-4</v>
      </c>
      <c r="K34" s="6">
        <v>-3.0451100000000002E-3</v>
      </c>
      <c r="L34" s="6">
        <v>14.474299999999999</v>
      </c>
      <c r="M34" s="6">
        <v>14.477399999999999</v>
      </c>
      <c r="N34" s="6">
        <v>-2.1492700000000001E-4</v>
      </c>
      <c r="O34" s="6">
        <v>-2.9484300000000001E-3</v>
      </c>
      <c r="P34" s="6">
        <v>13.715299999999999</v>
      </c>
      <c r="Q34" s="6">
        <v>13.718299999999999</v>
      </c>
      <c r="R34" s="6">
        <v>16.536999999999999</v>
      </c>
      <c r="S34" s="6">
        <v>16.536999999999999</v>
      </c>
      <c r="T34" s="6">
        <v>0.37069999999999997</v>
      </c>
      <c r="U34" s="6">
        <v>1323.52</v>
      </c>
      <c r="V34">
        <f t="shared" si="0"/>
        <v>7.1310344827586212</v>
      </c>
      <c r="W34">
        <f t="shared" si="1"/>
        <v>1.2910803333333334E-4</v>
      </c>
    </row>
    <row r="35" spans="1:23" x14ac:dyDescent="0.3">
      <c r="A35" s="6">
        <v>28</v>
      </c>
      <c r="B35" s="6">
        <v>6.1864999999999999E-4</v>
      </c>
      <c r="C35" s="6">
        <v>2.2620500000000002E-2</v>
      </c>
      <c r="D35" s="6">
        <v>36.587000000000003</v>
      </c>
      <c r="E35" s="6">
        <v>36.564399999999999</v>
      </c>
      <c r="F35" s="7">
        <v>4.3633200000000001E-5</v>
      </c>
      <c r="G35" s="6">
        <v>7.5045699999999995E-4</v>
      </c>
      <c r="H35" s="6">
        <v>17.2</v>
      </c>
      <c r="I35" s="6">
        <v>17.199200000000001</v>
      </c>
      <c r="J35" s="6">
        <v>-1.4311700000000001E-4</v>
      </c>
      <c r="K35" s="6">
        <v>-2.0719599999999999E-3</v>
      </c>
      <c r="L35" s="6">
        <v>14.475300000000001</v>
      </c>
      <c r="M35" s="6">
        <v>14.477399999999999</v>
      </c>
      <c r="N35" s="6">
        <v>-1.1268399999999999E-4</v>
      </c>
      <c r="O35" s="6">
        <v>-1.5458399999999999E-3</v>
      </c>
      <c r="P35" s="6">
        <v>13.716699999999999</v>
      </c>
      <c r="Q35" s="6">
        <v>13.718299999999999</v>
      </c>
      <c r="R35" s="6">
        <v>16.722999999999999</v>
      </c>
      <c r="S35" s="6">
        <v>16.722999999999999</v>
      </c>
      <c r="T35" s="6">
        <v>0.37319999999999998</v>
      </c>
      <c r="U35" s="6">
        <v>1332.56</v>
      </c>
      <c r="V35">
        <f t="shared" si="0"/>
        <v>7.1797413793103448</v>
      </c>
      <c r="W35">
        <f t="shared" si="1"/>
        <v>7.0722600000000006E-5</v>
      </c>
    </row>
    <row r="36" spans="1:23" x14ac:dyDescent="0.3">
      <c r="A36" s="6">
        <v>29</v>
      </c>
      <c r="B36" s="6">
        <v>6.2993499999999998E-4</v>
      </c>
      <c r="C36" s="6">
        <v>2.30332E-2</v>
      </c>
      <c r="D36" s="6">
        <v>36.587400000000002</v>
      </c>
      <c r="E36" s="6">
        <v>36.564399999999999</v>
      </c>
      <c r="F36" s="7">
        <v>-8.4653600000000005E-5</v>
      </c>
      <c r="G36" s="6">
        <v>-1.4559799999999999E-3</v>
      </c>
      <c r="H36" s="6">
        <v>17.197800000000001</v>
      </c>
      <c r="I36" s="6">
        <v>17.199200000000001</v>
      </c>
      <c r="J36" s="6">
        <v>-2.7484299999999998E-4</v>
      </c>
      <c r="K36" s="6">
        <v>-3.9790099999999998E-3</v>
      </c>
      <c r="L36" s="6">
        <v>14.4734</v>
      </c>
      <c r="M36" s="6">
        <v>14.477399999999999</v>
      </c>
      <c r="N36" s="6">
        <v>-1.6740700000000001E-4</v>
      </c>
      <c r="O36" s="6">
        <v>-2.2965400000000001E-3</v>
      </c>
      <c r="P36" s="6">
        <v>13.715999999999999</v>
      </c>
      <c r="Q36" s="6">
        <v>13.718299999999999</v>
      </c>
      <c r="R36" s="6">
        <v>16.972000000000001</v>
      </c>
      <c r="S36" s="6">
        <v>16.972000000000001</v>
      </c>
      <c r="T36" s="6">
        <v>0.38390000000000002</v>
      </c>
      <c r="U36" s="6">
        <v>1369.86</v>
      </c>
      <c r="V36">
        <f t="shared" si="0"/>
        <v>7.3807112068965512</v>
      </c>
      <c r="W36">
        <f t="shared" si="1"/>
        <v>1.7563453333333334E-4</v>
      </c>
    </row>
    <row r="37" spans="1:23" x14ac:dyDescent="0.3">
      <c r="A37" s="6">
        <v>30</v>
      </c>
      <c r="B37" s="6">
        <v>5.4132900000000001E-4</v>
      </c>
      <c r="C37" s="6">
        <v>1.9793399999999999E-2</v>
      </c>
      <c r="D37" s="6">
        <v>36.584200000000003</v>
      </c>
      <c r="E37" s="6">
        <v>36.564399999999999</v>
      </c>
      <c r="F37" s="6">
        <v>-1.8736100000000001E-4</v>
      </c>
      <c r="G37" s="6">
        <v>-3.2224699999999998E-3</v>
      </c>
      <c r="H37" s="6">
        <v>17.196000000000002</v>
      </c>
      <c r="I37" s="6">
        <v>17.199200000000001</v>
      </c>
      <c r="J37" s="6">
        <v>-3.24884E-4</v>
      </c>
      <c r="K37" s="6">
        <v>-4.7034700000000004E-3</v>
      </c>
      <c r="L37" s="6">
        <v>14.4727</v>
      </c>
      <c r="M37" s="6">
        <v>14.477399999999999</v>
      </c>
      <c r="N37" s="6">
        <v>-2.5682299999999999E-4</v>
      </c>
      <c r="O37" s="6">
        <v>-3.5231799999999999E-3</v>
      </c>
      <c r="P37" s="6">
        <v>13.7148</v>
      </c>
      <c r="Q37" s="6">
        <v>13.718299999999999</v>
      </c>
      <c r="R37" s="6">
        <v>17.222999999999999</v>
      </c>
      <c r="S37" s="6">
        <v>17.222999999999999</v>
      </c>
      <c r="T37" s="6">
        <v>0.40129999999999999</v>
      </c>
      <c r="U37" s="6">
        <v>1430.9</v>
      </c>
      <c r="V37">
        <f t="shared" si="0"/>
        <v>7.7095905172413799</v>
      </c>
      <c r="W37">
        <f t="shared" si="1"/>
        <v>2.5635600000000001E-4</v>
      </c>
    </row>
    <row r="38" spans="1:23" x14ac:dyDescent="0.3">
      <c r="A38" s="6">
        <v>31</v>
      </c>
      <c r="B38" s="6">
        <v>7.1282300000000002E-4</v>
      </c>
      <c r="C38" s="6">
        <v>2.6063900000000001E-2</v>
      </c>
      <c r="D38" s="6">
        <v>36.590400000000002</v>
      </c>
      <c r="E38" s="6">
        <v>36.564399999999999</v>
      </c>
      <c r="F38" s="6">
        <v>1.5967600000000001E-4</v>
      </c>
      <c r="G38" s="6">
        <v>2.7463000000000001E-3</v>
      </c>
      <c r="H38" s="6">
        <v>17.202000000000002</v>
      </c>
      <c r="I38" s="6">
        <v>17.199200000000001</v>
      </c>
      <c r="J38" s="7">
        <v>-3.9537699999999999E-5</v>
      </c>
      <c r="K38" s="6">
        <v>-5.7240199999999996E-4</v>
      </c>
      <c r="L38" s="6">
        <v>14.476800000000001</v>
      </c>
      <c r="M38" s="6">
        <v>14.477399999999999</v>
      </c>
      <c r="N38" s="7">
        <v>2.41419E-5</v>
      </c>
      <c r="O38" s="6">
        <v>3.3118600000000002E-4</v>
      </c>
      <c r="P38" s="6">
        <v>13.7186</v>
      </c>
      <c r="Q38" s="6">
        <v>13.718299999999999</v>
      </c>
      <c r="R38" s="6">
        <v>17.408000000000001</v>
      </c>
      <c r="S38" s="6">
        <v>17.408000000000001</v>
      </c>
      <c r="T38" s="6">
        <v>0.41959999999999997</v>
      </c>
      <c r="U38" s="6">
        <v>1495.32</v>
      </c>
      <c r="V38">
        <f t="shared" si="0"/>
        <v>8.0566810344827591</v>
      </c>
      <c r="W38">
        <f t="shared" si="1"/>
        <v>-4.8093400000000003E-5</v>
      </c>
    </row>
    <row r="39" spans="1:23" x14ac:dyDescent="0.3">
      <c r="A39" s="6">
        <v>32</v>
      </c>
      <c r="B39" s="6">
        <v>6.8937700000000002E-4</v>
      </c>
      <c r="C39" s="6">
        <v>2.5206599999999999E-2</v>
      </c>
      <c r="D39" s="6">
        <v>36.589599999999997</v>
      </c>
      <c r="E39" s="6">
        <v>36.564399999999999</v>
      </c>
      <c r="F39" s="7">
        <v>-5.0250000000000002E-5</v>
      </c>
      <c r="G39" s="6">
        <v>-8.6426299999999999E-4</v>
      </c>
      <c r="H39" s="6">
        <v>17.198399999999999</v>
      </c>
      <c r="I39" s="6">
        <v>17.199200000000001</v>
      </c>
      <c r="J39" s="6">
        <v>-2.0552499999999999E-4</v>
      </c>
      <c r="K39" s="6">
        <v>-2.9754600000000001E-3</v>
      </c>
      <c r="L39" s="6">
        <v>14.474399999999999</v>
      </c>
      <c r="M39" s="6">
        <v>14.477399999999999</v>
      </c>
      <c r="N39" s="6">
        <v>-1.7833000000000001E-4</v>
      </c>
      <c r="O39" s="6">
        <v>-2.4463800000000002E-3</v>
      </c>
      <c r="P39" s="6">
        <v>13.7158</v>
      </c>
      <c r="Q39" s="6">
        <v>13.718299999999999</v>
      </c>
      <c r="R39" s="6">
        <v>17.66</v>
      </c>
      <c r="S39" s="6">
        <v>17.66</v>
      </c>
      <c r="T39" s="6">
        <v>0.43059999999999998</v>
      </c>
      <c r="U39" s="6">
        <v>1533.75</v>
      </c>
      <c r="V39">
        <f t="shared" si="0"/>
        <v>8.2637392241379306</v>
      </c>
      <c r="W39">
        <f t="shared" si="1"/>
        <v>1.4470166666666665E-4</v>
      </c>
    </row>
    <row r="40" spans="1:23" x14ac:dyDescent="0.3">
      <c r="A40" s="6">
        <v>33</v>
      </c>
      <c r="B40" s="6">
        <v>7.2896099999999998E-4</v>
      </c>
      <c r="C40" s="6">
        <v>2.6654000000000001E-2</v>
      </c>
      <c r="D40" s="6">
        <v>36.591000000000001</v>
      </c>
      <c r="E40" s="6">
        <v>36.564399999999999</v>
      </c>
      <c r="F40" s="6">
        <v>-1.8010300000000001E-4</v>
      </c>
      <c r="G40" s="6">
        <v>-3.0976300000000001E-3</v>
      </c>
      <c r="H40" s="6">
        <v>17.196100000000001</v>
      </c>
      <c r="I40" s="6">
        <v>17.199200000000001</v>
      </c>
      <c r="J40" s="6">
        <v>-3.35822E-4</v>
      </c>
      <c r="K40" s="6">
        <v>-4.8618200000000002E-3</v>
      </c>
      <c r="L40" s="6">
        <v>14.4725</v>
      </c>
      <c r="M40" s="6">
        <v>14.477399999999999</v>
      </c>
      <c r="N40" s="6">
        <v>-2.1044400000000001E-4</v>
      </c>
      <c r="O40" s="6">
        <v>-2.8869299999999998E-3</v>
      </c>
      <c r="P40" s="6">
        <v>13.715400000000001</v>
      </c>
      <c r="Q40" s="6">
        <v>13.718299999999999</v>
      </c>
      <c r="R40" s="6">
        <v>17.846</v>
      </c>
      <c r="S40" s="6">
        <v>17.846</v>
      </c>
      <c r="T40" s="6">
        <v>0.44290000000000002</v>
      </c>
      <c r="U40" s="6">
        <v>1576.7</v>
      </c>
      <c r="V40">
        <f t="shared" si="0"/>
        <v>8.4951508620689662</v>
      </c>
      <c r="W40">
        <f t="shared" si="1"/>
        <v>2.4212299999999999E-4</v>
      </c>
    </row>
    <row r="41" spans="1:23" x14ac:dyDescent="0.3">
      <c r="A41" s="6">
        <v>34</v>
      </c>
      <c r="B41" s="6">
        <v>7.0657700000000001E-4</v>
      </c>
      <c r="C41" s="6">
        <v>2.58356E-2</v>
      </c>
      <c r="D41" s="6">
        <v>36.590200000000003</v>
      </c>
      <c r="E41" s="6">
        <v>36.564399999999999</v>
      </c>
      <c r="F41" s="7">
        <v>-8.5495799999999995E-5</v>
      </c>
      <c r="G41" s="6">
        <v>-1.47046E-3</v>
      </c>
      <c r="H41" s="6">
        <v>17.197800000000001</v>
      </c>
      <c r="I41" s="6">
        <v>17.199200000000001</v>
      </c>
      <c r="J41" s="6">
        <v>-3.2461700000000003E-4</v>
      </c>
      <c r="K41" s="6">
        <v>-4.6996E-3</v>
      </c>
      <c r="L41" s="6">
        <v>14.4727</v>
      </c>
      <c r="M41" s="6">
        <v>14.477399999999999</v>
      </c>
      <c r="N41" s="6">
        <v>-2.3309599999999999E-4</v>
      </c>
      <c r="O41" s="6">
        <v>-3.1976700000000001E-3</v>
      </c>
      <c r="P41" s="6">
        <v>13.7151</v>
      </c>
      <c r="Q41" s="6">
        <v>13.718299999999999</v>
      </c>
      <c r="R41" s="6">
        <v>17.97</v>
      </c>
      <c r="S41" s="6">
        <v>17.97</v>
      </c>
      <c r="T41" s="6">
        <v>0.44579999999999997</v>
      </c>
      <c r="U41" s="6">
        <v>1586.87</v>
      </c>
      <c r="V41">
        <f t="shared" si="0"/>
        <v>8.5499461206896541</v>
      </c>
      <c r="W41">
        <f t="shared" si="1"/>
        <v>2.1440293333333332E-4</v>
      </c>
    </row>
    <row r="42" spans="1:23" x14ac:dyDescent="0.3">
      <c r="A42" s="6">
        <v>35</v>
      </c>
      <c r="B42" s="6">
        <v>7.8362099999999997E-4</v>
      </c>
      <c r="C42" s="6">
        <v>2.86526E-2</v>
      </c>
      <c r="D42" s="6">
        <v>36.593000000000004</v>
      </c>
      <c r="E42" s="6">
        <v>36.564399999999999</v>
      </c>
      <c r="F42" s="7">
        <v>-5.7472600000000003E-5</v>
      </c>
      <c r="G42" s="6">
        <v>-9.884850000000001E-4</v>
      </c>
      <c r="H42" s="6">
        <v>17.1983</v>
      </c>
      <c r="I42" s="6">
        <v>17.199200000000001</v>
      </c>
      <c r="J42" s="6">
        <v>-3.2344699999999998E-4</v>
      </c>
      <c r="K42" s="6">
        <v>-4.6826699999999999E-3</v>
      </c>
      <c r="L42" s="6">
        <v>14.4727</v>
      </c>
      <c r="M42" s="6">
        <v>14.477399999999999</v>
      </c>
      <c r="N42" s="6">
        <v>-2.49631E-4</v>
      </c>
      <c r="O42" s="6">
        <v>-3.42451E-3</v>
      </c>
      <c r="P42" s="6">
        <v>13.7149</v>
      </c>
      <c r="Q42" s="6">
        <v>13.718299999999999</v>
      </c>
      <c r="R42" s="6">
        <v>18.344000000000001</v>
      </c>
      <c r="S42" s="6">
        <v>18.344000000000001</v>
      </c>
      <c r="T42" s="6">
        <v>0.46479999999999999</v>
      </c>
      <c r="U42" s="6">
        <v>1653.56</v>
      </c>
      <c r="V42">
        <f t="shared" si="0"/>
        <v>8.909267241379311</v>
      </c>
      <c r="W42">
        <f t="shared" si="1"/>
        <v>2.1018353333333332E-4</v>
      </c>
    </row>
    <row r="43" spans="1:23" x14ac:dyDescent="0.3">
      <c r="A43" s="6">
        <v>36</v>
      </c>
      <c r="B43" s="6">
        <v>7.5860900000000004E-4</v>
      </c>
      <c r="C43" s="6">
        <v>2.7738100000000002E-2</v>
      </c>
      <c r="D43" s="6">
        <v>36.592100000000002</v>
      </c>
      <c r="E43" s="6">
        <v>36.564399999999999</v>
      </c>
      <c r="F43" s="7">
        <v>9.2997899999999996E-6</v>
      </c>
      <c r="G43" s="6">
        <v>1.59949E-4</v>
      </c>
      <c r="H43" s="6">
        <v>17.199400000000001</v>
      </c>
      <c r="I43" s="6">
        <v>17.199200000000001</v>
      </c>
      <c r="J43" s="6">
        <v>-2.6883799999999998E-4</v>
      </c>
      <c r="K43" s="6">
        <v>-3.8920700000000001E-3</v>
      </c>
      <c r="L43" s="6">
        <v>14.4735</v>
      </c>
      <c r="M43" s="6">
        <v>14.477399999999999</v>
      </c>
      <c r="N43" s="6">
        <v>-2.51504E-4</v>
      </c>
      <c r="O43" s="6">
        <v>-3.4502000000000001E-3</v>
      </c>
      <c r="P43" s="6">
        <v>13.7148</v>
      </c>
      <c r="Q43" s="6">
        <v>13.718299999999999</v>
      </c>
      <c r="R43" s="6">
        <v>18.782</v>
      </c>
      <c r="S43" s="6">
        <v>18.782</v>
      </c>
      <c r="T43" s="6">
        <v>0.49020000000000002</v>
      </c>
      <c r="U43" s="6">
        <v>1742.85</v>
      </c>
      <c r="V43">
        <f t="shared" si="0"/>
        <v>9.3903556034482758</v>
      </c>
      <c r="W43">
        <f t="shared" si="1"/>
        <v>1.7034740333333334E-4</v>
      </c>
    </row>
    <row r="44" spans="1:23" x14ac:dyDescent="0.3">
      <c r="A44" s="6">
        <v>37</v>
      </c>
      <c r="B44" s="6">
        <v>7.9283399999999996E-4</v>
      </c>
      <c r="C44" s="6">
        <v>2.8989399999999999E-2</v>
      </c>
      <c r="D44" s="6">
        <v>36.593299999999999</v>
      </c>
      <c r="E44" s="6">
        <v>36.564399999999999</v>
      </c>
      <c r="F44" s="7">
        <v>4.4930699999999998E-6</v>
      </c>
      <c r="G44" s="7">
        <v>7.72774E-5</v>
      </c>
      <c r="H44" s="6">
        <v>17.199300000000001</v>
      </c>
      <c r="I44" s="6">
        <v>17.199200000000001</v>
      </c>
      <c r="J44" s="6">
        <v>-2.8974300000000002E-4</v>
      </c>
      <c r="K44" s="6">
        <v>-4.1947099999999999E-3</v>
      </c>
      <c r="L44" s="6">
        <v>14.4732</v>
      </c>
      <c r="M44" s="6">
        <v>14.477399999999999</v>
      </c>
      <c r="N44" s="6">
        <v>-1.92048E-4</v>
      </c>
      <c r="O44" s="6">
        <v>-2.6345700000000001E-3</v>
      </c>
      <c r="P44" s="6">
        <v>13.7156</v>
      </c>
      <c r="Q44" s="6">
        <v>13.718299999999999</v>
      </c>
      <c r="R44" s="6">
        <v>19.468</v>
      </c>
      <c r="S44" s="6">
        <v>19.468</v>
      </c>
      <c r="T44" s="6">
        <v>0.50919999999999999</v>
      </c>
      <c r="U44" s="6">
        <v>1809.53</v>
      </c>
      <c r="V44">
        <f t="shared" si="0"/>
        <v>9.7496228448275861</v>
      </c>
      <c r="W44">
        <f t="shared" si="1"/>
        <v>1.5909931000000001E-4</v>
      </c>
    </row>
    <row r="45" spans="1:23" x14ac:dyDescent="0.3">
      <c r="A45" s="6">
        <v>38</v>
      </c>
      <c r="B45" s="6">
        <v>8.0162799999999998E-4</v>
      </c>
      <c r="C45" s="6">
        <v>2.9311E-2</v>
      </c>
      <c r="D45" s="6">
        <v>36.593699999999998</v>
      </c>
      <c r="E45" s="6">
        <v>36.564399999999999</v>
      </c>
      <c r="F45" s="7">
        <v>-7.61218E-5</v>
      </c>
      <c r="G45" s="6">
        <v>-1.3092399999999999E-3</v>
      </c>
      <c r="H45" s="6">
        <v>17.197900000000001</v>
      </c>
      <c r="I45" s="6">
        <v>17.199200000000001</v>
      </c>
      <c r="J45" s="6">
        <v>-4.1615400000000001E-4</v>
      </c>
      <c r="K45" s="6">
        <v>-6.0248200000000002E-3</v>
      </c>
      <c r="L45" s="6">
        <v>14.471399999999999</v>
      </c>
      <c r="M45" s="6">
        <v>14.477399999999999</v>
      </c>
      <c r="N45" s="6">
        <v>-3.5320499999999999E-4</v>
      </c>
      <c r="O45" s="6">
        <v>-4.8453699999999999E-3</v>
      </c>
      <c r="P45" s="6">
        <v>13.7134</v>
      </c>
      <c r="Q45" s="6">
        <v>13.718299999999999</v>
      </c>
      <c r="R45" s="6">
        <v>19.78</v>
      </c>
      <c r="S45" s="6">
        <v>19.78</v>
      </c>
      <c r="T45" s="6">
        <v>0.52210000000000001</v>
      </c>
      <c r="U45" s="6">
        <v>1854.74</v>
      </c>
      <c r="V45">
        <f t="shared" si="0"/>
        <v>9.993211206896552</v>
      </c>
      <c r="W45">
        <f t="shared" si="1"/>
        <v>2.818269333333333E-4</v>
      </c>
    </row>
    <row r="46" spans="1:23" x14ac:dyDescent="0.3">
      <c r="A46" s="6">
        <v>39</v>
      </c>
      <c r="B46" s="6">
        <v>8.1792599999999996E-4</v>
      </c>
      <c r="C46" s="6">
        <v>2.9907E-2</v>
      </c>
      <c r="D46" s="6">
        <v>36.594299999999997</v>
      </c>
      <c r="E46" s="6">
        <v>36.564399999999999</v>
      </c>
      <c r="F46" s="7">
        <v>-4.5974399999999998E-5</v>
      </c>
      <c r="G46" s="6">
        <v>-7.9072400000000003E-4</v>
      </c>
      <c r="H46" s="6">
        <v>17.198499999999999</v>
      </c>
      <c r="I46" s="6">
        <v>17.199200000000001</v>
      </c>
      <c r="J46" s="6">
        <v>-3.5286600000000002E-4</v>
      </c>
      <c r="K46" s="6">
        <v>-5.1085699999999998E-3</v>
      </c>
      <c r="L46" s="6">
        <v>14.472300000000001</v>
      </c>
      <c r="M46" s="6">
        <v>14.477399999999999</v>
      </c>
      <c r="N46" s="6">
        <v>-2.9697600000000001E-4</v>
      </c>
      <c r="O46" s="6">
        <v>-4.0740000000000004E-3</v>
      </c>
      <c r="P46" s="6">
        <v>13.7142</v>
      </c>
      <c r="Q46" s="6">
        <v>13.718299999999999</v>
      </c>
      <c r="R46" s="6">
        <v>19.966999999999999</v>
      </c>
      <c r="S46" s="6">
        <v>19.966999999999999</v>
      </c>
      <c r="T46" s="6">
        <v>0.52310000000000001</v>
      </c>
      <c r="U46" s="6">
        <v>1858.14</v>
      </c>
      <c r="V46">
        <f t="shared" si="0"/>
        <v>10.011530172413794</v>
      </c>
      <c r="W46">
        <f t="shared" si="1"/>
        <v>2.3193880000000003E-4</v>
      </c>
    </row>
    <row r="47" spans="1:23" x14ac:dyDescent="0.3">
      <c r="A47" s="6">
        <v>40</v>
      </c>
      <c r="B47" s="6">
        <v>8.1414699999999998E-4</v>
      </c>
      <c r="C47" s="6">
        <v>2.9768800000000002E-2</v>
      </c>
      <c r="D47" s="6">
        <v>36.594099999999997</v>
      </c>
      <c r="E47" s="6">
        <v>36.564399999999999</v>
      </c>
      <c r="F47" s="7">
        <v>-4.7269499999999999E-5</v>
      </c>
      <c r="G47" s="6">
        <v>-8.1300000000000003E-4</v>
      </c>
      <c r="H47" s="6">
        <v>17.198399999999999</v>
      </c>
      <c r="I47" s="6">
        <v>17.199200000000001</v>
      </c>
      <c r="J47" s="6">
        <v>-2.7155099999999998E-4</v>
      </c>
      <c r="K47" s="6">
        <v>-3.9313500000000001E-3</v>
      </c>
      <c r="L47" s="6">
        <v>14.4734</v>
      </c>
      <c r="M47" s="6">
        <v>14.477399999999999</v>
      </c>
      <c r="N47" s="6">
        <v>-2.4486100000000003E-4</v>
      </c>
      <c r="O47" s="6">
        <v>-3.35907E-3</v>
      </c>
      <c r="P47" s="6">
        <v>13.7149</v>
      </c>
      <c r="Q47" s="6">
        <v>13.718299999999999</v>
      </c>
      <c r="R47" s="6">
        <v>20.466000000000001</v>
      </c>
      <c r="S47" s="6">
        <v>20.466000000000001</v>
      </c>
      <c r="T47" s="6">
        <v>0.53859999999999997</v>
      </c>
      <c r="U47" s="6">
        <v>1912.39</v>
      </c>
      <c r="V47">
        <f t="shared" si="0"/>
        <v>10.303825431034484</v>
      </c>
      <c r="W47">
        <f t="shared" si="1"/>
        <v>1.8789383333333337E-4</v>
      </c>
    </row>
    <row r="48" spans="1:23" x14ac:dyDescent="0.3">
      <c r="A48" s="6">
        <v>41</v>
      </c>
      <c r="B48" s="6">
        <v>8.8621100000000003E-4</v>
      </c>
      <c r="C48" s="6">
        <v>3.2403800000000003E-2</v>
      </c>
      <c r="D48" s="6">
        <v>36.596800000000002</v>
      </c>
      <c r="E48" s="6">
        <v>36.564399999999999</v>
      </c>
      <c r="F48" s="7">
        <v>-9.1482800000000004E-5</v>
      </c>
      <c r="G48" s="6">
        <v>-1.57343E-3</v>
      </c>
      <c r="H48" s="6">
        <v>17.197700000000001</v>
      </c>
      <c r="I48" s="6">
        <v>17.199200000000001</v>
      </c>
      <c r="J48" s="6">
        <v>-3.5389599999999997E-4</v>
      </c>
      <c r="K48" s="6">
        <v>-5.1234799999999997E-3</v>
      </c>
      <c r="L48" s="6">
        <v>14.472300000000001</v>
      </c>
      <c r="M48" s="6">
        <v>14.477399999999999</v>
      </c>
      <c r="N48" s="6">
        <v>-3.0334999999999997E-4</v>
      </c>
      <c r="O48" s="6">
        <v>-4.1614399999999998E-3</v>
      </c>
      <c r="P48" s="6">
        <v>13.7141</v>
      </c>
      <c r="Q48" s="6">
        <v>13.718299999999999</v>
      </c>
      <c r="R48" s="6">
        <v>20.902999999999999</v>
      </c>
      <c r="S48" s="6">
        <v>20.902999999999999</v>
      </c>
      <c r="T48" s="6">
        <v>0.55369999999999997</v>
      </c>
      <c r="U48" s="6">
        <v>1965.51</v>
      </c>
      <c r="V48">
        <f t="shared" si="0"/>
        <v>10.590032327586208</v>
      </c>
      <c r="W48">
        <f t="shared" si="1"/>
        <v>2.4957626666666666E-4</v>
      </c>
    </row>
    <row r="49" spans="1:23" x14ac:dyDescent="0.3">
      <c r="A49" s="6">
        <v>42</v>
      </c>
      <c r="B49" s="6">
        <v>9.1366899999999998E-4</v>
      </c>
      <c r="C49" s="6">
        <v>3.3407699999999999E-2</v>
      </c>
      <c r="D49" s="6">
        <v>36.597799999999999</v>
      </c>
      <c r="E49" s="6">
        <v>36.564399999999999</v>
      </c>
      <c r="F49" s="7">
        <v>-9.6957699999999995E-5</v>
      </c>
      <c r="G49" s="6">
        <v>-1.6676E-3</v>
      </c>
      <c r="H49" s="6">
        <v>17.197600000000001</v>
      </c>
      <c r="I49" s="6">
        <v>17.199200000000001</v>
      </c>
      <c r="J49" s="6">
        <v>-3.5557500000000001E-4</v>
      </c>
      <c r="K49" s="6">
        <v>-5.1477900000000002E-3</v>
      </c>
      <c r="L49" s="6">
        <v>14.472200000000001</v>
      </c>
      <c r="M49" s="6">
        <v>14.477399999999999</v>
      </c>
      <c r="N49" s="6">
        <v>-2.42451E-4</v>
      </c>
      <c r="O49" s="6">
        <v>-3.3260099999999999E-3</v>
      </c>
      <c r="P49" s="6">
        <v>13.715</v>
      </c>
      <c r="Q49" s="6">
        <v>13.718299999999999</v>
      </c>
      <c r="R49" s="6">
        <v>21.34</v>
      </c>
      <c r="S49" s="6">
        <v>21.34</v>
      </c>
      <c r="T49" s="6">
        <v>0.56630000000000003</v>
      </c>
      <c r="U49" s="6">
        <v>2009.59</v>
      </c>
      <c r="V49">
        <f t="shared" si="0"/>
        <v>10.827532327586207</v>
      </c>
      <c r="W49">
        <f t="shared" si="1"/>
        <v>2.3166123333333332E-4</v>
      </c>
    </row>
    <row r="50" spans="1:23" x14ac:dyDescent="0.3">
      <c r="A50" s="6">
        <v>43</v>
      </c>
      <c r="B50" s="6">
        <v>8.3436399999999998E-4</v>
      </c>
      <c r="C50" s="6">
        <v>3.0508E-2</v>
      </c>
      <c r="D50" s="6">
        <v>36.594900000000003</v>
      </c>
      <c r="E50" s="6">
        <v>36.564399999999999</v>
      </c>
      <c r="F50" s="6">
        <v>-1.8954200000000001E-4</v>
      </c>
      <c r="G50" s="6">
        <v>-3.2599899999999999E-3</v>
      </c>
      <c r="H50" s="6">
        <v>17.196000000000002</v>
      </c>
      <c r="I50" s="6">
        <v>17.199200000000001</v>
      </c>
      <c r="J50" s="6">
        <v>-4.7271900000000003E-4</v>
      </c>
      <c r="K50" s="6">
        <v>-6.8437300000000001E-3</v>
      </c>
      <c r="L50" s="6">
        <v>14.470499999999999</v>
      </c>
      <c r="M50" s="6">
        <v>14.477399999999999</v>
      </c>
      <c r="N50" s="6">
        <v>-4.1068300000000001E-4</v>
      </c>
      <c r="O50" s="6">
        <v>-5.6338600000000001E-3</v>
      </c>
      <c r="P50" s="6">
        <v>13.7126</v>
      </c>
      <c r="Q50" s="6">
        <v>13.718299999999999</v>
      </c>
      <c r="R50" s="6">
        <v>21.841000000000001</v>
      </c>
      <c r="S50" s="6">
        <v>21.841000000000001</v>
      </c>
      <c r="T50" s="6">
        <v>0.5827</v>
      </c>
      <c r="U50" s="6">
        <v>2067.23</v>
      </c>
      <c r="V50">
        <f t="shared" si="0"/>
        <v>11.138092672413794</v>
      </c>
      <c r="W50">
        <f t="shared" si="1"/>
        <v>3.5764800000000007E-4</v>
      </c>
    </row>
    <row r="51" spans="1:23" x14ac:dyDescent="0.3">
      <c r="A51" s="6">
        <v>44</v>
      </c>
      <c r="B51" s="6">
        <v>9.6233199999999999E-4</v>
      </c>
      <c r="C51" s="6">
        <v>3.5187000000000003E-2</v>
      </c>
      <c r="D51" s="6">
        <v>36.599499999999999</v>
      </c>
      <c r="E51" s="6">
        <v>36.564399999999999</v>
      </c>
      <c r="F51" s="6">
        <v>-1.0875299999999999E-4</v>
      </c>
      <c r="G51" s="6">
        <v>-1.8704699999999999E-3</v>
      </c>
      <c r="H51" s="6">
        <v>17.197399999999998</v>
      </c>
      <c r="I51" s="6">
        <v>17.199200000000001</v>
      </c>
      <c r="J51" s="6">
        <v>-3.7879100000000001E-4</v>
      </c>
      <c r="K51" s="6">
        <v>-5.4839099999999998E-3</v>
      </c>
      <c r="L51" s="6">
        <v>14.4719</v>
      </c>
      <c r="M51" s="6">
        <v>14.477399999999999</v>
      </c>
      <c r="N51" s="6">
        <v>-2.7091700000000002E-4</v>
      </c>
      <c r="O51" s="6">
        <v>-3.7165200000000001E-3</v>
      </c>
      <c r="P51" s="6">
        <v>13.714600000000001</v>
      </c>
      <c r="Q51" s="6">
        <v>13.718299999999999</v>
      </c>
      <c r="R51" s="6">
        <v>22.213999999999999</v>
      </c>
      <c r="S51" s="6">
        <v>22.215</v>
      </c>
      <c r="T51" s="6">
        <v>0.58789999999999998</v>
      </c>
      <c r="U51" s="6">
        <v>2085.3200000000002</v>
      </c>
      <c r="V51">
        <f t="shared" si="0"/>
        <v>11.235560344827588</v>
      </c>
      <c r="W51">
        <f t="shared" si="1"/>
        <v>2.5282033333333333E-4</v>
      </c>
    </row>
    <row r="52" spans="1:23" x14ac:dyDescent="0.3">
      <c r="A52" s="6">
        <v>45</v>
      </c>
      <c r="B52" s="6">
        <v>9.6161499999999997E-4</v>
      </c>
      <c r="C52" s="6">
        <v>3.5160799999999999E-2</v>
      </c>
      <c r="D52" s="6">
        <v>36.599499999999999</v>
      </c>
      <c r="E52" s="6">
        <v>36.564399999999999</v>
      </c>
      <c r="F52" s="7">
        <v>-5.3864599999999999E-5</v>
      </c>
      <c r="G52" s="6">
        <v>-9.2643000000000001E-4</v>
      </c>
      <c r="H52" s="6">
        <v>17.1983</v>
      </c>
      <c r="I52" s="6">
        <v>17.199200000000001</v>
      </c>
      <c r="J52" s="6">
        <v>-3.3599999999999998E-4</v>
      </c>
      <c r="K52" s="6">
        <v>-4.8643899999999997E-3</v>
      </c>
      <c r="L52" s="6">
        <v>14.4725</v>
      </c>
      <c r="M52" s="6">
        <v>14.477399999999999</v>
      </c>
      <c r="N52" s="6">
        <v>-2.2435700000000001E-4</v>
      </c>
      <c r="O52" s="6">
        <v>-3.07779E-3</v>
      </c>
      <c r="P52" s="6">
        <v>13.715199999999999</v>
      </c>
      <c r="Q52" s="6">
        <v>13.718299999999999</v>
      </c>
      <c r="R52" s="6">
        <v>22.9</v>
      </c>
      <c r="S52" s="6">
        <v>22.901</v>
      </c>
      <c r="T52" s="6">
        <v>0.61080000000000001</v>
      </c>
      <c r="U52" s="6">
        <v>2165.5700000000002</v>
      </c>
      <c r="V52">
        <f t="shared" si="0"/>
        <v>11.667941810344828</v>
      </c>
      <c r="W52">
        <f t="shared" si="1"/>
        <v>2.0474053333333333E-4</v>
      </c>
    </row>
    <row r="53" spans="1:23" x14ac:dyDescent="0.3">
      <c r="A53" s="6">
        <v>46</v>
      </c>
      <c r="B53" s="6">
        <v>9.8080900000000002E-4</v>
      </c>
      <c r="C53" s="6">
        <v>3.5862699999999997E-2</v>
      </c>
      <c r="D53" s="6">
        <v>36.600200000000001</v>
      </c>
      <c r="E53" s="6">
        <v>36.564399999999999</v>
      </c>
      <c r="F53" s="6">
        <v>-1.07755E-4</v>
      </c>
      <c r="G53" s="6">
        <v>-1.8533E-3</v>
      </c>
      <c r="H53" s="6">
        <v>17.197399999999998</v>
      </c>
      <c r="I53" s="6">
        <v>17.199200000000001</v>
      </c>
      <c r="J53" s="6">
        <v>-4.2349E-4</v>
      </c>
      <c r="K53" s="6">
        <v>-6.13103E-3</v>
      </c>
      <c r="L53" s="6">
        <v>14.4712</v>
      </c>
      <c r="M53" s="6">
        <v>14.477399999999999</v>
      </c>
      <c r="N53" s="6">
        <v>-3.9972800000000002E-4</v>
      </c>
      <c r="O53" s="6">
        <v>-5.4835800000000001E-3</v>
      </c>
      <c r="P53" s="6">
        <v>13.7128</v>
      </c>
      <c r="Q53" s="6">
        <v>13.718299999999999</v>
      </c>
      <c r="R53" s="6">
        <v>23.838000000000001</v>
      </c>
      <c r="S53" s="6">
        <v>23.838000000000001</v>
      </c>
      <c r="T53" s="6">
        <v>0.63070000000000004</v>
      </c>
      <c r="U53" s="6">
        <v>2235.64</v>
      </c>
      <c r="V53">
        <f t="shared" si="0"/>
        <v>12.045474137931034</v>
      </c>
      <c r="W53">
        <f t="shared" si="1"/>
        <v>3.1032433333333333E-4</v>
      </c>
    </row>
    <row r="54" spans="1:23" x14ac:dyDescent="0.3">
      <c r="A54" s="6">
        <v>47</v>
      </c>
      <c r="B54" s="6">
        <v>1.07387E-3</v>
      </c>
      <c r="C54" s="6">
        <v>3.9265300000000003E-2</v>
      </c>
      <c r="D54" s="6">
        <v>36.6036</v>
      </c>
      <c r="E54" s="6">
        <v>36.564399999999999</v>
      </c>
      <c r="F54" s="6">
        <v>-1.19021E-4</v>
      </c>
      <c r="G54" s="6">
        <v>-2.0470699999999998E-3</v>
      </c>
      <c r="H54" s="6">
        <v>17.197199999999999</v>
      </c>
      <c r="I54" s="6">
        <v>17.199200000000001</v>
      </c>
      <c r="J54" s="6">
        <v>-2.9564499999999998E-4</v>
      </c>
      <c r="K54" s="6">
        <v>-4.2801599999999999E-3</v>
      </c>
      <c r="L54" s="6">
        <v>14.473100000000001</v>
      </c>
      <c r="M54" s="6">
        <v>14.477399999999999</v>
      </c>
      <c r="N54" s="6">
        <v>-1.81344E-4</v>
      </c>
      <c r="O54" s="6">
        <v>-2.4877300000000001E-3</v>
      </c>
      <c r="P54" s="6">
        <v>13.7158</v>
      </c>
      <c r="Q54" s="6">
        <v>13.718299999999999</v>
      </c>
      <c r="R54" s="6">
        <v>24.148</v>
      </c>
      <c r="S54" s="6">
        <v>24.148</v>
      </c>
      <c r="T54" s="6">
        <v>0.63109999999999999</v>
      </c>
      <c r="U54" s="6">
        <v>2236.77</v>
      </c>
      <c r="V54">
        <f t="shared" si="0"/>
        <v>12.051562500000001</v>
      </c>
      <c r="W54">
        <f t="shared" si="1"/>
        <v>1.9866999999999997E-4</v>
      </c>
    </row>
    <row r="55" spans="1:23" x14ac:dyDescent="0.3">
      <c r="A55" s="6">
        <v>48</v>
      </c>
      <c r="B55" s="6">
        <v>9.9084600000000009E-4</v>
      </c>
      <c r="C55" s="6">
        <v>3.6229600000000001E-2</v>
      </c>
      <c r="D55" s="6">
        <v>36.6006</v>
      </c>
      <c r="E55" s="6">
        <v>36.564399999999999</v>
      </c>
      <c r="F55" s="7">
        <v>2.5236200000000001E-5</v>
      </c>
      <c r="G55" s="6">
        <v>4.3404400000000002E-4</v>
      </c>
      <c r="H55" s="6">
        <v>17.1997</v>
      </c>
      <c r="I55" s="6">
        <v>17.199200000000001</v>
      </c>
      <c r="J55" s="6">
        <v>-4.4975599999999999E-4</v>
      </c>
      <c r="K55" s="6">
        <v>-6.5112800000000004E-3</v>
      </c>
      <c r="L55" s="6">
        <v>14.4709</v>
      </c>
      <c r="M55" s="6">
        <v>14.477399999999999</v>
      </c>
      <c r="N55" s="6">
        <v>-4.7673300000000002E-4</v>
      </c>
      <c r="O55" s="6">
        <v>-6.53996E-3</v>
      </c>
      <c r="P55" s="6">
        <v>13.7117</v>
      </c>
      <c r="Q55" s="6">
        <v>13.718299999999999</v>
      </c>
      <c r="R55" s="6">
        <v>25.024000000000001</v>
      </c>
      <c r="S55" s="6">
        <v>25.024999999999999</v>
      </c>
      <c r="T55" s="6">
        <v>0.64810000000000001</v>
      </c>
      <c r="U55" s="6">
        <v>2296.6799999999998</v>
      </c>
      <c r="V55">
        <f t="shared" si="0"/>
        <v>12.374353448275862</v>
      </c>
      <c r="W55">
        <f t="shared" si="1"/>
        <v>3.0041760000000002E-4</v>
      </c>
    </row>
    <row r="56" spans="1:23" x14ac:dyDescent="0.3">
      <c r="A56" s="6">
        <v>49</v>
      </c>
      <c r="B56" s="6">
        <v>1.0271099999999999E-3</v>
      </c>
      <c r="C56" s="6">
        <v>3.7555699999999997E-2</v>
      </c>
      <c r="D56" s="6">
        <v>36.601900000000001</v>
      </c>
      <c r="E56" s="6">
        <v>36.564399999999999</v>
      </c>
      <c r="F56" s="6">
        <v>-1.30075E-4</v>
      </c>
      <c r="G56" s="6">
        <v>-2.23719E-3</v>
      </c>
      <c r="H56" s="6">
        <v>17.196999999999999</v>
      </c>
      <c r="I56" s="6">
        <v>17.199200000000001</v>
      </c>
      <c r="J56" s="6">
        <v>-4.5844599999999999E-4</v>
      </c>
      <c r="K56" s="6">
        <v>-6.63709E-3</v>
      </c>
      <c r="L56" s="6">
        <v>14.470700000000001</v>
      </c>
      <c r="M56" s="6">
        <v>14.477399999999999</v>
      </c>
      <c r="N56" s="6">
        <v>-3.0316400000000003E-4</v>
      </c>
      <c r="O56" s="6">
        <v>-4.1588900000000002E-3</v>
      </c>
      <c r="P56" s="6">
        <v>13.7141</v>
      </c>
      <c r="Q56" s="6">
        <v>13.718299999999999</v>
      </c>
      <c r="R56" s="6">
        <v>25.645</v>
      </c>
      <c r="S56" s="6">
        <v>25.646000000000001</v>
      </c>
      <c r="T56" s="6">
        <v>0.65810000000000002</v>
      </c>
      <c r="U56" s="6">
        <v>2331.71</v>
      </c>
      <c r="V56">
        <f t="shared" si="0"/>
        <v>12.563092672413793</v>
      </c>
      <c r="W56">
        <f t="shared" si="1"/>
        <v>2.972283333333334E-4</v>
      </c>
    </row>
    <row r="57" spans="1:23" x14ac:dyDescent="0.3">
      <c r="A57" s="6">
        <v>50</v>
      </c>
      <c r="B57" s="6">
        <v>1.03023E-3</v>
      </c>
      <c r="C57" s="6">
        <v>3.7669599999999998E-2</v>
      </c>
      <c r="D57" s="6">
        <v>36.601999999999997</v>
      </c>
      <c r="E57" s="6">
        <v>36.564399999999999</v>
      </c>
      <c r="F57" s="6">
        <v>-2.0734400000000001E-4</v>
      </c>
      <c r="G57" s="6">
        <v>-3.5661600000000001E-3</v>
      </c>
      <c r="H57" s="6">
        <v>17.195699999999999</v>
      </c>
      <c r="I57" s="6">
        <v>17.199200000000001</v>
      </c>
      <c r="J57" s="6">
        <v>-6.1395500000000001E-4</v>
      </c>
      <c r="K57" s="6">
        <v>-8.8884600000000008E-3</v>
      </c>
      <c r="L57" s="6">
        <v>14.468500000000001</v>
      </c>
      <c r="M57" s="6">
        <v>14.477399999999999</v>
      </c>
      <c r="N57" s="6">
        <v>-4.8216399999999999E-4</v>
      </c>
      <c r="O57" s="6">
        <v>-6.6144699999999999E-3</v>
      </c>
      <c r="P57" s="6">
        <v>13.7117</v>
      </c>
      <c r="Q57" s="6">
        <v>13.718299999999999</v>
      </c>
      <c r="R57" s="6">
        <v>26.334</v>
      </c>
      <c r="S57" s="6">
        <v>26.335000000000001</v>
      </c>
      <c r="T57" s="6">
        <v>0.66879999999999995</v>
      </c>
      <c r="U57" s="6">
        <v>2369.0100000000002</v>
      </c>
      <c r="V57">
        <f t="shared" si="0"/>
        <v>12.764062500000001</v>
      </c>
      <c r="W57">
        <f t="shared" si="1"/>
        <v>4.3448766666666664E-4</v>
      </c>
    </row>
    <row r="58" spans="1:23" x14ac:dyDescent="0.3">
      <c r="A58" s="6">
        <v>51</v>
      </c>
      <c r="B58" s="6">
        <v>1.0427699999999999E-3</v>
      </c>
      <c r="C58" s="6">
        <v>3.8128200000000001E-2</v>
      </c>
      <c r="D58" s="6">
        <v>36.602499999999999</v>
      </c>
      <c r="E58" s="6">
        <v>36.564399999999999</v>
      </c>
      <c r="F58" s="6">
        <v>-3.2741399999999999E-4</v>
      </c>
      <c r="G58" s="6">
        <v>-5.6312699999999999E-3</v>
      </c>
      <c r="H58" s="6">
        <v>17.1936</v>
      </c>
      <c r="I58" s="6">
        <v>17.199200000000001</v>
      </c>
      <c r="J58" s="6">
        <v>-5.8201699999999999E-4</v>
      </c>
      <c r="K58" s="6">
        <v>-8.4260700000000008E-3</v>
      </c>
      <c r="L58" s="6">
        <v>14.468999999999999</v>
      </c>
      <c r="M58" s="6">
        <v>14.477399999999999</v>
      </c>
      <c r="N58" s="6">
        <v>-4.42309E-4</v>
      </c>
      <c r="O58" s="6">
        <v>-6.0677099999999996E-3</v>
      </c>
      <c r="P58" s="6">
        <v>13.712199999999999</v>
      </c>
      <c r="Q58" s="6">
        <v>13.718299999999999</v>
      </c>
      <c r="R58" s="6">
        <v>26.771000000000001</v>
      </c>
      <c r="S58" s="6">
        <v>26.771000000000001</v>
      </c>
      <c r="T58" s="6">
        <v>0.68100000000000005</v>
      </c>
      <c r="U58" s="6">
        <v>2411.96</v>
      </c>
      <c r="V58">
        <f t="shared" si="0"/>
        <v>12.995474137931035</v>
      </c>
      <c r="W58">
        <f t="shared" si="1"/>
        <v>4.5058000000000007E-4</v>
      </c>
    </row>
    <row r="59" spans="1:23" x14ac:dyDescent="0.3">
      <c r="A59" s="6">
        <v>52</v>
      </c>
      <c r="B59" s="6">
        <v>1.0770199999999999E-3</v>
      </c>
      <c r="C59" s="6">
        <v>3.9380499999999999E-2</v>
      </c>
      <c r="D59" s="6">
        <v>36.603700000000003</v>
      </c>
      <c r="E59" s="6">
        <v>36.564399999999999</v>
      </c>
      <c r="F59" s="6">
        <v>-1.12125E-4</v>
      </c>
      <c r="G59" s="6">
        <v>-1.9284599999999999E-3</v>
      </c>
      <c r="H59" s="6">
        <v>17.197299999999998</v>
      </c>
      <c r="I59" s="6">
        <v>17.199200000000001</v>
      </c>
      <c r="J59" s="6">
        <v>-5.0405299999999997E-4</v>
      </c>
      <c r="K59" s="6">
        <v>-7.2973700000000001E-3</v>
      </c>
      <c r="L59" s="6">
        <v>14.4701</v>
      </c>
      <c r="M59" s="6">
        <v>14.477399999999999</v>
      </c>
      <c r="N59" s="6">
        <v>-4.6221800000000003E-4</v>
      </c>
      <c r="O59" s="6">
        <v>-6.3408400000000004E-3</v>
      </c>
      <c r="P59" s="6">
        <v>13.7119</v>
      </c>
      <c r="Q59" s="6">
        <v>13.718299999999999</v>
      </c>
      <c r="R59" s="6">
        <v>27.768000000000001</v>
      </c>
      <c r="S59" s="6">
        <v>27.768000000000001</v>
      </c>
      <c r="T59" s="6">
        <v>0.70099999999999996</v>
      </c>
      <c r="U59" s="6">
        <v>2482.04</v>
      </c>
      <c r="V59">
        <f t="shared" si="0"/>
        <v>13.373060344827586</v>
      </c>
      <c r="W59">
        <f t="shared" si="1"/>
        <v>3.5946533333333338E-4</v>
      </c>
    </row>
    <row r="60" spans="1:23" x14ac:dyDescent="0.3">
      <c r="A60" s="6">
        <v>53</v>
      </c>
      <c r="B60" s="6">
        <v>1.0654900000000001E-3</v>
      </c>
      <c r="C60" s="6">
        <v>3.8959000000000001E-2</v>
      </c>
      <c r="D60" s="6">
        <v>36.603299999999997</v>
      </c>
      <c r="E60" s="6">
        <v>36.564399999999999</v>
      </c>
      <c r="F60" s="6">
        <v>-2.1901700000000001E-4</v>
      </c>
      <c r="G60" s="6">
        <v>-3.76692E-3</v>
      </c>
      <c r="H60" s="6">
        <v>17.195499999999999</v>
      </c>
      <c r="I60" s="6">
        <v>17.199200000000001</v>
      </c>
      <c r="J60" s="6">
        <v>-6.0579500000000001E-4</v>
      </c>
      <c r="K60" s="6">
        <v>-8.7703299999999998E-3</v>
      </c>
      <c r="L60" s="6">
        <v>14.4686</v>
      </c>
      <c r="M60" s="6">
        <v>14.477399999999999</v>
      </c>
      <c r="N60" s="6">
        <v>-4.2464599999999999E-4</v>
      </c>
      <c r="O60" s="6">
        <v>-5.8254200000000004E-3</v>
      </c>
      <c r="P60" s="6">
        <v>13.7125</v>
      </c>
      <c r="Q60" s="6">
        <v>13.718299999999999</v>
      </c>
      <c r="R60" s="6">
        <v>28.518000000000001</v>
      </c>
      <c r="S60" s="6">
        <v>28.518000000000001</v>
      </c>
      <c r="T60" s="6">
        <v>0.70840000000000003</v>
      </c>
      <c r="U60" s="6">
        <v>2508.0300000000002</v>
      </c>
      <c r="V60">
        <f t="shared" si="0"/>
        <v>13.513092672413794</v>
      </c>
      <c r="W60">
        <f t="shared" si="1"/>
        <v>4.1648600000000004E-4</v>
      </c>
    </row>
    <row r="61" spans="1:23" x14ac:dyDescent="0.3">
      <c r="A61" s="6">
        <v>54</v>
      </c>
      <c r="B61" s="6">
        <v>1.0868799999999999E-3</v>
      </c>
      <c r="C61" s="6">
        <v>3.9741100000000001E-2</v>
      </c>
      <c r="D61" s="6">
        <v>36.604100000000003</v>
      </c>
      <c r="E61" s="6">
        <v>36.564399999999999</v>
      </c>
      <c r="F61" s="6">
        <v>-1.03086E-4</v>
      </c>
      <c r="G61" s="6">
        <v>-1.77301E-3</v>
      </c>
      <c r="H61" s="6">
        <v>17.197500000000002</v>
      </c>
      <c r="I61" s="6">
        <v>17.199200000000001</v>
      </c>
      <c r="J61" s="6">
        <v>-4.24034E-4</v>
      </c>
      <c r="K61" s="6">
        <v>-6.1388900000000001E-3</v>
      </c>
      <c r="L61" s="6">
        <v>14.4712</v>
      </c>
      <c r="M61" s="6">
        <v>14.477399999999999</v>
      </c>
      <c r="N61" s="6">
        <v>-3.46134E-4</v>
      </c>
      <c r="O61" s="6">
        <v>-4.74837E-3</v>
      </c>
      <c r="P61" s="6">
        <v>13.7135</v>
      </c>
      <c r="Q61" s="6">
        <v>13.718299999999999</v>
      </c>
      <c r="R61" s="6">
        <v>29.202000000000002</v>
      </c>
      <c r="S61" s="6">
        <v>29.202000000000002</v>
      </c>
      <c r="T61" s="6">
        <v>0.71679999999999999</v>
      </c>
      <c r="U61" s="6">
        <v>2537.42</v>
      </c>
      <c r="V61">
        <f t="shared" si="0"/>
        <v>13.671443965517243</v>
      </c>
      <c r="W61">
        <f t="shared" si="1"/>
        <v>2.9108466666666663E-4</v>
      </c>
    </row>
    <row r="62" spans="1:23" x14ac:dyDescent="0.3">
      <c r="A62" s="6">
        <v>55</v>
      </c>
      <c r="B62" s="6">
        <v>1.0943000000000001E-3</v>
      </c>
      <c r="C62" s="6">
        <v>4.0012300000000001E-2</v>
      </c>
      <c r="D62" s="6">
        <v>36.604399999999998</v>
      </c>
      <c r="E62" s="6">
        <v>36.564399999999999</v>
      </c>
      <c r="F62" s="6">
        <v>-1.01431E-4</v>
      </c>
      <c r="G62" s="6">
        <v>-1.7445399999999999E-3</v>
      </c>
      <c r="H62" s="6">
        <v>17.197500000000002</v>
      </c>
      <c r="I62" s="6">
        <v>17.199200000000001</v>
      </c>
      <c r="J62" s="6">
        <v>-5.4488599999999996E-4</v>
      </c>
      <c r="K62" s="6">
        <v>-7.8885199999999996E-3</v>
      </c>
      <c r="L62" s="6">
        <v>14.4695</v>
      </c>
      <c r="M62" s="6">
        <v>14.477399999999999</v>
      </c>
      <c r="N62" s="6">
        <v>-4.7070199999999998E-4</v>
      </c>
      <c r="O62" s="6">
        <v>-6.4572199999999996E-3</v>
      </c>
      <c r="P62" s="6">
        <v>13.7118</v>
      </c>
      <c r="Q62" s="6">
        <v>13.718299999999999</v>
      </c>
      <c r="R62" s="6">
        <v>29.891999999999999</v>
      </c>
      <c r="S62" s="6">
        <v>29.891999999999999</v>
      </c>
      <c r="T62" s="6">
        <v>0.73709999999999998</v>
      </c>
      <c r="U62" s="6">
        <v>2608.63</v>
      </c>
      <c r="V62">
        <f t="shared" si="0"/>
        <v>14.05511853448276</v>
      </c>
      <c r="W62">
        <f t="shared" si="1"/>
        <v>3.7233966666666666E-4</v>
      </c>
    </row>
    <row r="63" spans="1:23" x14ac:dyDescent="0.3">
      <c r="A63" s="6">
        <v>56</v>
      </c>
      <c r="B63" s="6">
        <v>1.15463E-3</v>
      </c>
      <c r="C63" s="6">
        <v>4.2218400000000003E-2</v>
      </c>
      <c r="D63" s="6">
        <v>36.6066</v>
      </c>
      <c r="E63" s="6">
        <v>36.564399999999999</v>
      </c>
      <c r="F63" s="7">
        <v>-9.6862199999999996E-5</v>
      </c>
      <c r="G63" s="6">
        <v>-1.66596E-3</v>
      </c>
      <c r="H63" s="6">
        <v>17.197600000000001</v>
      </c>
      <c r="I63" s="6">
        <v>17.199200000000001</v>
      </c>
      <c r="J63" s="6">
        <v>-4.54835E-4</v>
      </c>
      <c r="K63" s="6">
        <v>-6.58481E-3</v>
      </c>
      <c r="L63" s="6">
        <v>14.470800000000001</v>
      </c>
      <c r="M63" s="6">
        <v>14.477399999999999</v>
      </c>
      <c r="N63" s="6">
        <v>-3.5144000000000001E-4</v>
      </c>
      <c r="O63" s="6">
        <v>-4.8211499999999997E-3</v>
      </c>
      <c r="P63" s="6">
        <v>13.7135</v>
      </c>
      <c r="Q63" s="6">
        <v>13.718299999999999</v>
      </c>
      <c r="R63" s="6">
        <v>30.513999999999999</v>
      </c>
      <c r="S63" s="6">
        <v>30.513999999999999</v>
      </c>
      <c r="T63" s="6">
        <v>0.73680000000000001</v>
      </c>
      <c r="U63" s="6">
        <v>2607.5</v>
      </c>
      <c r="V63">
        <f t="shared" si="0"/>
        <v>14.049030172413794</v>
      </c>
      <c r="W63">
        <f t="shared" si="1"/>
        <v>3.0104573333333335E-4</v>
      </c>
    </row>
    <row r="64" spans="1:23" x14ac:dyDescent="0.3">
      <c r="A64" s="6">
        <v>57</v>
      </c>
      <c r="B64" s="6">
        <v>1.2183999999999999E-3</v>
      </c>
      <c r="C64" s="6">
        <v>4.4549999999999999E-2</v>
      </c>
      <c r="D64" s="6">
        <v>36.608899999999998</v>
      </c>
      <c r="E64" s="6">
        <v>36.564399999999999</v>
      </c>
      <c r="F64" s="6">
        <v>-1.4221599999999999E-4</v>
      </c>
      <c r="G64" s="6">
        <v>-2.4460100000000002E-3</v>
      </c>
      <c r="H64" s="6">
        <v>17.1968</v>
      </c>
      <c r="I64" s="6">
        <v>17.199200000000001</v>
      </c>
      <c r="J64" s="6">
        <v>-5.3737399999999997E-4</v>
      </c>
      <c r="K64" s="6">
        <v>-7.7797700000000001E-3</v>
      </c>
      <c r="L64" s="6">
        <v>14.4696</v>
      </c>
      <c r="M64" s="6">
        <v>14.477399999999999</v>
      </c>
      <c r="N64" s="6">
        <v>-4.8003299999999999E-4</v>
      </c>
      <c r="O64" s="6">
        <v>-6.5852200000000001E-3</v>
      </c>
      <c r="P64" s="6">
        <v>13.7117</v>
      </c>
      <c r="Q64" s="6">
        <v>13.718299999999999</v>
      </c>
      <c r="R64" s="6">
        <v>31.515999999999998</v>
      </c>
      <c r="S64" s="6">
        <v>31.515999999999998</v>
      </c>
      <c r="T64" s="6">
        <v>0.76</v>
      </c>
      <c r="U64" s="6">
        <v>2688.88</v>
      </c>
      <c r="V64">
        <f t="shared" si="0"/>
        <v>14.487500000000001</v>
      </c>
      <c r="W64">
        <f t="shared" si="1"/>
        <v>3.8654100000000001E-4</v>
      </c>
    </row>
    <row r="65" spans="1:23" x14ac:dyDescent="0.3">
      <c r="A65" s="6">
        <v>58</v>
      </c>
      <c r="B65" s="6">
        <v>1.13276E-3</v>
      </c>
      <c r="C65" s="6">
        <v>4.1418499999999997E-2</v>
      </c>
      <c r="D65" s="6">
        <v>36.605800000000002</v>
      </c>
      <c r="E65" s="6">
        <v>36.564399999999999</v>
      </c>
      <c r="F65" s="6">
        <v>-2.2603599999999999E-4</v>
      </c>
      <c r="G65" s="6">
        <v>-3.8876599999999998E-3</v>
      </c>
      <c r="H65" s="6">
        <v>17.195399999999999</v>
      </c>
      <c r="I65" s="6">
        <v>17.199200000000001</v>
      </c>
      <c r="J65" s="6">
        <v>-6.7720699999999998E-4</v>
      </c>
      <c r="K65" s="6">
        <v>-9.8041900000000008E-3</v>
      </c>
      <c r="L65" s="6">
        <v>14.467599999999999</v>
      </c>
      <c r="M65" s="6">
        <v>14.477399999999999</v>
      </c>
      <c r="N65" s="6">
        <v>-5.2798400000000001E-4</v>
      </c>
      <c r="O65" s="6">
        <v>-7.2430300000000001E-3</v>
      </c>
      <c r="P65" s="6">
        <v>13.711</v>
      </c>
      <c r="Q65" s="6">
        <v>13.718299999999999</v>
      </c>
      <c r="R65" s="6">
        <v>32.387</v>
      </c>
      <c r="S65" s="6">
        <v>32.387</v>
      </c>
      <c r="T65" s="6">
        <v>0.77259999999999995</v>
      </c>
      <c r="U65" s="6">
        <v>2732.96</v>
      </c>
      <c r="V65">
        <f t="shared" si="0"/>
        <v>14.725000000000001</v>
      </c>
      <c r="W65">
        <f t="shared" si="1"/>
        <v>4.7707566666666668E-4</v>
      </c>
    </row>
    <row r="66" spans="1:23" x14ac:dyDescent="0.3">
      <c r="A66" s="6">
        <v>59</v>
      </c>
      <c r="B66" s="6">
        <v>1.1635E-3</v>
      </c>
      <c r="C66" s="6">
        <v>4.25426E-2</v>
      </c>
      <c r="D66" s="6">
        <v>36.606900000000003</v>
      </c>
      <c r="E66" s="6">
        <v>36.564399999999999</v>
      </c>
      <c r="F66" s="6">
        <v>-1.23025E-4</v>
      </c>
      <c r="G66" s="6">
        <v>-2.1159400000000002E-3</v>
      </c>
      <c r="H66" s="6">
        <v>17.197099999999999</v>
      </c>
      <c r="I66" s="6">
        <v>17.199200000000001</v>
      </c>
      <c r="J66" s="6">
        <v>-4.2245100000000001E-4</v>
      </c>
      <c r="K66" s="6">
        <v>-6.11598E-3</v>
      </c>
      <c r="L66" s="6">
        <v>14.471299999999999</v>
      </c>
      <c r="M66" s="6">
        <v>14.477399999999999</v>
      </c>
      <c r="N66" s="6">
        <v>-4.1941100000000001E-4</v>
      </c>
      <c r="O66" s="6">
        <v>-5.7535900000000003E-3</v>
      </c>
      <c r="P66" s="6">
        <v>13.7125</v>
      </c>
      <c r="Q66" s="6">
        <v>13.718299999999999</v>
      </c>
      <c r="R66" s="6">
        <v>33.137</v>
      </c>
      <c r="S66" s="6">
        <v>33.137</v>
      </c>
      <c r="T66" s="6">
        <v>0.78249999999999997</v>
      </c>
      <c r="U66" s="6">
        <v>2767.99</v>
      </c>
      <c r="V66">
        <f t="shared" si="0"/>
        <v>14.913739224137931</v>
      </c>
      <c r="W66">
        <f t="shared" si="1"/>
        <v>3.2162899999999998E-4</v>
      </c>
    </row>
    <row r="67" spans="1:23" x14ac:dyDescent="0.3">
      <c r="A67" s="6">
        <v>60</v>
      </c>
      <c r="B67" s="6">
        <v>1.24558E-3</v>
      </c>
      <c r="C67" s="6">
        <v>4.5543699999999999E-2</v>
      </c>
      <c r="D67" s="6">
        <v>36.609900000000003</v>
      </c>
      <c r="E67" s="6">
        <v>36.564399999999999</v>
      </c>
      <c r="F67" s="7">
        <v>-6.0566899999999998E-5</v>
      </c>
      <c r="G67" s="6">
        <v>-1.0417E-3</v>
      </c>
      <c r="H67" s="6">
        <v>17.1982</v>
      </c>
      <c r="I67" s="6">
        <v>17.199200000000001</v>
      </c>
      <c r="J67" s="6">
        <v>-5.4438900000000005E-4</v>
      </c>
      <c r="K67" s="6">
        <v>-7.8813300000000006E-3</v>
      </c>
      <c r="L67" s="6">
        <v>14.4695</v>
      </c>
      <c r="M67" s="6">
        <v>14.477399999999999</v>
      </c>
      <c r="N67" s="6">
        <v>-4.3940899999999998E-4</v>
      </c>
      <c r="O67" s="6">
        <v>-6.0279399999999999E-3</v>
      </c>
      <c r="P67" s="6">
        <v>13.712300000000001</v>
      </c>
      <c r="Q67" s="6">
        <v>13.718299999999999</v>
      </c>
      <c r="R67" s="6">
        <v>33.508000000000003</v>
      </c>
      <c r="S67" s="6">
        <v>33.508000000000003</v>
      </c>
      <c r="T67" s="6">
        <v>0.79120000000000001</v>
      </c>
      <c r="U67" s="6">
        <v>2798.51</v>
      </c>
      <c r="V67">
        <f t="shared" si="0"/>
        <v>15.078178879310347</v>
      </c>
      <c r="W67">
        <f t="shared" si="1"/>
        <v>3.4812163333333332E-4</v>
      </c>
    </row>
    <row r="68" spans="1:23" x14ac:dyDescent="0.3">
      <c r="A68" s="6">
        <v>61</v>
      </c>
      <c r="B68" s="6">
        <v>1.168E-3</v>
      </c>
      <c r="C68" s="6">
        <v>4.2707200000000001E-2</v>
      </c>
      <c r="D68" s="6">
        <v>36.607100000000003</v>
      </c>
      <c r="E68" s="6">
        <v>36.564399999999999</v>
      </c>
      <c r="F68" s="6">
        <v>-1.01474E-4</v>
      </c>
      <c r="G68" s="6">
        <v>-1.7452800000000001E-3</v>
      </c>
      <c r="H68" s="6">
        <v>17.197500000000002</v>
      </c>
      <c r="I68" s="6">
        <v>17.199200000000001</v>
      </c>
      <c r="J68" s="6">
        <v>-5.3807900000000001E-4</v>
      </c>
      <c r="K68" s="6">
        <v>-7.7899800000000002E-3</v>
      </c>
      <c r="L68" s="6">
        <v>14.4696</v>
      </c>
      <c r="M68" s="6">
        <v>14.477399999999999</v>
      </c>
      <c r="N68" s="6">
        <v>-4.53444E-4</v>
      </c>
      <c r="O68" s="6">
        <v>-6.2204699999999996E-3</v>
      </c>
      <c r="P68" s="6">
        <v>13.7121</v>
      </c>
      <c r="Q68" s="6">
        <v>13.718299999999999</v>
      </c>
      <c r="R68" s="6">
        <v>34.631</v>
      </c>
      <c r="S68" s="6">
        <v>34.631</v>
      </c>
      <c r="T68" s="6">
        <v>0.81059999999999999</v>
      </c>
      <c r="U68" s="6">
        <v>2866.33</v>
      </c>
      <c r="V68">
        <f t="shared" si="0"/>
        <v>15.443588362068965</v>
      </c>
      <c r="W68">
        <f t="shared" si="1"/>
        <v>3.6433233333333336E-4</v>
      </c>
    </row>
    <row r="69" spans="1:23" x14ac:dyDescent="0.3">
      <c r="A69" s="6">
        <v>62</v>
      </c>
      <c r="B69" s="6">
        <v>1.2792000000000001E-3</v>
      </c>
      <c r="C69" s="6">
        <v>4.6773099999999998E-2</v>
      </c>
      <c r="D69" s="6">
        <v>36.6111</v>
      </c>
      <c r="E69" s="6">
        <v>36.564399999999999</v>
      </c>
      <c r="F69" s="7">
        <v>-4.32371E-5</v>
      </c>
      <c r="G69" s="6">
        <v>-7.4364500000000003E-4</v>
      </c>
      <c r="H69" s="6">
        <v>17.198499999999999</v>
      </c>
      <c r="I69" s="6">
        <v>17.199200000000001</v>
      </c>
      <c r="J69" s="6">
        <v>-4.25621E-4</v>
      </c>
      <c r="K69" s="6">
        <v>-6.1618699999999998E-3</v>
      </c>
      <c r="L69" s="6">
        <v>14.4712</v>
      </c>
      <c r="M69" s="6">
        <v>14.477399999999999</v>
      </c>
      <c r="N69" s="6">
        <v>-3.3420900000000003E-4</v>
      </c>
      <c r="O69" s="6">
        <v>-4.5847800000000001E-3</v>
      </c>
      <c r="P69" s="6">
        <v>13.713699999999999</v>
      </c>
      <c r="Q69" s="6">
        <v>13.718299999999999</v>
      </c>
      <c r="R69" s="6">
        <v>35.067999999999998</v>
      </c>
      <c r="S69" s="6">
        <v>35.067999999999998</v>
      </c>
      <c r="T69" s="6">
        <v>0.81730000000000003</v>
      </c>
      <c r="U69" s="6">
        <v>2890.06</v>
      </c>
      <c r="V69">
        <f t="shared" si="0"/>
        <v>15.571443965517242</v>
      </c>
      <c r="W69">
        <f t="shared" si="1"/>
        <v>2.6768903333333332E-4</v>
      </c>
    </row>
    <row r="70" spans="1:23" x14ac:dyDescent="0.3">
      <c r="A70" s="6">
        <v>63</v>
      </c>
      <c r="B70" s="6">
        <v>1.2922400000000001E-3</v>
      </c>
      <c r="C70" s="6">
        <v>4.7250100000000003E-2</v>
      </c>
      <c r="D70" s="6">
        <v>36.611600000000003</v>
      </c>
      <c r="E70" s="6">
        <v>36.564399999999999</v>
      </c>
      <c r="F70" s="6">
        <v>-1.40125E-4</v>
      </c>
      <c r="G70" s="6">
        <v>-2.41004E-3</v>
      </c>
      <c r="H70" s="6">
        <v>17.1968</v>
      </c>
      <c r="I70" s="6">
        <v>17.199200000000001</v>
      </c>
      <c r="J70" s="6">
        <v>-5.3322899999999997E-4</v>
      </c>
      <c r="K70" s="6">
        <v>-7.71976E-3</v>
      </c>
      <c r="L70" s="6">
        <v>14.4697</v>
      </c>
      <c r="M70" s="6">
        <v>14.477399999999999</v>
      </c>
      <c r="N70" s="6">
        <v>-4.0091200000000001E-4</v>
      </c>
      <c r="O70" s="6">
        <v>-5.4998299999999998E-3</v>
      </c>
      <c r="P70" s="6">
        <v>13.7128</v>
      </c>
      <c r="Q70" s="6">
        <v>13.718299999999999</v>
      </c>
      <c r="R70" s="6">
        <v>35.942999999999998</v>
      </c>
      <c r="S70" s="6">
        <v>35.942999999999998</v>
      </c>
      <c r="T70" s="6">
        <v>0.83220000000000005</v>
      </c>
      <c r="U70" s="6">
        <v>2942.05</v>
      </c>
      <c r="V70">
        <f t="shared" si="0"/>
        <v>15.851562500000002</v>
      </c>
      <c r="W70">
        <f t="shared" si="1"/>
        <v>3.5808866666666665E-4</v>
      </c>
    </row>
    <row r="71" spans="1:23" x14ac:dyDescent="0.3">
      <c r="A71" s="6">
        <v>64</v>
      </c>
      <c r="B71" s="6">
        <v>1.26768E-3</v>
      </c>
      <c r="C71" s="6">
        <v>4.6351900000000001E-2</v>
      </c>
      <c r="D71" s="6">
        <v>36.610700000000001</v>
      </c>
      <c r="E71" s="6">
        <v>36.564399999999999</v>
      </c>
      <c r="F71" s="6">
        <v>-1.12212E-4</v>
      </c>
      <c r="G71" s="6">
        <v>-1.92997E-3</v>
      </c>
      <c r="H71" s="6">
        <v>17.197299999999998</v>
      </c>
      <c r="I71" s="6">
        <v>17.199200000000001</v>
      </c>
      <c r="J71" s="6">
        <v>-6.00368E-4</v>
      </c>
      <c r="K71" s="6">
        <v>-8.6917599999999998E-3</v>
      </c>
      <c r="L71" s="6">
        <v>14.4687</v>
      </c>
      <c r="M71" s="6">
        <v>14.477399999999999</v>
      </c>
      <c r="N71" s="6">
        <v>-5.03463E-4</v>
      </c>
      <c r="O71" s="6">
        <v>-6.9066400000000003E-3</v>
      </c>
      <c r="P71" s="6">
        <v>13.711399999999999</v>
      </c>
      <c r="Q71" s="6">
        <v>13.718299999999999</v>
      </c>
      <c r="R71" s="6">
        <v>36.503999999999998</v>
      </c>
      <c r="S71" s="6">
        <v>36.503999999999998</v>
      </c>
      <c r="T71" s="6">
        <v>0.84350000000000003</v>
      </c>
      <c r="U71" s="6">
        <v>2981.61</v>
      </c>
      <c r="V71">
        <f t="shared" si="0"/>
        <v>16.06470905172414</v>
      </c>
      <c r="W71">
        <f t="shared" si="1"/>
        <v>4.0534766666666666E-4</v>
      </c>
    </row>
    <row r="72" spans="1:23" x14ac:dyDescent="0.3">
      <c r="A72" s="6">
        <v>65</v>
      </c>
      <c r="B72" s="6">
        <v>1.3257E-3</v>
      </c>
      <c r="C72" s="6">
        <v>4.8473500000000003E-2</v>
      </c>
      <c r="D72" s="6">
        <v>36.6128</v>
      </c>
      <c r="E72" s="6">
        <v>36.564399999999999</v>
      </c>
      <c r="F72" s="6">
        <v>-1.8315700000000001E-4</v>
      </c>
      <c r="G72" s="6">
        <v>-3.1501699999999999E-3</v>
      </c>
      <c r="H72" s="6">
        <v>17.196100000000001</v>
      </c>
      <c r="I72" s="6">
        <v>17.199200000000001</v>
      </c>
      <c r="J72" s="6">
        <v>-6.3962600000000002E-4</v>
      </c>
      <c r="K72" s="6">
        <v>-9.2601000000000003E-3</v>
      </c>
      <c r="L72" s="6">
        <v>14.4681</v>
      </c>
      <c r="M72" s="6">
        <v>14.477399999999999</v>
      </c>
      <c r="N72" s="6">
        <v>-5.0355699999999996E-4</v>
      </c>
      <c r="O72" s="6">
        <v>-6.9079299999999996E-3</v>
      </c>
      <c r="P72" s="6">
        <v>13.711399999999999</v>
      </c>
      <c r="Q72" s="6">
        <v>13.718299999999999</v>
      </c>
      <c r="R72" s="6">
        <v>37.688000000000002</v>
      </c>
      <c r="S72" s="6">
        <v>37.688000000000002</v>
      </c>
      <c r="T72" s="6">
        <v>0.8589</v>
      </c>
      <c r="U72" s="6">
        <v>3035.87</v>
      </c>
      <c r="V72">
        <f t="shared" ref="V72:V135" si="2">U72/A$2/B$2</f>
        <v>16.357058189655174</v>
      </c>
      <c r="W72">
        <f t="shared" ref="W72:W135" si="3">-AVERAGE(F72,J72,N72)</f>
        <v>4.4211333333333338E-4</v>
      </c>
    </row>
    <row r="73" spans="1:23" x14ac:dyDescent="0.3">
      <c r="A73" s="6">
        <v>66</v>
      </c>
      <c r="B73" s="6">
        <v>1.36692E-3</v>
      </c>
      <c r="C73" s="6">
        <v>4.9980400000000001E-2</v>
      </c>
      <c r="D73" s="6">
        <v>36.6143</v>
      </c>
      <c r="E73" s="6">
        <v>36.564399999999999</v>
      </c>
      <c r="F73" s="6">
        <v>-1.18449E-4</v>
      </c>
      <c r="G73" s="6">
        <v>-2.0372300000000001E-3</v>
      </c>
      <c r="H73" s="6">
        <v>17.197199999999999</v>
      </c>
      <c r="I73" s="6">
        <v>17.199200000000001</v>
      </c>
      <c r="J73" s="6">
        <v>-5.8440800000000002E-4</v>
      </c>
      <c r="K73" s="6">
        <v>-8.4606999999999998E-3</v>
      </c>
      <c r="L73" s="6">
        <v>14.4689</v>
      </c>
      <c r="M73" s="6">
        <v>14.477399999999999</v>
      </c>
      <c r="N73" s="6">
        <v>-4.1512599999999998E-4</v>
      </c>
      <c r="O73" s="6">
        <v>-5.6948099999999998E-3</v>
      </c>
      <c r="P73" s="6">
        <v>13.7126</v>
      </c>
      <c r="Q73" s="6">
        <v>13.718299999999999</v>
      </c>
      <c r="R73" s="6">
        <v>38.064999999999998</v>
      </c>
      <c r="S73" s="6">
        <v>38.064999999999998</v>
      </c>
      <c r="T73" s="6">
        <v>0.86599999999999999</v>
      </c>
      <c r="U73" s="6">
        <v>3060.73</v>
      </c>
      <c r="V73">
        <f t="shared" si="2"/>
        <v>16.491002155172414</v>
      </c>
      <c r="W73">
        <f t="shared" si="3"/>
        <v>3.7266099999999999E-4</v>
      </c>
    </row>
    <row r="74" spans="1:23" x14ac:dyDescent="0.3">
      <c r="A74" s="6">
        <v>67</v>
      </c>
      <c r="B74" s="6">
        <v>1.3127200000000001E-3</v>
      </c>
      <c r="C74" s="6">
        <v>4.7998600000000002E-2</v>
      </c>
      <c r="D74" s="6">
        <v>36.612400000000001</v>
      </c>
      <c r="E74" s="6">
        <v>36.564399999999999</v>
      </c>
      <c r="F74" s="6">
        <v>-2.06135E-4</v>
      </c>
      <c r="G74" s="6">
        <v>-3.5453699999999999E-3</v>
      </c>
      <c r="H74" s="6">
        <v>17.195699999999999</v>
      </c>
      <c r="I74" s="6">
        <v>17.199200000000001</v>
      </c>
      <c r="J74" s="6">
        <v>-6.1599500000000004E-4</v>
      </c>
      <c r="K74" s="6">
        <v>-8.9180000000000006E-3</v>
      </c>
      <c r="L74" s="6">
        <v>14.468500000000001</v>
      </c>
      <c r="M74" s="6">
        <v>14.477399999999999</v>
      </c>
      <c r="N74" s="6">
        <v>-4.92528E-4</v>
      </c>
      <c r="O74" s="6">
        <v>-6.7566400000000004E-3</v>
      </c>
      <c r="P74" s="6">
        <v>13.711499999999999</v>
      </c>
      <c r="Q74" s="6">
        <v>13.718299999999999</v>
      </c>
      <c r="R74" s="6">
        <v>38.938000000000002</v>
      </c>
      <c r="S74" s="6">
        <v>38.938000000000002</v>
      </c>
      <c r="T74" s="6">
        <v>0.88890000000000002</v>
      </c>
      <c r="U74" s="6">
        <v>3140.98</v>
      </c>
      <c r="V74">
        <f t="shared" si="2"/>
        <v>16.923383620689656</v>
      </c>
      <c r="W74">
        <f t="shared" si="3"/>
        <v>4.3821933333333332E-4</v>
      </c>
    </row>
    <row r="75" spans="1:23" x14ac:dyDescent="0.3">
      <c r="A75" s="6">
        <v>68</v>
      </c>
      <c r="B75" s="6">
        <v>1.3315099999999999E-3</v>
      </c>
      <c r="C75" s="6">
        <v>4.8686E-2</v>
      </c>
      <c r="D75" s="6">
        <v>36.613</v>
      </c>
      <c r="E75" s="6">
        <v>36.564399999999999</v>
      </c>
      <c r="F75" s="7">
        <v>-5.1879999999999998E-5</v>
      </c>
      <c r="G75" s="6">
        <v>-8.9229700000000001E-4</v>
      </c>
      <c r="H75" s="6">
        <v>17.1983</v>
      </c>
      <c r="I75" s="6">
        <v>17.199200000000001</v>
      </c>
      <c r="J75" s="6">
        <v>-4.9004699999999997E-4</v>
      </c>
      <c r="K75" s="6">
        <v>-7.0946000000000004E-3</v>
      </c>
      <c r="L75" s="6">
        <v>14.4703</v>
      </c>
      <c r="M75" s="6">
        <v>14.477399999999999</v>
      </c>
      <c r="N75" s="6">
        <v>-5.2941299999999995E-4</v>
      </c>
      <c r="O75" s="6">
        <v>-7.2626399999999999E-3</v>
      </c>
      <c r="P75" s="6">
        <v>13.711</v>
      </c>
      <c r="Q75" s="6">
        <v>13.718299999999999</v>
      </c>
      <c r="R75" s="6">
        <v>40.058999999999997</v>
      </c>
      <c r="S75" s="6">
        <v>40.058999999999997</v>
      </c>
      <c r="T75" s="6">
        <v>0.90920000000000001</v>
      </c>
      <c r="U75" s="6">
        <v>3212.19</v>
      </c>
      <c r="V75">
        <f t="shared" si="2"/>
        <v>17.307058189655173</v>
      </c>
      <c r="W75">
        <f t="shared" si="3"/>
        <v>3.5711333333333337E-4</v>
      </c>
    </row>
    <row r="76" spans="1:23" x14ac:dyDescent="0.3">
      <c r="A76" s="6">
        <v>69</v>
      </c>
      <c r="B76" s="6">
        <v>1.38613E-3</v>
      </c>
      <c r="C76" s="6">
        <v>5.0682900000000003E-2</v>
      </c>
      <c r="D76" s="6">
        <v>36.615000000000002</v>
      </c>
      <c r="E76" s="6">
        <v>36.564399999999999</v>
      </c>
      <c r="F76" s="6">
        <v>-2.6383599999999999E-4</v>
      </c>
      <c r="G76" s="6">
        <v>-4.5377799999999999E-3</v>
      </c>
      <c r="H76" s="6">
        <v>17.194700000000001</v>
      </c>
      <c r="I76" s="6">
        <v>17.199200000000001</v>
      </c>
      <c r="J76" s="6">
        <v>-6.2568599999999997E-4</v>
      </c>
      <c r="K76" s="6">
        <v>-9.0582900000000001E-3</v>
      </c>
      <c r="L76" s="6">
        <v>14.468299999999999</v>
      </c>
      <c r="M76" s="6">
        <v>14.477399999999999</v>
      </c>
      <c r="N76" s="6">
        <v>-4.9010600000000003E-4</v>
      </c>
      <c r="O76" s="6">
        <v>-6.7234199999999999E-3</v>
      </c>
      <c r="P76" s="6">
        <v>13.711600000000001</v>
      </c>
      <c r="Q76" s="6">
        <v>13.718299999999999</v>
      </c>
      <c r="R76" s="6">
        <v>40.56</v>
      </c>
      <c r="S76" s="6">
        <v>40.56</v>
      </c>
      <c r="T76" s="6">
        <v>0.90859999999999996</v>
      </c>
      <c r="U76" s="6">
        <v>3209.93</v>
      </c>
      <c r="V76">
        <f t="shared" si="2"/>
        <v>17.294881465517243</v>
      </c>
      <c r="W76">
        <f t="shared" si="3"/>
        <v>4.5987599999999996E-4</v>
      </c>
    </row>
    <row r="77" spans="1:23" x14ac:dyDescent="0.3">
      <c r="A77" s="6">
        <v>70</v>
      </c>
      <c r="B77" s="6">
        <v>1.3244699999999999E-3</v>
      </c>
      <c r="C77" s="6">
        <v>4.8428300000000001E-2</v>
      </c>
      <c r="D77" s="6">
        <v>36.6128</v>
      </c>
      <c r="E77" s="6">
        <v>36.564399999999999</v>
      </c>
      <c r="F77" s="6">
        <v>-2.92176E-4</v>
      </c>
      <c r="G77" s="6">
        <v>-5.0252099999999996E-3</v>
      </c>
      <c r="H77" s="6">
        <v>17.194199999999999</v>
      </c>
      <c r="I77" s="6">
        <v>17.199200000000001</v>
      </c>
      <c r="J77" s="6">
        <v>-8.0426E-4</v>
      </c>
      <c r="K77" s="6">
        <v>-1.16436E-2</v>
      </c>
      <c r="L77" s="6">
        <v>14.4657</v>
      </c>
      <c r="M77" s="6">
        <v>14.477399999999999</v>
      </c>
      <c r="N77" s="6">
        <v>-6.9238500000000001E-4</v>
      </c>
      <c r="O77" s="6">
        <v>-9.4983299999999993E-3</v>
      </c>
      <c r="P77" s="6">
        <v>13.7088</v>
      </c>
      <c r="Q77" s="6">
        <v>13.718299999999999</v>
      </c>
      <c r="R77" s="6">
        <v>41.37</v>
      </c>
      <c r="S77" s="6">
        <v>41.371000000000002</v>
      </c>
      <c r="T77" s="6">
        <v>0.93240000000000001</v>
      </c>
      <c r="U77" s="6">
        <v>3293.57</v>
      </c>
      <c r="V77">
        <f t="shared" si="2"/>
        <v>17.74552801724138</v>
      </c>
      <c r="W77">
        <f t="shared" si="3"/>
        <v>5.9627366666666667E-4</v>
      </c>
    </row>
    <row r="78" spans="1:23" x14ac:dyDescent="0.3">
      <c r="A78" s="6">
        <v>71</v>
      </c>
      <c r="B78" s="6">
        <v>1.43202E-3</v>
      </c>
      <c r="C78" s="6">
        <v>5.2360799999999999E-2</v>
      </c>
      <c r="D78" s="6">
        <v>36.616700000000002</v>
      </c>
      <c r="E78" s="6">
        <v>36.564399999999999</v>
      </c>
      <c r="F78" s="6">
        <v>-1.56217E-4</v>
      </c>
      <c r="G78" s="6">
        <v>-2.6868199999999999E-3</v>
      </c>
      <c r="H78" s="6">
        <v>17.1966</v>
      </c>
      <c r="I78" s="6">
        <v>17.199200000000001</v>
      </c>
      <c r="J78" s="6">
        <v>-6.2377500000000002E-4</v>
      </c>
      <c r="K78" s="6">
        <v>-9.0306299999999996E-3</v>
      </c>
      <c r="L78" s="6">
        <v>14.468299999999999</v>
      </c>
      <c r="M78" s="6">
        <v>14.477399999999999</v>
      </c>
      <c r="N78" s="6">
        <v>-4.6296599999999999E-4</v>
      </c>
      <c r="O78" s="6">
        <v>-6.3510900000000002E-3</v>
      </c>
      <c r="P78" s="6">
        <v>13.7119</v>
      </c>
      <c r="Q78" s="6">
        <v>13.718299999999999</v>
      </c>
      <c r="R78" s="6">
        <v>42.243000000000002</v>
      </c>
      <c r="S78" s="6">
        <v>42.243000000000002</v>
      </c>
      <c r="T78" s="6">
        <v>0.9405</v>
      </c>
      <c r="U78" s="6">
        <v>3321.82</v>
      </c>
      <c r="V78">
        <f t="shared" si="2"/>
        <v>17.897737068965519</v>
      </c>
      <c r="W78">
        <f t="shared" si="3"/>
        <v>4.1431933333333334E-4</v>
      </c>
    </row>
    <row r="79" spans="1:23" x14ac:dyDescent="0.3">
      <c r="A79" s="6">
        <v>72</v>
      </c>
      <c r="B79" s="6">
        <v>1.5512E-3</v>
      </c>
      <c r="C79" s="6">
        <v>5.6718499999999998E-2</v>
      </c>
      <c r="D79" s="6">
        <v>36.621099999999998</v>
      </c>
      <c r="E79" s="6">
        <v>36.564399999999999</v>
      </c>
      <c r="F79" s="6">
        <v>-1.87768E-4</v>
      </c>
      <c r="G79" s="6">
        <v>-3.2294699999999999E-3</v>
      </c>
      <c r="H79" s="6">
        <v>17.196000000000002</v>
      </c>
      <c r="I79" s="6">
        <v>17.199200000000001</v>
      </c>
      <c r="J79" s="6">
        <v>-6.3390600000000005E-4</v>
      </c>
      <c r="K79" s="6">
        <v>-9.1772999999999993E-3</v>
      </c>
      <c r="L79" s="6">
        <v>14.4682</v>
      </c>
      <c r="M79" s="6">
        <v>14.477399999999999</v>
      </c>
      <c r="N79" s="6">
        <v>-5.1681700000000004E-4</v>
      </c>
      <c r="O79" s="6">
        <v>-7.08985E-3</v>
      </c>
      <c r="P79" s="6">
        <v>13.7112</v>
      </c>
      <c r="Q79" s="6">
        <v>13.718299999999999</v>
      </c>
      <c r="R79" s="6">
        <v>42.805999999999997</v>
      </c>
      <c r="S79" s="6">
        <v>42.805999999999997</v>
      </c>
      <c r="T79" s="6">
        <v>0.94299999999999995</v>
      </c>
      <c r="U79" s="6">
        <v>3330.86</v>
      </c>
      <c r="V79">
        <f t="shared" si="2"/>
        <v>17.946443965517243</v>
      </c>
      <c r="W79">
        <f t="shared" si="3"/>
        <v>4.4616366666666677E-4</v>
      </c>
    </row>
    <row r="80" spans="1:23" x14ac:dyDescent="0.3">
      <c r="A80" s="6">
        <v>73</v>
      </c>
      <c r="B80" s="6">
        <v>1.48565E-3</v>
      </c>
      <c r="C80" s="6">
        <v>5.4321899999999999E-2</v>
      </c>
      <c r="D80" s="6">
        <v>36.618699999999997</v>
      </c>
      <c r="E80" s="6">
        <v>36.564399999999999</v>
      </c>
      <c r="F80" s="6">
        <v>-1.42087E-4</v>
      </c>
      <c r="G80" s="6">
        <v>-2.44378E-3</v>
      </c>
      <c r="H80" s="6">
        <v>17.1968</v>
      </c>
      <c r="I80" s="6">
        <v>17.199200000000001</v>
      </c>
      <c r="J80" s="6">
        <v>-6.6093900000000004E-4</v>
      </c>
      <c r="K80" s="6">
        <v>-9.5686699999999996E-3</v>
      </c>
      <c r="L80" s="6">
        <v>14.4678</v>
      </c>
      <c r="M80" s="6">
        <v>14.477399999999999</v>
      </c>
      <c r="N80" s="6">
        <v>-5.3729199999999998E-4</v>
      </c>
      <c r="O80" s="6">
        <v>-7.3707199999999999E-3</v>
      </c>
      <c r="P80" s="6">
        <v>13.710900000000001</v>
      </c>
      <c r="Q80" s="6">
        <v>13.718299999999999</v>
      </c>
      <c r="R80" s="6">
        <v>43.741</v>
      </c>
      <c r="S80" s="6">
        <v>43.741999999999997</v>
      </c>
      <c r="T80" s="6">
        <v>0.96399999999999997</v>
      </c>
      <c r="U80" s="6">
        <v>3404.33</v>
      </c>
      <c r="V80">
        <f t="shared" si="2"/>
        <v>18.342295258620691</v>
      </c>
      <c r="W80">
        <f t="shared" si="3"/>
        <v>4.4677266666666671E-4</v>
      </c>
    </row>
    <row r="81" spans="1:23" x14ac:dyDescent="0.3">
      <c r="A81" s="6">
        <v>74</v>
      </c>
      <c r="B81" s="6">
        <v>1.5038E-3</v>
      </c>
      <c r="C81" s="6">
        <v>5.4985600000000003E-2</v>
      </c>
      <c r="D81" s="6">
        <v>36.619300000000003</v>
      </c>
      <c r="E81" s="6">
        <v>36.564399999999999</v>
      </c>
      <c r="F81" s="6">
        <v>-2.0366399999999999E-4</v>
      </c>
      <c r="G81" s="6">
        <v>-3.5028699999999999E-3</v>
      </c>
      <c r="H81" s="6">
        <v>17.195699999999999</v>
      </c>
      <c r="I81" s="6">
        <v>17.199200000000001</v>
      </c>
      <c r="J81" s="6">
        <v>-6.5238899999999996E-4</v>
      </c>
      <c r="K81" s="6">
        <v>-9.4448899999999992E-3</v>
      </c>
      <c r="L81" s="6">
        <v>14.4679</v>
      </c>
      <c r="M81" s="6">
        <v>14.477399999999999</v>
      </c>
      <c r="N81" s="6">
        <v>-5.3862300000000001E-4</v>
      </c>
      <c r="O81" s="6">
        <v>-7.3889799999999999E-3</v>
      </c>
      <c r="P81" s="6">
        <v>13.710900000000001</v>
      </c>
      <c r="Q81" s="6">
        <v>13.718299999999999</v>
      </c>
      <c r="R81" s="6">
        <v>44.052999999999997</v>
      </c>
      <c r="S81" s="6">
        <v>44.052999999999997</v>
      </c>
      <c r="T81" s="6">
        <v>0.96530000000000005</v>
      </c>
      <c r="U81" s="6">
        <v>3408.85</v>
      </c>
      <c r="V81">
        <f t="shared" si="2"/>
        <v>18.366648706896552</v>
      </c>
      <c r="W81">
        <f t="shared" si="3"/>
        <v>4.6489200000000001E-4</v>
      </c>
    </row>
    <row r="82" spans="1:23" x14ac:dyDescent="0.3">
      <c r="A82" s="6">
        <v>75</v>
      </c>
      <c r="B82" s="6">
        <v>1.4103099999999999E-3</v>
      </c>
      <c r="C82" s="6">
        <v>5.1567099999999998E-2</v>
      </c>
      <c r="D82" s="6">
        <v>36.615900000000003</v>
      </c>
      <c r="E82" s="6">
        <v>36.564399999999999</v>
      </c>
      <c r="F82" s="6">
        <v>-2.07574E-4</v>
      </c>
      <c r="G82" s="6">
        <v>-3.57012E-3</v>
      </c>
      <c r="H82" s="6">
        <v>17.195699999999999</v>
      </c>
      <c r="I82" s="6">
        <v>17.199200000000001</v>
      </c>
      <c r="J82" s="6">
        <v>-7.6657699999999995E-4</v>
      </c>
      <c r="K82" s="6">
        <v>-1.1098E-2</v>
      </c>
      <c r="L82" s="6">
        <v>14.4663</v>
      </c>
      <c r="M82" s="6">
        <v>14.477399999999999</v>
      </c>
      <c r="N82" s="6">
        <v>-6.4806E-4</v>
      </c>
      <c r="O82" s="6">
        <v>-8.8902700000000005E-3</v>
      </c>
      <c r="P82" s="6">
        <v>13.7094</v>
      </c>
      <c r="Q82" s="6">
        <v>13.718299999999999</v>
      </c>
      <c r="R82" s="6">
        <v>45.116</v>
      </c>
      <c r="S82" s="6">
        <v>45.116</v>
      </c>
      <c r="T82" s="6">
        <v>0.98880000000000001</v>
      </c>
      <c r="U82" s="6">
        <v>3491.36</v>
      </c>
      <c r="V82">
        <f t="shared" si="2"/>
        <v>18.811206896551724</v>
      </c>
      <c r="W82">
        <f t="shared" si="3"/>
        <v>5.4073700000000001E-4</v>
      </c>
    </row>
    <row r="83" spans="1:23" x14ac:dyDescent="0.3">
      <c r="A83" s="6">
        <v>76</v>
      </c>
      <c r="B83" s="6">
        <v>1.49825E-3</v>
      </c>
      <c r="C83" s="6">
        <v>5.4782699999999997E-2</v>
      </c>
      <c r="D83" s="6">
        <v>36.619100000000003</v>
      </c>
      <c r="E83" s="6">
        <v>36.564399999999999</v>
      </c>
      <c r="F83" s="6">
        <v>-1.24113E-4</v>
      </c>
      <c r="G83" s="6">
        <v>-2.1346400000000001E-3</v>
      </c>
      <c r="H83" s="6">
        <v>17.197099999999999</v>
      </c>
      <c r="I83" s="6">
        <v>17.199200000000001</v>
      </c>
      <c r="J83" s="6">
        <v>-6.7151899999999998E-4</v>
      </c>
      <c r="K83" s="6">
        <v>-9.7218300000000007E-3</v>
      </c>
      <c r="L83" s="6">
        <v>14.467700000000001</v>
      </c>
      <c r="M83" s="6">
        <v>14.477399999999999</v>
      </c>
      <c r="N83" s="6">
        <v>-5.7770399999999996E-4</v>
      </c>
      <c r="O83" s="6">
        <v>-7.9250999999999992E-3</v>
      </c>
      <c r="P83" s="6">
        <v>13.7104</v>
      </c>
      <c r="Q83" s="6">
        <v>13.718299999999999</v>
      </c>
      <c r="R83" s="6">
        <v>46.048999999999999</v>
      </c>
      <c r="S83" s="6">
        <v>46.05</v>
      </c>
      <c r="T83" s="6">
        <v>1.0043</v>
      </c>
      <c r="U83" s="6">
        <v>3545.61</v>
      </c>
      <c r="V83">
        <f t="shared" si="2"/>
        <v>19.103502155172414</v>
      </c>
      <c r="W83">
        <f t="shared" si="3"/>
        <v>4.5777866666666663E-4</v>
      </c>
    </row>
    <row r="84" spans="1:23" x14ac:dyDescent="0.3">
      <c r="A84" s="6">
        <v>77</v>
      </c>
      <c r="B84" s="6">
        <v>1.4594300000000001E-3</v>
      </c>
      <c r="C84" s="6">
        <v>5.3363000000000001E-2</v>
      </c>
      <c r="D84" s="6">
        <v>36.617699999999999</v>
      </c>
      <c r="E84" s="6">
        <v>36.564399999999999</v>
      </c>
      <c r="F84" s="6">
        <v>-1.7960900000000001E-4</v>
      </c>
      <c r="G84" s="6">
        <v>-3.0891400000000002E-3</v>
      </c>
      <c r="H84" s="6">
        <v>17.196200000000001</v>
      </c>
      <c r="I84" s="6">
        <v>17.199200000000001</v>
      </c>
      <c r="J84" s="6">
        <v>-7.3724100000000002E-4</v>
      </c>
      <c r="K84" s="6">
        <v>-1.06733E-2</v>
      </c>
      <c r="L84" s="6">
        <v>14.466699999999999</v>
      </c>
      <c r="M84" s="6">
        <v>14.477399999999999</v>
      </c>
      <c r="N84" s="6">
        <v>-7.2829299999999997E-4</v>
      </c>
      <c r="O84" s="6">
        <v>-9.9909200000000004E-3</v>
      </c>
      <c r="P84" s="6">
        <v>13.708299999999999</v>
      </c>
      <c r="Q84" s="6">
        <v>13.718299999999999</v>
      </c>
      <c r="R84" s="6">
        <v>46.610999999999997</v>
      </c>
      <c r="S84" s="6">
        <v>46.612000000000002</v>
      </c>
      <c r="T84" s="6">
        <v>1.0143</v>
      </c>
      <c r="U84" s="6">
        <v>3580.65</v>
      </c>
      <c r="V84">
        <f t="shared" si="2"/>
        <v>19.29229525862069</v>
      </c>
      <c r="W84">
        <f t="shared" si="3"/>
        <v>5.4838100000000002E-4</v>
      </c>
    </row>
    <row r="85" spans="1:23" x14ac:dyDescent="0.3">
      <c r="A85" s="6">
        <v>78</v>
      </c>
      <c r="B85" s="6">
        <v>1.5429199999999999E-3</v>
      </c>
      <c r="C85" s="6">
        <v>5.6415699999999999E-2</v>
      </c>
      <c r="D85" s="6">
        <v>36.620800000000003</v>
      </c>
      <c r="E85" s="6">
        <v>36.564399999999999</v>
      </c>
      <c r="F85" s="6">
        <v>-1.7949799999999999E-4</v>
      </c>
      <c r="G85" s="6">
        <v>-3.0872400000000002E-3</v>
      </c>
      <c r="H85" s="6">
        <v>17.196200000000001</v>
      </c>
      <c r="I85" s="6">
        <v>17.199200000000001</v>
      </c>
      <c r="J85" s="6">
        <v>-7.00613E-4</v>
      </c>
      <c r="K85" s="6">
        <v>-1.0142999999999999E-2</v>
      </c>
      <c r="L85" s="6">
        <v>14.4672</v>
      </c>
      <c r="M85" s="6">
        <v>14.477399999999999</v>
      </c>
      <c r="N85" s="6">
        <v>-5.0468799999999999E-4</v>
      </c>
      <c r="O85" s="6">
        <v>-6.9234500000000003E-3</v>
      </c>
      <c r="P85" s="6">
        <v>13.711399999999999</v>
      </c>
      <c r="Q85" s="6">
        <v>13.718299999999999</v>
      </c>
      <c r="R85" s="6">
        <v>47.11</v>
      </c>
      <c r="S85" s="6">
        <v>47.11</v>
      </c>
      <c r="T85" s="6">
        <v>1.0233000000000001</v>
      </c>
      <c r="U85" s="6">
        <v>3612.3</v>
      </c>
      <c r="V85">
        <f t="shared" si="2"/>
        <v>19.462823275862071</v>
      </c>
      <c r="W85">
        <f t="shared" si="3"/>
        <v>4.6159966666666662E-4</v>
      </c>
    </row>
    <row r="86" spans="1:23" x14ac:dyDescent="0.3">
      <c r="A86" s="6">
        <v>79</v>
      </c>
      <c r="B86" s="6">
        <v>1.48573E-3</v>
      </c>
      <c r="C86" s="6">
        <v>5.4324900000000002E-2</v>
      </c>
      <c r="D86" s="6">
        <v>36.618699999999997</v>
      </c>
      <c r="E86" s="6">
        <v>36.564399999999999</v>
      </c>
      <c r="F86" s="6">
        <v>-1.21414E-4</v>
      </c>
      <c r="G86" s="6">
        <v>-2.0882399999999999E-3</v>
      </c>
      <c r="H86" s="6">
        <v>17.197199999999999</v>
      </c>
      <c r="I86" s="6">
        <v>17.199200000000001</v>
      </c>
      <c r="J86" s="6">
        <v>-6.9964099999999998E-4</v>
      </c>
      <c r="K86" s="6">
        <v>-1.0129000000000001E-2</v>
      </c>
      <c r="L86" s="6">
        <v>14.4672</v>
      </c>
      <c r="M86" s="6">
        <v>14.477399999999999</v>
      </c>
      <c r="N86" s="6">
        <v>-6.4810699999999998E-4</v>
      </c>
      <c r="O86" s="6">
        <v>-8.8909100000000001E-3</v>
      </c>
      <c r="P86" s="6">
        <v>13.7094</v>
      </c>
      <c r="Q86" s="6">
        <v>13.718299999999999</v>
      </c>
      <c r="R86" s="6">
        <v>47.671999999999997</v>
      </c>
      <c r="S86" s="6">
        <v>47.673000000000002</v>
      </c>
      <c r="T86" s="6">
        <v>1.0381</v>
      </c>
      <c r="U86" s="6">
        <v>3664.29</v>
      </c>
      <c r="V86">
        <f t="shared" si="2"/>
        <v>19.742941810344828</v>
      </c>
      <c r="W86">
        <f t="shared" si="3"/>
        <v>4.8972066666666666E-4</v>
      </c>
    </row>
    <row r="87" spans="1:23" x14ac:dyDescent="0.3">
      <c r="A87" s="6">
        <v>80</v>
      </c>
      <c r="B87" s="6">
        <v>1.49238E-3</v>
      </c>
      <c r="C87" s="6">
        <v>5.4567999999999998E-2</v>
      </c>
      <c r="D87" s="6">
        <v>36.618899999999996</v>
      </c>
      <c r="E87" s="6">
        <v>36.564399999999999</v>
      </c>
      <c r="F87" s="6">
        <v>-1.7679300000000001E-4</v>
      </c>
      <c r="G87" s="6">
        <v>-3.0406999999999999E-3</v>
      </c>
      <c r="H87" s="6">
        <v>17.196200000000001</v>
      </c>
      <c r="I87" s="6">
        <v>17.199200000000001</v>
      </c>
      <c r="J87" s="6">
        <v>-7.04676E-4</v>
      </c>
      <c r="K87" s="6">
        <v>-1.02019E-2</v>
      </c>
      <c r="L87" s="6">
        <v>14.4672</v>
      </c>
      <c r="M87" s="6">
        <v>14.477399999999999</v>
      </c>
      <c r="N87" s="6">
        <v>-6.1123999999999998E-4</v>
      </c>
      <c r="O87" s="6">
        <v>-8.3851599999999991E-3</v>
      </c>
      <c r="P87" s="6">
        <v>13.709899999999999</v>
      </c>
      <c r="Q87" s="6">
        <v>13.718299999999999</v>
      </c>
      <c r="R87" s="6">
        <v>48.295999999999999</v>
      </c>
      <c r="S87" s="6">
        <v>48.296999999999997</v>
      </c>
      <c r="T87" s="6">
        <v>1.0468</v>
      </c>
      <c r="U87" s="6">
        <v>3694.81</v>
      </c>
      <c r="V87">
        <f t="shared" si="2"/>
        <v>19.907381465517243</v>
      </c>
      <c r="W87">
        <f t="shared" si="3"/>
        <v>4.9756966666666665E-4</v>
      </c>
    </row>
    <row r="88" spans="1:23" x14ac:dyDescent="0.3">
      <c r="A88" s="6">
        <v>81</v>
      </c>
      <c r="B88" s="6">
        <v>1.5765600000000001E-3</v>
      </c>
      <c r="C88" s="6">
        <v>5.76459E-2</v>
      </c>
      <c r="D88" s="6">
        <v>36.622</v>
      </c>
      <c r="E88" s="6">
        <v>36.564399999999999</v>
      </c>
      <c r="F88" s="6">
        <v>-1.4724900000000001E-4</v>
      </c>
      <c r="G88" s="6">
        <v>-2.53257E-3</v>
      </c>
      <c r="H88" s="6">
        <v>17.1967</v>
      </c>
      <c r="I88" s="6">
        <v>17.199200000000001</v>
      </c>
      <c r="J88" s="6">
        <v>-6.6637100000000002E-4</v>
      </c>
      <c r="K88" s="6">
        <v>-9.6472999999999993E-3</v>
      </c>
      <c r="L88" s="6">
        <v>14.467700000000001</v>
      </c>
      <c r="M88" s="6">
        <v>14.477399999999999</v>
      </c>
      <c r="N88" s="6">
        <v>-5.8157599999999999E-4</v>
      </c>
      <c r="O88" s="6">
        <v>-7.9782299999999994E-3</v>
      </c>
      <c r="P88" s="6">
        <v>13.7103</v>
      </c>
      <c r="Q88" s="6">
        <v>13.718299999999999</v>
      </c>
      <c r="R88" s="6">
        <v>48.423000000000002</v>
      </c>
      <c r="S88" s="6">
        <v>48.423000000000002</v>
      </c>
      <c r="T88" s="6">
        <v>1.0470999999999999</v>
      </c>
      <c r="U88" s="6">
        <v>3695.94</v>
      </c>
      <c r="V88">
        <f t="shared" si="2"/>
        <v>19.913469827586209</v>
      </c>
      <c r="W88">
        <f t="shared" si="3"/>
        <v>4.6506533333333334E-4</v>
      </c>
    </row>
    <row r="89" spans="1:23" x14ac:dyDescent="0.3">
      <c r="A89" s="6">
        <v>82</v>
      </c>
      <c r="B89" s="6">
        <v>1.49468E-3</v>
      </c>
      <c r="C89" s="6">
        <v>5.4651999999999999E-2</v>
      </c>
      <c r="D89" s="6">
        <v>36.619</v>
      </c>
      <c r="E89" s="6">
        <v>36.564399999999999</v>
      </c>
      <c r="F89" s="6">
        <v>-1.65069E-4</v>
      </c>
      <c r="G89" s="6">
        <v>-2.83907E-3</v>
      </c>
      <c r="H89" s="6">
        <v>17.196400000000001</v>
      </c>
      <c r="I89" s="6">
        <v>17.199200000000001</v>
      </c>
      <c r="J89" s="6">
        <v>-6.8511500000000003E-4</v>
      </c>
      <c r="K89" s="6">
        <v>-9.9186699999999992E-3</v>
      </c>
      <c r="L89" s="6">
        <v>14.467499999999999</v>
      </c>
      <c r="M89" s="6">
        <v>14.477399999999999</v>
      </c>
      <c r="N89" s="6">
        <v>-5.6192999999999998E-4</v>
      </c>
      <c r="O89" s="6">
        <v>-7.7087199999999996E-3</v>
      </c>
      <c r="P89" s="6">
        <v>13.710599999999999</v>
      </c>
      <c r="Q89" s="6">
        <v>13.718299999999999</v>
      </c>
      <c r="R89" s="6">
        <v>48.857999999999997</v>
      </c>
      <c r="S89" s="6">
        <v>48.859000000000002</v>
      </c>
      <c r="T89" s="6">
        <v>1.0658000000000001</v>
      </c>
      <c r="U89" s="6">
        <v>3761.49</v>
      </c>
      <c r="V89">
        <f t="shared" si="2"/>
        <v>20.26664870689655</v>
      </c>
      <c r="W89">
        <f t="shared" si="3"/>
        <v>4.7070466666666665E-4</v>
      </c>
    </row>
    <row r="90" spans="1:23" x14ac:dyDescent="0.3">
      <c r="A90" s="6">
        <v>83</v>
      </c>
      <c r="B90" s="6">
        <v>1.5952799999999999E-3</v>
      </c>
      <c r="C90" s="6">
        <v>5.8330399999999998E-2</v>
      </c>
      <c r="D90" s="6">
        <v>36.622700000000002</v>
      </c>
      <c r="E90" s="6">
        <v>36.564399999999999</v>
      </c>
      <c r="F90" s="6">
        <v>-1.9165999999999999E-4</v>
      </c>
      <c r="G90" s="6">
        <v>-3.2964100000000001E-3</v>
      </c>
      <c r="H90" s="6">
        <v>17.195900000000002</v>
      </c>
      <c r="I90" s="6">
        <v>17.199200000000001</v>
      </c>
      <c r="J90" s="6">
        <v>-7.6860999999999997E-4</v>
      </c>
      <c r="K90" s="6">
        <v>-1.11275E-2</v>
      </c>
      <c r="L90" s="6">
        <v>14.466200000000001</v>
      </c>
      <c r="M90" s="6">
        <v>14.477399999999999</v>
      </c>
      <c r="N90" s="6">
        <v>-6.7350400000000001E-4</v>
      </c>
      <c r="O90" s="6">
        <v>-9.2393200000000005E-3</v>
      </c>
      <c r="P90" s="6">
        <v>13.709</v>
      </c>
      <c r="Q90" s="6">
        <v>13.718299999999999</v>
      </c>
      <c r="R90" s="6">
        <v>49.36</v>
      </c>
      <c r="S90" s="6">
        <v>49.360999999999997</v>
      </c>
      <c r="T90" s="6">
        <v>1.0632999999999999</v>
      </c>
      <c r="U90" s="6">
        <v>3752.45</v>
      </c>
      <c r="V90">
        <f t="shared" si="2"/>
        <v>20.217941810344826</v>
      </c>
      <c r="W90">
        <f t="shared" si="3"/>
        <v>5.4459133333333335E-4</v>
      </c>
    </row>
    <row r="91" spans="1:23" x14ac:dyDescent="0.3">
      <c r="A91" s="6">
        <v>84</v>
      </c>
      <c r="B91" s="6">
        <v>1.5771100000000001E-3</v>
      </c>
      <c r="C91" s="6">
        <v>5.7665899999999999E-2</v>
      </c>
      <c r="D91" s="6">
        <v>36.622</v>
      </c>
      <c r="E91" s="6">
        <v>36.564399999999999</v>
      </c>
      <c r="F91" s="6">
        <v>-2.8405299999999999E-4</v>
      </c>
      <c r="G91" s="6">
        <v>-4.8854900000000001E-3</v>
      </c>
      <c r="H91" s="6">
        <v>17.194400000000002</v>
      </c>
      <c r="I91" s="6">
        <v>17.199200000000001</v>
      </c>
      <c r="J91" s="6">
        <v>-8.8551099999999996E-4</v>
      </c>
      <c r="K91" s="6">
        <v>-1.28199E-2</v>
      </c>
      <c r="L91" s="6">
        <v>14.464600000000001</v>
      </c>
      <c r="M91" s="6">
        <v>14.477399999999999</v>
      </c>
      <c r="N91" s="6">
        <v>-7.8750800000000002E-4</v>
      </c>
      <c r="O91" s="6">
        <v>-1.08033E-2</v>
      </c>
      <c r="P91" s="6">
        <v>13.7075</v>
      </c>
      <c r="Q91" s="6">
        <v>13.718299999999999</v>
      </c>
      <c r="R91" s="6">
        <v>50.357999999999997</v>
      </c>
      <c r="S91" s="6">
        <v>50.357999999999997</v>
      </c>
      <c r="T91" s="6">
        <v>1.0797000000000001</v>
      </c>
      <c r="U91" s="6">
        <v>3810.1</v>
      </c>
      <c r="V91">
        <f t="shared" si="2"/>
        <v>20.528556034482758</v>
      </c>
      <c r="W91">
        <f t="shared" si="3"/>
        <v>6.5235733333333327E-4</v>
      </c>
    </row>
    <row r="92" spans="1:23" x14ac:dyDescent="0.3">
      <c r="A92" s="6">
        <v>85</v>
      </c>
      <c r="B92" s="6">
        <v>1.5403599999999999E-3</v>
      </c>
      <c r="C92" s="6">
        <v>5.6322400000000002E-2</v>
      </c>
      <c r="D92" s="6">
        <v>36.620699999999999</v>
      </c>
      <c r="E92" s="6">
        <v>36.564399999999999</v>
      </c>
      <c r="F92" s="6">
        <v>-1.8731600000000001E-4</v>
      </c>
      <c r="G92" s="6">
        <v>-3.2217000000000001E-3</v>
      </c>
      <c r="H92" s="6">
        <v>17.196000000000002</v>
      </c>
      <c r="I92" s="6">
        <v>17.199200000000001</v>
      </c>
      <c r="J92" s="6">
        <v>-7.8242399999999999E-4</v>
      </c>
      <c r="K92" s="6">
        <v>-1.13274E-2</v>
      </c>
      <c r="L92" s="6">
        <v>14.466100000000001</v>
      </c>
      <c r="M92" s="6">
        <v>14.477399999999999</v>
      </c>
      <c r="N92" s="6">
        <v>-6.8943499999999996E-4</v>
      </c>
      <c r="O92" s="6">
        <v>-9.4578700000000002E-3</v>
      </c>
      <c r="P92" s="6">
        <v>13.7088</v>
      </c>
      <c r="Q92" s="6">
        <v>13.718299999999999</v>
      </c>
      <c r="R92" s="6">
        <v>51.043999999999997</v>
      </c>
      <c r="S92" s="6">
        <v>51.043999999999997</v>
      </c>
      <c r="T92" s="6">
        <v>1.0942000000000001</v>
      </c>
      <c r="U92" s="6">
        <v>3860.96</v>
      </c>
      <c r="V92">
        <f t="shared" si="2"/>
        <v>20.802586206896553</v>
      </c>
      <c r="W92">
        <f t="shared" si="3"/>
        <v>5.5305833333333331E-4</v>
      </c>
    </row>
    <row r="93" spans="1:23" x14ac:dyDescent="0.3">
      <c r="A93" s="6">
        <v>86</v>
      </c>
      <c r="B93" s="6">
        <v>1.6607600000000001E-3</v>
      </c>
      <c r="C93" s="6">
        <v>6.0724500000000001E-2</v>
      </c>
      <c r="D93" s="6">
        <v>36.625100000000003</v>
      </c>
      <c r="E93" s="6">
        <v>36.564399999999999</v>
      </c>
      <c r="F93" s="6">
        <v>-3.0282200000000001E-4</v>
      </c>
      <c r="G93" s="6">
        <v>-5.2083199999999998E-3</v>
      </c>
      <c r="H93" s="6">
        <v>17.193999999999999</v>
      </c>
      <c r="I93" s="6">
        <v>17.199200000000001</v>
      </c>
      <c r="J93" s="6">
        <v>-8.7942399999999996E-4</v>
      </c>
      <c r="K93" s="6">
        <v>-1.27318E-2</v>
      </c>
      <c r="L93" s="6">
        <v>14.464600000000001</v>
      </c>
      <c r="M93" s="6">
        <v>14.477399999999999</v>
      </c>
      <c r="N93" s="6">
        <v>-6.8865400000000002E-4</v>
      </c>
      <c r="O93" s="6">
        <v>-9.4471499999999996E-3</v>
      </c>
      <c r="P93" s="6">
        <v>13.7088</v>
      </c>
      <c r="Q93" s="6">
        <v>13.718299999999999</v>
      </c>
      <c r="R93" s="6">
        <v>51.667999999999999</v>
      </c>
      <c r="S93" s="6">
        <v>51.667999999999999</v>
      </c>
      <c r="T93" s="6">
        <v>1.1003000000000001</v>
      </c>
      <c r="U93" s="6">
        <v>3882.43</v>
      </c>
      <c r="V93">
        <f t="shared" si="2"/>
        <v>20.918265086206898</v>
      </c>
      <c r="W93">
        <f t="shared" si="3"/>
        <v>6.2363333333333333E-4</v>
      </c>
    </row>
    <row r="94" spans="1:23" x14ac:dyDescent="0.3">
      <c r="A94" s="6">
        <v>87</v>
      </c>
      <c r="B94" s="6">
        <v>1.76826E-3</v>
      </c>
      <c r="C94" s="6">
        <v>6.4655099999999993E-2</v>
      </c>
      <c r="D94" s="6">
        <v>36.628999999999998</v>
      </c>
      <c r="E94" s="6">
        <v>36.564399999999999</v>
      </c>
      <c r="F94" s="6">
        <v>-1.8214199999999999E-4</v>
      </c>
      <c r="G94" s="6">
        <v>-3.1327E-3</v>
      </c>
      <c r="H94" s="6">
        <v>17.196100000000001</v>
      </c>
      <c r="I94" s="6">
        <v>17.199200000000001</v>
      </c>
      <c r="J94" s="6">
        <v>-6.9346200000000005E-4</v>
      </c>
      <c r="K94" s="6">
        <v>-1.00395E-2</v>
      </c>
      <c r="L94" s="6">
        <v>14.4673</v>
      </c>
      <c r="M94" s="6">
        <v>14.477399999999999</v>
      </c>
      <c r="N94" s="6">
        <v>-5.7438499999999996E-4</v>
      </c>
      <c r="O94" s="6">
        <v>-7.8795800000000006E-3</v>
      </c>
      <c r="P94" s="6">
        <v>13.7104</v>
      </c>
      <c r="Q94" s="6">
        <v>13.718299999999999</v>
      </c>
      <c r="R94" s="6">
        <v>52.417000000000002</v>
      </c>
      <c r="S94" s="6">
        <v>52.417000000000002</v>
      </c>
      <c r="T94" s="6">
        <v>1.1218999999999999</v>
      </c>
      <c r="U94" s="6">
        <v>3958.16</v>
      </c>
      <c r="V94">
        <f t="shared" si="2"/>
        <v>21.326293103448275</v>
      </c>
      <c r="W94">
        <f t="shared" si="3"/>
        <v>4.833296666666667E-4</v>
      </c>
    </row>
    <row r="95" spans="1:23" x14ac:dyDescent="0.3">
      <c r="A95" s="6">
        <v>88</v>
      </c>
      <c r="B95" s="6">
        <v>1.59961E-3</v>
      </c>
      <c r="C95" s="6">
        <v>5.8488600000000002E-2</v>
      </c>
      <c r="D95" s="6">
        <v>36.622799999999998</v>
      </c>
      <c r="E95" s="6">
        <v>36.564399999999999</v>
      </c>
      <c r="F95" s="6">
        <v>-1.7542799999999999E-4</v>
      </c>
      <c r="G95" s="6">
        <v>-3.0172300000000001E-3</v>
      </c>
      <c r="H95" s="6">
        <v>17.196200000000001</v>
      </c>
      <c r="I95" s="6">
        <v>17.199200000000001</v>
      </c>
      <c r="J95" s="6">
        <v>-8.4863400000000002E-4</v>
      </c>
      <c r="K95" s="6">
        <v>-1.2286E-2</v>
      </c>
      <c r="L95" s="6">
        <v>14.4651</v>
      </c>
      <c r="M95" s="6">
        <v>14.477399999999999</v>
      </c>
      <c r="N95" s="6">
        <v>-7.3110999999999998E-4</v>
      </c>
      <c r="O95" s="6">
        <v>-1.00296E-2</v>
      </c>
      <c r="P95" s="6">
        <v>13.708299999999999</v>
      </c>
      <c r="Q95" s="6">
        <v>13.718299999999999</v>
      </c>
      <c r="R95" s="6">
        <v>52.978999999999999</v>
      </c>
      <c r="S95" s="6">
        <v>52.978999999999999</v>
      </c>
      <c r="T95" s="6">
        <v>1.1267</v>
      </c>
      <c r="U95" s="6">
        <v>3975.11</v>
      </c>
      <c r="V95">
        <f t="shared" si="2"/>
        <v>21.417618534482759</v>
      </c>
      <c r="W95">
        <f t="shared" si="3"/>
        <v>5.8505733333333342E-4</v>
      </c>
    </row>
    <row r="96" spans="1:23" x14ac:dyDescent="0.3">
      <c r="A96" s="6">
        <v>89</v>
      </c>
      <c r="B96" s="6">
        <v>1.65059E-3</v>
      </c>
      <c r="C96" s="6">
        <v>6.0352799999999998E-2</v>
      </c>
      <c r="D96" s="6">
        <v>36.624699999999997</v>
      </c>
      <c r="E96" s="6">
        <v>36.564399999999999</v>
      </c>
      <c r="F96" s="6">
        <v>-1.3303800000000001E-4</v>
      </c>
      <c r="G96" s="6">
        <v>-2.28816E-3</v>
      </c>
      <c r="H96" s="6">
        <v>17.196999999999999</v>
      </c>
      <c r="I96" s="6">
        <v>17.199200000000001</v>
      </c>
      <c r="J96" s="6">
        <v>-7.7030700000000002E-4</v>
      </c>
      <c r="K96" s="6">
        <v>-1.1152E-2</v>
      </c>
      <c r="L96" s="6">
        <v>14.466200000000001</v>
      </c>
      <c r="M96" s="6">
        <v>14.477399999999999</v>
      </c>
      <c r="N96" s="6">
        <v>-7.3562699999999998E-4</v>
      </c>
      <c r="O96" s="6">
        <v>-1.00915E-2</v>
      </c>
      <c r="P96" s="6">
        <v>13.7082</v>
      </c>
      <c r="Q96" s="6">
        <v>13.718299999999999</v>
      </c>
      <c r="R96" s="6">
        <v>53.914999999999999</v>
      </c>
      <c r="S96" s="6">
        <v>53.914999999999999</v>
      </c>
      <c r="T96" s="6">
        <v>1.1440999999999999</v>
      </c>
      <c r="U96" s="6">
        <v>4036.15</v>
      </c>
      <c r="V96">
        <f t="shared" si="2"/>
        <v>21.746497844827587</v>
      </c>
      <c r="W96">
        <f t="shared" si="3"/>
        <v>5.4632400000000005E-4</v>
      </c>
    </row>
    <row r="97" spans="1:23" x14ac:dyDescent="0.3">
      <c r="A97" s="6">
        <v>90</v>
      </c>
      <c r="B97" s="6">
        <v>1.7028099999999999E-3</v>
      </c>
      <c r="C97" s="6">
        <v>6.2261999999999998E-2</v>
      </c>
      <c r="D97" s="6">
        <v>36.626600000000003</v>
      </c>
      <c r="E97" s="6">
        <v>36.564399999999999</v>
      </c>
      <c r="F97" s="6">
        <v>-2.2202999999999999E-4</v>
      </c>
      <c r="G97" s="6">
        <v>-3.8187400000000002E-3</v>
      </c>
      <c r="H97" s="6">
        <v>17.195399999999999</v>
      </c>
      <c r="I97" s="6">
        <v>17.199200000000001</v>
      </c>
      <c r="J97" s="6">
        <v>-8.4720699999999999E-4</v>
      </c>
      <c r="K97" s="6">
        <v>-1.22653E-2</v>
      </c>
      <c r="L97" s="6">
        <v>14.4651</v>
      </c>
      <c r="M97" s="6">
        <v>14.477399999999999</v>
      </c>
      <c r="N97" s="6">
        <v>-6.9666200000000002E-4</v>
      </c>
      <c r="O97" s="6">
        <v>-9.5570099999999995E-3</v>
      </c>
      <c r="P97" s="6">
        <v>13.7087</v>
      </c>
      <c r="Q97" s="6">
        <v>13.718299999999999</v>
      </c>
      <c r="R97" s="6">
        <v>54.598999999999997</v>
      </c>
      <c r="S97" s="6">
        <v>54.598999999999997</v>
      </c>
      <c r="T97" s="6">
        <v>1.1593</v>
      </c>
      <c r="U97" s="6">
        <v>4089.27</v>
      </c>
      <c r="V97">
        <f t="shared" si="2"/>
        <v>22.032704741379312</v>
      </c>
      <c r="W97">
        <f t="shared" si="3"/>
        <v>5.8863299999999997E-4</v>
      </c>
    </row>
    <row r="98" spans="1:23" x14ac:dyDescent="0.3">
      <c r="A98" s="6">
        <v>91</v>
      </c>
      <c r="B98" s="6">
        <v>1.74007E-3</v>
      </c>
      <c r="C98" s="6">
        <v>6.3624700000000006E-2</v>
      </c>
      <c r="D98" s="6">
        <v>36.628</v>
      </c>
      <c r="E98" s="6">
        <v>36.564399999999999</v>
      </c>
      <c r="F98" s="7">
        <v>-4.57929E-5</v>
      </c>
      <c r="G98" s="6">
        <v>-7.87603E-4</v>
      </c>
      <c r="H98" s="6">
        <v>17.198499999999999</v>
      </c>
      <c r="I98" s="6">
        <v>17.199200000000001</v>
      </c>
      <c r="J98" s="6">
        <v>-6.7484299999999995E-4</v>
      </c>
      <c r="K98" s="6">
        <v>-9.7699599999999994E-3</v>
      </c>
      <c r="L98" s="6">
        <v>14.467599999999999</v>
      </c>
      <c r="M98" s="6">
        <v>14.477399999999999</v>
      </c>
      <c r="N98" s="6">
        <v>-6.5634700000000005E-4</v>
      </c>
      <c r="O98" s="6">
        <v>-9.0039500000000001E-3</v>
      </c>
      <c r="P98" s="6">
        <v>13.709300000000001</v>
      </c>
      <c r="Q98" s="6">
        <v>13.718299999999999</v>
      </c>
      <c r="R98" s="6">
        <v>55.222999999999999</v>
      </c>
      <c r="S98" s="6">
        <v>55.222999999999999</v>
      </c>
      <c r="T98" s="6">
        <v>1.1674</v>
      </c>
      <c r="U98" s="6">
        <v>4117.53</v>
      </c>
      <c r="V98">
        <f t="shared" si="2"/>
        <v>22.184967672413791</v>
      </c>
      <c r="W98">
        <f t="shared" si="3"/>
        <v>4.589943E-4</v>
      </c>
    </row>
    <row r="99" spans="1:23" x14ac:dyDescent="0.3">
      <c r="A99" s="6">
        <v>92</v>
      </c>
      <c r="B99" s="6">
        <v>1.7541200000000001E-3</v>
      </c>
      <c r="C99" s="6">
        <v>6.4138399999999998E-2</v>
      </c>
      <c r="D99" s="6">
        <v>36.628500000000003</v>
      </c>
      <c r="E99" s="6">
        <v>36.564399999999999</v>
      </c>
      <c r="F99" s="6">
        <v>-1.8674499999999999E-4</v>
      </c>
      <c r="G99" s="6">
        <v>-3.2118799999999999E-3</v>
      </c>
      <c r="H99" s="6">
        <v>17.196000000000002</v>
      </c>
      <c r="I99" s="6">
        <v>17.199200000000001</v>
      </c>
      <c r="J99" s="6">
        <v>-7.4359299999999997E-4</v>
      </c>
      <c r="K99" s="6">
        <v>-1.07653E-2</v>
      </c>
      <c r="L99" s="6">
        <v>14.4666</v>
      </c>
      <c r="M99" s="6">
        <v>14.477399999999999</v>
      </c>
      <c r="N99" s="6">
        <v>-6.91159E-4</v>
      </c>
      <c r="O99" s="6">
        <v>-9.4815200000000002E-3</v>
      </c>
      <c r="P99" s="6">
        <v>13.7088</v>
      </c>
      <c r="Q99" s="6">
        <v>13.718299999999999</v>
      </c>
      <c r="R99" s="6">
        <v>55.911000000000001</v>
      </c>
      <c r="S99" s="6">
        <v>55.911000000000001</v>
      </c>
      <c r="T99" s="6">
        <v>1.1793</v>
      </c>
      <c r="U99" s="6">
        <v>4159.3500000000004</v>
      </c>
      <c r="V99">
        <f t="shared" si="2"/>
        <v>22.410290948275865</v>
      </c>
      <c r="W99">
        <f t="shared" si="3"/>
        <v>5.4049899999999995E-4</v>
      </c>
    </row>
    <row r="100" spans="1:23" x14ac:dyDescent="0.3">
      <c r="A100" s="6">
        <v>93</v>
      </c>
      <c r="B100" s="6">
        <v>1.7130299999999999E-3</v>
      </c>
      <c r="C100" s="6">
        <v>6.2635800000000005E-2</v>
      </c>
      <c r="D100" s="6">
        <v>36.627000000000002</v>
      </c>
      <c r="E100" s="6">
        <v>36.564399999999999</v>
      </c>
      <c r="F100" s="6">
        <v>-2.72052E-4</v>
      </c>
      <c r="G100" s="6">
        <v>-4.6790800000000004E-3</v>
      </c>
      <c r="H100" s="6">
        <v>17.194600000000001</v>
      </c>
      <c r="I100" s="6">
        <v>17.199200000000001</v>
      </c>
      <c r="J100" s="6">
        <v>-9.0565100000000005E-4</v>
      </c>
      <c r="K100" s="6">
        <v>-1.31115E-2</v>
      </c>
      <c r="L100" s="6">
        <v>14.4643</v>
      </c>
      <c r="M100" s="6">
        <v>14.477399999999999</v>
      </c>
      <c r="N100" s="6">
        <v>-7.7581000000000004E-4</v>
      </c>
      <c r="O100" s="6">
        <v>-1.0642799999999999E-2</v>
      </c>
      <c r="P100" s="6">
        <v>13.707599999999999</v>
      </c>
      <c r="Q100" s="6">
        <v>13.718299999999999</v>
      </c>
      <c r="R100" s="6">
        <v>56.345999999999997</v>
      </c>
      <c r="S100" s="6">
        <v>56.345999999999997</v>
      </c>
      <c r="T100" s="6">
        <v>1.1935</v>
      </c>
      <c r="U100" s="6">
        <v>4209.08</v>
      </c>
      <c r="V100">
        <f t="shared" si="2"/>
        <v>22.678232758620691</v>
      </c>
      <c r="W100">
        <f t="shared" si="3"/>
        <v>6.5117099999999998E-4</v>
      </c>
    </row>
    <row r="101" spans="1:23" x14ac:dyDescent="0.3">
      <c r="A101" s="6">
        <v>94</v>
      </c>
      <c r="B101" s="6">
        <v>1.7968700000000001E-3</v>
      </c>
      <c r="C101" s="6">
        <v>6.5701399999999993E-2</v>
      </c>
      <c r="D101" s="6">
        <v>36.630099999999999</v>
      </c>
      <c r="E101" s="6">
        <v>36.564399999999999</v>
      </c>
      <c r="F101" s="6">
        <v>-2.03091E-4</v>
      </c>
      <c r="G101" s="6">
        <v>-3.49301E-3</v>
      </c>
      <c r="H101" s="6">
        <v>17.195699999999999</v>
      </c>
      <c r="I101" s="6">
        <v>17.199200000000001</v>
      </c>
      <c r="J101" s="6">
        <v>-7.2124999999999999E-4</v>
      </c>
      <c r="K101" s="6">
        <v>-1.0441799999999999E-2</v>
      </c>
      <c r="L101" s="6">
        <v>14.466900000000001</v>
      </c>
      <c r="M101" s="6">
        <v>14.477399999999999</v>
      </c>
      <c r="N101" s="6">
        <v>-5.6815800000000003E-4</v>
      </c>
      <c r="O101" s="6">
        <v>-7.7941599999999996E-3</v>
      </c>
      <c r="P101" s="6">
        <v>13.7105</v>
      </c>
      <c r="Q101" s="6">
        <v>13.718299999999999</v>
      </c>
      <c r="R101" s="6">
        <v>57.472999999999999</v>
      </c>
      <c r="S101" s="6">
        <v>57.472999999999999</v>
      </c>
      <c r="T101" s="6">
        <v>1.2151000000000001</v>
      </c>
      <c r="U101" s="6">
        <v>4284.8</v>
      </c>
      <c r="V101">
        <f t="shared" si="2"/>
        <v>23.086206896551726</v>
      </c>
      <c r="W101">
        <f t="shared" si="3"/>
        <v>4.9749966666666663E-4</v>
      </c>
    </row>
    <row r="102" spans="1:23" x14ac:dyDescent="0.3">
      <c r="A102" s="6">
        <v>95</v>
      </c>
      <c r="B102" s="6">
        <v>1.7821899999999999E-3</v>
      </c>
      <c r="C102" s="6">
        <v>6.5164600000000003E-2</v>
      </c>
      <c r="D102" s="6">
        <v>36.6295</v>
      </c>
      <c r="E102" s="6">
        <v>36.564399999999999</v>
      </c>
      <c r="F102" s="6">
        <v>-1.5899299999999999E-4</v>
      </c>
      <c r="G102" s="6">
        <v>-2.73456E-3</v>
      </c>
      <c r="H102" s="6">
        <v>17.1965</v>
      </c>
      <c r="I102" s="6">
        <v>17.199200000000001</v>
      </c>
      <c r="J102" s="6">
        <v>-7.6083699999999999E-4</v>
      </c>
      <c r="K102" s="6">
        <v>-1.1014899999999999E-2</v>
      </c>
      <c r="L102" s="6">
        <v>14.4664</v>
      </c>
      <c r="M102" s="6">
        <v>14.477399999999999</v>
      </c>
      <c r="N102" s="6">
        <v>-6.75397E-4</v>
      </c>
      <c r="O102" s="6">
        <v>-9.2652900000000007E-3</v>
      </c>
      <c r="P102" s="6">
        <v>13.709</v>
      </c>
      <c r="Q102" s="6">
        <v>13.718299999999999</v>
      </c>
      <c r="R102" s="6">
        <v>57.97</v>
      </c>
      <c r="S102" s="6">
        <v>57.97</v>
      </c>
      <c r="T102" s="6">
        <v>1.2202</v>
      </c>
      <c r="U102" s="6">
        <v>4302.8900000000003</v>
      </c>
      <c r="V102">
        <f t="shared" si="2"/>
        <v>23.183674568965518</v>
      </c>
      <c r="W102">
        <f t="shared" si="3"/>
        <v>5.3174233333333324E-4</v>
      </c>
    </row>
    <row r="103" spans="1:23" x14ac:dyDescent="0.3">
      <c r="A103" s="6">
        <v>96</v>
      </c>
      <c r="B103" s="6">
        <v>1.76461E-3</v>
      </c>
      <c r="C103" s="6">
        <v>6.4521800000000004E-2</v>
      </c>
      <c r="D103" s="6">
        <v>36.628900000000002</v>
      </c>
      <c r="E103" s="6">
        <v>36.564399999999999</v>
      </c>
      <c r="F103" s="6">
        <v>-2.5224999999999998E-4</v>
      </c>
      <c r="G103" s="6">
        <v>-4.3385100000000003E-3</v>
      </c>
      <c r="H103" s="6">
        <v>17.194900000000001</v>
      </c>
      <c r="I103" s="6">
        <v>17.199200000000001</v>
      </c>
      <c r="J103" s="6">
        <v>-8.3369200000000003E-4</v>
      </c>
      <c r="K103" s="6">
        <v>-1.2069699999999999E-2</v>
      </c>
      <c r="L103" s="6">
        <v>14.465299999999999</v>
      </c>
      <c r="M103" s="6">
        <v>14.477399999999999</v>
      </c>
      <c r="N103" s="6">
        <v>-7.3332400000000004E-4</v>
      </c>
      <c r="O103" s="6">
        <v>-1.00599E-2</v>
      </c>
      <c r="P103" s="6">
        <v>13.7082</v>
      </c>
      <c r="Q103" s="6">
        <v>13.718299999999999</v>
      </c>
      <c r="R103" s="6">
        <v>58.591999999999999</v>
      </c>
      <c r="S103" s="6">
        <v>58.591999999999999</v>
      </c>
      <c r="T103" s="6">
        <v>1.2292000000000001</v>
      </c>
      <c r="U103" s="6">
        <v>4334.54</v>
      </c>
      <c r="V103">
        <f t="shared" si="2"/>
        <v>23.354202586206895</v>
      </c>
      <c r="W103">
        <f t="shared" si="3"/>
        <v>6.0642200000000002E-4</v>
      </c>
    </row>
    <row r="104" spans="1:23" x14ac:dyDescent="0.3">
      <c r="A104" s="6">
        <v>97</v>
      </c>
      <c r="B104" s="6">
        <v>1.79565E-3</v>
      </c>
      <c r="C104" s="6">
        <v>6.5656999999999993E-2</v>
      </c>
      <c r="D104" s="6">
        <v>36.630000000000003</v>
      </c>
      <c r="E104" s="6">
        <v>36.564399999999999</v>
      </c>
      <c r="F104" s="6">
        <v>-2.9961300000000001E-4</v>
      </c>
      <c r="G104" s="6">
        <v>-5.1531199999999997E-3</v>
      </c>
      <c r="H104" s="6">
        <v>17.194099999999999</v>
      </c>
      <c r="I104" s="6">
        <v>17.199200000000001</v>
      </c>
      <c r="J104" s="6">
        <v>-9.2402000000000001E-4</v>
      </c>
      <c r="K104" s="6">
        <v>-1.3377399999999999E-2</v>
      </c>
      <c r="L104" s="6">
        <v>14.464</v>
      </c>
      <c r="M104" s="6">
        <v>14.477399999999999</v>
      </c>
      <c r="N104" s="6">
        <v>-7.9764799999999998E-4</v>
      </c>
      <c r="O104" s="6">
        <v>-1.09424E-2</v>
      </c>
      <c r="P104" s="6">
        <v>13.7073</v>
      </c>
      <c r="Q104" s="6">
        <v>13.718299999999999</v>
      </c>
      <c r="R104" s="6">
        <v>58.968000000000004</v>
      </c>
      <c r="S104" s="6">
        <v>58.968000000000004</v>
      </c>
      <c r="T104" s="6">
        <v>1.2383</v>
      </c>
      <c r="U104" s="6">
        <v>4366.18</v>
      </c>
      <c r="V104">
        <f t="shared" si="2"/>
        <v>23.524676724137933</v>
      </c>
      <c r="W104">
        <f t="shared" si="3"/>
        <v>6.7376033333333329E-4</v>
      </c>
    </row>
    <row r="105" spans="1:23" x14ac:dyDescent="0.3">
      <c r="A105" s="6">
        <v>98</v>
      </c>
      <c r="B105" s="6">
        <v>1.9105400000000001E-3</v>
      </c>
      <c r="C105" s="6">
        <v>6.9857600000000006E-2</v>
      </c>
      <c r="D105" s="6">
        <v>36.6342</v>
      </c>
      <c r="E105" s="6">
        <v>36.564399999999999</v>
      </c>
      <c r="F105" s="6">
        <v>-2.2305900000000001E-4</v>
      </c>
      <c r="G105" s="6">
        <v>-3.83644E-3</v>
      </c>
      <c r="H105" s="6">
        <v>17.195399999999999</v>
      </c>
      <c r="I105" s="6">
        <v>17.199200000000001</v>
      </c>
      <c r="J105" s="6">
        <v>-7.2955100000000005E-4</v>
      </c>
      <c r="K105" s="6">
        <v>-1.0562E-2</v>
      </c>
      <c r="L105" s="6">
        <v>14.466799999999999</v>
      </c>
      <c r="M105" s="6">
        <v>14.477399999999999</v>
      </c>
      <c r="N105" s="6">
        <v>-6.2739000000000002E-4</v>
      </c>
      <c r="O105" s="6">
        <v>-8.60672E-3</v>
      </c>
      <c r="P105" s="6">
        <v>13.7097</v>
      </c>
      <c r="Q105" s="6">
        <v>13.718299999999999</v>
      </c>
      <c r="R105" s="6">
        <v>60.027999999999999</v>
      </c>
      <c r="S105" s="6">
        <v>60.027999999999999</v>
      </c>
      <c r="T105" s="6">
        <v>1.2624</v>
      </c>
      <c r="U105" s="6">
        <v>4450.95</v>
      </c>
      <c r="V105">
        <f t="shared" si="2"/>
        <v>23.981411637931036</v>
      </c>
      <c r="W105">
        <f t="shared" si="3"/>
        <v>5.2666666666666671E-4</v>
      </c>
    </row>
    <row r="106" spans="1:23" x14ac:dyDescent="0.3">
      <c r="A106" s="6">
        <v>99</v>
      </c>
      <c r="B106" s="6">
        <v>1.8150600000000001E-3</v>
      </c>
      <c r="C106" s="6">
        <v>6.6366599999999998E-2</v>
      </c>
      <c r="D106" s="6">
        <v>36.630699999999997</v>
      </c>
      <c r="E106" s="6">
        <v>36.564399999999999</v>
      </c>
      <c r="F106" s="6">
        <v>-3.6557099999999997E-4</v>
      </c>
      <c r="G106" s="6">
        <v>-6.2875400000000003E-3</v>
      </c>
      <c r="H106" s="6">
        <v>17.193000000000001</v>
      </c>
      <c r="I106" s="6">
        <v>17.199200000000001</v>
      </c>
      <c r="J106" s="6">
        <v>-9.6169799999999998E-4</v>
      </c>
      <c r="K106" s="6">
        <v>-1.39229E-2</v>
      </c>
      <c r="L106" s="6">
        <v>14.4635</v>
      </c>
      <c r="M106" s="6">
        <v>14.477399999999999</v>
      </c>
      <c r="N106" s="6">
        <v>-8.8108499999999998E-4</v>
      </c>
      <c r="O106" s="6">
        <v>-1.2087000000000001E-2</v>
      </c>
      <c r="P106" s="6">
        <v>13.706200000000001</v>
      </c>
      <c r="Q106" s="6">
        <v>13.718299999999999</v>
      </c>
      <c r="R106" s="6">
        <v>60.591000000000001</v>
      </c>
      <c r="S106" s="6">
        <v>60.591999999999999</v>
      </c>
      <c r="T106" s="6">
        <v>1.2734000000000001</v>
      </c>
      <c r="U106" s="6">
        <v>4489.38</v>
      </c>
      <c r="V106">
        <f t="shared" si="2"/>
        <v>24.188469827586207</v>
      </c>
      <c r="W106">
        <f t="shared" si="3"/>
        <v>7.3611800000000002E-4</v>
      </c>
    </row>
    <row r="107" spans="1:23" x14ac:dyDescent="0.3">
      <c r="A107" s="6">
        <v>100</v>
      </c>
      <c r="B107" s="6">
        <v>1.8595700000000001E-3</v>
      </c>
      <c r="C107" s="6">
        <v>6.7993899999999996E-2</v>
      </c>
      <c r="D107" s="6">
        <v>36.632399999999997</v>
      </c>
      <c r="E107" s="6">
        <v>36.564399999999999</v>
      </c>
      <c r="F107" s="6">
        <v>-2.4285800000000001E-4</v>
      </c>
      <c r="G107" s="6">
        <v>-4.1769800000000003E-3</v>
      </c>
      <c r="H107" s="6">
        <v>17.1951</v>
      </c>
      <c r="I107" s="6">
        <v>17.199200000000001</v>
      </c>
      <c r="J107" s="6">
        <v>-9.2776899999999995E-4</v>
      </c>
      <c r="K107" s="6">
        <v>-1.34317E-2</v>
      </c>
      <c r="L107" s="6">
        <v>14.463900000000001</v>
      </c>
      <c r="M107" s="6">
        <v>14.477399999999999</v>
      </c>
      <c r="N107" s="6">
        <v>-8.1088099999999995E-4</v>
      </c>
      <c r="O107" s="6">
        <v>-1.1123900000000001E-2</v>
      </c>
      <c r="P107" s="6">
        <v>13.7072</v>
      </c>
      <c r="Q107" s="6">
        <v>13.718299999999999</v>
      </c>
      <c r="R107" s="6">
        <v>61.276000000000003</v>
      </c>
      <c r="S107" s="6">
        <v>61.276000000000003</v>
      </c>
      <c r="T107" s="6">
        <v>1.2856000000000001</v>
      </c>
      <c r="U107" s="6">
        <v>4532.33</v>
      </c>
      <c r="V107">
        <f t="shared" si="2"/>
        <v>24.419881465517243</v>
      </c>
      <c r="W107">
        <f t="shared" si="3"/>
        <v>6.6050266666666663E-4</v>
      </c>
    </row>
    <row r="108" spans="1:23" x14ac:dyDescent="0.3">
      <c r="A108" s="6">
        <v>101</v>
      </c>
      <c r="B108" s="6">
        <v>1.83252E-3</v>
      </c>
      <c r="C108" s="6">
        <v>6.7004999999999995E-2</v>
      </c>
      <c r="D108" s="6">
        <v>36.631399999999999</v>
      </c>
      <c r="E108" s="6">
        <v>36.564399999999999</v>
      </c>
      <c r="F108" s="6">
        <v>-1.1258499999999999E-4</v>
      </c>
      <c r="G108" s="6">
        <v>-1.9363799999999999E-3</v>
      </c>
      <c r="H108" s="6">
        <v>17.197299999999998</v>
      </c>
      <c r="I108" s="6">
        <v>17.199200000000001</v>
      </c>
      <c r="J108" s="6">
        <v>-8.8917599999999999E-4</v>
      </c>
      <c r="K108" s="6">
        <v>-1.28729E-2</v>
      </c>
      <c r="L108" s="6">
        <v>14.464499999999999</v>
      </c>
      <c r="M108" s="6">
        <v>14.477399999999999</v>
      </c>
      <c r="N108" s="6">
        <v>-8.1702800000000003E-4</v>
      </c>
      <c r="O108" s="6">
        <v>-1.12082E-2</v>
      </c>
      <c r="P108" s="6">
        <v>13.707100000000001</v>
      </c>
      <c r="Q108" s="6">
        <v>13.718299999999999</v>
      </c>
      <c r="R108" s="6">
        <v>61.529000000000003</v>
      </c>
      <c r="S108" s="6">
        <v>61.529000000000003</v>
      </c>
      <c r="T108" s="6">
        <v>1.2856000000000001</v>
      </c>
      <c r="U108" s="6">
        <v>4532.33</v>
      </c>
      <c r="V108">
        <f t="shared" si="2"/>
        <v>24.419881465517243</v>
      </c>
      <c r="W108">
        <f t="shared" si="3"/>
        <v>6.0626300000000001E-4</v>
      </c>
    </row>
    <row r="109" spans="1:23" x14ac:dyDescent="0.3">
      <c r="A109" s="6">
        <v>102</v>
      </c>
      <c r="B109" s="6">
        <v>1.9292599999999999E-3</v>
      </c>
      <c r="C109" s="6">
        <v>7.0541999999999994E-2</v>
      </c>
      <c r="D109" s="6">
        <v>36.634900000000002</v>
      </c>
      <c r="E109" s="6">
        <v>36.564399999999999</v>
      </c>
      <c r="F109" s="6">
        <v>-2.3137200000000001E-4</v>
      </c>
      <c r="G109" s="6">
        <v>-3.97942E-3</v>
      </c>
      <c r="H109" s="6">
        <v>17.1953</v>
      </c>
      <c r="I109" s="6">
        <v>17.199200000000001</v>
      </c>
      <c r="J109" s="6">
        <v>-8.3928500000000005E-4</v>
      </c>
      <c r="K109" s="6">
        <v>-1.21507E-2</v>
      </c>
      <c r="L109" s="6">
        <v>14.465199999999999</v>
      </c>
      <c r="M109" s="6">
        <v>14.477399999999999</v>
      </c>
      <c r="N109" s="6">
        <v>-6.2410500000000002E-4</v>
      </c>
      <c r="O109" s="6">
        <v>-8.5616500000000005E-3</v>
      </c>
      <c r="P109" s="6">
        <v>13.7097</v>
      </c>
      <c r="Q109" s="6">
        <v>13.718299999999999</v>
      </c>
      <c r="R109" s="6">
        <v>62.341000000000001</v>
      </c>
      <c r="S109" s="6">
        <v>62.341000000000001</v>
      </c>
      <c r="T109" s="6">
        <v>1.3027</v>
      </c>
      <c r="U109" s="6">
        <v>4592.24</v>
      </c>
      <c r="V109">
        <f t="shared" si="2"/>
        <v>24.742672413793102</v>
      </c>
      <c r="W109">
        <f t="shared" si="3"/>
        <v>5.6492066666666665E-4</v>
      </c>
    </row>
    <row r="110" spans="1:23" x14ac:dyDescent="0.3">
      <c r="A110" s="6">
        <v>103</v>
      </c>
      <c r="B110" s="6">
        <v>1.9236399999999999E-3</v>
      </c>
      <c r="C110" s="6">
        <v>7.0336599999999999E-2</v>
      </c>
      <c r="D110" s="6">
        <v>36.634700000000002</v>
      </c>
      <c r="E110" s="6">
        <v>36.564399999999999</v>
      </c>
      <c r="F110" s="6">
        <v>-1.7587700000000001E-4</v>
      </c>
      <c r="G110" s="6">
        <v>-3.0249600000000001E-3</v>
      </c>
      <c r="H110" s="6">
        <v>17.196200000000001</v>
      </c>
      <c r="I110" s="6">
        <v>17.199200000000001</v>
      </c>
      <c r="J110" s="6">
        <v>-8.34248E-4</v>
      </c>
      <c r="K110" s="6">
        <v>-1.20777E-2</v>
      </c>
      <c r="L110" s="6">
        <v>14.465299999999999</v>
      </c>
      <c r="M110" s="6">
        <v>14.477399999999999</v>
      </c>
      <c r="N110" s="6">
        <v>-7.0750200000000004E-4</v>
      </c>
      <c r="O110" s="6">
        <v>-9.7057099999999993E-3</v>
      </c>
      <c r="P110" s="6">
        <v>13.708600000000001</v>
      </c>
      <c r="Q110" s="6">
        <v>13.718299999999999</v>
      </c>
      <c r="R110" s="6">
        <v>63.399000000000001</v>
      </c>
      <c r="S110" s="6">
        <v>63.399000000000001</v>
      </c>
      <c r="T110" s="6">
        <v>1.3259000000000001</v>
      </c>
      <c r="U110" s="6">
        <v>4673.6099999999997</v>
      </c>
      <c r="V110">
        <f t="shared" si="2"/>
        <v>25.181088362068966</v>
      </c>
      <c r="W110">
        <f t="shared" si="3"/>
        <v>5.7254233333333337E-4</v>
      </c>
    </row>
    <row r="111" spans="1:23" x14ac:dyDescent="0.3">
      <c r="A111" s="6">
        <v>104</v>
      </c>
      <c r="B111" s="6">
        <v>1.89044E-3</v>
      </c>
      <c r="C111" s="6">
        <v>6.9122699999999995E-2</v>
      </c>
      <c r="D111" s="6">
        <v>36.633499999999998</v>
      </c>
      <c r="E111" s="6">
        <v>36.564399999999999</v>
      </c>
      <c r="F111" s="6">
        <v>-2.7514800000000002E-4</v>
      </c>
      <c r="G111" s="6">
        <v>-4.7323299999999999E-3</v>
      </c>
      <c r="H111" s="6">
        <v>17.194500000000001</v>
      </c>
      <c r="I111" s="6">
        <v>17.199200000000001</v>
      </c>
      <c r="J111" s="6">
        <v>-9.1982100000000003E-4</v>
      </c>
      <c r="K111" s="6">
        <v>-1.33166E-2</v>
      </c>
      <c r="L111" s="6">
        <v>14.4641</v>
      </c>
      <c r="M111" s="6">
        <v>14.477399999999999</v>
      </c>
      <c r="N111" s="6">
        <v>-7.8346299999999998E-4</v>
      </c>
      <c r="O111" s="6">
        <v>-1.07478E-2</v>
      </c>
      <c r="P111" s="6">
        <v>13.7075</v>
      </c>
      <c r="Q111" s="6">
        <v>13.718299999999999</v>
      </c>
      <c r="R111" s="6">
        <v>64.022000000000006</v>
      </c>
      <c r="S111" s="6">
        <v>64.022000000000006</v>
      </c>
      <c r="T111" s="6">
        <v>1.3398000000000001</v>
      </c>
      <c r="U111" s="6">
        <v>4722.22</v>
      </c>
      <c r="V111">
        <f t="shared" si="2"/>
        <v>25.442995689655174</v>
      </c>
      <c r="W111">
        <f t="shared" si="3"/>
        <v>6.5947733333333338E-4</v>
      </c>
    </row>
    <row r="112" spans="1:23" x14ac:dyDescent="0.3">
      <c r="A112" s="6">
        <v>105</v>
      </c>
      <c r="B112" s="6">
        <v>1.8790499999999999E-3</v>
      </c>
      <c r="C112" s="6">
        <v>6.8706199999999995E-2</v>
      </c>
      <c r="D112" s="6">
        <v>36.633099999999999</v>
      </c>
      <c r="E112" s="6">
        <v>36.564399999999999</v>
      </c>
      <c r="F112" s="6">
        <v>-1.61361E-4</v>
      </c>
      <c r="G112" s="6">
        <v>-2.7752900000000001E-3</v>
      </c>
      <c r="H112" s="6">
        <v>17.1965</v>
      </c>
      <c r="I112" s="6">
        <v>17.199200000000001</v>
      </c>
      <c r="J112" s="6">
        <v>-8.7253500000000002E-4</v>
      </c>
      <c r="K112" s="6">
        <v>-1.2632000000000001E-2</v>
      </c>
      <c r="L112" s="6">
        <v>14.464700000000001</v>
      </c>
      <c r="M112" s="6">
        <v>14.477399999999999</v>
      </c>
      <c r="N112" s="6">
        <v>-7.9558600000000004E-4</v>
      </c>
      <c r="O112" s="6">
        <v>-1.0914099999999999E-2</v>
      </c>
      <c r="P112" s="6">
        <v>13.7074</v>
      </c>
      <c r="Q112" s="6">
        <v>13.718299999999999</v>
      </c>
      <c r="R112" s="6">
        <v>64.397000000000006</v>
      </c>
      <c r="S112" s="6">
        <v>64.397999999999996</v>
      </c>
      <c r="T112" s="6">
        <v>1.3446</v>
      </c>
      <c r="U112" s="6">
        <v>4739.17</v>
      </c>
      <c r="V112">
        <f t="shared" si="2"/>
        <v>25.534321120689658</v>
      </c>
      <c r="W112">
        <f t="shared" si="3"/>
        <v>6.0982733333333333E-4</v>
      </c>
    </row>
    <row r="113" spans="1:23" x14ac:dyDescent="0.3">
      <c r="A113" s="6">
        <v>106</v>
      </c>
      <c r="B113" s="6">
        <v>1.93516E-3</v>
      </c>
      <c r="C113" s="6">
        <v>7.0757700000000007E-2</v>
      </c>
      <c r="D113" s="6">
        <v>36.635100000000001</v>
      </c>
      <c r="E113" s="6">
        <v>36.564399999999999</v>
      </c>
      <c r="F113" s="6">
        <v>-3.1038300000000001E-4</v>
      </c>
      <c r="G113" s="6">
        <v>-5.3383600000000003E-3</v>
      </c>
      <c r="H113" s="6">
        <v>17.193899999999999</v>
      </c>
      <c r="I113" s="6">
        <v>17.199200000000001</v>
      </c>
      <c r="J113" s="6">
        <v>-1.0203899999999999E-3</v>
      </c>
      <c r="K113" s="6">
        <v>-1.47726E-2</v>
      </c>
      <c r="L113" s="6">
        <v>14.4626</v>
      </c>
      <c r="M113" s="6">
        <v>14.477399999999999</v>
      </c>
      <c r="N113" s="6">
        <v>-9.1011800000000002E-4</v>
      </c>
      <c r="O113" s="6">
        <v>-1.24853E-2</v>
      </c>
      <c r="P113" s="6">
        <v>13.7058</v>
      </c>
      <c r="Q113" s="6">
        <v>13.718299999999999</v>
      </c>
      <c r="R113" s="6">
        <v>65.206000000000003</v>
      </c>
      <c r="S113" s="6">
        <v>65.206999999999994</v>
      </c>
      <c r="T113" s="6">
        <v>1.3597999999999999</v>
      </c>
      <c r="U113" s="6">
        <v>4792.29</v>
      </c>
      <c r="V113">
        <f t="shared" si="2"/>
        <v>25.820528017241379</v>
      </c>
      <c r="W113">
        <f t="shared" si="3"/>
        <v>7.4696366666666665E-4</v>
      </c>
    </row>
    <row r="114" spans="1:23" x14ac:dyDescent="0.3">
      <c r="A114" s="6">
        <v>107</v>
      </c>
      <c r="B114" s="6">
        <v>2.0088599999999999E-3</v>
      </c>
      <c r="C114" s="6">
        <v>7.3452699999999996E-2</v>
      </c>
      <c r="D114" s="6">
        <v>36.637799999999999</v>
      </c>
      <c r="E114" s="6">
        <v>36.564399999999999</v>
      </c>
      <c r="F114" s="6">
        <v>-2.6091999999999999E-4</v>
      </c>
      <c r="G114" s="6">
        <v>-4.4876200000000003E-3</v>
      </c>
      <c r="H114" s="6">
        <v>17.194800000000001</v>
      </c>
      <c r="I114" s="6">
        <v>17.199200000000001</v>
      </c>
      <c r="J114" s="6">
        <v>-8.9103800000000003E-4</v>
      </c>
      <c r="K114" s="6">
        <v>-1.2899900000000001E-2</v>
      </c>
      <c r="L114" s="6">
        <v>14.464499999999999</v>
      </c>
      <c r="M114" s="6">
        <v>14.477399999999999</v>
      </c>
      <c r="N114" s="6">
        <v>-7.4098299999999996E-4</v>
      </c>
      <c r="O114" s="6">
        <v>-1.0165E-2</v>
      </c>
      <c r="P114" s="6">
        <v>13.7081</v>
      </c>
      <c r="Q114" s="6">
        <v>13.718299999999999</v>
      </c>
      <c r="R114" s="6">
        <v>66.081999999999994</v>
      </c>
      <c r="S114" s="6">
        <v>66.082999999999998</v>
      </c>
      <c r="T114" s="6">
        <v>1.3774999999999999</v>
      </c>
      <c r="U114" s="6">
        <v>4854.46</v>
      </c>
      <c r="V114">
        <f t="shared" si="2"/>
        <v>26.155495689655172</v>
      </c>
      <c r="W114">
        <f t="shared" si="3"/>
        <v>6.3098033333333333E-4</v>
      </c>
    </row>
    <row r="115" spans="1:23" x14ac:dyDescent="0.3">
      <c r="A115" s="6">
        <v>108</v>
      </c>
      <c r="B115" s="6">
        <v>1.9565400000000001E-3</v>
      </c>
      <c r="C115" s="6">
        <v>7.1539599999999995E-2</v>
      </c>
      <c r="D115" s="6">
        <v>36.635899999999999</v>
      </c>
      <c r="E115" s="6">
        <v>36.564399999999999</v>
      </c>
      <c r="F115" s="6">
        <v>-3.3130799999999999E-4</v>
      </c>
      <c r="G115" s="6">
        <v>-5.6982500000000002E-3</v>
      </c>
      <c r="H115" s="6">
        <v>17.1935</v>
      </c>
      <c r="I115" s="6">
        <v>17.199200000000001</v>
      </c>
      <c r="J115" s="6">
        <v>-1.01767E-3</v>
      </c>
      <c r="K115" s="6">
        <v>-1.47332E-2</v>
      </c>
      <c r="L115" s="6">
        <v>14.4626</v>
      </c>
      <c r="M115" s="6">
        <v>14.477399999999999</v>
      </c>
      <c r="N115" s="6">
        <v>-8.4911700000000004E-4</v>
      </c>
      <c r="O115" s="6">
        <v>-1.16484E-2</v>
      </c>
      <c r="P115" s="6">
        <v>13.7066</v>
      </c>
      <c r="Q115" s="6">
        <v>13.718299999999999</v>
      </c>
      <c r="R115" s="6">
        <v>66.52</v>
      </c>
      <c r="S115" s="6">
        <v>66.52</v>
      </c>
      <c r="T115" s="6">
        <v>1.3916999999999999</v>
      </c>
      <c r="U115" s="6">
        <v>4904.1899999999996</v>
      </c>
      <c r="V115">
        <f t="shared" si="2"/>
        <v>26.423437499999999</v>
      </c>
      <c r="W115">
        <f t="shared" si="3"/>
        <v>7.3269833333333343E-4</v>
      </c>
    </row>
    <row r="116" spans="1:23" x14ac:dyDescent="0.3">
      <c r="A116" s="6">
        <v>109</v>
      </c>
      <c r="B116" s="6">
        <v>2.03871E-3</v>
      </c>
      <c r="C116" s="6">
        <v>7.4544200000000005E-2</v>
      </c>
      <c r="D116" s="6">
        <v>36.6389</v>
      </c>
      <c r="E116" s="6">
        <v>36.564399999999999</v>
      </c>
      <c r="F116" s="6">
        <v>-1.8160299999999999E-4</v>
      </c>
      <c r="G116" s="6">
        <v>-3.12343E-3</v>
      </c>
      <c r="H116" s="6">
        <v>17.196100000000001</v>
      </c>
      <c r="I116" s="6">
        <v>17.199200000000001</v>
      </c>
      <c r="J116" s="6">
        <v>-8.9506500000000001E-4</v>
      </c>
      <c r="K116" s="6">
        <v>-1.29582E-2</v>
      </c>
      <c r="L116" s="6">
        <v>14.464399999999999</v>
      </c>
      <c r="M116" s="6">
        <v>14.477399999999999</v>
      </c>
      <c r="N116" s="6">
        <v>-7.9940800000000004E-4</v>
      </c>
      <c r="O116" s="6">
        <v>-1.0966500000000001E-2</v>
      </c>
      <c r="P116" s="6">
        <v>13.7073</v>
      </c>
      <c r="Q116" s="6">
        <v>13.718299999999999</v>
      </c>
      <c r="R116" s="6">
        <v>66.894000000000005</v>
      </c>
      <c r="S116" s="6">
        <v>66.894000000000005</v>
      </c>
      <c r="T116" s="6">
        <v>1.393</v>
      </c>
      <c r="U116" s="6">
        <v>4908.71</v>
      </c>
      <c r="V116">
        <f t="shared" si="2"/>
        <v>26.447790948275863</v>
      </c>
      <c r="W116">
        <f t="shared" si="3"/>
        <v>6.2535866666666665E-4</v>
      </c>
    </row>
    <row r="117" spans="1:23" x14ac:dyDescent="0.3">
      <c r="A117" s="6">
        <v>110</v>
      </c>
      <c r="B117" s="6">
        <v>1.9888800000000002E-3</v>
      </c>
      <c r="C117" s="6">
        <v>7.2722200000000001E-2</v>
      </c>
      <c r="D117" s="6">
        <v>36.637099999999997</v>
      </c>
      <c r="E117" s="6">
        <v>36.564399999999999</v>
      </c>
      <c r="F117" s="6">
        <v>-2.3912400000000001E-4</v>
      </c>
      <c r="G117" s="6">
        <v>-4.11276E-3</v>
      </c>
      <c r="H117" s="6">
        <v>17.1951</v>
      </c>
      <c r="I117" s="6">
        <v>17.199200000000001</v>
      </c>
      <c r="J117" s="6">
        <v>-9.3624400000000003E-4</v>
      </c>
      <c r="K117" s="6">
        <v>-1.3554399999999999E-2</v>
      </c>
      <c r="L117" s="6">
        <v>14.463800000000001</v>
      </c>
      <c r="M117" s="6">
        <v>14.477399999999999</v>
      </c>
      <c r="N117" s="6">
        <v>-8.3145099999999998E-4</v>
      </c>
      <c r="O117" s="6">
        <v>-1.1406100000000001E-2</v>
      </c>
      <c r="P117" s="6">
        <v>13.706899999999999</v>
      </c>
      <c r="Q117" s="6">
        <v>13.718299999999999</v>
      </c>
      <c r="R117" s="6">
        <v>67.644000000000005</v>
      </c>
      <c r="S117" s="6">
        <v>67.644000000000005</v>
      </c>
      <c r="T117" s="6">
        <v>1.4116</v>
      </c>
      <c r="U117" s="6">
        <v>4974.26</v>
      </c>
      <c r="V117">
        <f t="shared" si="2"/>
        <v>26.800969827586208</v>
      </c>
      <c r="W117">
        <f t="shared" si="3"/>
        <v>6.6893966666666665E-4</v>
      </c>
    </row>
    <row r="118" spans="1:23" x14ac:dyDescent="0.3">
      <c r="A118" s="6">
        <v>111</v>
      </c>
      <c r="B118" s="6">
        <v>2.0217199999999999E-3</v>
      </c>
      <c r="C118" s="6">
        <v>7.39229E-2</v>
      </c>
      <c r="D118" s="6">
        <v>36.638300000000001</v>
      </c>
      <c r="E118" s="6">
        <v>36.564399999999999</v>
      </c>
      <c r="F118" s="6">
        <v>-1.5807500000000001E-4</v>
      </c>
      <c r="G118" s="6">
        <v>-2.7187600000000002E-3</v>
      </c>
      <c r="H118" s="6">
        <v>17.1965</v>
      </c>
      <c r="I118" s="6">
        <v>17.199200000000001</v>
      </c>
      <c r="J118" s="6">
        <v>-8.6124200000000002E-4</v>
      </c>
      <c r="K118" s="6">
        <v>-1.24685E-2</v>
      </c>
      <c r="L118" s="6">
        <v>14.4649</v>
      </c>
      <c r="M118" s="6">
        <v>14.477399999999999</v>
      </c>
      <c r="N118" s="6">
        <v>-7.97801E-4</v>
      </c>
      <c r="O118" s="6">
        <v>-1.0944499999999999E-2</v>
      </c>
      <c r="P118" s="6">
        <v>13.7073</v>
      </c>
      <c r="Q118" s="6">
        <v>13.718299999999999</v>
      </c>
      <c r="R118" s="6">
        <v>67.951999999999998</v>
      </c>
      <c r="S118" s="6">
        <v>67.953000000000003</v>
      </c>
      <c r="T118" s="6">
        <v>1.4149</v>
      </c>
      <c r="U118" s="6">
        <v>4985.57</v>
      </c>
      <c r="V118">
        <f t="shared" si="2"/>
        <v>26.861907327586206</v>
      </c>
      <c r="W118">
        <f t="shared" si="3"/>
        <v>6.0570600000000002E-4</v>
      </c>
    </row>
    <row r="119" spans="1:23" x14ac:dyDescent="0.3">
      <c r="A119" s="6">
        <v>112</v>
      </c>
      <c r="B119" s="6">
        <v>2.05982E-3</v>
      </c>
      <c r="C119" s="6">
        <v>7.5315999999999994E-2</v>
      </c>
      <c r="D119" s="6">
        <v>36.639699999999998</v>
      </c>
      <c r="E119" s="6">
        <v>36.564399999999999</v>
      </c>
      <c r="F119" s="6">
        <v>-1.44241E-4</v>
      </c>
      <c r="G119" s="6">
        <v>-2.4808400000000002E-3</v>
      </c>
      <c r="H119" s="6">
        <v>17.1968</v>
      </c>
      <c r="I119" s="6">
        <v>17.199200000000001</v>
      </c>
      <c r="J119" s="6">
        <v>-7.8302600000000003E-4</v>
      </c>
      <c r="K119" s="6">
        <v>-1.1336199999999999E-2</v>
      </c>
      <c r="L119" s="6">
        <v>14.465999999999999</v>
      </c>
      <c r="M119" s="6">
        <v>14.477399999999999</v>
      </c>
      <c r="N119" s="6">
        <v>-7.2288599999999995E-4</v>
      </c>
      <c r="O119" s="6">
        <v>-9.9167600000000002E-3</v>
      </c>
      <c r="P119" s="6">
        <v>13.708399999999999</v>
      </c>
      <c r="Q119" s="6">
        <v>13.718299999999999</v>
      </c>
      <c r="R119" s="6">
        <v>69.203000000000003</v>
      </c>
      <c r="S119" s="6">
        <v>69.203000000000003</v>
      </c>
      <c r="T119" s="6">
        <v>1.4390000000000001</v>
      </c>
      <c r="U119" s="6">
        <v>5070.34</v>
      </c>
      <c r="V119">
        <f t="shared" si="2"/>
        <v>27.318642241379312</v>
      </c>
      <c r="W119">
        <f t="shared" si="3"/>
        <v>5.5005100000000008E-4</v>
      </c>
    </row>
    <row r="120" spans="1:23" x14ac:dyDescent="0.3">
      <c r="A120" s="6">
        <v>113</v>
      </c>
      <c r="B120" s="6">
        <v>2.0679399999999999E-3</v>
      </c>
      <c r="C120" s="6">
        <v>7.5612700000000005E-2</v>
      </c>
      <c r="D120" s="6">
        <v>36.64</v>
      </c>
      <c r="E120" s="6">
        <v>36.564399999999999</v>
      </c>
      <c r="F120" s="6">
        <v>-3.2471300000000002E-4</v>
      </c>
      <c r="G120" s="6">
        <v>-5.5848199999999999E-3</v>
      </c>
      <c r="H120" s="6">
        <v>17.1937</v>
      </c>
      <c r="I120" s="6">
        <v>17.199200000000001</v>
      </c>
      <c r="J120" s="6">
        <v>-9.4824000000000004E-4</v>
      </c>
      <c r="K120" s="6">
        <v>-1.3728000000000001E-2</v>
      </c>
      <c r="L120" s="6">
        <v>14.4636</v>
      </c>
      <c r="M120" s="6">
        <v>14.477399999999999</v>
      </c>
      <c r="N120" s="6">
        <v>-8.1719699999999998E-4</v>
      </c>
      <c r="O120" s="6">
        <v>-1.12105E-2</v>
      </c>
      <c r="P120" s="6">
        <v>13.707100000000001</v>
      </c>
      <c r="Q120" s="6">
        <v>13.718299999999999</v>
      </c>
      <c r="R120" s="6">
        <v>69.887</v>
      </c>
      <c r="S120" s="6">
        <v>69.887</v>
      </c>
      <c r="T120" s="6">
        <v>1.4513</v>
      </c>
      <c r="U120" s="6">
        <v>5113.29</v>
      </c>
      <c r="V120">
        <f t="shared" si="2"/>
        <v>27.550053879310344</v>
      </c>
      <c r="W120">
        <f t="shared" si="3"/>
        <v>6.9671666666666664E-4</v>
      </c>
    </row>
    <row r="121" spans="1:23" x14ac:dyDescent="0.3">
      <c r="A121" s="6">
        <v>114</v>
      </c>
      <c r="B121" s="6">
        <v>2.1071699999999998E-3</v>
      </c>
      <c r="C121" s="6">
        <v>7.7047199999999996E-2</v>
      </c>
      <c r="D121" s="6">
        <v>36.641399999999997</v>
      </c>
      <c r="E121" s="6">
        <v>36.564399999999999</v>
      </c>
      <c r="F121" s="6">
        <v>-3.1493200000000003E-4</v>
      </c>
      <c r="G121" s="6">
        <v>-5.4165899999999998E-3</v>
      </c>
      <c r="H121" s="6">
        <v>17.1938</v>
      </c>
      <c r="I121" s="6">
        <v>17.199200000000001</v>
      </c>
      <c r="J121" s="6">
        <v>-1.01859E-3</v>
      </c>
      <c r="K121" s="6">
        <v>-1.4746499999999999E-2</v>
      </c>
      <c r="L121" s="6">
        <v>14.4626</v>
      </c>
      <c r="M121" s="6">
        <v>14.477399999999999</v>
      </c>
      <c r="N121" s="6">
        <v>-8.5673200000000002E-4</v>
      </c>
      <c r="O121" s="6">
        <v>-1.17529E-2</v>
      </c>
      <c r="P121" s="6">
        <v>13.7065</v>
      </c>
      <c r="Q121" s="6">
        <v>13.718299999999999</v>
      </c>
      <c r="R121" s="6">
        <v>70.510999999999996</v>
      </c>
      <c r="S121" s="6">
        <v>70.510999999999996</v>
      </c>
      <c r="T121" s="6">
        <v>1.4702999999999999</v>
      </c>
      <c r="U121" s="6">
        <v>5179.97</v>
      </c>
      <c r="V121">
        <f t="shared" si="2"/>
        <v>27.909321120689658</v>
      </c>
      <c r="W121">
        <f t="shared" si="3"/>
        <v>7.3008466666666663E-4</v>
      </c>
    </row>
    <row r="122" spans="1:23" x14ac:dyDescent="0.3">
      <c r="A122" s="6">
        <v>115</v>
      </c>
      <c r="B122" s="6">
        <v>2.0886699999999999E-3</v>
      </c>
      <c r="C122" s="6">
        <v>7.63707E-2</v>
      </c>
      <c r="D122" s="6">
        <v>36.640700000000002</v>
      </c>
      <c r="E122" s="6">
        <v>36.564399999999999</v>
      </c>
      <c r="F122" s="6">
        <v>-1.8374400000000001E-4</v>
      </c>
      <c r="G122" s="6">
        <v>-3.1602599999999998E-3</v>
      </c>
      <c r="H122" s="6">
        <v>17.196100000000001</v>
      </c>
      <c r="I122" s="6">
        <v>17.199200000000001</v>
      </c>
      <c r="J122" s="6">
        <v>-8.86946E-4</v>
      </c>
      <c r="K122" s="6">
        <v>-1.28407E-2</v>
      </c>
      <c r="L122" s="6">
        <v>14.464499999999999</v>
      </c>
      <c r="M122" s="6">
        <v>14.477399999999999</v>
      </c>
      <c r="N122" s="6">
        <v>-8.2542599999999998E-4</v>
      </c>
      <c r="O122" s="6">
        <v>-1.1323400000000001E-2</v>
      </c>
      <c r="P122" s="6">
        <v>13.707000000000001</v>
      </c>
      <c r="Q122" s="6">
        <v>13.718299999999999</v>
      </c>
      <c r="R122" s="6">
        <v>71.010000000000005</v>
      </c>
      <c r="S122" s="6">
        <v>71.010000000000005</v>
      </c>
      <c r="T122" s="6">
        <v>1.4755</v>
      </c>
      <c r="U122" s="6">
        <v>5198.0600000000004</v>
      </c>
      <c r="V122">
        <f t="shared" si="2"/>
        <v>28.00678879310345</v>
      </c>
      <c r="W122">
        <f t="shared" si="3"/>
        <v>6.3203866666666666E-4</v>
      </c>
    </row>
    <row r="123" spans="1:23" x14ac:dyDescent="0.3">
      <c r="A123" s="6">
        <v>116</v>
      </c>
      <c r="B123" s="6">
        <v>2.1099199999999999E-3</v>
      </c>
      <c r="C123" s="6">
        <v>7.7147800000000002E-2</v>
      </c>
      <c r="D123" s="6">
        <v>36.641500000000001</v>
      </c>
      <c r="E123" s="6">
        <v>36.564399999999999</v>
      </c>
      <c r="F123" s="6">
        <v>-2.6674000000000001E-4</v>
      </c>
      <c r="G123" s="6">
        <v>-4.58772E-3</v>
      </c>
      <c r="H123" s="6">
        <v>17.194700000000001</v>
      </c>
      <c r="I123" s="6">
        <v>17.199200000000001</v>
      </c>
      <c r="J123" s="6">
        <v>-1.03185E-3</v>
      </c>
      <c r="K123" s="6">
        <v>-1.4938399999999999E-2</v>
      </c>
      <c r="L123" s="6">
        <v>14.462400000000001</v>
      </c>
      <c r="M123" s="6">
        <v>14.477399999999999</v>
      </c>
      <c r="N123" s="6">
        <v>-8.7626999999999996E-4</v>
      </c>
      <c r="O123" s="6">
        <v>-1.2020899999999999E-2</v>
      </c>
      <c r="P123" s="6">
        <v>13.706300000000001</v>
      </c>
      <c r="Q123" s="6">
        <v>13.718299999999999</v>
      </c>
      <c r="R123" s="6">
        <v>71.7</v>
      </c>
      <c r="S123" s="6">
        <v>71.7</v>
      </c>
      <c r="T123" s="6">
        <v>1.4951000000000001</v>
      </c>
      <c r="U123" s="6">
        <v>5267</v>
      </c>
      <c r="V123">
        <f t="shared" si="2"/>
        <v>28.37823275862069</v>
      </c>
      <c r="W123">
        <f t="shared" si="3"/>
        <v>7.2495333333333324E-4</v>
      </c>
    </row>
    <row r="124" spans="1:23" x14ac:dyDescent="0.3">
      <c r="A124" s="6">
        <v>117</v>
      </c>
      <c r="B124" s="6">
        <v>2.0684200000000001E-3</v>
      </c>
      <c r="C124" s="6">
        <v>7.5630600000000006E-2</v>
      </c>
      <c r="D124" s="6">
        <v>36.64</v>
      </c>
      <c r="E124" s="6">
        <v>36.564399999999999</v>
      </c>
      <c r="F124" s="6">
        <v>-2.49335E-4</v>
      </c>
      <c r="G124" s="6">
        <v>-4.2883699999999997E-3</v>
      </c>
      <c r="H124" s="6">
        <v>17.195</v>
      </c>
      <c r="I124" s="6">
        <v>17.199200000000001</v>
      </c>
      <c r="J124" s="6">
        <v>-1.0550900000000001E-3</v>
      </c>
      <c r="K124" s="6">
        <v>-1.5274899999999999E-2</v>
      </c>
      <c r="L124" s="6">
        <v>14.4621</v>
      </c>
      <c r="M124" s="6">
        <v>14.477399999999999</v>
      </c>
      <c r="N124" s="6">
        <v>-1.0070299999999999E-3</v>
      </c>
      <c r="O124" s="6">
        <v>-1.38148E-2</v>
      </c>
      <c r="P124" s="6">
        <v>13.704499999999999</v>
      </c>
      <c r="Q124" s="6">
        <v>13.718299999999999</v>
      </c>
      <c r="R124" s="6">
        <v>72.260000000000005</v>
      </c>
      <c r="S124" s="6">
        <v>72.260000000000005</v>
      </c>
      <c r="T124" s="6">
        <v>1.5044999999999999</v>
      </c>
      <c r="U124" s="6">
        <v>5299.78</v>
      </c>
      <c r="V124">
        <f t="shared" si="2"/>
        <v>28.554849137931033</v>
      </c>
      <c r="W124">
        <f t="shared" si="3"/>
        <v>7.7048500000000001E-4</v>
      </c>
    </row>
    <row r="125" spans="1:23" x14ac:dyDescent="0.3">
      <c r="A125" s="6">
        <v>118</v>
      </c>
      <c r="B125" s="6">
        <v>2.1737200000000001E-3</v>
      </c>
      <c r="C125" s="6">
        <v>7.9480499999999996E-2</v>
      </c>
      <c r="D125" s="6">
        <v>36.643799999999999</v>
      </c>
      <c r="E125" s="6">
        <v>36.564399999999999</v>
      </c>
      <c r="F125" s="6">
        <v>-2.73763E-4</v>
      </c>
      <c r="G125" s="6">
        <v>-4.7085199999999999E-3</v>
      </c>
      <c r="H125" s="6">
        <v>17.194500000000001</v>
      </c>
      <c r="I125" s="6">
        <v>17.199200000000001</v>
      </c>
      <c r="J125" s="6">
        <v>-9.8224399999999996E-4</v>
      </c>
      <c r="K125" s="6">
        <v>-1.42203E-2</v>
      </c>
      <c r="L125" s="6">
        <v>14.463200000000001</v>
      </c>
      <c r="M125" s="6">
        <v>14.477399999999999</v>
      </c>
      <c r="N125" s="6">
        <v>-8.8204500000000003E-4</v>
      </c>
      <c r="O125" s="6">
        <v>-1.2100100000000001E-2</v>
      </c>
      <c r="P125" s="6">
        <v>13.706200000000001</v>
      </c>
      <c r="Q125" s="6">
        <v>13.718299999999999</v>
      </c>
      <c r="R125" s="6">
        <v>72.820999999999998</v>
      </c>
      <c r="S125" s="6">
        <v>72.820999999999998</v>
      </c>
      <c r="T125" s="6">
        <v>1.5193000000000001</v>
      </c>
      <c r="U125" s="6">
        <v>5351.77</v>
      </c>
      <c r="V125">
        <f t="shared" si="2"/>
        <v>28.834967672413796</v>
      </c>
      <c r="W125">
        <f t="shared" si="3"/>
        <v>7.12684E-4</v>
      </c>
    </row>
    <row r="126" spans="1:23" x14ac:dyDescent="0.3">
      <c r="A126" s="6">
        <v>119</v>
      </c>
      <c r="B126" s="6">
        <v>2.1675499999999999E-3</v>
      </c>
      <c r="C126" s="6">
        <v>7.9255000000000006E-2</v>
      </c>
      <c r="D126" s="6">
        <v>36.643599999999999</v>
      </c>
      <c r="E126" s="6">
        <v>36.564399999999999</v>
      </c>
      <c r="F126" s="6">
        <v>-3.1190699999999999E-4</v>
      </c>
      <c r="G126" s="6">
        <v>-5.3645699999999999E-3</v>
      </c>
      <c r="H126" s="6">
        <v>17.193899999999999</v>
      </c>
      <c r="I126" s="6">
        <v>17.199200000000001</v>
      </c>
      <c r="J126" s="6">
        <v>-1.05057E-3</v>
      </c>
      <c r="K126" s="6">
        <v>-1.5209500000000001E-2</v>
      </c>
      <c r="L126" s="6">
        <v>14.462199999999999</v>
      </c>
      <c r="M126" s="6">
        <v>14.477399999999999</v>
      </c>
      <c r="N126" s="6">
        <v>-9.3604599999999995E-4</v>
      </c>
      <c r="O126" s="6">
        <v>-1.2840900000000001E-2</v>
      </c>
      <c r="P126" s="6">
        <v>13.705399999999999</v>
      </c>
      <c r="Q126" s="6">
        <v>13.718299999999999</v>
      </c>
      <c r="R126" s="6">
        <v>73.507999999999996</v>
      </c>
      <c r="S126" s="6">
        <v>73.507999999999996</v>
      </c>
      <c r="T126" s="6">
        <v>1.5264</v>
      </c>
      <c r="U126" s="6">
        <v>5376.64</v>
      </c>
      <c r="V126">
        <f t="shared" si="2"/>
        <v>28.968965517241383</v>
      </c>
      <c r="W126">
        <f t="shared" si="3"/>
        <v>7.6617433333333327E-4</v>
      </c>
    </row>
    <row r="127" spans="1:23" x14ac:dyDescent="0.3">
      <c r="A127" s="6">
        <v>120</v>
      </c>
      <c r="B127" s="6">
        <v>2.1985400000000001E-3</v>
      </c>
      <c r="C127" s="6">
        <v>8.0388399999999999E-2</v>
      </c>
      <c r="D127" s="6">
        <v>36.6447</v>
      </c>
      <c r="E127" s="6">
        <v>36.564399999999999</v>
      </c>
      <c r="F127" s="6">
        <v>-4.1671900000000002E-4</v>
      </c>
      <c r="G127" s="6">
        <v>-7.1672400000000001E-3</v>
      </c>
      <c r="H127" s="6">
        <v>17.1921</v>
      </c>
      <c r="I127" s="6">
        <v>17.199200000000001</v>
      </c>
      <c r="J127" s="6">
        <v>-1.0521700000000001E-3</v>
      </c>
      <c r="K127" s="6">
        <v>-1.5232600000000001E-2</v>
      </c>
      <c r="L127" s="6">
        <v>14.4621</v>
      </c>
      <c r="M127" s="6">
        <v>14.477399999999999</v>
      </c>
      <c r="N127" s="6">
        <v>-7.8996600000000002E-4</v>
      </c>
      <c r="O127" s="6">
        <v>-1.0836999999999999E-2</v>
      </c>
      <c r="P127" s="6">
        <v>13.7074</v>
      </c>
      <c r="Q127" s="6">
        <v>13.718299999999999</v>
      </c>
      <c r="R127" s="6">
        <v>73.819999999999993</v>
      </c>
      <c r="S127" s="6">
        <v>73.819999999999993</v>
      </c>
      <c r="T127" s="6">
        <v>1.536</v>
      </c>
      <c r="U127" s="6">
        <v>5410.54</v>
      </c>
      <c r="V127">
        <f t="shared" si="2"/>
        <v>29.151616379310344</v>
      </c>
      <c r="W127">
        <f t="shared" si="3"/>
        <v>7.5295166666666672E-4</v>
      </c>
    </row>
    <row r="128" spans="1:23" x14ac:dyDescent="0.3">
      <c r="A128" s="6">
        <v>121</v>
      </c>
      <c r="B128" s="6">
        <v>2.2126400000000001E-3</v>
      </c>
      <c r="C128" s="6">
        <v>8.0903900000000001E-2</v>
      </c>
      <c r="D128" s="6">
        <v>36.645299999999999</v>
      </c>
      <c r="E128" s="6">
        <v>36.564399999999999</v>
      </c>
      <c r="F128" s="6">
        <v>-3.3803099999999998E-4</v>
      </c>
      <c r="G128" s="6">
        <v>-5.8138799999999996E-3</v>
      </c>
      <c r="H128" s="6">
        <v>17.1934</v>
      </c>
      <c r="I128" s="6">
        <v>17.199200000000001</v>
      </c>
      <c r="J128" s="6">
        <v>-1.0876799999999999E-3</v>
      </c>
      <c r="K128" s="6">
        <v>-1.5746699999999999E-2</v>
      </c>
      <c r="L128" s="6">
        <v>14.461600000000001</v>
      </c>
      <c r="M128" s="6">
        <v>14.477399999999999</v>
      </c>
      <c r="N128" s="6">
        <v>-9.6619700000000002E-4</v>
      </c>
      <c r="O128" s="6">
        <v>-1.32546E-2</v>
      </c>
      <c r="P128" s="6">
        <v>13.705</v>
      </c>
      <c r="Q128" s="6">
        <v>13.718299999999999</v>
      </c>
      <c r="R128" s="6">
        <v>74.692999999999998</v>
      </c>
      <c r="S128" s="6">
        <v>74.692999999999998</v>
      </c>
      <c r="T128" s="6">
        <v>1.5550999999999999</v>
      </c>
      <c r="U128" s="6">
        <v>5477.23</v>
      </c>
      <c r="V128">
        <f t="shared" si="2"/>
        <v>29.510937499999997</v>
      </c>
      <c r="W128">
        <f t="shared" si="3"/>
        <v>7.9730266666666659E-4</v>
      </c>
    </row>
    <row r="129" spans="1:23" x14ac:dyDescent="0.3">
      <c r="A129" s="6">
        <v>122</v>
      </c>
      <c r="B129" s="6">
        <v>2.23266E-3</v>
      </c>
      <c r="C129" s="6">
        <v>8.1635600000000003E-2</v>
      </c>
      <c r="D129" s="6">
        <v>36.646000000000001</v>
      </c>
      <c r="E129" s="6">
        <v>36.564399999999999</v>
      </c>
      <c r="F129" s="6">
        <v>-2.5681599999999999E-4</v>
      </c>
      <c r="G129" s="6">
        <v>-4.4170499999999996E-3</v>
      </c>
      <c r="H129" s="6">
        <v>17.194800000000001</v>
      </c>
      <c r="I129" s="6">
        <v>17.199200000000001</v>
      </c>
      <c r="J129" s="6">
        <v>-1.02264E-3</v>
      </c>
      <c r="K129" s="6">
        <v>-1.48051E-2</v>
      </c>
      <c r="L129" s="6">
        <v>14.4626</v>
      </c>
      <c r="M129" s="6">
        <v>14.477399999999999</v>
      </c>
      <c r="N129" s="6">
        <v>-9.0503700000000003E-4</v>
      </c>
      <c r="O129" s="6">
        <v>-1.2415600000000001E-2</v>
      </c>
      <c r="P129" s="6">
        <v>13.7059</v>
      </c>
      <c r="Q129" s="6">
        <v>13.718299999999999</v>
      </c>
      <c r="R129" s="6">
        <v>75.319000000000003</v>
      </c>
      <c r="S129" s="6">
        <v>75.319999999999993</v>
      </c>
      <c r="T129" s="6">
        <v>1.5686</v>
      </c>
      <c r="U129" s="6">
        <v>5524.7</v>
      </c>
      <c r="V129">
        <f t="shared" si="2"/>
        <v>29.766702586206897</v>
      </c>
      <c r="W129">
        <f t="shared" si="3"/>
        <v>7.2816433333333338E-4</v>
      </c>
    </row>
    <row r="130" spans="1:23" x14ac:dyDescent="0.3">
      <c r="A130" s="6">
        <v>123</v>
      </c>
      <c r="B130" s="6">
        <v>2.2849200000000002E-3</v>
      </c>
      <c r="C130" s="6">
        <v>8.3546700000000002E-2</v>
      </c>
      <c r="D130" s="6">
        <v>36.6479</v>
      </c>
      <c r="E130" s="6">
        <v>36.564399999999999</v>
      </c>
      <c r="F130" s="6">
        <v>-1.1116300000000001E-4</v>
      </c>
      <c r="G130" s="6">
        <v>-1.9119199999999999E-3</v>
      </c>
      <c r="H130" s="6">
        <v>17.197299999999998</v>
      </c>
      <c r="I130" s="6">
        <v>17.199200000000001</v>
      </c>
      <c r="J130" s="6">
        <v>-9.2398999999999997E-4</v>
      </c>
      <c r="K130" s="6">
        <v>-1.3376900000000001E-2</v>
      </c>
      <c r="L130" s="6">
        <v>14.464</v>
      </c>
      <c r="M130" s="6">
        <v>14.477399999999999</v>
      </c>
      <c r="N130" s="6">
        <v>-8.5353299999999996E-4</v>
      </c>
      <c r="O130" s="6">
        <v>-1.1709000000000001E-2</v>
      </c>
      <c r="P130" s="6">
        <v>13.7066</v>
      </c>
      <c r="Q130" s="6">
        <v>13.718299999999999</v>
      </c>
      <c r="R130" s="6">
        <v>75.876999999999995</v>
      </c>
      <c r="S130" s="6">
        <v>75.876999999999995</v>
      </c>
      <c r="T130" s="6">
        <v>1.5779000000000001</v>
      </c>
      <c r="U130" s="6">
        <v>5557.48</v>
      </c>
      <c r="V130">
        <f t="shared" si="2"/>
        <v>29.943318965517239</v>
      </c>
      <c r="W130">
        <f t="shared" si="3"/>
        <v>6.2956200000000007E-4</v>
      </c>
    </row>
    <row r="131" spans="1:23" x14ac:dyDescent="0.3">
      <c r="A131" s="6">
        <v>124</v>
      </c>
      <c r="B131" s="6">
        <v>2.2051499999999999E-3</v>
      </c>
      <c r="C131" s="6">
        <v>8.0629999999999993E-2</v>
      </c>
      <c r="D131" s="6">
        <v>36.645000000000003</v>
      </c>
      <c r="E131" s="6">
        <v>36.564399999999999</v>
      </c>
      <c r="F131" s="6">
        <v>-1.2770199999999999E-4</v>
      </c>
      <c r="G131" s="6">
        <v>-2.1963799999999999E-3</v>
      </c>
      <c r="H131" s="6">
        <v>17.196999999999999</v>
      </c>
      <c r="I131" s="6">
        <v>17.199200000000001</v>
      </c>
      <c r="J131" s="6">
        <v>-8.8744300000000002E-4</v>
      </c>
      <c r="K131" s="6">
        <v>-1.2847900000000001E-2</v>
      </c>
      <c r="L131" s="6">
        <v>14.464499999999999</v>
      </c>
      <c r="M131" s="6">
        <v>14.477399999999999</v>
      </c>
      <c r="N131" s="6">
        <v>-7.9915200000000002E-4</v>
      </c>
      <c r="O131" s="6">
        <v>-1.0963000000000001E-2</v>
      </c>
      <c r="P131" s="6">
        <v>13.7073</v>
      </c>
      <c r="Q131" s="6">
        <v>13.718299999999999</v>
      </c>
      <c r="R131" s="6">
        <v>76.253</v>
      </c>
      <c r="S131" s="6">
        <v>76.253</v>
      </c>
      <c r="T131" s="6">
        <v>1.5883</v>
      </c>
      <c r="U131" s="6">
        <v>5593.65</v>
      </c>
      <c r="V131">
        <f t="shared" si="2"/>
        <v>30.13820043103448</v>
      </c>
      <c r="W131">
        <f t="shared" si="3"/>
        <v>6.047656666666667E-4</v>
      </c>
    </row>
    <row r="132" spans="1:23" x14ac:dyDescent="0.3">
      <c r="A132" s="6">
        <v>125</v>
      </c>
      <c r="B132" s="6">
        <v>2.2530800000000002E-3</v>
      </c>
      <c r="C132" s="6">
        <v>8.2382200000000003E-2</v>
      </c>
      <c r="D132" s="6">
        <v>36.646700000000003</v>
      </c>
      <c r="E132" s="6">
        <v>36.564399999999999</v>
      </c>
      <c r="F132" s="6">
        <v>-2.0718099999999999E-4</v>
      </c>
      <c r="G132" s="6">
        <v>-3.5633499999999999E-3</v>
      </c>
      <c r="H132" s="6">
        <v>17.195699999999999</v>
      </c>
      <c r="I132" s="6">
        <v>17.199200000000001</v>
      </c>
      <c r="J132" s="6">
        <v>-1.0340799999999999E-3</v>
      </c>
      <c r="K132" s="6">
        <v>-1.4970799999999999E-2</v>
      </c>
      <c r="L132" s="6">
        <v>14.462400000000001</v>
      </c>
      <c r="M132" s="6">
        <v>14.477399999999999</v>
      </c>
      <c r="N132" s="6">
        <v>-9.3817E-4</v>
      </c>
      <c r="O132" s="6">
        <v>-1.2870100000000001E-2</v>
      </c>
      <c r="P132" s="6">
        <v>13.705399999999999</v>
      </c>
      <c r="Q132" s="6">
        <v>13.718299999999999</v>
      </c>
      <c r="R132" s="6">
        <v>77.126000000000005</v>
      </c>
      <c r="S132" s="6">
        <v>77.126000000000005</v>
      </c>
      <c r="T132" s="6">
        <v>1.6044</v>
      </c>
      <c r="U132" s="6">
        <v>5650.16</v>
      </c>
      <c r="V132">
        <f t="shared" si="2"/>
        <v>30.442672413793105</v>
      </c>
      <c r="W132">
        <f t="shared" si="3"/>
        <v>7.26477E-4</v>
      </c>
    </row>
    <row r="133" spans="1:23" x14ac:dyDescent="0.3">
      <c r="A133" s="6">
        <v>126</v>
      </c>
      <c r="B133" s="6">
        <v>2.2551799999999999E-3</v>
      </c>
      <c r="C133" s="6">
        <v>8.2459299999999999E-2</v>
      </c>
      <c r="D133" s="6">
        <v>36.646799999999999</v>
      </c>
      <c r="E133" s="6">
        <v>36.564399999999999</v>
      </c>
      <c r="F133" s="6">
        <v>-1.4165900000000001E-4</v>
      </c>
      <c r="G133" s="6">
        <v>-2.4364199999999999E-3</v>
      </c>
      <c r="H133" s="6">
        <v>17.1968</v>
      </c>
      <c r="I133" s="6">
        <v>17.199200000000001</v>
      </c>
      <c r="J133" s="6">
        <v>-9.8152900000000008E-4</v>
      </c>
      <c r="K133" s="6">
        <v>-1.421E-2</v>
      </c>
      <c r="L133" s="6">
        <v>14.463200000000001</v>
      </c>
      <c r="M133" s="6">
        <v>14.477399999999999</v>
      </c>
      <c r="N133" s="6">
        <v>-9.7372799999999999E-4</v>
      </c>
      <c r="O133" s="6">
        <v>-1.3357900000000001E-2</v>
      </c>
      <c r="P133" s="6">
        <v>13.7049</v>
      </c>
      <c r="Q133" s="6">
        <v>13.718299999999999</v>
      </c>
      <c r="R133" s="6">
        <v>77.686999999999998</v>
      </c>
      <c r="S133" s="6">
        <v>77.686999999999998</v>
      </c>
      <c r="T133" s="6">
        <v>1.6173</v>
      </c>
      <c r="U133" s="6">
        <v>5695.37</v>
      </c>
      <c r="V133">
        <f t="shared" si="2"/>
        <v>30.68626077586207</v>
      </c>
      <c r="W133">
        <f t="shared" si="3"/>
        <v>6.9897199999999996E-4</v>
      </c>
    </row>
    <row r="134" spans="1:23" x14ac:dyDescent="0.3">
      <c r="A134" s="6">
        <v>127</v>
      </c>
      <c r="B134" s="6">
        <v>2.3030300000000002E-3</v>
      </c>
      <c r="C134" s="6">
        <v>8.4208699999999997E-2</v>
      </c>
      <c r="D134" s="6">
        <v>36.648600000000002</v>
      </c>
      <c r="E134" s="6">
        <v>36.564399999999999</v>
      </c>
      <c r="F134" s="6">
        <v>-2.0037700000000001E-4</v>
      </c>
      <c r="G134" s="6">
        <v>-3.4463300000000001E-3</v>
      </c>
      <c r="H134" s="6">
        <v>17.195799999999998</v>
      </c>
      <c r="I134" s="6">
        <v>17.199200000000001</v>
      </c>
      <c r="J134" s="6">
        <v>-9.5244000000000004E-4</v>
      </c>
      <c r="K134" s="6">
        <v>-1.37888E-2</v>
      </c>
      <c r="L134" s="6">
        <v>14.4636</v>
      </c>
      <c r="M134" s="6">
        <v>14.477399999999999</v>
      </c>
      <c r="N134" s="6">
        <v>-8.3723399999999996E-4</v>
      </c>
      <c r="O134" s="6">
        <v>-1.14854E-2</v>
      </c>
      <c r="P134" s="6">
        <v>13.706799999999999</v>
      </c>
      <c r="Q134" s="6">
        <v>13.718299999999999</v>
      </c>
      <c r="R134" s="6">
        <v>78.313000000000002</v>
      </c>
      <c r="S134" s="6">
        <v>78.313000000000002</v>
      </c>
      <c r="T134" s="6">
        <v>1.6327</v>
      </c>
      <c r="U134" s="6">
        <v>5749.62</v>
      </c>
      <c r="V134">
        <f t="shared" si="2"/>
        <v>30.978556034482757</v>
      </c>
      <c r="W134">
        <f t="shared" si="3"/>
        <v>6.6335033333333332E-4</v>
      </c>
    </row>
    <row r="135" spans="1:23" x14ac:dyDescent="0.3">
      <c r="A135" s="6">
        <v>128</v>
      </c>
      <c r="B135" s="6">
        <v>2.2882200000000001E-3</v>
      </c>
      <c r="C135" s="6">
        <v>8.3667400000000003E-2</v>
      </c>
      <c r="D135" s="6">
        <v>36.648000000000003</v>
      </c>
      <c r="E135" s="6">
        <v>36.564399999999999</v>
      </c>
      <c r="F135" s="6">
        <v>-1.9517199999999999E-4</v>
      </c>
      <c r="G135" s="6">
        <v>-3.3568000000000001E-3</v>
      </c>
      <c r="H135" s="6">
        <v>17.195900000000002</v>
      </c>
      <c r="I135" s="6">
        <v>17.199200000000001</v>
      </c>
      <c r="J135" s="6">
        <v>-9.9149999999999998E-4</v>
      </c>
      <c r="K135" s="6">
        <v>-1.43543E-2</v>
      </c>
      <c r="L135" s="6">
        <v>14.462999999999999</v>
      </c>
      <c r="M135" s="6">
        <v>14.477399999999999</v>
      </c>
      <c r="N135" s="6">
        <v>-9.1611800000000005E-4</v>
      </c>
      <c r="O135" s="6">
        <v>-1.25676E-2</v>
      </c>
      <c r="P135" s="6">
        <v>13.7057</v>
      </c>
      <c r="Q135" s="6">
        <v>13.718299999999999</v>
      </c>
      <c r="R135" s="6">
        <v>78.998000000000005</v>
      </c>
      <c r="S135" s="6">
        <v>78.998000000000005</v>
      </c>
      <c r="T135" s="6">
        <v>1.6469</v>
      </c>
      <c r="U135" s="6">
        <v>5799.35</v>
      </c>
      <c r="V135">
        <f t="shared" si="2"/>
        <v>31.246497844827591</v>
      </c>
      <c r="W135">
        <f t="shared" si="3"/>
        <v>7.0093000000000011E-4</v>
      </c>
    </row>
    <row r="136" spans="1:23" x14ac:dyDescent="0.3">
      <c r="A136" s="6">
        <v>129</v>
      </c>
      <c r="B136" s="6">
        <v>2.3325899999999998E-3</v>
      </c>
      <c r="C136" s="6">
        <v>8.5289599999999993E-2</v>
      </c>
      <c r="D136" s="6">
        <v>36.6496</v>
      </c>
      <c r="E136" s="6">
        <v>36.564399999999999</v>
      </c>
      <c r="F136" s="6">
        <v>-3.0718400000000001E-4</v>
      </c>
      <c r="G136" s="6">
        <v>-5.2833300000000001E-3</v>
      </c>
      <c r="H136" s="6">
        <v>17.193999999999999</v>
      </c>
      <c r="I136" s="6">
        <v>17.199200000000001</v>
      </c>
      <c r="J136" s="6">
        <v>-1.1045899999999999E-3</v>
      </c>
      <c r="K136" s="6">
        <v>-1.5991600000000002E-2</v>
      </c>
      <c r="L136" s="6">
        <v>14.461399999999999</v>
      </c>
      <c r="M136" s="6">
        <v>14.477399999999999</v>
      </c>
      <c r="N136" s="6">
        <v>-9.5708700000000002E-4</v>
      </c>
      <c r="O136" s="6">
        <v>-1.31296E-2</v>
      </c>
      <c r="P136" s="6">
        <v>13.7052</v>
      </c>
      <c r="Q136" s="6">
        <v>13.718299999999999</v>
      </c>
      <c r="R136" s="6">
        <v>79.623000000000005</v>
      </c>
      <c r="S136" s="6">
        <v>79.623000000000005</v>
      </c>
      <c r="T136" s="6">
        <v>1.6588000000000001</v>
      </c>
      <c r="U136" s="6">
        <v>5841.17</v>
      </c>
      <c r="V136">
        <f t="shared" ref="V136:V199" si="4">U136/A$2/B$2</f>
        <v>31.471821120689658</v>
      </c>
      <c r="W136">
        <f t="shared" ref="W136:W199" si="5">-AVERAGE(F136,J136,N136)</f>
        <v>7.8962033333333326E-4</v>
      </c>
    </row>
    <row r="137" spans="1:23" x14ac:dyDescent="0.3">
      <c r="A137" s="6">
        <v>130</v>
      </c>
      <c r="B137" s="6">
        <v>2.3533999999999998E-3</v>
      </c>
      <c r="C137" s="6">
        <v>8.6050500000000002E-2</v>
      </c>
      <c r="D137" s="6">
        <v>36.650399999999998</v>
      </c>
      <c r="E137" s="6">
        <v>36.564399999999999</v>
      </c>
      <c r="F137" s="6">
        <v>-2.9870999999999999E-4</v>
      </c>
      <c r="G137" s="6">
        <v>-5.13759E-3</v>
      </c>
      <c r="H137" s="6">
        <v>17.194099999999999</v>
      </c>
      <c r="I137" s="6">
        <v>17.199200000000001</v>
      </c>
      <c r="J137" s="6">
        <v>-1.127E-3</v>
      </c>
      <c r="K137" s="6">
        <v>-1.6315900000000001E-2</v>
      </c>
      <c r="L137" s="6">
        <v>14.4611</v>
      </c>
      <c r="M137" s="6">
        <v>14.477399999999999</v>
      </c>
      <c r="N137" s="6">
        <v>-9.8691399999999998E-4</v>
      </c>
      <c r="O137" s="6">
        <v>-1.35388E-2</v>
      </c>
      <c r="P137" s="6">
        <v>13.704700000000001</v>
      </c>
      <c r="Q137" s="6">
        <v>13.718299999999999</v>
      </c>
      <c r="R137" s="6">
        <v>80.06</v>
      </c>
      <c r="S137" s="6">
        <v>80.06</v>
      </c>
      <c r="T137" s="6">
        <v>1.6669</v>
      </c>
      <c r="U137" s="6">
        <v>5869.43</v>
      </c>
      <c r="V137">
        <f t="shared" si="4"/>
        <v>31.624084051724139</v>
      </c>
      <c r="W137">
        <f t="shared" si="5"/>
        <v>8.0420799999999994E-4</v>
      </c>
    </row>
    <row r="138" spans="1:23" x14ac:dyDescent="0.3">
      <c r="A138" s="6">
        <v>131</v>
      </c>
      <c r="B138" s="6">
        <v>2.4230599999999999E-3</v>
      </c>
      <c r="C138" s="6">
        <v>8.8597700000000001E-2</v>
      </c>
      <c r="D138" s="6">
        <v>36.652999999999999</v>
      </c>
      <c r="E138" s="6">
        <v>36.564399999999999</v>
      </c>
      <c r="F138" s="6">
        <v>-1.7893E-4</v>
      </c>
      <c r="G138" s="6">
        <v>-3.0774700000000001E-3</v>
      </c>
      <c r="H138" s="6">
        <v>17.196200000000001</v>
      </c>
      <c r="I138" s="6">
        <v>17.199200000000001</v>
      </c>
      <c r="J138" s="6">
        <v>-1.05047E-3</v>
      </c>
      <c r="K138" s="6">
        <v>-1.52081E-2</v>
      </c>
      <c r="L138" s="6">
        <v>14.462199999999999</v>
      </c>
      <c r="M138" s="6">
        <v>14.477399999999999</v>
      </c>
      <c r="N138" s="6">
        <v>-9.9992099999999997E-4</v>
      </c>
      <c r="O138" s="6">
        <v>-1.3717200000000001E-2</v>
      </c>
      <c r="P138" s="6">
        <v>13.704599999999999</v>
      </c>
      <c r="Q138" s="6">
        <v>13.718299999999999</v>
      </c>
      <c r="R138" s="6">
        <v>80.808999999999997</v>
      </c>
      <c r="S138" s="6">
        <v>80.808999999999997</v>
      </c>
      <c r="T138" s="6">
        <v>1.6861999999999999</v>
      </c>
      <c r="U138" s="6">
        <v>5937.25</v>
      </c>
      <c r="V138">
        <f t="shared" si="4"/>
        <v>31.989493534482758</v>
      </c>
      <c r="W138">
        <f t="shared" si="5"/>
        <v>7.431069999999999E-4</v>
      </c>
    </row>
    <row r="139" spans="1:23" x14ac:dyDescent="0.3">
      <c r="A139" s="6">
        <v>132</v>
      </c>
      <c r="B139" s="6">
        <v>2.4007099999999999E-3</v>
      </c>
      <c r="C139" s="6">
        <v>8.7780300000000006E-2</v>
      </c>
      <c r="D139" s="6">
        <v>36.652099999999997</v>
      </c>
      <c r="E139" s="6">
        <v>36.564399999999999</v>
      </c>
      <c r="F139" s="6">
        <v>-3.5787999999999998E-4</v>
      </c>
      <c r="G139" s="6">
        <v>-6.1552600000000001E-3</v>
      </c>
      <c r="H139" s="6">
        <v>17.193100000000001</v>
      </c>
      <c r="I139" s="6">
        <v>17.199200000000001</v>
      </c>
      <c r="J139" s="6">
        <v>-1.10739E-3</v>
      </c>
      <c r="K139" s="6">
        <v>-1.6032100000000001E-2</v>
      </c>
      <c r="L139" s="6">
        <v>14.4613</v>
      </c>
      <c r="M139" s="6">
        <v>14.477399999999999</v>
      </c>
      <c r="N139" s="6">
        <v>-1.0077300000000001E-3</v>
      </c>
      <c r="O139" s="6">
        <v>-1.3824299999999999E-2</v>
      </c>
      <c r="P139" s="6">
        <v>13.704499999999999</v>
      </c>
      <c r="Q139" s="6">
        <v>13.718299999999999</v>
      </c>
      <c r="R139" s="6">
        <v>81.117999999999995</v>
      </c>
      <c r="S139" s="6">
        <v>81.117999999999995</v>
      </c>
      <c r="T139" s="6">
        <v>1.6919999999999999</v>
      </c>
      <c r="U139" s="6">
        <v>5957.59</v>
      </c>
      <c r="V139">
        <f t="shared" si="4"/>
        <v>32.099084051724141</v>
      </c>
      <c r="W139">
        <f t="shared" si="5"/>
        <v>8.2433333333333328E-4</v>
      </c>
    </row>
    <row r="140" spans="1:23" x14ac:dyDescent="0.3">
      <c r="A140" s="6">
        <v>133</v>
      </c>
      <c r="B140" s="6">
        <v>2.3463199999999998E-3</v>
      </c>
      <c r="C140" s="6">
        <v>8.5791599999999996E-2</v>
      </c>
      <c r="D140" s="6">
        <v>36.650199999999998</v>
      </c>
      <c r="E140" s="6">
        <v>36.564399999999999</v>
      </c>
      <c r="F140" s="6">
        <v>-2.4623700000000001E-4</v>
      </c>
      <c r="G140" s="6">
        <v>-4.2351000000000003E-3</v>
      </c>
      <c r="H140" s="6">
        <v>17.195</v>
      </c>
      <c r="I140" s="6">
        <v>17.199200000000001</v>
      </c>
      <c r="J140" s="6">
        <v>-1.0285400000000001E-3</v>
      </c>
      <c r="K140" s="6">
        <v>-1.4890499999999999E-2</v>
      </c>
      <c r="L140" s="6">
        <v>14.4625</v>
      </c>
      <c r="M140" s="6">
        <v>14.477399999999999</v>
      </c>
      <c r="N140" s="6">
        <v>-9.4175400000000005E-4</v>
      </c>
      <c r="O140" s="6">
        <v>-1.29192E-2</v>
      </c>
      <c r="P140" s="6">
        <v>13.705399999999999</v>
      </c>
      <c r="Q140" s="6">
        <v>13.718299999999999</v>
      </c>
      <c r="R140" s="6">
        <v>81.682000000000002</v>
      </c>
      <c r="S140" s="6">
        <v>81.682000000000002</v>
      </c>
      <c r="T140" s="6">
        <v>1.6991000000000001</v>
      </c>
      <c r="U140" s="6">
        <v>5982.46</v>
      </c>
      <c r="V140">
        <f t="shared" si="4"/>
        <v>32.233081896551724</v>
      </c>
      <c r="W140">
        <f t="shared" si="5"/>
        <v>7.3884366666666674E-4</v>
      </c>
    </row>
    <row r="141" spans="1:23" x14ac:dyDescent="0.3">
      <c r="A141" s="6">
        <v>134</v>
      </c>
      <c r="B141" s="6">
        <v>2.3998700000000001E-3</v>
      </c>
      <c r="C141" s="6">
        <v>8.7749800000000003E-2</v>
      </c>
      <c r="D141" s="6">
        <v>36.652099999999997</v>
      </c>
      <c r="E141" s="6">
        <v>36.564399999999999</v>
      </c>
      <c r="F141" s="6">
        <v>-2.9899599999999999E-4</v>
      </c>
      <c r="G141" s="6">
        <v>-5.1425000000000004E-3</v>
      </c>
      <c r="H141" s="6">
        <v>17.194099999999999</v>
      </c>
      <c r="I141" s="6">
        <v>17.199200000000001</v>
      </c>
      <c r="J141" s="6">
        <v>-1.1351600000000001E-3</v>
      </c>
      <c r="K141" s="6">
        <v>-1.64341E-2</v>
      </c>
      <c r="L141" s="6">
        <v>14.460900000000001</v>
      </c>
      <c r="M141" s="6">
        <v>14.477399999999999</v>
      </c>
      <c r="N141" s="6">
        <v>-9.9643699999999997E-4</v>
      </c>
      <c r="O141" s="6">
        <v>-1.36694E-2</v>
      </c>
      <c r="P141" s="6">
        <v>13.704599999999999</v>
      </c>
      <c r="Q141" s="6">
        <v>13.718299999999999</v>
      </c>
      <c r="R141" s="6">
        <v>82.555999999999997</v>
      </c>
      <c r="S141" s="6">
        <v>82.555999999999997</v>
      </c>
      <c r="T141" s="6">
        <v>1.7303999999999999</v>
      </c>
      <c r="U141" s="6">
        <v>6092.09</v>
      </c>
      <c r="V141">
        <f t="shared" si="4"/>
        <v>32.82376077586207</v>
      </c>
      <c r="W141">
        <f t="shared" si="5"/>
        <v>8.1019766666666666E-4</v>
      </c>
    </row>
    <row r="142" spans="1:23" x14ac:dyDescent="0.3">
      <c r="A142" s="6">
        <v>135</v>
      </c>
      <c r="B142" s="6">
        <v>2.3557500000000002E-3</v>
      </c>
      <c r="C142" s="6">
        <v>8.6136299999999999E-2</v>
      </c>
      <c r="D142" s="6">
        <v>36.650500000000001</v>
      </c>
      <c r="E142" s="6">
        <v>36.564399999999999</v>
      </c>
      <c r="F142" s="6">
        <v>-1.7477500000000001E-4</v>
      </c>
      <c r="G142" s="6">
        <v>-3.0059900000000001E-3</v>
      </c>
      <c r="H142" s="6">
        <v>17.196200000000001</v>
      </c>
      <c r="I142" s="6">
        <v>17.199200000000001</v>
      </c>
      <c r="J142" s="6">
        <v>-1.00242E-3</v>
      </c>
      <c r="K142" s="6">
        <v>-1.4512499999999999E-2</v>
      </c>
      <c r="L142" s="6">
        <v>14.462899999999999</v>
      </c>
      <c r="M142" s="6">
        <v>14.477399999999999</v>
      </c>
      <c r="N142" s="6">
        <v>-9.4205500000000002E-4</v>
      </c>
      <c r="O142" s="6">
        <v>-1.29234E-2</v>
      </c>
      <c r="P142" s="6">
        <v>13.705399999999999</v>
      </c>
      <c r="Q142" s="6">
        <v>13.718299999999999</v>
      </c>
      <c r="R142" s="6">
        <v>83.117000000000004</v>
      </c>
      <c r="S142" s="6">
        <v>83.117999999999995</v>
      </c>
      <c r="T142" s="6">
        <v>1.7383999999999999</v>
      </c>
      <c r="U142" s="6">
        <v>6120.35</v>
      </c>
      <c r="V142">
        <f t="shared" si="4"/>
        <v>32.976023706896555</v>
      </c>
      <c r="W142">
        <f t="shared" si="5"/>
        <v>7.0641666666666672E-4</v>
      </c>
    </row>
    <row r="143" spans="1:23" x14ac:dyDescent="0.3">
      <c r="A143" s="6">
        <v>136</v>
      </c>
      <c r="B143" s="6">
        <v>2.46342E-3</v>
      </c>
      <c r="C143" s="6">
        <v>9.0073399999999998E-2</v>
      </c>
      <c r="D143" s="6">
        <v>36.654400000000003</v>
      </c>
      <c r="E143" s="6">
        <v>36.564399999999999</v>
      </c>
      <c r="F143" s="6">
        <v>-2.6404599999999999E-4</v>
      </c>
      <c r="G143" s="6">
        <v>-4.5413900000000002E-3</v>
      </c>
      <c r="H143" s="6">
        <v>17.194700000000001</v>
      </c>
      <c r="I143" s="6">
        <v>17.199200000000001</v>
      </c>
      <c r="J143" s="6">
        <v>-1.1536999999999999E-3</v>
      </c>
      <c r="K143" s="6">
        <v>-1.6702600000000001E-2</v>
      </c>
      <c r="L143" s="6">
        <v>14.460699999999999</v>
      </c>
      <c r="M143" s="6">
        <v>14.477399999999999</v>
      </c>
      <c r="N143" s="6">
        <v>-1.02289E-3</v>
      </c>
      <c r="O143" s="6">
        <v>-1.40322E-2</v>
      </c>
      <c r="P143" s="6">
        <v>13.7042</v>
      </c>
      <c r="Q143" s="6">
        <v>13.718299999999999</v>
      </c>
      <c r="R143" s="6">
        <v>83.677000000000007</v>
      </c>
      <c r="S143" s="6">
        <v>83.677999999999997</v>
      </c>
      <c r="T143" s="6">
        <v>1.7455000000000001</v>
      </c>
      <c r="U143" s="6">
        <v>6145.21</v>
      </c>
      <c r="V143">
        <f t="shared" si="4"/>
        <v>33.109967672413795</v>
      </c>
      <c r="W143">
        <f t="shared" si="5"/>
        <v>8.1354533333333331E-4</v>
      </c>
    </row>
    <row r="144" spans="1:23" x14ac:dyDescent="0.3">
      <c r="A144" s="6">
        <v>137</v>
      </c>
      <c r="B144" s="6">
        <v>2.4660400000000001E-3</v>
      </c>
      <c r="C144" s="6">
        <v>9.0169200000000005E-2</v>
      </c>
      <c r="D144" s="6">
        <v>36.654499999999999</v>
      </c>
      <c r="E144" s="6">
        <v>36.564399999999999</v>
      </c>
      <c r="F144" s="6">
        <v>-3.6740399999999999E-4</v>
      </c>
      <c r="G144" s="6">
        <v>-6.3190700000000004E-3</v>
      </c>
      <c r="H144" s="6">
        <v>17.192900000000002</v>
      </c>
      <c r="I144" s="6">
        <v>17.199200000000001</v>
      </c>
      <c r="J144" s="6">
        <v>-1.27143E-3</v>
      </c>
      <c r="K144" s="6">
        <v>-1.84069E-2</v>
      </c>
      <c r="L144" s="6">
        <v>14.459</v>
      </c>
      <c r="M144" s="6">
        <v>14.477399999999999</v>
      </c>
      <c r="N144" s="6">
        <v>-1.02469E-3</v>
      </c>
      <c r="O144" s="6">
        <v>-1.4057E-2</v>
      </c>
      <c r="P144" s="6">
        <v>13.7042</v>
      </c>
      <c r="Q144" s="6">
        <v>13.718299999999999</v>
      </c>
      <c r="R144" s="6">
        <v>84.302000000000007</v>
      </c>
      <c r="S144" s="6">
        <v>84.302000000000007</v>
      </c>
      <c r="T144" s="6">
        <v>1.7648999999999999</v>
      </c>
      <c r="U144" s="6">
        <v>6213.03</v>
      </c>
      <c r="V144">
        <f t="shared" si="4"/>
        <v>33.47537715517241</v>
      </c>
      <c r="W144">
        <f t="shared" si="5"/>
        <v>8.8784133333333337E-4</v>
      </c>
    </row>
    <row r="145" spans="1:23" x14ac:dyDescent="0.3">
      <c r="A145" s="6">
        <v>138</v>
      </c>
      <c r="B145" s="6">
        <v>2.4627899999999999E-3</v>
      </c>
      <c r="C145" s="6">
        <v>9.00503E-2</v>
      </c>
      <c r="D145" s="6">
        <v>36.654400000000003</v>
      </c>
      <c r="E145" s="6">
        <v>36.564399999999999</v>
      </c>
      <c r="F145" s="6">
        <v>-4.3538300000000002E-4</v>
      </c>
      <c r="G145" s="6">
        <v>-7.48827E-3</v>
      </c>
      <c r="H145" s="6">
        <v>17.191800000000001</v>
      </c>
      <c r="I145" s="6">
        <v>17.199200000000001</v>
      </c>
      <c r="J145" s="6">
        <v>-1.2996699999999999E-3</v>
      </c>
      <c r="K145" s="6">
        <v>-1.8815800000000001E-2</v>
      </c>
      <c r="L145" s="6">
        <v>14.458600000000001</v>
      </c>
      <c r="M145" s="6">
        <v>14.477399999999999</v>
      </c>
      <c r="N145" s="6">
        <v>-1.1794900000000001E-3</v>
      </c>
      <c r="O145" s="6">
        <v>-1.61806E-2</v>
      </c>
      <c r="P145" s="6">
        <v>13.7021</v>
      </c>
      <c r="Q145" s="6">
        <v>13.718299999999999</v>
      </c>
      <c r="R145" s="6">
        <v>84.927000000000007</v>
      </c>
      <c r="S145" s="6">
        <v>84.927000000000007</v>
      </c>
      <c r="T145" s="6">
        <v>1.7745</v>
      </c>
      <c r="U145" s="6">
        <v>6246.94</v>
      </c>
      <c r="V145">
        <f t="shared" si="4"/>
        <v>33.658081896551721</v>
      </c>
      <c r="W145">
        <f t="shared" si="5"/>
        <v>9.715143333333333E-4</v>
      </c>
    </row>
    <row r="146" spans="1:23" x14ac:dyDescent="0.3">
      <c r="A146" s="6">
        <v>139</v>
      </c>
      <c r="B146" s="6">
        <v>2.48008E-3</v>
      </c>
      <c r="C146" s="6">
        <v>9.0682399999999996E-2</v>
      </c>
      <c r="D146" s="6">
        <v>36.655000000000001</v>
      </c>
      <c r="E146" s="6">
        <v>36.564399999999999</v>
      </c>
      <c r="F146" s="6">
        <v>-3.3768399999999999E-4</v>
      </c>
      <c r="G146" s="6">
        <v>-5.8079000000000004E-3</v>
      </c>
      <c r="H146" s="6">
        <v>17.1934</v>
      </c>
      <c r="I146" s="6">
        <v>17.199200000000001</v>
      </c>
      <c r="J146" s="6">
        <v>-1.1865000000000001E-3</v>
      </c>
      <c r="K146" s="6">
        <v>-1.7177399999999999E-2</v>
      </c>
      <c r="L146" s="6">
        <v>14.4602</v>
      </c>
      <c r="M146" s="6">
        <v>14.477399999999999</v>
      </c>
      <c r="N146" s="6">
        <v>-1.16592E-3</v>
      </c>
      <c r="O146" s="6">
        <v>-1.5994399999999999E-2</v>
      </c>
      <c r="P146" s="6">
        <v>13.702299999999999</v>
      </c>
      <c r="Q146" s="6">
        <v>13.718299999999999</v>
      </c>
      <c r="R146" s="6">
        <v>85.55</v>
      </c>
      <c r="S146" s="6">
        <v>85.55</v>
      </c>
      <c r="T146" s="6">
        <v>1.7903</v>
      </c>
      <c r="U146" s="6">
        <v>6302.32</v>
      </c>
      <c r="V146">
        <f t="shared" si="4"/>
        <v>33.956465517241377</v>
      </c>
      <c r="W146">
        <f t="shared" si="5"/>
        <v>8.9670133333333334E-4</v>
      </c>
    </row>
    <row r="147" spans="1:23" x14ac:dyDescent="0.3">
      <c r="A147" s="6">
        <v>140</v>
      </c>
      <c r="B147" s="6">
        <v>2.49475E-3</v>
      </c>
      <c r="C147" s="6">
        <v>9.1219099999999997E-2</v>
      </c>
      <c r="D147" s="6">
        <v>36.6556</v>
      </c>
      <c r="E147" s="6">
        <v>36.564399999999999</v>
      </c>
      <c r="F147" s="6">
        <v>-3.1706200000000001E-4</v>
      </c>
      <c r="G147" s="6">
        <v>-5.4532199999999999E-3</v>
      </c>
      <c r="H147" s="6">
        <v>17.1938</v>
      </c>
      <c r="I147" s="6">
        <v>17.199200000000001</v>
      </c>
      <c r="J147" s="6">
        <v>-1.19517E-3</v>
      </c>
      <c r="K147" s="6">
        <v>-1.73029E-2</v>
      </c>
      <c r="L147" s="6">
        <v>14.460100000000001</v>
      </c>
      <c r="M147" s="6">
        <v>14.477399999999999</v>
      </c>
      <c r="N147" s="6">
        <v>-1.07131E-3</v>
      </c>
      <c r="O147" s="6">
        <v>-1.4696600000000001E-2</v>
      </c>
      <c r="P147" s="6">
        <v>13.7036</v>
      </c>
      <c r="Q147" s="6">
        <v>13.718299999999999</v>
      </c>
      <c r="R147" s="6">
        <v>85.988</v>
      </c>
      <c r="S147" s="6">
        <v>85.988</v>
      </c>
      <c r="T147" s="6">
        <v>1.8112999999999999</v>
      </c>
      <c r="U147" s="6">
        <v>6375.79</v>
      </c>
      <c r="V147">
        <f t="shared" si="4"/>
        <v>34.352316810344831</v>
      </c>
      <c r="W147">
        <f t="shared" si="5"/>
        <v>8.6118066666666677E-4</v>
      </c>
    </row>
    <row r="148" spans="1:23" x14ac:dyDescent="0.3">
      <c r="A148" s="6">
        <v>141</v>
      </c>
      <c r="B148" s="6">
        <v>2.5490500000000002E-3</v>
      </c>
      <c r="C148" s="6">
        <v>9.3204300000000004E-2</v>
      </c>
      <c r="D148" s="6">
        <v>36.657600000000002</v>
      </c>
      <c r="E148" s="6">
        <v>36.564399999999999</v>
      </c>
      <c r="F148" s="6">
        <v>-3.41799E-4</v>
      </c>
      <c r="G148" s="6">
        <v>-5.8786899999999998E-3</v>
      </c>
      <c r="H148" s="6">
        <v>17.1934</v>
      </c>
      <c r="I148" s="6">
        <v>17.199200000000001</v>
      </c>
      <c r="J148" s="6">
        <v>-1.1902600000000001E-3</v>
      </c>
      <c r="K148" s="6">
        <v>-1.7231799999999999E-2</v>
      </c>
      <c r="L148" s="6">
        <v>14.460100000000001</v>
      </c>
      <c r="M148" s="6">
        <v>14.477399999999999</v>
      </c>
      <c r="N148" s="6">
        <v>-1.03152E-3</v>
      </c>
      <c r="O148" s="6">
        <v>-1.41507E-2</v>
      </c>
      <c r="P148" s="6">
        <v>13.7041</v>
      </c>
      <c r="Q148" s="6">
        <v>13.718299999999999</v>
      </c>
      <c r="R148" s="6">
        <v>86.61</v>
      </c>
      <c r="S148" s="6">
        <v>86.61</v>
      </c>
      <c r="T148" s="6">
        <v>1.81</v>
      </c>
      <c r="U148" s="6">
        <v>6371.27</v>
      </c>
      <c r="V148">
        <f t="shared" si="4"/>
        <v>34.327963362068971</v>
      </c>
      <c r="W148">
        <f t="shared" si="5"/>
        <v>8.5452633333333325E-4</v>
      </c>
    </row>
    <row r="149" spans="1:23" x14ac:dyDescent="0.3">
      <c r="A149" s="6">
        <v>142</v>
      </c>
      <c r="B149" s="6">
        <v>2.4308400000000001E-3</v>
      </c>
      <c r="C149" s="6">
        <v>8.8882199999999995E-2</v>
      </c>
      <c r="D149" s="6">
        <v>36.653199999999998</v>
      </c>
      <c r="E149" s="6">
        <v>36.564399999999999</v>
      </c>
      <c r="F149" s="6">
        <v>-3.8823800000000001E-4</v>
      </c>
      <c r="G149" s="6">
        <v>-6.6774E-3</v>
      </c>
      <c r="H149" s="6">
        <v>17.192599999999999</v>
      </c>
      <c r="I149" s="6">
        <v>17.199200000000001</v>
      </c>
      <c r="J149" s="6">
        <v>-1.2744200000000001E-3</v>
      </c>
      <c r="K149" s="6">
        <v>-1.84502E-2</v>
      </c>
      <c r="L149" s="6">
        <v>14.4589</v>
      </c>
      <c r="M149" s="6">
        <v>14.477399999999999</v>
      </c>
      <c r="N149" s="6">
        <v>-1.11728E-3</v>
      </c>
      <c r="O149" s="6">
        <v>-1.53271E-2</v>
      </c>
      <c r="P149" s="6">
        <v>13.702999999999999</v>
      </c>
      <c r="Q149" s="6">
        <v>13.718299999999999</v>
      </c>
      <c r="R149" s="6">
        <v>86.921999999999997</v>
      </c>
      <c r="S149" s="6">
        <v>86.921999999999997</v>
      </c>
      <c r="T149" s="6">
        <v>1.8139000000000001</v>
      </c>
      <c r="U149" s="6">
        <v>6384.83</v>
      </c>
      <c r="V149">
        <f t="shared" si="4"/>
        <v>34.401023706896552</v>
      </c>
      <c r="W149">
        <f t="shared" si="5"/>
        <v>9.2664600000000005E-4</v>
      </c>
    </row>
    <row r="150" spans="1:23" x14ac:dyDescent="0.3">
      <c r="A150" s="6">
        <v>143</v>
      </c>
      <c r="B150" s="6">
        <v>2.5258300000000002E-3</v>
      </c>
      <c r="C150" s="6">
        <v>9.2355199999999998E-2</v>
      </c>
      <c r="D150" s="6">
        <v>36.656700000000001</v>
      </c>
      <c r="E150" s="6">
        <v>36.564399999999999</v>
      </c>
      <c r="F150" s="6">
        <v>-2.74768E-4</v>
      </c>
      <c r="G150" s="6">
        <v>-4.7258100000000004E-3</v>
      </c>
      <c r="H150" s="6">
        <v>17.194500000000001</v>
      </c>
      <c r="I150" s="6">
        <v>17.199200000000001</v>
      </c>
      <c r="J150" s="6">
        <v>-1.1721800000000001E-3</v>
      </c>
      <c r="K150" s="6">
        <v>-1.6970099999999998E-2</v>
      </c>
      <c r="L150" s="6">
        <v>14.4604</v>
      </c>
      <c r="M150" s="6">
        <v>14.477399999999999</v>
      </c>
      <c r="N150" s="6">
        <v>-1.07204E-3</v>
      </c>
      <c r="O150" s="6">
        <v>-1.47066E-2</v>
      </c>
      <c r="P150" s="6">
        <v>13.7036</v>
      </c>
      <c r="Q150" s="6">
        <v>13.718299999999999</v>
      </c>
      <c r="R150" s="6">
        <v>87.424999999999997</v>
      </c>
      <c r="S150" s="6">
        <v>87.424999999999997</v>
      </c>
      <c r="T150" s="6">
        <v>1.8303</v>
      </c>
      <c r="U150" s="6">
        <v>6442.47</v>
      </c>
      <c r="V150">
        <f t="shared" si="4"/>
        <v>34.711584051724138</v>
      </c>
      <c r="W150">
        <f t="shared" si="5"/>
        <v>8.3966266666666656E-4</v>
      </c>
    </row>
    <row r="151" spans="1:23" x14ac:dyDescent="0.3">
      <c r="A151" s="6">
        <v>144</v>
      </c>
      <c r="B151" s="6">
        <v>2.5412099999999999E-3</v>
      </c>
      <c r="C151" s="6">
        <v>9.2917899999999998E-2</v>
      </c>
      <c r="D151" s="6">
        <v>36.657299999999999</v>
      </c>
      <c r="E151" s="6">
        <v>36.564399999999999</v>
      </c>
      <c r="F151" s="6">
        <v>-2.4021700000000001E-4</v>
      </c>
      <c r="G151" s="6">
        <v>-4.1315400000000004E-3</v>
      </c>
      <c r="H151" s="6">
        <v>17.1951</v>
      </c>
      <c r="I151" s="6">
        <v>17.199200000000001</v>
      </c>
      <c r="J151" s="6">
        <v>-1.2665899999999999E-3</v>
      </c>
      <c r="K151" s="6">
        <v>-1.83369E-2</v>
      </c>
      <c r="L151" s="6">
        <v>14.459</v>
      </c>
      <c r="M151" s="6">
        <v>14.477399999999999</v>
      </c>
      <c r="N151" s="6">
        <v>-1.16478E-3</v>
      </c>
      <c r="O151" s="6">
        <v>-1.5978800000000001E-2</v>
      </c>
      <c r="P151" s="6">
        <v>13.702299999999999</v>
      </c>
      <c r="Q151" s="6">
        <v>13.718299999999999</v>
      </c>
      <c r="R151" s="6">
        <v>88.298000000000002</v>
      </c>
      <c r="S151" s="6">
        <v>88.298000000000002</v>
      </c>
      <c r="T151" s="6">
        <v>1.8453999999999999</v>
      </c>
      <c r="U151" s="6">
        <v>6495.6</v>
      </c>
      <c r="V151">
        <f t="shared" si="4"/>
        <v>34.997844827586206</v>
      </c>
      <c r="W151">
        <f t="shared" si="5"/>
        <v>8.9052900000000004E-4</v>
      </c>
    </row>
    <row r="152" spans="1:23" x14ac:dyDescent="0.3">
      <c r="A152" s="6">
        <v>145</v>
      </c>
      <c r="B152" s="6">
        <v>2.6261499999999998E-3</v>
      </c>
      <c r="C152" s="6">
        <v>9.6023300000000006E-2</v>
      </c>
      <c r="D152" s="6">
        <v>36.660400000000003</v>
      </c>
      <c r="E152" s="6">
        <v>36.564399999999999</v>
      </c>
      <c r="F152" s="6">
        <v>-2.2295799999999999E-4</v>
      </c>
      <c r="G152" s="6">
        <v>-3.8347099999999999E-3</v>
      </c>
      <c r="H152" s="6">
        <v>17.195399999999999</v>
      </c>
      <c r="I152" s="6">
        <v>17.199200000000001</v>
      </c>
      <c r="J152" s="6">
        <v>-1.1839999999999999E-3</v>
      </c>
      <c r="K152" s="6">
        <v>-1.7141199999999999E-2</v>
      </c>
      <c r="L152" s="6">
        <v>14.4602</v>
      </c>
      <c r="M152" s="6">
        <v>14.477399999999999</v>
      </c>
      <c r="N152" s="6">
        <v>-9.4773399999999999E-4</v>
      </c>
      <c r="O152" s="6">
        <v>-1.30013E-2</v>
      </c>
      <c r="P152" s="6">
        <v>13.705299999999999</v>
      </c>
      <c r="Q152" s="6">
        <v>13.718299999999999</v>
      </c>
      <c r="R152" s="6">
        <v>88.733000000000004</v>
      </c>
      <c r="S152" s="6">
        <v>88.733000000000004</v>
      </c>
      <c r="T152" s="6">
        <v>1.8622000000000001</v>
      </c>
      <c r="U152" s="6">
        <v>6554.37</v>
      </c>
      <c r="V152">
        <f t="shared" si="4"/>
        <v>35.314493534482757</v>
      </c>
      <c r="W152">
        <f t="shared" si="5"/>
        <v>7.8489733333333327E-4</v>
      </c>
    </row>
    <row r="153" spans="1:23" x14ac:dyDescent="0.3">
      <c r="A153" s="6">
        <v>146</v>
      </c>
      <c r="B153" s="6">
        <v>2.6440000000000001E-3</v>
      </c>
      <c r="C153" s="6">
        <v>9.6676300000000007E-2</v>
      </c>
      <c r="D153" s="6">
        <v>36.661000000000001</v>
      </c>
      <c r="E153" s="6">
        <v>36.564399999999999</v>
      </c>
      <c r="F153" s="6">
        <v>-2.0591199999999999E-4</v>
      </c>
      <c r="G153" s="6">
        <v>-3.5415199999999998E-3</v>
      </c>
      <c r="H153" s="6">
        <v>17.195699999999999</v>
      </c>
      <c r="I153" s="6">
        <v>17.199200000000001</v>
      </c>
      <c r="J153" s="6">
        <v>-1.1250800000000001E-3</v>
      </c>
      <c r="K153" s="6">
        <v>-1.6288199999999999E-2</v>
      </c>
      <c r="L153" s="6">
        <v>14.4611</v>
      </c>
      <c r="M153" s="6">
        <v>14.477399999999999</v>
      </c>
      <c r="N153" s="6">
        <v>-1.01385E-3</v>
      </c>
      <c r="O153" s="6">
        <v>-1.39083E-2</v>
      </c>
      <c r="P153" s="6">
        <v>13.7044</v>
      </c>
      <c r="Q153" s="6">
        <v>13.718299999999999</v>
      </c>
      <c r="R153" s="6">
        <v>89.233000000000004</v>
      </c>
      <c r="S153" s="6">
        <v>89.233000000000004</v>
      </c>
      <c r="T153" s="6">
        <v>1.8732</v>
      </c>
      <c r="U153" s="6">
        <v>6592.8</v>
      </c>
      <c r="V153">
        <f t="shared" si="4"/>
        <v>35.521551724137936</v>
      </c>
      <c r="W153">
        <f t="shared" si="5"/>
        <v>7.8161399999999992E-4</v>
      </c>
    </row>
    <row r="154" spans="1:23" x14ac:dyDescent="0.3">
      <c r="A154" s="6">
        <v>147</v>
      </c>
      <c r="B154" s="6">
        <v>2.6210000000000001E-3</v>
      </c>
      <c r="C154" s="6">
        <v>9.5835000000000004E-2</v>
      </c>
      <c r="D154" s="6">
        <v>36.660200000000003</v>
      </c>
      <c r="E154" s="6">
        <v>36.564399999999999</v>
      </c>
      <c r="F154" s="6">
        <v>-2.9511499999999998E-4</v>
      </c>
      <c r="G154" s="6">
        <v>-5.0757500000000004E-3</v>
      </c>
      <c r="H154" s="6">
        <v>17.194199999999999</v>
      </c>
      <c r="I154" s="6">
        <v>17.199200000000001</v>
      </c>
      <c r="J154" s="6">
        <v>-1.1935100000000001E-3</v>
      </c>
      <c r="K154" s="6">
        <v>-1.72789E-2</v>
      </c>
      <c r="L154" s="6">
        <v>14.460100000000001</v>
      </c>
      <c r="M154" s="6">
        <v>14.477399999999999</v>
      </c>
      <c r="N154" s="6">
        <v>-1.0972E-3</v>
      </c>
      <c r="O154" s="6">
        <v>-1.5051699999999999E-2</v>
      </c>
      <c r="P154" s="6">
        <v>13.703200000000001</v>
      </c>
      <c r="Q154" s="6">
        <v>13.718299999999999</v>
      </c>
      <c r="R154" s="6">
        <v>89.98</v>
      </c>
      <c r="S154" s="6">
        <v>89.98</v>
      </c>
      <c r="T154" s="6">
        <v>1.8906000000000001</v>
      </c>
      <c r="U154" s="6">
        <v>6653.83</v>
      </c>
      <c r="V154">
        <f t="shared" si="4"/>
        <v>35.850377155172417</v>
      </c>
      <c r="W154">
        <f t="shared" si="5"/>
        <v>8.6194166666666661E-4</v>
      </c>
    </row>
    <row r="155" spans="1:23" x14ac:dyDescent="0.3">
      <c r="A155" s="6">
        <v>148</v>
      </c>
      <c r="B155" s="6">
        <v>2.7037599999999999E-3</v>
      </c>
      <c r="C155" s="6">
        <v>9.8861299999999999E-2</v>
      </c>
      <c r="D155" s="6">
        <v>36.663200000000003</v>
      </c>
      <c r="E155" s="6">
        <v>36.564399999999999</v>
      </c>
      <c r="F155" s="6">
        <v>-3.6079299999999999E-4</v>
      </c>
      <c r="G155" s="6">
        <v>-6.20536E-3</v>
      </c>
      <c r="H155" s="6">
        <v>17.193000000000001</v>
      </c>
      <c r="I155" s="6">
        <v>17.199200000000001</v>
      </c>
      <c r="J155" s="6">
        <v>-1.20936E-3</v>
      </c>
      <c r="K155" s="6">
        <v>-1.7508300000000001E-2</v>
      </c>
      <c r="L155" s="6">
        <v>14.459899999999999</v>
      </c>
      <c r="M155" s="6">
        <v>14.477399999999999</v>
      </c>
      <c r="N155" s="6">
        <v>-1.0881300000000001E-3</v>
      </c>
      <c r="O155" s="6">
        <v>-1.4927299999999999E-2</v>
      </c>
      <c r="P155" s="6">
        <v>13.7034</v>
      </c>
      <c r="Q155" s="6">
        <v>13.718299999999999</v>
      </c>
      <c r="R155" s="6">
        <v>90.480999999999995</v>
      </c>
      <c r="S155" s="6">
        <v>90.480999999999995</v>
      </c>
      <c r="T155" s="6">
        <v>1.9040999999999999</v>
      </c>
      <c r="U155" s="6">
        <v>6701.3</v>
      </c>
      <c r="V155">
        <f t="shared" si="4"/>
        <v>36.10614224137931</v>
      </c>
      <c r="W155">
        <f t="shared" si="5"/>
        <v>8.860943333333333E-4</v>
      </c>
    </row>
    <row r="156" spans="1:23" x14ac:dyDescent="0.3">
      <c r="A156" s="6">
        <v>149</v>
      </c>
      <c r="B156" s="6">
        <v>2.6561599999999999E-3</v>
      </c>
      <c r="C156" s="6">
        <v>9.7120899999999996E-2</v>
      </c>
      <c r="D156" s="6">
        <v>36.661499999999997</v>
      </c>
      <c r="E156" s="6">
        <v>36.564399999999999</v>
      </c>
      <c r="F156" s="6">
        <v>-2.98077E-4</v>
      </c>
      <c r="G156" s="6">
        <v>-5.1266999999999997E-3</v>
      </c>
      <c r="H156" s="6">
        <v>17.194099999999999</v>
      </c>
      <c r="I156" s="6">
        <v>17.199200000000001</v>
      </c>
      <c r="J156" s="6">
        <v>-1.2063E-3</v>
      </c>
      <c r="K156" s="6">
        <v>-1.7464E-2</v>
      </c>
      <c r="L156" s="6">
        <v>14.459899999999999</v>
      </c>
      <c r="M156" s="6">
        <v>14.477399999999999</v>
      </c>
      <c r="N156" s="6">
        <v>-1.01636E-3</v>
      </c>
      <c r="O156" s="6">
        <v>-1.3942700000000001E-2</v>
      </c>
      <c r="P156" s="6">
        <v>13.7043</v>
      </c>
      <c r="Q156" s="6">
        <v>13.718299999999999</v>
      </c>
      <c r="R156" s="6">
        <v>90.733000000000004</v>
      </c>
      <c r="S156" s="6">
        <v>90.733000000000004</v>
      </c>
      <c r="T156" s="6">
        <v>1.9076</v>
      </c>
      <c r="U156" s="6">
        <v>6713.74</v>
      </c>
      <c r="V156">
        <f t="shared" si="4"/>
        <v>36.173168103448276</v>
      </c>
      <c r="W156">
        <f t="shared" si="5"/>
        <v>8.4024566666666663E-4</v>
      </c>
    </row>
    <row r="157" spans="1:23" x14ac:dyDescent="0.3">
      <c r="A157" s="6">
        <v>150</v>
      </c>
      <c r="B157" s="6">
        <v>2.6895500000000002E-3</v>
      </c>
      <c r="C157" s="6">
        <v>9.8341600000000001E-2</v>
      </c>
      <c r="D157" s="6">
        <v>36.662700000000001</v>
      </c>
      <c r="E157" s="6">
        <v>36.564399999999999</v>
      </c>
      <c r="F157" s="6">
        <v>-4.5368399999999999E-4</v>
      </c>
      <c r="G157" s="6">
        <v>-7.8030199999999999E-3</v>
      </c>
      <c r="H157" s="6">
        <v>17.191400000000002</v>
      </c>
      <c r="I157" s="6">
        <v>17.199200000000001</v>
      </c>
      <c r="J157" s="6">
        <v>-1.2983199999999999E-3</v>
      </c>
      <c r="K157" s="6">
        <v>-1.8796299999999998E-2</v>
      </c>
      <c r="L157" s="6">
        <v>14.458600000000001</v>
      </c>
      <c r="M157" s="6">
        <v>14.477399999999999</v>
      </c>
      <c r="N157" s="6">
        <v>-1.1600200000000001E-3</v>
      </c>
      <c r="O157" s="6">
        <v>-1.5913400000000001E-2</v>
      </c>
      <c r="P157" s="6">
        <v>13.702400000000001</v>
      </c>
      <c r="Q157" s="6">
        <v>13.718299999999999</v>
      </c>
      <c r="R157" s="6">
        <v>91.102999999999994</v>
      </c>
      <c r="S157" s="6">
        <v>91.102999999999994</v>
      </c>
      <c r="T157" s="6">
        <v>1.9186000000000001</v>
      </c>
      <c r="U157" s="6">
        <v>6752.17</v>
      </c>
      <c r="V157">
        <f t="shared" si="4"/>
        <v>36.380226293103448</v>
      </c>
      <c r="W157">
        <f t="shared" si="5"/>
        <v>9.7067466666666668E-4</v>
      </c>
    </row>
    <row r="158" spans="1:23" x14ac:dyDescent="0.3">
      <c r="A158" s="6">
        <v>151</v>
      </c>
      <c r="B158" s="6">
        <v>2.6649199999999999E-3</v>
      </c>
      <c r="C158" s="6">
        <v>9.7441E-2</v>
      </c>
      <c r="D158" s="6">
        <v>36.661799999999999</v>
      </c>
      <c r="E158" s="6">
        <v>36.564399999999999</v>
      </c>
      <c r="F158" s="6">
        <v>-4.4554000000000002E-4</v>
      </c>
      <c r="G158" s="6">
        <v>-7.66294E-3</v>
      </c>
      <c r="H158" s="6">
        <v>17.191600000000001</v>
      </c>
      <c r="I158" s="6">
        <v>17.199200000000001</v>
      </c>
      <c r="J158" s="6">
        <v>-1.37623E-3</v>
      </c>
      <c r="K158" s="6">
        <v>-1.99242E-2</v>
      </c>
      <c r="L158" s="6">
        <v>14.4575</v>
      </c>
      <c r="M158" s="6">
        <v>14.477399999999999</v>
      </c>
      <c r="N158" s="6">
        <v>-1.3470999999999999E-3</v>
      </c>
      <c r="O158" s="6">
        <v>-1.84799E-2</v>
      </c>
      <c r="P158" s="6">
        <v>13.6998</v>
      </c>
      <c r="Q158" s="6">
        <v>13.718299999999999</v>
      </c>
      <c r="R158" s="6">
        <v>91.603999999999999</v>
      </c>
      <c r="S158" s="6">
        <v>91.603999999999999</v>
      </c>
      <c r="T158" s="6">
        <v>1.9231</v>
      </c>
      <c r="U158" s="6">
        <v>6767.99</v>
      </c>
      <c r="V158">
        <f t="shared" si="4"/>
        <v>36.465463362068967</v>
      </c>
      <c r="W158">
        <f t="shared" si="5"/>
        <v>1.0562899999999999E-3</v>
      </c>
    </row>
    <row r="159" spans="1:23" x14ac:dyDescent="0.3">
      <c r="A159" s="6">
        <v>152</v>
      </c>
      <c r="B159" s="6">
        <v>2.68192E-3</v>
      </c>
      <c r="C159" s="6">
        <v>9.8062700000000003E-2</v>
      </c>
      <c r="D159" s="6">
        <v>36.662399999999998</v>
      </c>
      <c r="E159" s="6">
        <v>36.564399999999999</v>
      </c>
      <c r="F159" s="6">
        <v>-3.65435E-4</v>
      </c>
      <c r="G159" s="6">
        <v>-6.2852000000000003E-3</v>
      </c>
      <c r="H159" s="6">
        <v>17.193000000000001</v>
      </c>
      <c r="I159" s="6">
        <v>17.199200000000001</v>
      </c>
      <c r="J159" s="6">
        <v>-1.2742700000000001E-3</v>
      </c>
      <c r="K159" s="6">
        <v>-1.8447999999999999E-2</v>
      </c>
      <c r="L159" s="6">
        <v>14.4589</v>
      </c>
      <c r="M159" s="6">
        <v>14.477399999999999</v>
      </c>
      <c r="N159" s="6">
        <v>-1.13879E-3</v>
      </c>
      <c r="O159" s="6">
        <v>-1.56223E-2</v>
      </c>
      <c r="P159" s="6">
        <v>13.7027</v>
      </c>
      <c r="Q159" s="6">
        <v>13.718299999999999</v>
      </c>
      <c r="R159" s="6">
        <v>92.227999999999994</v>
      </c>
      <c r="S159" s="6">
        <v>92.227999999999994</v>
      </c>
      <c r="T159" s="6">
        <v>1.9389000000000001</v>
      </c>
      <c r="U159" s="6">
        <v>6823.37</v>
      </c>
      <c r="V159">
        <f t="shared" si="4"/>
        <v>36.763846982758622</v>
      </c>
      <c r="W159">
        <f t="shared" si="5"/>
        <v>9.2616499999999995E-4</v>
      </c>
    </row>
    <row r="160" spans="1:23" x14ac:dyDescent="0.3">
      <c r="A160" s="6">
        <v>153</v>
      </c>
      <c r="B160" s="6">
        <v>2.6901099999999999E-3</v>
      </c>
      <c r="C160" s="6">
        <v>9.8362199999999997E-2</v>
      </c>
      <c r="D160" s="6">
        <v>36.662700000000001</v>
      </c>
      <c r="E160" s="6">
        <v>36.564399999999999</v>
      </c>
      <c r="F160" s="6">
        <v>-3.3112000000000001E-4</v>
      </c>
      <c r="G160" s="6">
        <v>-5.6950100000000003E-3</v>
      </c>
      <c r="H160" s="6">
        <v>17.1935</v>
      </c>
      <c r="I160" s="6">
        <v>17.199200000000001</v>
      </c>
      <c r="J160" s="6">
        <v>-1.2324899999999999E-3</v>
      </c>
      <c r="K160" s="6">
        <v>-1.78432E-2</v>
      </c>
      <c r="L160" s="6">
        <v>14.4595</v>
      </c>
      <c r="M160" s="6">
        <v>14.477399999999999</v>
      </c>
      <c r="N160" s="6">
        <v>-1.0923700000000001E-3</v>
      </c>
      <c r="O160" s="6">
        <v>-1.4985399999999999E-2</v>
      </c>
      <c r="P160" s="6">
        <v>13.7033</v>
      </c>
      <c r="Q160" s="6">
        <v>13.718299999999999</v>
      </c>
      <c r="R160" s="6">
        <v>92.912000000000006</v>
      </c>
      <c r="S160" s="6">
        <v>92.912000000000006</v>
      </c>
      <c r="T160" s="6">
        <v>1.9537</v>
      </c>
      <c r="U160" s="6">
        <v>6875.36</v>
      </c>
      <c r="V160">
        <f t="shared" si="4"/>
        <v>37.043965517241382</v>
      </c>
      <c r="W160">
        <f t="shared" si="5"/>
        <v>8.8532666666666672E-4</v>
      </c>
    </row>
    <row r="161" spans="1:23" x14ac:dyDescent="0.3">
      <c r="A161" s="6">
        <v>154</v>
      </c>
      <c r="B161" s="6">
        <v>2.6889100000000001E-3</v>
      </c>
      <c r="C161" s="6">
        <v>9.8318299999999997E-2</v>
      </c>
      <c r="D161" s="6">
        <v>36.662700000000001</v>
      </c>
      <c r="E161" s="6">
        <v>36.564399999999999</v>
      </c>
      <c r="F161" s="6">
        <v>-4.3019299999999999E-4</v>
      </c>
      <c r="G161" s="6">
        <v>-7.3989900000000003E-3</v>
      </c>
      <c r="H161" s="6">
        <v>17.191800000000001</v>
      </c>
      <c r="I161" s="6">
        <v>17.199200000000001</v>
      </c>
      <c r="J161" s="6">
        <v>-1.4465299999999999E-3</v>
      </c>
      <c r="K161" s="6">
        <v>-2.0941999999999999E-2</v>
      </c>
      <c r="L161" s="6">
        <v>14.4564</v>
      </c>
      <c r="M161" s="6">
        <v>14.477399999999999</v>
      </c>
      <c r="N161" s="6">
        <v>-1.26055E-3</v>
      </c>
      <c r="O161" s="6">
        <v>-1.7292600000000002E-2</v>
      </c>
      <c r="P161" s="6">
        <v>13.701000000000001</v>
      </c>
      <c r="Q161" s="6">
        <v>13.718299999999999</v>
      </c>
      <c r="R161" s="6">
        <v>93.35</v>
      </c>
      <c r="S161" s="6">
        <v>93.35</v>
      </c>
      <c r="T161" s="6">
        <v>1.9646999999999999</v>
      </c>
      <c r="U161" s="6">
        <v>6913.79</v>
      </c>
      <c r="V161">
        <f t="shared" si="4"/>
        <v>37.251023706896554</v>
      </c>
      <c r="W161">
        <f t="shared" si="5"/>
        <v>1.0457576666666666E-3</v>
      </c>
    </row>
    <row r="162" spans="1:23" x14ac:dyDescent="0.3">
      <c r="A162" s="6">
        <v>155</v>
      </c>
      <c r="B162" s="6">
        <v>2.6982500000000001E-3</v>
      </c>
      <c r="C162" s="6">
        <v>9.8659800000000006E-2</v>
      </c>
      <c r="D162" s="6">
        <v>36.662999999999997</v>
      </c>
      <c r="E162" s="6">
        <v>36.564399999999999</v>
      </c>
      <c r="F162" s="6">
        <v>-4.37637E-4</v>
      </c>
      <c r="G162" s="6">
        <v>-7.5270299999999997E-3</v>
      </c>
      <c r="H162" s="6">
        <v>17.191700000000001</v>
      </c>
      <c r="I162" s="6">
        <v>17.199200000000001</v>
      </c>
      <c r="J162" s="6">
        <v>-1.42636E-3</v>
      </c>
      <c r="K162" s="6">
        <v>-2.0649899999999999E-2</v>
      </c>
      <c r="L162" s="6">
        <v>14.4567</v>
      </c>
      <c r="M162" s="6">
        <v>14.477399999999999</v>
      </c>
      <c r="N162" s="6">
        <v>-1.31913E-3</v>
      </c>
      <c r="O162" s="6">
        <v>-1.80962E-2</v>
      </c>
      <c r="P162" s="6">
        <v>13.700200000000001</v>
      </c>
      <c r="Q162" s="6">
        <v>13.718299999999999</v>
      </c>
      <c r="R162" s="6">
        <v>93.847999999999999</v>
      </c>
      <c r="S162" s="6">
        <v>93.847999999999999</v>
      </c>
      <c r="T162" s="6">
        <v>1.9773000000000001</v>
      </c>
      <c r="U162" s="6">
        <v>6957.87</v>
      </c>
      <c r="V162">
        <f t="shared" si="4"/>
        <v>37.488523706896551</v>
      </c>
      <c r="W162">
        <f t="shared" si="5"/>
        <v>1.0610423333333333E-3</v>
      </c>
    </row>
    <row r="163" spans="1:23" x14ac:dyDescent="0.3">
      <c r="A163" s="6">
        <v>156</v>
      </c>
      <c r="B163" s="6">
        <v>2.7632300000000002E-3</v>
      </c>
      <c r="C163" s="6">
        <v>0.101036</v>
      </c>
      <c r="D163" s="6">
        <v>36.665399999999998</v>
      </c>
      <c r="E163" s="6">
        <v>36.564399999999999</v>
      </c>
      <c r="F163" s="6">
        <v>-4.4666299999999998E-4</v>
      </c>
      <c r="G163" s="6">
        <v>-7.6822599999999998E-3</v>
      </c>
      <c r="H163" s="6">
        <v>17.191600000000001</v>
      </c>
      <c r="I163" s="6">
        <v>17.199200000000001</v>
      </c>
      <c r="J163" s="6">
        <v>-1.32807E-3</v>
      </c>
      <c r="K163" s="6">
        <v>-1.9227000000000001E-2</v>
      </c>
      <c r="L163" s="6">
        <v>14.4581</v>
      </c>
      <c r="M163" s="6">
        <v>14.477399999999999</v>
      </c>
      <c r="N163" s="6">
        <v>-1.0701199999999999E-3</v>
      </c>
      <c r="O163" s="6">
        <v>-1.4680199999999999E-2</v>
      </c>
      <c r="P163" s="6">
        <v>13.7036</v>
      </c>
      <c r="Q163" s="6">
        <v>13.718299999999999</v>
      </c>
      <c r="R163" s="6">
        <v>94.412000000000006</v>
      </c>
      <c r="S163" s="6">
        <v>94.412000000000006</v>
      </c>
      <c r="T163" s="6">
        <v>1.9850000000000001</v>
      </c>
      <c r="U163" s="6">
        <v>6985</v>
      </c>
      <c r="V163">
        <f t="shared" si="4"/>
        <v>37.634698275862071</v>
      </c>
      <c r="W163">
        <f t="shared" si="5"/>
        <v>9.4828433333333324E-4</v>
      </c>
    </row>
    <row r="164" spans="1:23" x14ac:dyDescent="0.3">
      <c r="A164" s="6">
        <v>157</v>
      </c>
      <c r="B164" s="6">
        <v>2.7867999999999999E-3</v>
      </c>
      <c r="C164" s="6">
        <v>0.101898</v>
      </c>
      <c r="D164" s="6">
        <v>36.6663</v>
      </c>
      <c r="E164" s="6">
        <v>36.564399999999999</v>
      </c>
      <c r="F164" s="6">
        <v>-2.8246100000000002E-4</v>
      </c>
      <c r="G164" s="6">
        <v>-4.8581099999999997E-3</v>
      </c>
      <c r="H164" s="6">
        <v>17.194400000000002</v>
      </c>
      <c r="I164" s="6">
        <v>17.199200000000001</v>
      </c>
      <c r="J164" s="6">
        <v>-1.3149399999999999E-3</v>
      </c>
      <c r="K164" s="6">
        <v>-1.9036899999999999E-2</v>
      </c>
      <c r="L164" s="6">
        <v>14.458299999999999</v>
      </c>
      <c r="M164" s="6">
        <v>14.477399999999999</v>
      </c>
      <c r="N164" s="6">
        <v>-1.26515E-3</v>
      </c>
      <c r="O164" s="6">
        <v>-1.7355700000000002E-2</v>
      </c>
      <c r="P164" s="6">
        <v>13.700900000000001</v>
      </c>
      <c r="Q164" s="6">
        <v>13.718299999999999</v>
      </c>
      <c r="R164" s="6">
        <v>95.034999999999997</v>
      </c>
      <c r="S164" s="6">
        <v>95.034999999999997</v>
      </c>
      <c r="T164" s="6">
        <v>2.0066000000000002</v>
      </c>
      <c r="U164" s="6">
        <v>7060.73</v>
      </c>
      <c r="V164">
        <f t="shared" si="4"/>
        <v>38.042726293103449</v>
      </c>
      <c r="W164">
        <f t="shared" si="5"/>
        <v>9.5418366666666669E-4</v>
      </c>
    </row>
    <row r="165" spans="1:23" x14ac:dyDescent="0.3">
      <c r="A165" s="6">
        <v>158</v>
      </c>
      <c r="B165" s="6">
        <v>2.7607500000000002E-3</v>
      </c>
      <c r="C165" s="6">
        <v>0.10094500000000001</v>
      </c>
      <c r="D165" s="6">
        <v>36.665300000000002</v>
      </c>
      <c r="E165" s="6">
        <v>36.564399999999999</v>
      </c>
      <c r="F165" s="6">
        <v>-3.8476800000000001E-4</v>
      </c>
      <c r="G165" s="6">
        <v>-6.6177199999999997E-3</v>
      </c>
      <c r="H165" s="6">
        <v>17.192599999999999</v>
      </c>
      <c r="I165" s="6">
        <v>17.199200000000001</v>
      </c>
      <c r="J165" s="6">
        <v>-1.3444100000000001E-3</v>
      </c>
      <c r="K165" s="6">
        <v>-1.9463600000000001E-2</v>
      </c>
      <c r="L165" s="6">
        <v>14.4579</v>
      </c>
      <c r="M165" s="6">
        <v>14.477399999999999</v>
      </c>
      <c r="N165" s="6">
        <v>-1.2031399999999999E-3</v>
      </c>
      <c r="O165" s="6">
        <v>-1.6504999999999999E-2</v>
      </c>
      <c r="P165" s="6">
        <v>13.7018</v>
      </c>
      <c r="Q165" s="6">
        <v>13.718299999999999</v>
      </c>
      <c r="R165" s="6">
        <v>95.471999999999994</v>
      </c>
      <c r="S165" s="6">
        <v>95.471999999999994</v>
      </c>
      <c r="T165" s="6">
        <v>2.0200999999999998</v>
      </c>
      <c r="U165" s="6">
        <v>7108.2</v>
      </c>
      <c r="V165">
        <f t="shared" si="4"/>
        <v>38.298491379310342</v>
      </c>
      <c r="W165">
        <f t="shared" si="5"/>
        <v>9.7743933333333324E-4</v>
      </c>
    </row>
    <row r="166" spans="1:23" x14ac:dyDescent="0.3">
      <c r="A166" s="6">
        <v>159</v>
      </c>
      <c r="B166" s="6">
        <v>2.8093100000000002E-3</v>
      </c>
      <c r="C166" s="6">
        <v>0.10272100000000001</v>
      </c>
      <c r="D166" s="6">
        <v>36.667099999999998</v>
      </c>
      <c r="E166" s="6">
        <v>36.564399999999999</v>
      </c>
      <c r="F166" s="6">
        <v>-4.1132000000000001E-4</v>
      </c>
      <c r="G166" s="6">
        <v>-7.0743899999999998E-3</v>
      </c>
      <c r="H166" s="6">
        <v>17.1922</v>
      </c>
      <c r="I166" s="6">
        <v>17.199200000000001</v>
      </c>
      <c r="J166" s="6">
        <v>-1.3727699999999999E-3</v>
      </c>
      <c r="K166" s="6">
        <v>-1.9874200000000002E-2</v>
      </c>
      <c r="L166" s="6">
        <v>14.4575</v>
      </c>
      <c r="M166" s="6">
        <v>14.477399999999999</v>
      </c>
      <c r="N166" s="6">
        <v>-1.20903E-3</v>
      </c>
      <c r="O166" s="6">
        <v>-1.6585800000000001E-2</v>
      </c>
      <c r="P166" s="6">
        <v>13.701700000000001</v>
      </c>
      <c r="Q166" s="6">
        <v>13.718299999999999</v>
      </c>
      <c r="R166" s="6">
        <v>96.158000000000001</v>
      </c>
      <c r="S166" s="6">
        <v>96.158000000000001</v>
      </c>
      <c r="T166" s="6">
        <v>2.0291000000000001</v>
      </c>
      <c r="U166" s="6">
        <v>7139.85</v>
      </c>
      <c r="V166">
        <f t="shared" si="4"/>
        <v>38.46901939655173</v>
      </c>
      <c r="W166">
        <f t="shared" si="5"/>
        <v>9.9770666666666665E-4</v>
      </c>
    </row>
    <row r="167" spans="1:23" x14ac:dyDescent="0.3">
      <c r="A167" s="6">
        <v>160</v>
      </c>
      <c r="B167" s="6">
        <v>2.8341299999999998E-3</v>
      </c>
      <c r="C167" s="6">
        <v>0.103628</v>
      </c>
      <c r="D167" s="6">
        <v>36.667999999999999</v>
      </c>
      <c r="E167" s="6">
        <v>36.564399999999999</v>
      </c>
      <c r="F167" s="6">
        <v>-3.8811E-4</v>
      </c>
      <c r="G167" s="6">
        <v>-6.6751900000000001E-3</v>
      </c>
      <c r="H167" s="6">
        <v>17.192599999999999</v>
      </c>
      <c r="I167" s="6">
        <v>17.199200000000001</v>
      </c>
      <c r="J167" s="6">
        <v>-1.3869500000000001E-3</v>
      </c>
      <c r="K167" s="6">
        <v>-2.0079400000000001E-2</v>
      </c>
      <c r="L167" s="6">
        <v>14.4573</v>
      </c>
      <c r="M167" s="6">
        <v>14.477399999999999</v>
      </c>
      <c r="N167" s="6">
        <v>-1.1670199999999999E-3</v>
      </c>
      <c r="O167" s="6">
        <v>-1.6009499999999999E-2</v>
      </c>
      <c r="P167" s="6">
        <v>13.702299999999999</v>
      </c>
      <c r="Q167" s="6">
        <v>13.718299999999999</v>
      </c>
      <c r="R167" s="6">
        <v>96.781999999999996</v>
      </c>
      <c r="S167" s="6">
        <v>96.781999999999996</v>
      </c>
      <c r="T167" s="6">
        <v>2.0411000000000001</v>
      </c>
      <c r="U167" s="6">
        <v>7181.66</v>
      </c>
      <c r="V167">
        <f t="shared" si="4"/>
        <v>38.694288793103446</v>
      </c>
      <c r="W167">
        <f t="shared" si="5"/>
        <v>9.806933333333333E-4</v>
      </c>
    </row>
    <row r="168" spans="1:23" x14ac:dyDescent="0.3">
      <c r="A168" s="6">
        <v>161</v>
      </c>
      <c r="B168" s="6">
        <v>2.80832E-3</v>
      </c>
      <c r="C168" s="6">
        <v>0.102684</v>
      </c>
      <c r="D168" s="6">
        <v>36.667000000000002</v>
      </c>
      <c r="E168" s="6">
        <v>36.564399999999999</v>
      </c>
      <c r="F168" s="6">
        <v>-2.3663499999999999E-4</v>
      </c>
      <c r="G168" s="6">
        <v>-4.0699400000000002E-3</v>
      </c>
      <c r="H168" s="6">
        <v>17.1952</v>
      </c>
      <c r="I168" s="6">
        <v>17.199200000000001</v>
      </c>
      <c r="J168" s="6">
        <v>-1.23189E-3</v>
      </c>
      <c r="K168" s="6">
        <v>-1.78345E-2</v>
      </c>
      <c r="L168" s="6">
        <v>14.4595</v>
      </c>
      <c r="M168" s="6">
        <v>14.477399999999999</v>
      </c>
      <c r="N168" s="6">
        <v>-1.2006300000000001E-3</v>
      </c>
      <c r="O168" s="6">
        <v>-1.6470599999999998E-2</v>
      </c>
      <c r="P168" s="6">
        <v>13.7018</v>
      </c>
      <c r="Q168" s="6">
        <v>13.718299999999999</v>
      </c>
      <c r="R168" s="6">
        <v>97.093999999999994</v>
      </c>
      <c r="S168" s="6">
        <v>97.093999999999994</v>
      </c>
      <c r="T168" s="6">
        <v>2.0581999999999998</v>
      </c>
      <c r="U168" s="6">
        <v>7241.57</v>
      </c>
      <c r="V168">
        <f t="shared" si="4"/>
        <v>39.017079741379312</v>
      </c>
      <c r="W168">
        <f t="shared" si="5"/>
        <v>8.8971833333333344E-4</v>
      </c>
    </row>
    <row r="169" spans="1:23" x14ac:dyDescent="0.3">
      <c r="A169" s="6">
        <v>162</v>
      </c>
      <c r="B169" s="6">
        <v>2.8901E-3</v>
      </c>
      <c r="C169" s="6">
        <v>0.10567500000000001</v>
      </c>
      <c r="D169" s="6">
        <v>36.67</v>
      </c>
      <c r="E169" s="6">
        <v>36.564399999999999</v>
      </c>
      <c r="F169" s="6">
        <v>-3.9683699999999998E-4</v>
      </c>
      <c r="G169" s="6">
        <v>-6.8253000000000003E-3</v>
      </c>
      <c r="H169" s="6">
        <v>17.192399999999999</v>
      </c>
      <c r="I169" s="6">
        <v>17.199200000000001</v>
      </c>
      <c r="J169" s="6">
        <v>-1.3972800000000001E-3</v>
      </c>
      <c r="K169" s="6">
        <v>-2.0229E-2</v>
      </c>
      <c r="L169" s="6">
        <v>14.457100000000001</v>
      </c>
      <c r="M169" s="6">
        <v>14.477399999999999</v>
      </c>
      <c r="N169" s="6">
        <v>-1.2723299999999999E-3</v>
      </c>
      <c r="O169" s="6">
        <v>-1.74542E-2</v>
      </c>
      <c r="P169" s="6">
        <v>13.700799999999999</v>
      </c>
      <c r="Q169" s="6">
        <v>13.718299999999999</v>
      </c>
      <c r="R169" s="6">
        <v>97.591999999999999</v>
      </c>
      <c r="S169" s="6">
        <v>97.591999999999999</v>
      </c>
      <c r="T169" s="6">
        <v>2.0655999999999999</v>
      </c>
      <c r="U169" s="6">
        <v>7267.56</v>
      </c>
      <c r="V169">
        <f t="shared" si="4"/>
        <v>39.157112068965517</v>
      </c>
      <c r="W169">
        <f t="shared" si="5"/>
        <v>1.022149E-3</v>
      </c>
    </row>
    <row r="170" spans="1:23" x14ac:dyDescent="0.3">
      <c r="A170" s="6">
        <v>163</v>
      </c>
      <c r="B170" s="6">
        <v>2.8640599999999999E-3</v>
      </c>
      <c r="C170" s="6">
        <v>0.104722</v>
      </c>
      <c r="D170" s="6">
        <v>36.6691</v>
      </c>
      <c r="E170" s="6">
        <v>36.564399999999999</v>
      </c>
      <c r="F170" s="6">
        <v>-2.99809E-4</v>
      </c>
      <c r="G170" s="6">
        <v>-5.1564799999999997E-3</v>
      </c>
      <c r="H170" s="6">
        <v>17.194099999999999</v>
      </c>
      <c r="I170" s="6">
        <v>17.199200000000001</v>
      </c>
      <c r="J170" s="6">
        <v>-1.2535300000000001E-3</v>
      </c>
      <c r="K170" s="6">
        <v>-1.8147799999999999E-2</v>
      </c>
      <c r="L170" s="6">
        <v>14.459199999999999</v>
      </c>
      <c r="M170" s="6">
        <v>14.477399999999999</v>
      </c>
      <c r="N170" s="6">
        <v>-1.1454200000000001E-3</v>
      </c>
      <c r="O170" s="6">
        <v>-1.57132E-2</v>
      </c>
      <c r="P170" s="6">
        <v>13.7026</v>
      </c>
      <c r="Q170" s="6">
        <v>13.718299999999999</v>
      </c>
      <c r="R170" s="6">
        <v>98.156000000000006</v>
      </c>
      <c r="S170" s="6">
        <v>98.156000000000006</v>
      </c>
      <c r="T170" s="6">
        <v>2.0788000000000002</v>
      </c>
      <c r="U170" s="6">
        <v>7313.91</v>
      </c>
      <c r="V170">
        <f t="shared" si="4"/>
        <v>39.406842672413795</v>
      </c>
      <c r="W170">
        <f t="shared" si="5"/>
        <v>8.9958633333333345E-4</v>
      </c>
    </row>
    <row r="171" spans="1:23" x14ac:dyDescent="0.3">
      <c r="A171" s="6">
        <v>164</v>
      </c>
      <c r="B171" s="6">
        <v>2.94246E-3</v>
      </c>
      <c r="C171" s="6">
        <v>0.107589</v>
      </c>
      <c r="D171" s="6">
        <v>36.671900000000001</v>
      </c>
      <c r="E171" s="6">
        <v>36.564399999999999</v>
      </c>
      <c r="F171" s="6">
        <v>-3.4721200000000001E-4</v>
      </c>
      <c r="G171" s="6">
        <v>-5.9717800000000003E-3</v>
      </c>
      <c r="H171" s="6">
        <v>17.193300000000001</v>
      </c>
      <c r="I171" s="6">
        <v>17.199200000000001</v>
      </c>
      <c r="J171" s="6">
        <v>-1.3395799999999999E-3</v>
      </c>
      <c r="K171" s="6">
        <v>-1.93936E-2</v>
      </c>
      <c r="L171" s="6">
        <v>14.458</v>
      </c>
      <c r="M171" s="6">
        <v>14.477399999999999</v>
      </c>
      <c r="N171" s="6">
        <v>-1.2739800000000001E-3</v>
      </c>
      <c r="O171" s="6">
        <v>-1.7476800000000001E-2</v>
      </c>
      <c r="P171" s="6">
        <v>13.700799999999999</v>
      </c>
      <c r="Q171" s="6">
        <v>13.718299999999999</v>
      </c>
      <c r="R171" s="6">
        <v>98.905000000000001</v>
      </c>
      <c r="S171" s="6">
        <v>98.905000000000001</v>
      </c>
      <c r="T171" s="6">
        <v>2.0983999999999998</v>
      </c>
      <c r="U171" s="6">
        <v>7382.85</v>
      </c>
      <c r="V171">
        <f t="shared" si="4"/>
        <v>39.778286637931039</v>
      </c>
      <c r="W171">
        <f t="shared" si="5"/>
        <v>9.8692399999999992E-4</v>
      </c>
    </row>
    <row r="172" spans="1:23" x14ac:dyDescent="0.3">
      <c r="A172" s="6">
        <v>165</v>
      </c>
      <c r="B172" s="6">
        <v>2.9005599999999999E-3</v>
      </c>
      <c r="C172" s="6">
        <v>0.106057</v>
      </c>
      <c r="D172" s="6">
        <v>36.670400000000001</v>
      </c>
      <c r="E172" s="6">
        <v>36.564399999999999</v>
      </c>
      <c r="F172" s="6">
        <v>-3.99627E-4</v>
      </c>
      <c r="G172" s="6">
        <v>-6.8732799999999998E-3</v>
      </c>
      <c r="H172" s="6">
        <v>17.192399999999999</v>
      </c>
      <c r="I172" s="6">
        <v>17.199200000000001</v>
      </c>
      <c r="J172" s="6">
        <v>-1.36702E-3</v>
      </c>
      <c r="K172" s="6">
        <v>-1.9790800000000001E-2</v>
      </c>
      <c r="L172" s="6">
        <v>14.457599999999999</v>
      </c>
      <c r="M172" s="6">
        <v>14.477399999999999</v>
      </c>
      <c r="N172" s="6">
        <v>-1.2305199999999999E-3</v>
      </c>
      <c r="O172" s="6">
        <v>-1.6880699999999998E-2</v>
      </c>
      <c r="P172" s="6">
        <v>13.7014</v>
      </c>
      <c r="Q172" s="6">
        <v>13.718299999999999</v>
      </c>
      <c r="R172" s="6">
        <v>99.34</v>
      </c>
      <c r="S172" s="6">
        <v>99.34</v>
      </c>
      <c r="T172" s="6">
        <v>2.1025999999999998</v>
      </c>
      <c r="U172" s="6">
        <v>7397.54</v>
      </c>
      <c r="V172">
        <f t="shared" si="4"/>
        <v>39.857435344827586</v>
      </c>
      <c r="W172">
        <f t="shared" si="5"/>
        <v>9.9905566666666674E-4</v>
      </c>
    </row>
    <row r="173" spans="1:23" x14ac:dyDescent="0.3">
      <c r="A173" s="6">
        <v>166</v>
      </c>
      <c r="B173" s="6">
        <v>2.9188899999999999E-3</v>
      </c>
      <c r="C173" s="6">
        <v>0.106727</v>
      </c>
      <c r="D173" s="6">
        <v>36.671100000000003</v>
      </c>
      <c r="E173" s="6">
        <v>36.564399999999999</v>
      </c>
      <c r="F173" s="6">
        <v>-4.3548000000000003E-4</v>
      </c>
      <c r="G173" s="6">
        <v>-7.4899299999999997E-3</v>
      </c>
      <c r="H173" s="6">
        <v>17.191800000000001</v>
      </c>
      <c r="I173" s="6">
        <v>17.199200000000001</v>
      </c>
      <c r="J173" s="6">
        <v>-1.44389E-3</v>
      </c>
      <c r="K173" s="6">
        <v>-2.0903700000000001E-2</v>
      </c>
      <c r="L173" s="6">
        <v>14.4565</v>
      </c>
      <c r="M173" s="6">
        <v>14.477399999999999</v>
      </c>
      <c r="N173" s="6">
        <v>-1.2951099999999999E-3</v>
      </c>
      <c r="O173" s="6">
        <v>-1.77666E-2</v>
      </c>
      <c r="P173" s="6">
        <v>13.7005</v>
      </c>
      <c r="Q173" s="6">
        <v>13.718299999999999</v>
      </c>
      <c r="R173" s="6">
        <v>100.026</v>
      </c>
      <c r="S173" s="6">
        <v>100.026</v>
      </c>
      <c r="T173" s="6">
        <v>2.1219999999999999</v>
      </c>
      <c r="U173" s="6">
        <v>7465.36</v>
      </c>
      <c r="V173">
        <f t="shared" si="4"/>
        <v>40.222844827586208</v>
      </c>
      <c r="W173">
        <f t="shared" si="5"/>
        <v>1.05816E-3</v>
      </c>
    </row>
    <row r="174" spans="1:23" x14ac:dyDescent="0.3">
      <c r="A174" s="6">
        <v>167</v>
      </c>
      <c r="B174" s="6">
        <v>2.94137E-3</v>
      </c>
      <c r="C174" s="6">
        <v>0.10754900000000001</v>
      </c>
      <c r="D174" s="6">
        <v>36.671900000000001</v>
      </c>
      <c r="E174" s="6">
        <v>36.564399999999999</v>
      </c>
      <c r="F174" s="6">
        <v>-3.7940499999999998E-4</v>
      </c>
      <c r="G174" s="6">
        <v>-6.5254700000000002E-3</v>
      </c>
      <c r="H174" s="6">
        <v>17.192699999999999</v>
      </c>
      <c r="I174" s="6">
        <v>17.199200000000001</v>
      </c>
      <c r="J174" s="6">
        <v>-1.4338300000000001E-3</v>
      </c>
      <c r="K174" s="6">
        <v>-2.0758200000000001E-2</v>
      </c>
      <c r="L174" s="6">
        <v>14.4566</v>
      </c>
      <c r="M174" s="6">
        <v>14.477399999999999</v>
      </c>
      <c r="N174" s="6">
        <v>-1.2846000000000001E-3</v>
      </c>
      <c r="O174" s="6">
        <v>-1.7622499999999999E-2</v>
      </c>
      <c r="P174" s="6">
        <v>13.700699999999999</v>
      </c>
      <c r="Q174" s="6">
        <v>13.718299999999999</v>
      </c>
      <c r="R174" s="6">
        <v>100.589</v>
      </c>
      <c r="S174" s="6">
        <v>100.589</v>
      </c>
      <c r="T174" s="6">
        <v>2.1328999999999998</v>
      </c>
      <c r="U174" s="6">
        <v>7503.79</v>
      </c>
      <c r="V174">
        <f t="shared" si="4"/>
        <v>40.429903017241379</v>
      </c>
      <c r="W174">
        <f t="shared" si="5"/>
        <v>1.0326116666666667E-3</v>
      </c>
    </row>
    <row r="175" spans="1:23" x14ac:dyDescent="0.3">
      <c r="A175" s="6">
        <v>168</v>
      </c>
      <c r="B175" s="6">
        <v>2.9390900000000001E-3</v>
      </c>
      <c r="C175" s="6">
        <v>0.10746600000000001</v>
      </c>
      <c r="D175" s="6">
        <v>36.671799999999998</v>
      </c>
      <c r="E175" s="6">
        <v>36.564399999999999</v>
      </c>
      <c r="F175" s="6">
        <v>-3.97148E-4</v>
      </c>
      <c r="G175" s="6">
        <v>-6.8306399999999998E-3</v>
      </c>
      <c r="H175" s="6">
        <v>17.192399999999999</v>
      </c>
      <c r="I175" s="6">
        <v>17.199200000000001</v>
      </c>
      <c r="J175" s="6">
        <v>-1.4425200000000001E-3</v>
      </c>
      <c r="K175" s="6">
        <v>-2.08839E-2</v>
      </c>
      <c r="L175" s="6">
        <v>14.4565</v>
      </c>
      <c r="M175" s="6">
        <v>14.477399999999999</v>
      </c>
      <c r="N175" s="6">
        <v>-1.3350300000000001E-3</v>
      </c>
      <c r="O175" s="6">
        <v>-1.8314400000000002E-2</v>
      </c>
      <c r="P175" s="6">
        <v>13.7</v>
      </c>
      <c r="Q175" s="6">
        <v>13.718299999999999</v>
      </c>
      <c r="R175" s="6">
        <v>100.9</v>
      </c>
      <c r="S175" s="6">
        <v>100.9</v>
      </c>
      <c r="T175" s="6">
        <v>2.1503000000000001</v>
      </c>
      <c r="U175" s="6">
        <v>7564.82</v>
      </c>
      <c r="V175">
        <f t="shared" si="4"/>
        <v>40.758728448275861</v>
      </c>
      <c r="W175">
        <f t="shared" si="5"/>
        <v>1.0582326666666666E-3</v>
      </c>
    </row>
    <row r="176" spans="1:23" x14ac:dyDescent="0.3">
      <c r="A176" s="6">
        <v>169</v>
      </c>
      <c r="B176" s="6">
        <v>2.9557400000000001E-3</v>
      </c>
      <c r="C176" s="6">
        <v>0.108075</v>
      </c>
      <c r="D176" s="6">
        <v>36.672400000000003</v>
      </c>
      <c r="E176" s="6">
        <v>36.564399999999999</v>
      </c>
      <c r="F176" s="6">
        <v>-4.5720599999999999E-4</v>
      </c>
      <c r="G176" s="6">
        <v>-7.8636000000000001E-3</v>
      </c>
      <c r="H176" s="6">
        <v>17.191400000000002</v>
      </c>
      <c r="I176" s="6">
        <v>17.199200000000001</v>
      </c>
      <c r="J176" s="6">
        <v>-1.48256E-3</v>
      </c>
      <c r="K176" s="6">
        <v>-2.1463599999999999E-2</v>
      </c>
      <c r="L176" s="6">
        <v>14.4559</v>
      </c>
      <c r="M176" s="6">
        <v>14.477399999999999</v>
      </c>
      <c r="N176" s="6">
        <v>-1.3769699999999999E-3</v>
      </c>
      <c r="O176" s="6">
        <v>-1.8889699999999999E-2</v>
      </c>
      <c r="P176" s="6">
        <v>13.699400000000001</v>
      </c>
      <c r="Q176" s="6">
        <v>13.718299999999999</v>
      </c>
      <c r="R176" s="6">
        <v>101.523</v>
      </c>
      <c r="S176" s="6">
        <v>101.523</v>
      </c>
      <c r="T176" s="6">
        <v>2.1577000000000002</v>
      </c>
      <c r="U176" s="6">
        <v>7590.82</v>
      </c>
      <c r="V176">
        <f t="shared" si="4"/>
        <v>40.898814655172416</v>
      </c>
      <c r="W176">
        <f t="shared" si="5"/>
        <v>1.1055786666666666E-3</v>
      </c>
    </row>
    <row r="177" spans="1:23" x14ac:dyDescent="0.3">
      <c r="A177" s="6">
        <v>170</v>
      </c>
      <c r="B177" s="6">
        <v>2.97985E-3</v>
      </c>
      <c r="C177" s="6">
        <v>0.108956</v>
      </c>
      <c r="D177" s="6">
        <v>36.673299999999998</v>
      </c>
      <c r="E177" s="6">
        <v>36.564399999999999</v>
      </c>
      <c r="F177" s="6">
        <v>-3.8850400000000002E-4</v>
      </c>
      <c r="G177" s="6">
        <v>-6.6819799999999997E-3</v>
      </c>
      <c r="H177" s="6">
        <v>17.192599999999999</v>
      </c>
      <c r="I177" s="6">
        <v>17.199200000000001</v>
      </c>
      <c r="J177" s="6">
        <v>-1.40799E-3</v>
      </c>
      <c r="K177" s="6">
        <v>-2.0383999999999999E-2</v>
      </c>
      <c r="L177" s="6">
        <v>14.457000000000001</v>
      </c>
      <c r="M177" s="6">
        <v>14.477399999999999</v>
      </c>
      <c r="N177" s="6">
        <v>-1.2656500000000001E-3</v>
      </c>
      <c r="O177" s="6">
        <v>-1.7362499999999999E-2</v>
      </c>
      <c r="P177" s="6">
        <v>13.700900000000001</v>
      </c>
      <c r="Q177" s="6">
        <v>13.718299999999999</v>
      </c>
      <c r="R177" s="6">
        <v>101.9</v>
      </c>
      <c r="S177" s="6">
        <v>101.9</v>
      </c>
      <c r="T177" s="6">
        <v>2.1680999999999999</v>
      </c>
      <c r="U177" s="6">
        <v>7626.99</v>
      </c>
      <c r="V177">
        <f t="shared" si="4"/>
        <v>41.093696120689657</v>
      </c>
      <c r="W177">
        <f t="shared" si="5"/>
        <v>1.0207146666666668E-3</v>
      </c>
    </row>
    <row r="178" spans="1:23" x14ac:dyDescent="0.3">
      <c r="A178" s="6">
        <v>171</v>
      </c>
      <c r="B178" s="6">
        <v>3.02959E-3</v>
      </c>
      <c r="C178" s="6">
        <v>0.110775</v>
      </c>
      <c r="D178" s="6">
        <v>36.6751</v>
      </c>
      <c r="E178" s="6">
        <v>36.564399999999999</v>
      </c>
      <c r="F178" s="6">
        <v>-3.5897199999999999E-4</v>
      </c>
      <c r="G178" s="6">
        <v>-6.1740500000000004E-3</v>
      </c>
      <c r="H178" s="6">
        <v>17.193100000000001</v>
      </c>
      <c r="I178" s="6">
        <v>17.199200000000001</v>
      </c>
      <c r="J178" s="6">
        <v>-1.4201800000000001E-3</v>
      </c>
      <c r="K178" s="6">
        <v>-2.0560499999999999E-2</v>
      </c>
      <c r="L178" s="6">
        <v>14.456799999999999</v>
      </c>
      <c r="M178" s="6">
        <v>14.477399999999999</v>
      </c>
      <c r="N178" s="6">
        <v>-1.2840099999999999E-3</v>
      </c>
      <c r="O178" s="6">
        <v>-1.7614399999999999E-2</v>
      </c>
      <c r="P178" s="6">
        <v>13.700699999999999</v>
      </c>
      <c r="Q178" s="6">
        <v>13.718299999999999</v>
      </c>
      <c r="R178" s="6">
        <v>102.646</v>
      </c>
      <c r="S178" s="6">
        <v>102.646</v>
      </c>
      <c r="T178" s="6">
        <v>2.1850999999999998</v>
      </c>
      <c r="U178" s="6">
        <v>7686.89</v>
      </c>
      <c r="V178">
        <f t="shared" si="4"/>
        <v>41.416433189655173</v>
      </c>
      <c r="W178">
        <f t="shared" si="5"/>
        <v>1.021054E-3</v>
      </c>
    </row>
    <row r="179" spans="1:23" x14ac:dyDescent="0.3">
      <c r="A179" s="6">
        <v>172</v>
      </c>
      <c r="B179" s="6">
        <v>3.0135700000000001E-3</v>
      </c>
      <c r="C179" s="6">
        <v>0.110189</v>
      </c>
      <c r="D179" s="6">
        <v>36.674500000000002</v>
      </c>
      <c r="E179" s="6">
        <v>36.564399999999999</v>
      </c>
      <c r="F179" s="6">
        <v>-4.9979500000000004E-4</v>
      </c>
      <c r="G179" s="6">
        <v>-8.5960900000000007E-3</v>
      </c>
      <c r="H179" s="6">
        <v>17.1906</v>
      </c>
      <c r="I179" s="6">
        <v>17.199200000000001</v>
      </c>
      <c r="J179" s="6">
        <v>-1.52349E-3</v>
      </c>
      <c r="K179" s="6">
        <v>-2.2056200000000001E-2</v>
      </c>
      <c r="L179" s="6">
        <v>14.455299999999999</v>
      </c>
      <c r="M179" s="6">
        <v>14.477399999999999</v>
      </c>
      <c r="N179" s="6">
        <v>-1.35593E-3</v>
      </c>
      <c r="O179" s="6">
        <v>-1.8601099999999999E-2</v>
      </c>
      <c r="P179" s="6">
        <v>13.6997</v>
      </c>
      <c r="Q179" s="6">
        <v>13.718299999999999</v>
      </c>
      <c r="R179" s="6">
        <v>103.148</v>
      </c>
      <c r="S179" s="6">
        <v>103.149</v>
      </c>
      <c r="T179" s="6">
        <v>2.198</v>
      </c>
      <c r="U179" s="6">
        <v>7732.1</v>
      </c>
      <c r="V179">
        <f t="shared" si="4"/>
        <v>41.660021551724142</v>
      </c>
      <c r="W179">
        <f t="shared" si="5"/>
        <v>1.126405E-3</v>
      </c>
    </row>
    <row r="180" spans="1:23" x14ac:dyDescent="0.3">
      <c r="A180" s="6">
        <v>173</v>
      </c>
      <c r="B180" s="6">
        <v>3.0266E-3</v>
      </c>
      <c r="C180" s="6">
        <v>0.110666</v>
      </c>
      <c r="D180" s="6">
        <v>36.674999999999997</v>
      </c>
      <c r="E180" s="6">
        <v>36.564399999999999</v>
      </c>
      <c r="F180" s="6">
        <v>-3.0746099999999998E-4</v>
      </c>
      <c r="G180" s="6">
        <v>-5.2880999999999996E-3</v>
      </c>
      <c r="H180" s="6">
        <v>17.193999999999999</v>
      </c>
      <c r="I180" s="6">
        <v>17.199200000000001</v>
      </c>
      <c r="J180" s="6">
        <v>-1.36064E-3</v>
      </c>
      <c r="K180" s="6">
        <v>-1.9698400000000001E-2</v>
      </c>
      <c r="L180" s="6">
        <v>14.457700000000001</v>
      </c>
      <c r="M180" s="6">
        <v>14.477399999999999</v>
      </c>
      <c r="N180" s="6">
        <v>-1.21412E-3</v>
      </c>
      <c r="O180" s="6">
        <v>-1.66556E-2</v>
      </c>
      <c r="P180" s="6">
        <v>13.701599999999999</v>
      </c>
      <c r="Q180" s="6">
        <v>13.718299999999999</v>
      </c>
      <c r="R180" s="6">
        <v>103.712</v>
      </c>
      <c r="S180" s="6">
        <v>103.712</v>
      </c>
      <c r="T180" s="6">
        <v>2.2151000000000001</v>
      </c>
      <c r="U180" s="6">
        <v>7792.01</v>
      </c>
      <c r="V180">
        <f t="shared" si="4"/>
        <v>41.982812500000001</v>
      </c>
      <c r="W180">
        <f t="shared" si="5"/>
        <v>9.6074033333333334E-4</v>
      </c>
    </row>
    <row r="181" spans="1:23" x14ac:dyDescent="0.3">
      <c r="A181" s="6">
        <v>174</v>
      </c>
      <c r="B181" s="6">
        <v>3.0793299999999999E-3</v>
      </c>
      <c r="C181" s="6">
        <v>0.112594</v>
      </c>
      <c r="D181" s="6">
        <v>36.677</v>
      </c>
      <c r="E181" s="6">
        <v>36.564399999999999</v>
      </c>
      <c r="F181" s="6">
        <v>-4.09181E-4</v>
      </c>
      <c r="G181" s="6">
        <v>-7.0376099999999997E-3</v>
      </c>
      <c r="H181" s="6">
        <v>17.1922</v>
      </c>
      <c r="I181" s="6">
        <v>17.199200000000001</v>
      </c>
      <c r="J181" s="6">
        <v>-1.42289E-3</v>
      </c>
      <c r="K181" s="6">
        <v>-2.0599699999999999E-2</v>
      </c>
      <c r="L181" s="6">
        <v>14.456799999999999</v>
      </c>
      <c r="M181" s="6">
        <v>14.477399999999999</v>
      </c>
      <c r="N181" s="6">
        <v>-1.2859099999999999E-3</v>
      </c>
      <c r="O181" s="6">
        <v>-1.7640400000000001E-2</v>
      </c>
      <c r="P181" s="6">
        <v>13.7006</v>
      </c>
      <c r="Q181" s="6">
        <v>13.718299999999999</v>
      </c>
      <c r="R181" s="6">
        <v>104.084</v>
      </c>
      <c r="S181" s="6">
        <v>104.084</v>
      </c>
      <c r="T181" s="6">
        <v>2.2170000000000001</v>
      </c>
      <c r="U181" s="6">
        <v>7798.79</v>
      </c>
      <c r="V181">
        <f t="shared" si="4"/>
        <v>42.019342672413792</v>
      </c>
      <c r="W181">
        <f t="shared" si="5"/>
        <v>1.0393269999999998E-3</v>
      </c>
    </row>
    <row r="182" spans="1:23" x14ac:dyDescent="0.3">
      <c r="A182" s="6">
        <v>175</v>
      </c>
      <c r="B182" s="6">
        <v>3.0654499999999999E-3</v>
      </c>
      <c r="C182" s="6">
        <v>0.11208600000000001</v>
      </c>
      <c r="D182" s="6">
        <v>36.676400000000001</v>
      </c>
      <c r="E182" s="6">
        <v>36.564399999999999</v>
      </c>
      <c r="F182" s="6">
        <v>-4.8697600000000002E-4</v>
      </c>
      <c r="G182" s="6">
        <v>-8.3756200000000003E-3</v>
      </c>
      <c r="H182" s="6">
        <v>17.190899999999999</v>
      </c>
      <c r="I182" s="6">
        <v>17.199200000000001</v>
      </c>
      <c r="J182" s="6">
        <v>-1.5341300000000001E-3</v>
      </c>
      <c r="K182" s="6">
        <v>-2.2210199999999999E-2</v>
      </c>
      <c r="L182" s="6">
        <v>14.4552</v>
      </c>
      <c r="M182" s="6">
        <v>14.477399999999999</v>
      </c>
      <c r="N182" s="6">
        <v>-1.43188E-3</v>
      </c>
      <c r="O182" s="6">
        <v>-1.9643000000000001E-2</v>
      </c>
      <c r="P182" s="6">
        <v>13.698600000000001</v>
      </c>
      <c r="Q182" s="6">
        <v>13.718299999999999</v>
      </c>
      <c r="R182" s="6">
        <v>104.77</v>
      </c>
      <c r="S182" s="6">
        <v>104.77</v>
      </c>
      <c r="T182" s="6">
        <v>2.2376999999999998</v>
      </c>
      <c r="U182" s="6">
        <v>7871.12</v>
      </c>
      <c r="V182">
        <f t="shared" si="4"/>
        <v>42.409051724137932</v>
      </c>
      <c r="W182">
        <f t="shared" si="5"/>
        <v>1.1509953333333333E-3</v>
      </c>
    </row>
    <row r="183" spans="1:23" x14ac:dyDescent="0.3">
      <c r="A183" s="6">
        <v>176</v>
      </c>
      <c r="B183" s="6">
        <v>3.11188E-3</v>
      </c>
      <c r="C183" s="6">
        <v>0.113784</v>
      </c>
      <c r="D183" s="6">
        <v>36.678100000000001</v>
      </c>
      <c r="E183" s="6">
        <v>36.564399999999999</v>
      </c>
      <c r="F183" s="6">
        <v>-4.5688800000000002E-4</v>
      </c>
      <c r="G183" s="6">
        <v>-7.8581199999999997E-3</v>
      </c>
      <c r="H183" s="6">
        <v>17.191400000000002</v>
      </c>
      <c r="I183" s="6">
        <v>17.199200000000001</v>
      </c>
      <c r="J183" s="6">
        <v>-1.5336600000000001E-3</v>
      </c>
      <c r="K183" s="6">
        <v>-2.2203400000000002E-2</v>
      </c>
      <c r="L183" s="6">
        <v>14.4552</v>
      </c>
      <c r="M183" s="6">
        <v>14.477399999999999</v>
      </c>
      <c r="N183" s="6">
        <v>-1.36085E-3</v>
      </c>
      <c r="O183" s="6">
        <v>-1.8668500000000001E-2</v>
      </c>
      <c r="P183" s="6">
        <v>13.6996</v>
      </c>
      <c r="Q183" s="6">
        <v>13.718299999999999</v>
      </c>
      <c r="R183" s="6">
        <v>105.14400000000001</v>
      </c>
      <c r="S183" s="6">
        <v>105.14400000000001</v>
      </c>
      <c r="T183" s="6">
        <v>2.2464</v>
      </c>
      <c r="U183" s="6">
        <v>7901.64</v>
      </c>
      <c r="V183">
        <f t="shared" si="4"/>
        <v>42.573491379310347</v>
      </c>
      <c r="W183">
        <f t="shared" si="5"/>
        <v>1.1171326666666668E-3</v>
      </c>
    </row>
    <row r="184" spans="1:23" x14ac:dyDescent="0.3">
      <c r="A184" s="6">
        <v>177</v>
      </c>
      <c r="B184" s="6">
        <v>3.1437800000000001E-3</v>
      </c>
      <c r="C184" s="6">
        <v>0.11495</v>
      </c>
      <c r="D184" s="6">
        <v>36.679299999999998</v>
      </c>
      <c r="E184" s="6">
        <v>36.564399999999999</v>
      </c>
      <c r="F184" s="6">
        <v>-3.4092399999999999E-4</v>
      </c>
      <c r="G184" s="6">
        <v>-5.8636299999999999E-3</v>
      </c>
      <c r="H184" s="6">
        <v>17.1934</v>
      </c>
      <c r="I184" s="6">
        <v>17.199200000000001</v>
      </c>
      <c r="J184" s="6">
        <v>-1.3751099999999999E-3</v>
      </c>
      <c r="K184" s="6">
        <v>-1.9907999999999999E-2</v>
      </c>
      <c r="L184" s="6">
        <v>14.4575</v>
      </c>
      <c r="M184" s="6">
        <v>14.477399999999999</v>
      </c>
      <c r="N184" s="6">
        <v>-1.2250500000000001E-3</v>
      </c>
      <c r="O184" s="6">
        <v>-1.6805500000000001E-2</v>
      </c>
      <c r="P184" s="6">
        <v>13.701499999999999</v>
      </c>
      <c r="Q184" s="6">
        <v>13.718299999999999</v>
      </c>
      <c r="R184" s="6">
        <v>105.767</v>
      </c>
      <c r="S184" s="6">
        <v>105.767</v>
      </c>
      <c r="T184" s="6">
        <v>2.2622</v>
      </c>
      <c r="U184" s="6">
        <v>7957.02</v>
      </c>
      <c r="V184">
        <f t="shared" si="4"/>
        <v>42.871875000000003</v>
      </c>
      <c r="W184">
        <f t="shared" si="5"/>
        <v>9.8036133333333328E-4</v>
      </c>
    </row>
    <row r="185" spans="1:23" x14ac:dyDescent="0.3">
      <c r="A185" s="6">
        <v>178</v>
      </c>
      <c r="B185" s="6">
        <v>2.9873E-3</v>
      </c>
      <c r="C185" s="6">
        <v>0.10922900000000001</v>
      </c>
      <c r="D185" s="6">
        <v>36.6736</v>
      </c>
      <c r="E185" s="6">
        <v>36.564399999999999</v>
      </c>
      <c r="F185" s="6">
        <v>-4.7395800000000002E-4</v>
      </c>
      <c r="G185" s="6">
        <v>-8.1517099999999995E-3</v>
      </c>
      <c r="H185" s="6">
        <v>17.191099999999999</v>
      </c>
      <c r="I185" s="6">
        <v>17.199200000000001</v>
      </c>
      <c r="J185" s="6">
        <v>-1.52035E-3</v>
      </c>
      <c r="K185" s="6">
        <v>-2.2010700000000001E-2</v>
      </c>
      <c r="L185" s="6">
        <v>14.455399999999999</v>
      </c>
      <c r="M185" s="6">
        <v>14.477399999999999</v>
      </c>
      <c r="N185" s="6">
        <v>-1.40077E-3</v>
      </c>
      <c r="O185" s="6">
        <v>-1.92161E-2</v>
      </c>
      <c r="P185" s="6">
        <v>13.6991</v>
      </c>
      <c r="Q185" s="6">
        <v>13.718299999999999</v>
      </c>
      <c r="R185" s="6">
        <v>106.145</v>
      </c>
      <c r="S185" s="6">
        <v>106.145</v>
      </c>
      <c r="T185" s="6">
        <v>2.2686000000000002</v>
      </c>
      <c r="U185" s="6">
        <v>7979.63</v>
      </c>
      <c r="V185">
        <f t="shared" si="4"/>
        <v>42.993696120689656</v>
      </c>
      <c r="W185">
        <f t="shared" si="5"/>
        <v>1.1316926666666666E-3</v>
      </c>
    </row>
    <row r="186" spans="1:23" x14ac:dyDescent="0.3">
      <c r="A186" s="6">
        <v>179</v>
      </c>
      <c r="B186" s="6">
        <v>3.07998E-3</v>
      </c>
      <c r="C186" s="6">
        <v>0.11261699999999999</v>
      </c>
      <c r="D186" s="6">
        <v>36.677</v>
      </c>
      <c r="E186" s="6">
        <v>36.564399999999999</v>
      </c>
      <c r="F186" s="6">
        <v>-5.1519499999999998E-4</v>
      </c>
      <c r="G186" s="6">
        <v>-8.8609699999999993E-3</v>
      </c>
      <c r="H186" s="6">
        <v>17.1904</v>
      </c>
      <c r="I186" s="6">
        <v>17.199200000000001</v>
      </c>
      <c r="J186" s="6">
        <v>-1.6270799999999999E-3</v>
      </c>
      <c r="K186" s="6">
        <v>-2.3555799999999998E-2</v>
      </c>
      <c r="L186" s="6">
        <v>14.453799999999999</v>
      </c>
      <c r="M186" s="6">
        <v>14.477399999999999</v>
      </c>
      <c r="N186" s="6">
        <v>-1.4713199999999999E-3</v>
      </c>
      <c r="O186" s="6">
        <v>-2.0184000000000001E-2</v>
      </c>
      <c r="P186" s="6">
        <v>13.6981</v>
      </c>
      <c r="Q186" s="6">
        <v>13.718299999999999</v>
      </c>
      <c r="R186" s="6">
        <v>106.705</v>
      </c>
      <c r="S186" s="6">
        <v>106.705</v>
      </c>
      <c r="T186" s="6">
        <v>2.2875999999999999</v>
      </c>
      <c r="U186" s="6">
        <v>8046.32</v>
      </c>
      <c r="V186">
        <f t="shared" si="4"/>
        <v>43.353017241379312</v>
      </c>
      <c r="W186">
        <f t="shared" si="5"/>
        <v>1.2045316666666665E-3</v>
      </c>
    </row>
    <row r="187" spans="1:23" x14ac:dyDescent="0.3">
      <c r="A187" s="6">
        <v>180</v>
      </c>
      <c r="B187" s="6">
        <v>3.1860299999999999E-3</v>
      </c>
      <c r="C187" s="6">
        <v>0.116495</v>
      </c>
      <c r="D187" s="6">
        <v>36.680900000000001</v>
      </c>
      <c r="E187" s="6">
        <v>36.564399999999999</v>
      </c>
      <c r="F187" s="6">
        <v>-4.4831800000000001E-4</v>
      </c>
      <c r="G187" s="6">
        <v>-7.7107299999999998E-3</v>
      </c>
      <c r="H187" s="6">
        <v>17.191500000000001</v>
      </c>
      <c r="I187" s="6">
        <v>17.199200000000001</v>
      </c>
      <c r="J187" s="6">
        <v>-1.44899E-3</v>
      </c>
      <c r="K187" s="6">
        <v>-2.09775E-2</v>
      </c>
      <c r="L187" s="6">
        <v>14.4564</v>
      </c>
      <c r="M187" s="6">
        <v>14.477399999999999</v>
      </c>
      <c r="N187" s="6">
        <v>-1.48207E-3</v>
      </c>
      <c r="O187" s="6">
        <v>-2.0331399999999999E-2</v>
      </c>
      <c r="P187" s="6">
        <v>13.698</v>
      </c>
      <c r="Q187" s="6">
        <v>13.718299999999999</v>
      </c>
      <c r="R187" s="6">
        <v>107.07899999999999</v>
      </c>
      <c r="S187" s="6">
        <v>107.07899999999999</v>
      </c>
      <c r="T187" s="6">
        <v>2.2957000000000001</v>
      </c>
      <c r="U187" s="6">
        <v>8074.57</v>
      </c>
      <c r="V187">
        <f t="shared" si="4"/>
        <v>43.505226293103448</v>
      </c>
      <c r="W187">
        <f t="shared" si="5"/>
        <v>1.1264593333333334E-3</v>
      </c>
    </row>
    <row r="188" spans="1:23" x14ac:dyDescent="0.3">
      <c r="A188" s="6">
        <v>181</v>
      </c>
      <c r="B188" s="6">
        <v>3.1208E-3</v>
      </c>
      <c r="C188" s="6">
        <v>0.11411</v>
      </c>
      <c r="D188" s="6">
        <v>36.6785</v>
      </c>
      <c r="E188" s="6">
        <v>36.564399999999999</v>
      </c>
      <c r="F188" s="6">
        <v>-4.5541000000000001E-4</v>
      </c>
      <c r="G188" s="6">
        <v>-7.8327199999999996E-3</v>
      </c>
      <c r="H188" s="6">
        <v>17.191400000000002</v>
      </c>
      <c r="I188" s="6">
        <v>17.199200000000001</v>
      </c>
      <c r="J188" s="6">
        <v>-1.5708600000000001E-3</v>
      </c>
      <c r="K188" s="6">
        <v>-2.2741899999999999E-2</v>
      </c>
      <c r="L188" s="6">
        <v>14.454599999999999</v>
      </c>
      <c r="M188" s="6">
        <v>14.477399999999999</v>
      </c>
      <c r="N188" s="6">
        <v>-1.475E-3</v>
      </c>
      <c r="O188" s="6">
        <v>-2.0234499999999999E-2</v>
      </c>
      <c r="P188" s="6">
        <v>13.698</v>
      </c>
      <c r="Q188" s="6">
        <v>13.718299999999999</v>
      </c>
      <c r="R188" s="6">
        <v>107.76600000000001</v>
      </c>
      <c r="S188" s="6">
        <v>107.76600000000001</v>
      </c>
      <c r="T188" s="6">
        <v>2.3037000000000001</v>
      </c>
      <c r="U188" s="6">
        <v>8102.83</v>
      </c>
      <c r="V188">
        <f t="shared" si="4"/>
        <v>43.657489224137933</v>
      </c>
      <c r="W188">
        <f t="shared" si="5"/>
        <v>1.16709E-3</v>
      </c>
    </row>
    <row r="189" spans="1:23" x14ac:dyDescent="0.3">
      <c r="A189" s="6">
        <v>182</v>
      </c>
      <c r="B189" s="6">
        <v>3.1986100000000002E-3</v>
      </c>
      <c r="C189" s="6">
        <v>0.116955</v>
      </c>
      <c r="D189" s="6">
        <v>36.6813</v>
      </c>
      <c r="E189" s="6">
        <v>36.564399999999999</v>
      </c>
      <c r="F189" s="6">
        <v>-2.4616299999999998E-4</v>
      </c>
      <c r="G189" s="6">
        <v>-4.2338100000000002E-3</v>
      </c>
      <c r="H189" s="6">
        <v>17.195</v>
      </c>
      <c r="I189" s="6">
        <v>17.199200000000001</v>
      </c>
      <c r="J189" s="6">
        <v>-1.3891400000000001E-3</v>
      </c>
      <c r="K189" s="6">
        <v>-2.01111E-2</v>
      </c>
      <c r="L189" s="6">
        <v>14.4573</v>
      </c>
      <c r="M189" s="6">
        <v>14.477399999999999</v>
      </c>
      <c r="N189" s="6">
        <v>-1.2745300000000001E-3</v>
      </c>
      <c r="O189" s="6">
        <v>-1.7484300000000001E-2</v>
      </c>
      <c r="P189" s="6">
        <v>13.700799999999999</v>
      </c>
      <c r="Q189" s="6">
        <v>13.718299999999999</v>
      </c>
      <c r="R189" s="6">
        <v>108.387</v>
      </c>
      <c r="S189" s="6">
        <v>108.38800000000001</v>
      </c>
      <c r="T189" s="6">
        <v>2.3275999999999999</v>
      </c>
      <c r="U189" s="6">
        <v>8186.47</v>
      </c>
      <c r="V189">
        <f t="shared" si="4"/>
        <v>44.108135775862074</v>
      </c>
      <c r="W189">
        <f t="shared" si="5"/>
        <v>9.6994433333333341E-4</v>
      </c>
    </row>
    <row r="190" spans="1:23" x14ac:dyDescent="0.3">
      <c r="A190" s="6">
        <v>183</v>
      </c>
      <c r="B190" s="6">
        <v>3.1846399999999999E-3</v>
      </c>
      <c r="C190" s="6">
        <v>0.11644400000000001</v>
      </c>
      <c r="D190" s="6">
        <v>36.680799999999998</v>
      </c>
      <c r="E190" s="6">
        <v>36.564399999999999</v>
      </c>
      <c r="F190" s="6">
        <v>-4.1522500000000002E-4</v>
      </c>
      <c r="G190" s="6">
        <v>-7.14155E-3</v>
      </c>
      <c r="H190" s="6">
        <v>17.1921</v>
      </c>
      <c r="I190" s="6">
        <v>17.199200000000001</v>
      </c>
      <c r="J190" s="6">
        <v>-1.5111600000000001E-3</v>
      </c>
      <c r="K190" s="6">
        <v>-2.1877600000000001E-2</v>
      </c>
      <c r="L190" s="6">
        <v>14.455500000000001</v>
      </c>
      <c r="M190" s="6">
        <v>14.477399999999999</v>
      </c>
      <c r="N190" s="6">
        <v>-1.44553E-3</v>
      </c>
      <c r="O190" s="6">
        <v>-1.9830199999999999E-2</v>
      </c>
      <c r="P190" s="6">
        <v>13.698499999999999</v>
      </c>
      <c r="Q190" s="6">
        <v>13.718299999999999</v>
      </c>
      <c r="R190" s="6">
        <v>108.95</v>
      </c>
      <c r="S190" s="6">
        <v>108.95</v>
      </c>
      <c r="T190" s="6">
        <v>2.3408000000000002</v>
      </c>
      <c r="U190" s="6">
        <v>8232.81</v>
      </c>
      <c r="V190">
        <f t="shared" si="4"/>
        <v>44.357812500000001</v>
      </c>
      <c r="W190">
        <f t="shared" si="5"/>
        <v>1.1239716666666666E-3</v>
      </c>
    </row>
    <row r="191" spans="1:23" x14ac:dyDescent="0.3">
      <c r="A191" s="6">
        <v>184</v>
      </c>
      <c r="B191" s="6">
        <v>3.2371499999999998E-3</v>
      </c>
      <c r="C191" s="6">
        <v>0.118364</v>
      </c>
      <c r="D191" s="6">
        <v>36.682699999999997</v>
      </c>
      <c r="E191" s="6">
        <v>36.564399999999999</v>
      </c>
      <c r="F191" s="6">
        <v>-4.8700700000000002E-4</v>
      </c>
      <c r="G191" s="6">
        <v>-8.3761600000000005E-3</v>
      </c>
      <c r="H191" s="6">
        <v>17.190899999999999</v>
      </c>
      <c r="I191" s="6">
        <v>17.199200000000001</v>
      </c>
      <c r="J191" s="6">
        <v>-1.5922600000000001E-3</v>
      </c>
      <c r="K191" s="6">
        <v>-2.3051700000000001E-2</v>
      </c>
      <c r="L191" s="6">
        <v>14.4543</v>
      </c>
      <c r="M191" s="6">
        <v>14.477399999999999</v>
      </c>
      <c r="N191" s="6">
        <v>-1.49661E-3</v>
      </c>
      <c r="O191" s="6">
        <v>-2.0530900000000001E-2</v>
      </c>
      <c r="P191" s="6">
        <v>13.697800000000001</v>
      </c>
      <c r="Q191" s="6">
        <v>13.718299999999999</v>
      </c>
      <c r="R191" s="6">
        <v>109.39100000000001</v>
      </c>
      <c r="S191" s="6">
        <v>109.39100000000001</v>
      </c>
      <c r="T191" s="6">
        <v>2.3508</v>
      </c>
      <c r="U191" s="6">
        <v>8267.85</v>
      </c>
      <c r="V191">
        <f t="shared" si="4"/>
        <v>44.546605603448278</v>
      </c>
      <c r="W191">
        <f t="shared" si="5"/>
        <v>1.191959E-3</v>
      </c>
    </row>
    <row r="192" spans="1:23" x14ac:dyDescent="0.3">
      <c r="A192" s="6">
        <v>185</v>
      </c>
      <c r="B192" s="6">
        <v>3.20441E-3</v>
      </c>
      <c r="C192" s="6">
        <v>0.11716699999999999</v>
      </c>
      <c r="D192" s="6">
        <v>36.6815</v>
      </c>
      <c r="E192" s="6">
        <v>36.564399999999999</v>
      </c>
      <c r="F192" s="6">
        <v>-6.4864399999999998E-4</v>
      </c>
      <c r="G192" s="6">
        <v>-1.11562E-2</v>
      </c>
      <c r="H192" s="6">
        <v>17.188099999999999</v>
      </c>
      <c r="I192" s="6">
        <v>17.199200000000001</v>
      </c>
      <c r="J192" s="6">
        <v>-1.77125E-3</v>
      </c>
      <c r="K192" s="6">
        <v>-2.5643099999999999E-2</v>
      </c>
      <c r="L192" s="6">
        <v>14.451700000000001</v>
      </c>
      <c r="M192" s="6">
        <v>14.477399999999999</v>
      </c>
      <c r="N192" s="6">
        <v>-1.5866299999999999E-3</v>
      </c>
      <c r="O192" s="6">
        <v>-2.1765799999999998E-2</v>
      </c>
      <c r="P192" s="6">
        <v>13.6965</v>
      </c>
      <c r="Q192" s="6">
        <v>13.718299999999999</v>
      </c>
      <c r="R192" s="6">
        <v>109.82299999999999</v>
      </c>
      <c r="S192" s="6">
        <v>109.82299999999999</v>
      </c>
      <c r="T192" s="6">
        <v>2.3742999999999999</v>
      </c>
      <c r="U192" s="6">
        <v>8350.36</v>
      </c>
      <c r="V192">
        <f t="shared" si="4"/>
        <v>44.991163793103453</v>
      </c>
      <c r="W192">
        <f t="shared" si="5"/>
        <v>1.335508E-3</v>
      </c>
    </row>
    <row r="193" spans="1:23" x14ac:dyDescent="0.3">
      <c r="A193" s="6">
        <v>186</v>
      </c>
      <c r="B193" s="6">
        <v>3.2107799999999999E-3</v>
      </c>
      <c r="C193" s="6">
        <v>0.1174</v>
      </c>
      <c r="D193" s="6">
        <v>36.681800000000003</v>
      </c>
      <c r="E193" s="6">
        <v>36.564399999999999</v>
      </c>
      <c r="F193" s="6">
        <v>-4.1253200000000001E-4</v>
      </c>
      <c r="G193" s="6">
        <v>-7.0952300000000001E-3</v>
      </c>
      <c r="H193" s="6">
        <v>17.1921</v>
      </c>
      <c r="I193" s="6">
        <v>17.199200000000001</v>
      </c>
      <c r="J193" s="6">
        <v>-1.4026399999999999E-3</v>
      </c>
      <c r="K193" s="6">
        <v>-2.0306600000000001E-2</v>
      </c>
      <c r="L193" s="6">
        <v>14.457100000000001</v>
      </c>
      <c r="M193" s="6">
        <v>14.477399999999999</v>
      </c>
      <c r="N193" s="6">
        <v>-1.2695499999999999E-3</v>
      </c>
      <c r="O193" s="6">
        <v>-1.7416000000000001E-2</v>
      </c>
      <c r="P193" s="6">
        <v>13.700900000000001</v>
      </c>
      <c r="Q193" s="6">
        <v>13.718299999999999</v>
      </c>
      <c r="R193" s="6">
        <v>110.44799999999999</v>
      </c>
      <c r="S193" s="6">
        <v>110.44799999999999</v>
      </c>
      <c r="T193" s="6">
        <v>2.3772000000000002</v>
      </c>
      <c r="U193" s="6">
        <v>8360.5300000000007</v>
      </c>
      <c r="V193">
        <f t="shared" si="4"/>
        <v>45.045959051724139</v>
      </c>
      <c r="W193">
        <f t="shared" si="5"/>
        <v>1.0282406666666667E-3</v>
      </c>
    </row>
    <row r="194" spans="1:23" x14ac:dyDescent="0.3">
      <c r="A194" s="6">
        <v>187</v>
      </c>
      <c r="B194" s="6">
        <v>3.3014199999999998E-3</v>
      </c>
      <c r="C194" s="6">
        <v>0.120714</v>
      </c>
      <c r="D194" s="6">
        <v>36.685099999999998</v>
      </c>
      <c r="E194" s="6">
        <v>36.564399999999999</v>
      </c>
      <c r="F194" s="6">
        <v>-3.9823199999999999E-4</v>
      </c>
      <c r="G194" s="6">
        <v>-6.8492800000000001E-3</v>
      </c>
      <c r="H194" s="6">
        <v>17.192399999999999</v>
      </c>
      <c r="I194" s="6">
        <v>17.199200000000001</v>
      </c>
      <c r="J194" s="6">
        <v>-1.55663E-3</v>
      </c>
      <c r="K194" s="6">
        <v>-2.2535900000000001E-2</v>
      </c>
      <c r="L194" s="6">
        <v>14.454800000000001</v>
      </c>
      <c r="M194" s="6">
        <v>14.477399999999999</v>
      </c>
      <c r="N194" s="6">
        <v>-1.40876E-3</v>
      </c>
      <c r="O194" s="6">
        <v>-1.9325800000000001E-2</v>
      </c>
      <c r="P194" s="6">
        <v>13.699</v>
      </c>
      <c r="Q194" s="6">
        <v>13.718299999999999</v>
      </c>
      <c r="R194" s="6">
        <v>110.884</v>
      </c>
      <c r="S194" s="6">
        <v>110.884</v>
      </c>
      <c r="T194" s="6">
        <v>2.3969</v>
      </c>
      <c r="U194" s="6">
        <v>8429.4699999999993</v>
      </c>
      <c r="V194">
        <f t="shared" si="4"/>
        <v>45.417403017241377</v>
      </c>
      <c r="W194">
        <f t="shared" si="5"/>
        <v>1.1212073333333333E-3</v>
      </c>
    </row>
    <row r="195" spans="1:23" x14ac:dyDescent="0.3">
      <c r="A195" s="6">
        <v>188</v>
      </c>
      <c r="B195" s="6">
        <v>3.2674399999999999E-3</v>
      </c>
      <c r="C195" s="6">
        <v>0.11947199999999999</v>
      </c>
      <c r="D195" s="6">
        <v>36.683799999999998</v>
      </c>
      <c r="E195" s="6">
        <v>36.564399999999999</v>
      </c>
      <c r="F195" s="6">
        <v>-3.9907199999999999E-4</v>
      </c>
      <c r="G195" s="6">
        <v>-6.8637400000000001E-3</v>
      </c>
      <c r="H195" s="6">
        <v>17.192399999999999</v>
      </c>
      <c r="I195" s="6">
        <v>17.199200000000001</v>
      </c>
      <c r="J195" s="6">
        <v>-1.4704799999999999E-3</v>
      </c>
      <c r="K195" s="6">
        <v>-2.1288700000000001E-2</v>
      </c>
      <c r="L195" s="6">
        <v>14.456099999999999</v>
      </c>
      <c r="M195" s="6">
        <v>14.477399999999999</v>
      </c>
      <c r="N195" s="6">
        <v>-1.40486E-3</v>
      </c>
      <c r="O195" s="6">
        <v>-1.9272299999999999E-2</v>
      </c>
      <c r="P195" s="6">
        <v>13.699</v>
      </c>
      <c r="Q195" s="6">
        <v>13.718299999999999</v>
      </c>
      <c r="R195" s="6">
        <v>111.321</v>
      </c>
      <c r="S195" s="6">
        <v>111.321</v>
      </c>
      <c r="T195" s="6">
        <v>2.3978000000000002</v>
      </c>
      <c r="U195" s="6">
        <v>8432.8700000000008</v>
      </c>
      <c r="V195">
        <f t="shared" si="4"/>
        <v>45.435721982758629</v>
      </c>
      <c r="W195">
        <f t="shared" si="5"/>
        <v>1.0914706666666667E-3</v>
      </c>
    </row>
    <row r="196" spans="1:23" x14ac:dyDescent="0.3">
      <c r="A196" s="6">
        <v>189</v>
      </c>
      <c r="B196" s="6">
        <v>3.2523600000000001E-3</v>
      </c>
      <c r="C196" s="6">
        <v>0.11892</v>
      </c>
      <c r="D196" s="6">
        <v>36.683300000000003</v>
      </c>
      <c r="E196" s="6">
        <v>36.564399999999999</v>
      </c>
      <c r="F196" s="6">
        <v>-3.6391700000000001E-4</v>
      </c>
      <c r="G196" s="6">
        <v>-6.2591000000000001E-3</v>
      </c>
      <c r="H196" s="6">
        <v>17.193000000000001</v>
      </c>
      <c r="I196" s="6">
        <v>17.199200000000001</v>
      </c>
      <c r="J196" s="6">
        <v>-1.4801599999999999E-3</v>
      </c>
      <c r="K196" s="6">
        <v>-2.1428900000000001E-2</v>
      </c>
      <c r="L196" s="6">
        <v>14.4559</v>
      </c>
      <c r="M196" s="6">
        <v>14.477399999999999</v>
      </c>
      <c r="N196" s="6">
        <v>-1.39482E-3</v>
      </c>
      <c r="O196" s="6">
        <v>-1.9134600000000002E-2</v>
      </c>
      <c r="P196" s="6">
        <v>13.6991</v>
      </c>
      <c r="Q196" s="6">
        <v>13.718299999999999</v>
      </c>
      <c r="R196" s="6">
        <v>111.883</v>
      </c>
      <c r="S196" s="6">
        <v>111.883</v>
      </c>
      <c r="T196" s="6">
        <v>2.4148999999999998</v>
      </c>
      <c r="U196" s="6">
        <v>8492.77</v>
      </c>
      <c r="V196">
        <f t="shared" si="4"/>
        <v>45.758459051724145</v>
      </c>
      <c r="W196">
        <f t="shared" si="5"/>
        <v>1.0796323333333334E-3</v>
      </c>
    </row>
    <row r="197" spans="1:23" x14ac:dyDescent="0.3">
      <c r="A197" s="6">
        <v>190</v>
      </c>
      <c r="B197" s="6">
        <v>3.2680299999999999E-3</v>
      </c>
      <c r="C197" s="6">
        <v>0.119494</v>
      </c>
      <c r="D197" s="6">
        <v>36.683900000000001</v>
      </c>
      <c r="E197" s="6">
        <v>36.564399999999999</v>
      </c>
      <c r="F197" s="6">
        <v>-4.4936900000000003E-4</v>
      </c>
      <c r="G197" s="6">
        <v>-7.7288000000000001E-3</v>
      </c>
      <c r="H197" s="6">
        <v>17.191500000000001</v>
      </c>
      <c r="I197" s="6">
        <v>17.199200000000001</v>
      </c>
      <c r="J197" s="6">
        <v>-1.6044799999999999E-3</v>
      </c>
      <c r="K197" s="6">
        <v>-2.3228599999999999E-2</v>
      </c>
      <c r="L197" s="6">
        <v>14.4541</v>
      </c>
      <c r="M197" s="6">
        <v>14.477399999999999</v>
      </c>
      <c r="N197" s="6">
        <v>-1.4027600000000001E-3</v>
      </c>
      <c r="O197" s="6">
        <v>-1.92435E-2</v>
      </c>
      <c r="P197" s="6">
        <v>13.699</v>
      </c>
      <c r="Q197" s="6">
        <v>13.718299999999999</v>
      </c>
      <c r="R197" s="6">
        <v>112.446</v>
      </c>
      <c r="S197" s="6">
        <v>112.446</v>
      </c>
      <c r="T197" s="6">
        <v>2.4327000000000001</v>
      </c>
      <c r="U197" s="6">
        <v>8554.93</v>
      </c>
      <c r="V197">
        <f t="shared" si="4"/>
        <v>46.093372844827591</v>
      </c>
      <c r="W197">
        <f t="shared" si="5"/>
        <v>1.1522030000000001E-3</v>
      </c>
    </row>
    <row r="198" spans="1:23" x14ac:dyDescent="0.3">
      <c r="A198" s="6">
        <v>191</v>
      </c>
      <c r="B198" s="6">
        <v>3.3176099999999999E-3</v>
      </c>
      <c r="C198" s="6">
        <v>0.121306</v>
      </c>
      <c r="D198" s="6">
        <v>36.685699999999997</v>
      </c>
      <c r="E198" s="6">
        <v>36.564399999999999</v>
      </c>
      <c r="F198" s="6">
        <v>-4.42037E-4</v>
      </c>
      <c r="G198" s="6">
        <v>-7.6027000000000004E-3</v>
      </c>
      <c r="H198" s="6">
        <v>17.191600000000001</v>
      </c>
      <c r="I198" s="6">
        <v>17.199200000000001</v>
      </c>
      <c r="J198" s="6">
        <v>-1.4910699999999999E-3</v>
      </c>
      <c r="K198" s="6">
        <v>-2.15868E-2</v>
      </c>
      <c r="L198" s="6">
        <v>14.4558</v>
      </c>
      <c r="M198" s="6">
        <v>14.477399999999999</v>
      </c>
      <c r="N198" s="6">
        <v>-1.3855E-3</v>
      </c>
      <c r="O198" s="6">
        <v>-1.9006700000000001E-2</v>
      </c>
      <c r="P198" s="6">
        <v>13.699299999999999</v>
      </c>
      <c r="Q198" s="6">
        <v>13.718299999999999</v>
      </c>
      <c r="R198" s="6">
        <v>112.818</v>
      </c>
      <c r="S198" s="6">
        <v>112.818</v>
      </c>
      <c r="T198" s="6">
        <v>2.4388000000000001</v>
      </c>
      <c r="U198" s="6">
        <v>8576.41</v>
      </c>
      <c r="V198">
        <f t="shared" si="4"/>
        <v>46.209105603448279</v>
      </c>
      <c r="W198">
        <f t="shared" si="5"/>
        <v>1.1062023333333333E-3</v>
      </c>
    </row>
    <row r="199" spans="1:23" x14ac:dyDescent="0.3">
      <c r="A199" s="6">
        <v>192</v>
      </c>
      <c r="B199" s="6">
        <v>3.3481600000000002E-3</v>
      </c>
      <c r="C199" s="6">
        <v>0.122423</v>
      </c>
      <c r="D199" s="6">
        <v>36.686799999999998</v>
      </c>
      <c r="E199" s="6">
        <v>36.564399999999999</v>
      </c>
      <c r="F199" s="6">
        <v>-4.5868100000000001E-4</v>
      </c>
      <c r="G199" s="6">
        <v>-7.8889700000000004E-3</v>
      </c>
      <c r="H199" s="6">
        <v>17.191400000000002</v>
      </c>
      <c r="I199" s="6">
        <v>17.199200000000001</v>
      </c>
      <c r="J199" s="6">
        <v>-1.52612E-3</v>
      </c>
      <c r="K199" s="6">
        <v>-2.2094200000000001E-2</v>
      </c>
      <c r="L199" s="6">
        <v>14.455299999999999</v>
      </c>
      <c r="M199" s="6">
        <v>14.477399999999999</v>
      </c>
      <c r="N199" s="6">
        <v>-1.3561300000000001E-3</v>
      </c>
      <c r="O199" s="6">
        <v>-1.8603700000000001E-2</v>
      </c>
      <c r="P199" s="6">
        <v>13.6997</v>
      </c>
      <c r="Q199" s="6">
        <v>13.718299999999999</v>
      </c>
      <c r="R199" s="6">
        <v>113.25700000000001</v>
      </c>
      <c r="S199" s="6">
        <v>113.25700000000001</v>
      </c>
      <c r="T199" s="6">
        <v>2.4546000000000001</v>
      </c>
      <c r="U199" s="6">
        <v>8631.7900000000009</v>
      </c>
      <c r="V199">
        <f t="shared" si="4"/>
        <v>46.507489224137935</v>
      </c>
      <c r="W199">
        <f t="shared" si="5"/>
        <v>1.1136436666666666E-3</v>
      </c>
    </row>
    <row r="200" spans="1:23" x14ac:dyDescent="0.3">
      <c r="A200" s="6">
        <v>193</v>
      </c>
      <c r="B200" s="6">
        <v>3.3539099999999999E-3</v>
      </c>
      <c r="C200" s="6">
        <v>0.12263400000000001</v>
      </c>
      <c r="D200" s="6">
        <v>36.686999999999998</v>
      </c>
      <c r="E200" s="6">
        <v>36.564399999999999</v>
      </c>
      <c r="F200" s="6">
        <v>-4.38305E-4</v>
      </c>
      <c r="G200" s="6">
        <v>-7.53851E-3</v>
      </c>
      <c r="H200" s="6">
        <v>17.191700000000001</v>
      </c>
      <c r="I200" s="6">
        <v>17.199200000000001</v>
      </c>
      <c r="J200" s="6">
        <v>-1.61013E-3</v>
      </c>
      <c r="K200" s="6">
        <v>-2.3310399999999998E-2</v>
      </c>
      <c r="L200" s="6">
        <v>14.4541</v>
      </c>
      <c r="M200" s="6">
        <v>14.477399999999999</v>
      </c>
      <c r="N200" s="6">
        <v>-1.5719499999999999E-3</v>
      </c>
      <c r="O200" s="6">
        <v>-2.1564400000000001E-2</v>
      </c>
      <c r="P200" s="6">
        <v>13.6967</v>
      </c>
      <c r="Q200" s="6">
        <v>13.718299999999999</v>
      </c>
      <c r="R200" s="6">
        <v>113.879</v>
      </c>
      <c r="S200" s="6">
        <v>113.879</v>
      </c>
      <c r="T200" s="6">
        <v>2.4735999999999998</v>
      </c>
      <c r="U200" s="6">
        <v>8698.48</v>
      </c>
      <c r="V200">
        <f t="shared" ref="V200:V263" si="6">U200/A$2/B$2</f>
        <v>46.866810344827584</v>
      </c>
      <c r="W200">
        <f t="shared" ref="W200:W263" si="7">-AVERAGE(F200,J200,N200)</f>
        <v>1.2067949999999999E-3</v>
      </c>
    </row>
    <row r="201" spans="1:23" x14ac:dyDescent="0.3">
      <c r="A201" s="6">
        <v>194</v>
      </c>
      <c r="B201" s="6">
        <v>3.34608E-3</v>
      </c>
      <c r="C201" s="6">
        <v>0.122347</v>
      </c>
      <c r="D201" s="6">
        <v>36.686700000000002</v>
      </c>
      <c r="E201" s="6">
        <v>36.564399999999999</v>
      </c>
      <c r="F201" s="6">
        <v>-5.0893200000000003E-4</v>
      </c>
      <c r="G201" s="6">
        <v>-8.7532500000000006E-3</v>
      </c>
      <c r="H201" s="6">
        <v>17.1905</v>
      </c>
      <c r="I201" s="6">
        <v>17.199200000000001</v>
      </c>
      <c r="J201" s="6">
        <v>-1.6867799999999999E-3</v>
      </c>
      <c r="K201" s="6">
        <v>-2.44201E-2</v>
      </c>
      <c r="L201" s="6">
        <v>14.452999999999999</v>
      </c>
      <c r="M201" s="6">
        <v>14.477399999999999</v>
      </c>
      <c r="N201" s="6">
        <v>-1.4518199999999999E-3</v>
      </c>
      <c r="O201" s="6">
        <v>-1.99165E-2</v>
      </c>
      <c r="P201" s="6">
        <v>13.698399999999999</v>
      </c>
      <c r="Q201" s="6">
        <v>13.718299999999999</v>
      </c>
      <c r="R201" s="6">
        <v>114.38</v>
      </c>
      <c r="S201" s="6">
        <v>114.38</v>
      </c>
      <c r="T201" s="6">
        <v>2.472</v>
      </c>
      <c r="U201" s="6">
        <v>8692.83</v>
      </c>
      <c r="V201">
        <f t="shared" si="6"/>
        <v>46.836368534482759</v>
      </c>
      <c r="W201">
        <f t="shared" si="7"/>
        <v>1.215844E-3</v>
      </c>
    </row>
    <row r="202" spans="1:23" x14ac:dyDescent="0.3">
      <c r="A202" s="6">
        <v>195</v>
      </c>
      <c r="B202" s="6">
        <v>3.3767699999999999E-3</v>
      </c>
      <c r="C202" s="6">
        <v>0.12347</v>
      </c>
      <c r="D202" s="6">
        <v>36.687800000000003</v>
      </c>
      <c r="E202" s="6">
        <v>36.564399999999999</v>
      </c>
      <c r="F202" s="6">
        <v>-4.64964E-4</v>
      </c>
      <c r="G202" s="6">
        <v>-7.9970300000000005E-3</v>
      </c>
      <c r="H202" s="6">
        <v>17.191199999999998</v>
      </c>
      <c r="I202" s="6">
        <v>17.199200000000001</v>
      </c>
      <c r="J202" s="6">
        <v>-1.6421599999999999E-3</v>
      </c>
      <c r="K202" s="6">
        <v>-2.3774199999999999E-2</v>
      </c>
      <c r="L202" s="6">
        <v>14.4536</v>
      </c>
      <c r="M202" s="6">
        <v>14.477399999999999</v>
      </c>
      <c r="N202" s="6">
        <v>-1.5866599999999999E-3</v>
      </c>
      <c r="O202" s="6">
        <v>-2.1766199999999999E-2</v>
      </c>
      <c r="P202" s="6">
        <v>13.6965</v>
      </c>
      <c r="Q202" s="6">
        <v>13.718299999999999</v>
      </c>
      <c r="R202" s="6">
        <v>115.005</v>
      </c>
      <c r="S202" s="6">
        <v>115.005</v>
      </c>
      <c r="T202" s="6">
        <v>2.4912999999999998</v>
      </c>
      <c r="U202" s="6">
        <v>8760.64</v>
      </c>
      <c r="V202">
        <f t="shared" si="6"/>
        <v>47.201724137931031</v>
      </c>
      <c r="W202">
        <f t="shared" si="7"/>
        <v>1.2312613333333334E-3</v>
      </c>
    </row>
    <row r="203" spans="1:23" x14ac:dyDescent="0.3">
      <c r="A203" s="6">
        <v>196</v>
      </c>
      <c r="B203" s="6">
        <v>3.38273E-3</v>
      </c>
      <c r="C203" s="6">
        <v>0.12368800000000001</v>
      </c>
      <c r="D203" s="6">
        <v>36.688000000000002</v>
      </c>
      <c r="E203" s="6">
        <v>36.564399999999999</v>
      </c>
      <c r="F203" s="6">
        <v>-4.7951899999999997E-4</v>
      </c>
      <c r="G203" s="6">
        <v>-8.2473700000000004E-3</v>
      </c>
      <c r="H203" s="6">
        <v>17.190999999999999</v>
      </c>
      <c r="I203" s="6">
        <v>17.199200000000001</v>
      </c>
      <c r="J203" s="6">
        <v>-1.6042999999999999E-3</v>
      </c>
      <c r="K203" s="6">
        <v>-2.3226E-2</v>
      </c>
      <c r="L203" s="6">
        <v>14.4542</v>
      </c>
      <c r="M203" s="6">
        <v>14.477399999999999</v>
      </c>
      <c r="N203" s="6">
        <v>-1.4720899999999999E-3</v>
      </c>
      <c r="O203" s="6">
        <v>-2.0194500000000001E-2</v>
      </c>
      <c r="P203" s="6">
        <v>13.6981</v>
      </c>
      <c r="Q203" s="6">
        <v>13.718299999999999</v>
      </c>
      <c r="R203" s="6">
        <v>115.376</v>
      </c>
      <c r="S203" s="6">
        <v>115.376</v>
      </c>
      <c r="T203" s="6">
        <v>2.5038999999999998</v>
      </c>
      <c r="U203" s="6">
        <v>8804.7199999999993</v>
      </c>
      <c r="V203">
        <f t="shared" si="6"/>
        <v>47.439224137931035</v>
      </c>
      <c r="W203">
        <f t="shared" si="7"/>
        <v>1.1853029999999997E-3</v>
      </c>
    </row>
    <row r="204" spans="1:23" x14ac:dyDescent="0.3">
      <c r="A204" s="6">
        <v>197</v>
      </c>
      <c r="B204" s="6">
        <v>3.4516799999999999E-3</v>
      </c>
      <c r="C204" s="6">
        <v>0.12620899999999999</v>
      </c>
      <c r="D204" s="6">
        <v>36.690600000000003</v>
      </c>
      <c r="E204" s="6">
        <v>36.564399999999999</v>
      </c>
      <c r="F204" s="6">
        <v>-6.0870399999999995E-4</v>
      </c>
      <c r="G204" s="6">
        <v>-1.04692E-2</v>
      </c>
      <c r="H204" s="6">
        <v>17.188800000000001</v>
      </c>
      <c r="I204" s="6">
        <v>17.199200000000001</v>
      </c>
      <c r="J204" s="6">
        <v>-1.7700400000000001E-3</v>
      </c>
      <c r="K204" s="6">
        <v>-2.5625499999999999E-2</v>
      </c>
      <c r="L204" s="6">
        <v>14.4518</v>
      </c>
      <c r="M204" s="6">
        <v>14.477399999999999</v>
      </c>
      <c r="N204" s="6">
        <v>-1.57679E-3</v>
      </c>
      <c r="O204" s="6">
        <v>-2.1630900000000002E-2</v>
      </c>
      <c r="P204" s="6">
        <v>13.6967</v>
      </c>
      <c r="Q204" s="6">
        <v>13.718299999999999</v>
      </c>
      <c r="R204" s="6">
        <v>115.938</v>
      </c>
      <c r="S204" s="6">
        <v>115.938</v>
      </c>
      <c r="T204" s="6">
        <v>2.5192999999999999</v>
      </c>
      <c r="U204" s="6">
        <v>8858.9699999999993</v>
      </c>
      <c r="V204">
        <f t="shared" si="6"/>
        <v>47.731519396551725</v>
      </c>
      <c r="W204">
        <f t="shared" si="7"/>
        <v>1.3185113333333335E-3</v>
      </c>
    </row>
    <row r="205" spans="1:23" x14ac:dyDescent="0.3">
      <c r="A205" s="6">
        <v>198</v>
      </c>
      <c r="B205" s="6">
        <v>3.4276699999999998E-3</v>
      </c>
      <c r="C205" s="6">
        <v>0.12533</v>
      </c>
      <c r="D205" s="6">
        <v>36.689700000000002</v>
      </c>
      <c r="E205" s="6">
        <v>36.564399999999999</v>
      </c>
      <c r="F205" s="6">
        <v>-5.4565799999999997E-4</v>
      </c>
      <c r="G205" s="6">
        <v>-9.3848999999999998E-3</v>
      </c>
      <c r="H205" s="6">
        <v>17.189900000000002</v>
      </c>
      <c r="I205" s="6">
        <v>17.199200000000001</v>
      </c>
      <c r="J205" s="6">
        <v>-1.7114599999999999E-3</v>
      </c>
      <c r="K205" s="6">
        <v>-2.4777400000000002E-2</v>
      </c>
      <c r="L205" s="6">
        <v>14.4526</v>
      </c>
      <c r="M205" s="6">
        <v>14.477399999999999</v>
      </c>
      <c r="N205" s="6">
        <v>-1.5172E-3</v>
      </c>
      <c r="O205" s="6">
        <v>-2.0813399999999999E-2</v>
      </c>
      <c r="P205" s="6">
        <v>13.6975</v>
      </c>
      <c r="Q205" s="6">
        <v>13.718299999999999</v>
      </c>
      <c r="R205" s="6">
        <v>116.25</v>
      </c>
      <c r="S205" s="6">
        <v>116.25</v>
      </c>
      <c r="T205" s="6">
        <v>2.5284</v>
      </c>
      <c r="U205" s="6">
        <v>8890.6200000000008</v>
      </c>
      <c r="V205">
        <f t="shared" si="6"/>
        <v>47.902047413793106</v>
      </c>
      <c r="W205">
        <f t="shared" si="7"/>
        <v>1.2581059999999999E-3</v>
      </c>
    </row>
    <row r="206" spans="1:23" x14ac:dyDescent="0.3">
      <c r="A206" s="6">
        <v>199</v>
      </c>
      <c r="B206" s="6">
        <v>3.4359500000000001E-3</v>
      </c>
      <c r="C206" s="6">
        <v>0.12563299999999999</v>
      </c>
      <c r="D206" s="6">
        <v>36.69</v>
      </c>
      <c r="E206" s="6">
        <v>36.564399999999999</v>
      </c>
      <c r="F206" s="6">
        <v>-4.11099E-4</v>
      </c>
      <c r="G206" s="6">
        <v>-7.0705899999999999E-3</v>
      </c>
      <c r="H206" s="6">
        <v>17.1922</v>
      </c>
      <c r="I206" s="6">
        <v>17.199200000000001</v>
      </c>
      <c r="J206" s="6">
        <v>-1.5336200000000001E-3</v>
      </c>
      <c r="K206" s="6">
        <v>-2.2202699999999999E-2</v>
      </c>
      <c r="L206" s="6">
        <v>14.4552</v>
      </c>
      <c r="M206" s="6">
        <v>14.477399999999999</v>
      </c>
      <c r="N206" s="6">
        <v>-1.46043E-3</v>
      </c>
      <c r="O206" s="6">
        <v>-2.00346E-2</v>
      </c>
      <c r="P206" s="6">
        <v>13.6982</v>
      </c>
      <c r="Q206" s="6">
        <v>13.718299999999999</v>
      </c>
      <c r="R206" s="6">
        <v>116.876</v>
      </c>
      <c r="S206" s="6">
        <v>116.876</v>
      </c>
      <c r="T206" s="6">
        <v>2.5415999999999999</v>
      </c>
      <c r="U206" s="6">
        <v>8936.9599999999991</v>
      </c>
      <c r="V206">
        <f t="shared" si="6"/>
        <v>48.151724137931033</v>
      </c>
      <c r="W206">
        <f t="shared" si="7"/>
        <v>1.1350496666666667E-3</v>
      </c>
    </row>
    <row r="207" spans="1:23" x14ac:dyDescent="0.3">
      <c r="A207" s="6">
        <v>200</v>
      </c>
      <c r="B207" s="6">
        <v>3.4513399999999998E-3</v>
      </c>
      <c r="C207" s="6">
        <v>0.126196</v>
      </c>
      <c r="D207" s="6">
        <v>36.690600000000003</v>
      </c>
      <c r="E207" s="6">
        <v>36.564399999999999</v>
      </c>
      <c r="F207" s="6">
        <v>-4.4347899999999999E-4</v>
      </c>
      <c r="G207" s="6">
        <v>-7.6274999999999997E-3</v>
      </c>
      <c r="H207" s="6">
        <v>17.191600000000001</v>
      </c>
      <c r="I207" s="6">
        <v>17.199200000000001</v>
      </c>
      <c r="J207" s="6">
        <v>-1.63444E-3</v>
      </c>
      <c r="K207" s="6">
        <v>-2.36624E-2</v>
      </c>
      <c r="L207" s="6">
        <v>14.4537</v>
      </c>
      <c r="M207" s="6">
        <v>14.477399999999999</v>
      </c>
      <c r="N207" s="6">
        <v>-1.52381E-3</v>
      </c>
      <c r="O207" s="6">
        <v>-2.0904099999999998E-2</v>
      </c>
      <c r="P207" s="6">
        <v>13.6974</v>
      </c>
      <c r="Q207" s="6">
        <v>13.718299999999999</v>
      </c>
      <c r="R207" s="6">
        <v>117.373</v>
      </c>
      <c r="S207" s="6">
        <v>117.373</v>
      </c>
      <c r="T207" s="6">
        <v>2.5448</v>
      </c>
      <c r="U207" s="6">
        <v>8948.26</v>
      </c>
      <c r="V207">
        <f t="shared" si="6"/>
        <v>48.212607758620692</v>
      </c>
      <c r="W207">
        <f t="shared" si="7"/>
        <v>1.2005763333333334E-3</v>
      </c>
    </row>
    <row r="208" spans="1:23" x14ac:dyDescent="0.3">
      <c r="A208" s="6">
        <v>201</v>
      </c>
      <c r="B208" s="6">
        <v>3.48819E-3</v>
      </c>
      <c r="C208" s="6">
        <v>0.12754399999999999</v>
      </c>
      <c r="D208" s="6">
        <v>36.691899999999997</v>
      </c>
      <c r="E208" s="6">
        <v>36.564399999999999</v>
      </c>
      <c r="F208" s="6">
        <v>-4.9396900000000003E-4</v>
      </c>
      <c r="G208" s="6">
        <v>-8.4958900000000007E-3</v>
      </c>
      <c r="H208" s="6">
        <v>17.1907</v>
      </c>
      <c r="I208" s="6">
        <v>17.199200000000001</v>
      </c>
      <c r="J208" s="6">
        <v>-1.6523600000000001E-3</v>
      </c>
      <c r="K208" s="6">
        <v>-2.3921899999999999E-2</v>
      </c>
      <c r="L208" s="6">
        <v>14.4535</v>
      </c>
      <c r="M208" s="6">
        <v>14.477399999999999</v>
      </c>
      <c r="N208" s="6">
        <v>-1.4193999999999999E-3</v>
      </c>
      <c r="O208" s="6">
        <v>-1.9471700000000002E-2</v>
      </c>
      <c r="P208" s="6">
        <v>13.6988</v>
      </c>
      <c r="Q208" s="6">
        <v>13.718299999999999</v>
      </c>
      <c r="R208" s="6">
        <v>117.747</v>
      </c>
      <c r="S208" s="6">
        <v>117.747</v>
      </c>
      <c r="T208" s="6">
        <v>2.5682999999999998</v>
      </c>
      <c r="U208" s="6">
        <v>9030.77</v>
      </c>
      <c r="V208">
        <f t="shared" si="6"/>
        <v>48.657165948275868</v>
      </c>
      <c r="W208">
        <f t="shared" si="7"/>
        <v>1.1885763333333334E-3</v>
      </c>
    </row>
    <row r="209" spans="1:23" x14ac:dyDescent="0.3">
      <c r="A209" s="6">
        <v>202</v>
      </c>
      <c r="B209" s="6">
        <v>3.5058699999999999E-3</v>
      </c>
      <c r="C209" s="6">
        <v>0.12819</v>
      </c>
      <c r="D209" s="6">
        <v>36.692500000000003</v>
      </c>
      <c r="E209" s="6">
        <v>36.564399999999999</v>
      </c>
      <c r="F209" s="6">
        <v>-4.9918599999999999E-4</v>
      </c>
      <c r="G209" s="6">
        <v>-8.5856200000000004E-3</v>
      </c>
      <c r="H209" s="6">
        <v>17.1907</v>
      </c>
      <c r="I209" s="6">
        <v>17.199200000000001</v>
      </c>
      <c r="J209" s="6">
        <v>-1.66599E-3</v>
      </c>
      <c r="K209" s="6">
        <v>-2.4119100000000001E-2</v>
      </c>
      <c r="L209" s="6">
        <v>14.4533</v>
      </c>
      <c r="M209" s="6">
        <v>14.477399999999999</v>
      </c>
      <c r="N209" s="6">
        <v>-1.50354E-3</v>
      </c>
      <c r="O209" s="6">
        <v>-2.0625999999999999E-2</v>
      </c>
      <c r="P209" s="6">
        <v>13.697699999999999</v>
      </c>
      <c r="Q209" s="6">
        <v>13.718299999999999</v>
      </c>
      <c r="R209" s="6">
        <v>118.312</v>
      </c>
      <c r="S209" s="6">
        <v>118.312</v>
      </c>
      <c r="T209" s="6">
        <v>2.5798999999999999</v>
      </c>
      <c r="U209" s="6">
        <v>9071.4599999999991</v>
      </c>
      <c r="V209">
        <f t="shared" si="6"/>
        <v>48.876400862068962</v>
      </c>
      <c r="W209">
        <f t="shared" si="7"/>
        <v>1.2229053333333332E-3</v>
      </c>
    </row>
    <row r="210" spans="1:23" x14ac:dyDescent="0.3">
      <c r="A210" s="6">
        <v>203</v>
      </c>
      <c r="B210" s="6">
        <v>3.4628699999999998E-3</v>
      </c>
      <c r="C210" s="6">
        <v>0.12661800000000001</v>
      </c>
      <c r="D210" s="6">
        <v>36.691000000000003</v>
      </c>
      <c r="E210" s="6">
        <v>36.564399999999999</v>
      </c>
      <c r="F210" s="6">
        <v>-4.87987E-4</v>
      </c>
      <c r="G210" s="6">
        <v>-8.3930099999999994E-3</v>
      </c>
      <c r="H210" s="6">
        <v>17.190799999999999</v>
      </c>
      <c r="I210" s="6">
        <v>17.199200000000001</v>
      </c>
      <c r="J210" s="6">
        <v>-1.7098199999999999E-3</v>
      </c>
      <c r="K210" s="6">
        <v>-2.4753799999999999E-2</v>
      </c>
      <c r="L210" s="6">
        <v>14.4526</v>
      </c>
      <c r="M210" s="6">
        <v>14.477399999999999</v>
      </c>
      <c r="N210" s="6">
        <v>-1.65806E-3</v>
      </c>
      <c r="O210" s="6">
        <v>-2.2745700000000001E-2</v>
      </c>
      <c r="P210" s="6">
        <v>13.695499999999999</v>
      </c>
      <c r="Q210" s="6">
        <v>13.718299999999999</v>
      </c>
      <c r="R210" s="6">
        <v>118.497</v>
      </c>
      <c r="S210" s="6">
        <v>118.498</v>
      </c>
      <c r="T210" s="6">
        <v>2.5840999999999998</v>
      </c>
      <c r="U210" s="6">
        <v>9086.16</v>
      </c>
      <c r="V210">
        <f t="shared" si="6"/>
        <v>48.955603448275866</v>
      </c>
      <c r="W210">
        <f t="shared" si="7"/>
        <v>1.285289E-3</v>
      </c>
    </row>
    <row r="211" spans="1:23" x14ac:dyDescent="0.3">
      <c r="A211" s="6">
        <v>204</v>
      </c>
      <c r="B211" s="6">
        <v>3.4555900000000001E-3</v>
      </c>
      <c r="C211" s="6">
        <v>0.12635099999999999</v>
      </c>
      <c r="D211" s="6">
        <v>36.6907</v>
      </c>
      <c r="E211" s="6">
        <v>36.564399999999999</v>
      </c>
      <c r="F211" s="6">
        <v>-4.8789800000000001E-4</v>
      </c>
      <c r="G211" s="6">
        <v>-8.3914699999999998E-3</v>
      </c>
      <c r="H211" s="6">
        <v>17.190799999999999</v>
      </c>
      <c r="I211" s="6">
        <v>17.199200000000001</v>
      </c>
      <c r="J211" s="6">
        <v>-1.6927299999999999E-3</v>
      </c>
      <c r="K211" s="6">
        <v>-2.4506300000000002E-2</v>
      </c>
      <c r="L211" s="6">
        <v>14.4529</v>
      </c>
      <c r="M211" s="6">
        <v>14.477399999999999</v>
      </c>
      <c r="N211" s="6">
        <v>-1.63521E-3</v>
      </c>
      <c r="O211" s="6">
        <v>-2.2432199999999999E-2</v>
      </c>
      <c r="P211" s="6">
        <v>13.6958</v>
      </c>
      <c r="Q211" s="6">
        <v>13.718299999999999</v>
      </c>
      <c r="R211" s="6">
        <v>119.245</v>
      </c>
      <c r="S211" s="6">
        <v>119.246</v>
      </c>
      <c r="T211" s="6">
        <v>2.6073</v>
      </c>
      <c r="U211" s="6">
        <v>9167.5400000000009</v>
      </c>
      <c r="V211">
        <f t="shared" si="6"/>
        <v>49.394073275862077</v>
      </c>
      <c r="W211">
        <f t="shared" si="7"/>
        <v>1.2719460000000001E-3</v>
      </c>
    </row>
    <row r="212" spans="1:23" x14ac:dyDescent="0.3">
      <c r="A212" s="6">
        <v>205</v>
      </c>
      <c r="B212" s="6">
        <v>3.5931800000000001E-3</v>
      </c>
      <c r="C212" s="6">
        <v>0.131382</v>
      </c>
      <c r="D212" s="6">
        <v>36.695700000000002</v>
      </c>
      <c r="E212" s="6">
        <v>36.564399999999999</v>
      </c>
      <c r="F212" s="6">
        <v>-4.9303699999999999E-4</v>
      </c>
      <c r="G212" s="6">
        <v>-8.4798600000000005E-3</v>
      </c>
      <c r="H212" s="6">
        <v>17.190799999999999</v>
      </c>
      <c r="I212" s="6">
        <v>17.199200000000001</v>
      </c>
      <c r="J212" s="6">
        <v>-1.61399E-3</v>
      </c>
      <c r="K212" s="6">
        <v>-2.33663E-2</v>
      </c>
      <c r="L212" s="6">
        <v>14.454000000000001</v>
      </c>
      <c r="M212" s="6">
        <v>14.477399999999999</v>
      </c>
      <c r="N212" s="6">
        <v>-1.5492399999999999E-3</v>
      </c>
      <c r="O212" s="6">
        <v>-2.1252900000000002E-2</v>
      </c>
      <c r="P212" s="6">
        <v>13.696999999999999</v>
      </c>
      <c r="Q212" s="6">
        <v>13.718299999999999</v>
      </c>
      <c r="R212" s="6">
        <v>119.869</v>
      </c>
      <c r="S212" s="6">
        <v>119.869</v>
      </c>
      <c r="T212" s="6">
        <v>2.6131000000000002</v>
      </c>
      <c r="U212" s="6">
        <v>9187.8799999999992</v>
      </c>
      <c r="V212">
        <f t="shared" si="6"/>
        <v>49.503663793103442</v>
      </c>
      <c r="W212">
        <f t="shared" si="7"/>
        <v>1.2187556666666667E-3</v>
      </c>
    </row>
    <row r="213" spans="1:23" x14ac:dyDescent="0.3">
      <c r="A213" s="6">
        <v>206</v>
      </c>
      <c r="B213" s="6">
        <v>3.5641399999999999E-3</v>
      </c>
      <c r="C213" s="6">
        <v>0.13031999999999999</v>
      </c>
      <c r="D213" s="6">
        <v>36.694699999999997</v>
      </c>
      <c r="E213" s="6">
        <v>36.564399999999999</v>
      </c>
      <c r="F213" s="6">
        <v>-5.6938300000000002E-4</v>
      </c>
      <c r="G213" s="6">
        <v>-9.7929599999999999E-3</v>
      </c>
      <c r="H213" s="6">
        <v>17.189399999999999</v>
      </c>
      <c r="I213" s="6">
        <v>17.199200000000001</v>
      </c>
      <c r="J213" s="6">
        <v>-1.68304E-3</v>
      </c>
      <c r="K213" s="6">
        <v>-2.4365999999999999E-2</v>
      </c>
      <c r="L213" s="6">
        <v>14.452999999999999</v>
      </c>
      <c r="M213" s="6">
        <v>14.477399999999999</v>
      </c>
      <c r="N213" s="6">
        <v>-1.5207199999999999E-3</v>
      </c>
      <c r="O213" s="6">
        <v>-2.08617E-2</v>
      </c>
      <c r="P213" s="6">
        <v>13.6974</v>
      </c>
      <c r="Q213" s="6">
        <v>13.718299999999999</v>
      </c>
      <c r="R213" s="6">
        <v>120.43</v>
      </c>
      <c r="S213" s="6">
        <v>120.43</v>
      </c>
      <c r="T213" s="6">
        <v>2.6318000000000001</v>
      </c>
      <c r="U213" s="6">
        <v>9253.44</v>
      </c>
      <c r="V213">
        <f t="shared" si="6"/>
        <v>49.856896551724141</v>
      </c>
      <c r="W213">
        <f t="shared" si="7"/>
        <v>1.2577143333333332E-3</v>
      </c>
    </row>
    <row r="214" spans="1:23" x14ac:dyDescent="0.3">
      <c r="A214" s="6">
        <v>207</v>
      </c>
      <c r="B214" s="6">
        <v>3.56764E-3</v>
      </c>
      <c r="C214" s="6">
        <v>0.13044800000000001</v>
      </c>
      <c r="D214" s="6">
        <v>36.694800000000001</v>
      </c>
      <c r="E214" s="6">
        <v>36.564399999999999</v>
      </c>
      <c r="F214" s="6">
        <v>-5.0349499999999996E-4</v>
      </c>
      <c r="G214" s="6">
        <v>-8.6597400000000008E-3</v>
      </c>
      <c r="H214" s="6">
        <v>17.1906</v>
      </c>
      <c r="I214" s="6">
        <v>17.199200000000001</v>
      </c>
      <c r="J214" s="6">
        <v>-1.7135500000000001E-3</v>
      </c>
      <c r="K214" s="6">
        <v>-2.4807599999999999E-2</v>
      </c>
      <c r="L214" s="6">
        <v>14.4526</v>
      </c>
      <c r="M214" s="6">
        <v>14.477399999999999</v>
      </c>
      <c r="N214" s="6">
        <v>-1.6164899999999999E-3</v>
      </c>
      <c r="O214" s="6">
        <v>-2.2175400000000001E-2</v>
      </c>
      <c r="P214" s="6">
        <v>13.696099999999999</v>
      </c>
      <c r="Q214" s="6">
        <v>13.718299999999999</v>
      </c>
      <c r="R214" s="6">
        <v>120.86799999999999</v>
      </c>
      <c r="S214" s="6">
        <v>120.869</v>
      </c>
      <c r="T214" s="6">
        <v>2.6446999999999998</v>
      </c>
      <c r="U214" s="6">
        <v>9298.65</v>
      </c>
      <c r="V214">
        <f t="shared" si="6"/>
        <v>50.100484913793103</v>
      </c>
      <c r="W214">
        <f t="shared" si="7"/>
        <v>1.2778449999999999E-3</v>
      </c>
    </row>
    <row r="215" spans="1:23" x14ac:dyDescent="0.3">
      <c r="A215" s="6">
        <v>208</v>
      </c>
      <c r="B215" s="6">
        <v>3.57961E-3</v>
      </c>
      <c r="C215" s="6">
        <v>0.130886</v>
      </c>
      <c r="D215" s="6">
        <v>36.6952</v>
      </c>
      <c r="E215" s="6">
        <v>36.564399999999999</v>
      </c>
      <c r="F215" s="6">
        <v>-5.4553800000000003E-4</v>
      </c>
      <c r="G215" s="6">
        <v>-9.3828499999999999E-3</v>
      </c>
      <c r="H215" s="6">
        <v>17.189900000000002</v>
      </c>
      <c r="I215" s="6">
        <v>17.199200000000001</v>
      </c>
      <c r="J215" s="6">
        <v>-1.85809E-3</v>
      </c>
      <c r="K215" s="6">
        <v>-2.6900299999999999E-2</v>
      </c>
      <c r="L215" s="6">
        <v>14.4505</v>
      </c>
      <c r="M215" s="6">
        <v>14.477399999999999</v>
      </c>
      <c r="N215" s="6">
        <v>-1.7527300000000001E-3</v>
      </c>
      <c r="O215" s="6">
        <v>-2.40444E-2</v>
      </c>
      <c r="P215" s="6">
        <v>13.6942</v>
      </c>
      <c r="Q215" s="6">
        <v>13.718299999999999</v>
      </c>
      <c r="R215" s="6">
        <v>121.366</v>
      </c>
      <c r="S215" s="6">
        <v>121.366</v>
      </c>
      <c r="T215" s="6">
        <v>2.6615000000000002</v>
      </c>
      <c r="U215" s="6">
        <v>9357.42</v>
      </c>
      <c r="V215">
        <f t="shared" si="6"/>
        <v>50.417133620689654</v>
      </c>
      <c r="W215">
        <f t="shared" si="7"/>
        <v>1.3854526666666669E-3</v>
      </c>
    </row>
    <row r="216" spans="1:23" x14ac:dyDescent="0.3">
      <c r="A216" s="6">
        <v>209</v>
      </c>
      <c r="B216" s="6">
        <v>3.6054799999999999E-3</v>
      </c>
      <c r="C216" s="6">
        <v>0.131832</v>
      </c>
      <c r="D216" s="6">
        <v>36.696199999999997</v>
      </c>
      <c r="E216" s="6">
        <v>36.564399999999999</v>
      </c>
      <c r="F216" s="6">
        <v>-3.8206399999999999E-4</v>
      </c>
      <c r="G216" s="6">
        <v>-6.5712100000000001E-3</v>
      </c>
      <c r="H216" s="6">
        <v>17.192699999999999</v>
      </c>
      <c r="I216" s="6">
        <v>17.199200000000001</v>
      </c>
      <c r="J216" s="6">
        <v>-1.64795E-3</v>
      </c>
      <c r="K216" s="6">
        <v>-2.3858000000000001E-2</v>
      </c>
      <c r="L216" s="6">
        <v>14.4535</v>
      </c>
      <c r="M216" s="6">
        <v>14.477399999999999</v>
      </c>
      <c r="N216" s="6">
        <v>-1.5953899999999999E-3</v>
      </c>
      <c r="O216" s="6">
        <v>-2.1885999999999999E-2</v>
      </c>
      <c r="P216" s="6">
        <v>13.696400000000001</v>
      </c>
      <c r="Q216" s="6">
        <v>13.718299999999999</v>
      </c>
      <c r="R216" s="6">
        <v>121.804</v>
      </c>
      <c r="S216" s="6">
        <v>121.80500000000001</v>
      </c>
      <c r="T216" s="6">
        <v>2.6720999999999999</v>
      </c>
      <c r="U216" s="6">
        <v>9394.7199999999993</v>
      </c>
      <c r="V216">
        <f t="shared" si="6"/>
        <v>50.618103448275861</v>
      </c>
      <c r="W216">
        <f t="shared" si="7"/>
        <v>1.2084680000000001E-3</v>
      </c>
    </row>
    <row r="217" spans="1:23" x14ac:dyDescent="0.3">
      <c r="A217" s="6">
        <v>210</v>
      </c>
      <c r="B217" s="6">
        <v>3.59181E-3</v>
      </c>
      <c r="C217" s="6">
        <v>0.131332</v>
      </c>
      <c r="D217" s="6">
        <v>36.695700000000002</v>
      </c>
      <c r="E217" s="6">
        <v>36.564399999999999</v>
      </c>
      <c r="F217" s="6">
        <v>-4.9967299999999996E-4</v>
      </c>
      <c r="G217" s="6">
        <v>-8.5939899999999993E-3</v>
      </c>
      <c r="H217" s="6">
        <v>17.1906</v>
      </c>
      <c r="I217" s="6">
        <v>17.199200000000001</v>
      </c>
      <c r="J217" s="6">
        <v>-1.7246399999999999E-3</v>
      </c>
      <c r="K217" s="6">
        <v>-2.4968299999999999E-2</v>
      </c>
      <c r="L217" s="6">
        <v>14.452400000000001</v>
      </c>
      <c r="M217" s="6">
        <v>14.477399999999999</v>
      </c>
      <c r="N217" s="6">
        <v>-1.6363599999999999E-3</v>
      </c>
      <c r="O217" s="6">
        <v>-2.2448099999999999E-2</v>
      </c>
      <c r="P217" s="6">
        <v>13.6958</v>
      </c>
      <c r="Q217" s="6">
        <v>13.718299999999999</v>
      </c>
      <c r="R217" s="6">
        <v>122.18</v>
      </c>
      <c r="S217" s="6">
        <v>122.18</v>
      </c>
      <c r="T217" s="6">
        <v>2.6837</v>
      </c>
      <c r="U217" s="6">
        <v>9435.41</v>
      </c>
      <c r="V217">
        <f t="shared" si="6"/>
        <v>50.837338362068969</v>
      </c>
      <c r="W217">
        <f t="shared" si="7"/>
        <v>1.2868909999999999E-3</v>
      </c>
    </row>
    <row r="218" spans="1:23" x14ac:dyDescent="0.3">
      <c r="A218" s="6">
        <v>211</v>
      </c>
      <c r="B218" s="6">
        <v>3.64899E-3</v>
      </c>
      <c r="C218" s="6">
        <v>0.13342300000000001</v>
      </c>
      <c r="D218" s="6">
        <v>36.697800000000001</v>
      </c>
      <c r="E218" s="6">
        <v>36.564399999999999</v>
      </c>
      <c r="F218" s="6">
        <v>-5.4277600000000002E-4</v>
      </c>
      <c r="G218" s="6">
        <v>-9.3353399999999993E-3</v>
      </c>
      <c r="H218" s="6">
        <v>17.189900000000002</v>
      </c>
      <c r="I218" s="6">
        <v>17.199200000000001</v>
      </c>
      <c r="J218" s="6">
        <v>-1.78505E-3</v>
      </c>
      <c r="K218" s="6">
        <v>-2.5842799999999999E-2</v>
      </c>
      <c r="L218" s="6">
        <v>14.451499999999999</v>
      </c>
      <c r="M218" s="6">
        <v>14.477399999999999</v>
      </c>
      <c r="N218" s="6">
        <v>-1.6416099999999999E-3</v>
      </c>
      <c r="O218" s="6">
        <v>-2.2520100000000001E-2</v>
      </c>
      <c r="P218" s="6">
        <v>13.6958</v>
      </c>
      <c r="Q218" s="6">
        <v>13.718299999999999</v>
      </c>
      <c r="R218" s="6">
        <v>122.429</v>
      </c>
      <c r="S218" s="6">
        <v>122.429</v>
      </c>
      <c r="T218" s="6">
        <v>2.6911</v>
      </c>
      <c r="U218" s="6">
        <v>9461.4</v>
      </c>
      <c r="V218">
        <f t="shared" si="6"/>
        <v>50.977370689655174</v>
      </c>
      <c r="W218">
        <f t="shared" si="7"/>
        <v>1.3231453333333333E-3</v>
      </c>
    </row>
    <row r="219" spans="1:23" x14ac:dyDescent="0.3">
      <c r="A219" s="6">
        <v>212</v>
      </c>
      <c r="B219" s="6">
        <v>3.6353700000000002E-3</v>
      </c>
      <c r="C219" s="6">
        <v>0.13292499999999999</v>
      </c>
      <c r="D219" s="6">
        <v>36.697299999999998</v>
      </c>
      <c r="E219" s="6">
        <v>36.564399999999999</v>
      </c>
      <c r="F219" s="6">
        <v>-4.8237699999999998E-4</v>
      </c>
      <c r="G219" s="6">
        <v>-8.2965199999999999E-3</v>
      </c>
      <c r="H219" s="6">
        <v>17.190899999999999</v>
      </c>
      <c r="I219" s="6">
        <v>17.199200000000001</v>
      </c>
      <c r="J219" s="6">
        <v>-1.73386E-3</v>
      </c>
      <c r="K219" s="6">
        <v>-2.5101700000000001E-2</v>
      </c>
      <c r="L219" s="6">
        <v>14.452299999999999</v>
      </c>
      <c r="M219" s="6">
        <v>14.477399999999999</v>
      </c>
      <c r="N219" s="6">
        <v>-1.5786699999999999E-3</v>
      </c>
      <c r="O219" s="6">
        <v>-2.1656700000000001E-2</v>
      </c>
      <c r="P219" s="6">
        <v>13.6966</v>
      </c>
      <c r="Q219" s="6">
        <v>13.718299999999999</v>
      </c>
      <c r="R219" s="6">
        <v>123.303</v>
      </c>
      <c r="S219" s="6">
        <v>123.304</v>
      </c>
      <c r="T219" s="6">
        <v>2.7107999999999999</v>
      </c>
      <c r="U219" s="6">
        <v>9530.35</v>
      </c>
      <c r="V219">
        <f t="shared" si="6"/>
        <v>51.348868534482762</v>
      </c>
      <c r="W219">
        <f t="shared" si="7"/>
        <v>1.2649690000000001E-3</v>
      </c>
    </row>
    <row r="220" spans="1:23" x14ac:dyDescent="0.3">
      <c r="A220" s="6">
        <v>213</v>
      </c>
      <c r="B220" s="6">
        <v>3.6762600000000002E-3</v>
      </c>
      <c r="C220" s="6">
        <v>0.13442000000000001</v>
      </c>
      <c r="D220" s="6">
        <v>36.698799999999999</v>
      </c>
      <c r="E220" s="6">
        <v>36.564399999999999</v>
      </c>
      <c r="F220" s="6">
        <v>-4.9037099999999997E-4</v>
      </c>
      <c r="G220" s="6">
        <v>-8.4340100000000005E-3</v>
      </c>
      <c r="H220" s="6">
        <v>17.190799999999999</v>
      </c>
      <c r="I220" s="6">
        <v>17.199200000000001</v>
      </c>
      <c r="J220" s="6">
        <v>-1.6868499999999999E-3</v>
      </c>
      <c r="K220" s="6">
        <v>-2.4421200000000001E-2</v>
      </c>
      <c r="L220" s="6">
        <v>14.452999999999999</v>
      </c>
      <c r="M220" s="6">
        <v>14.477399999999999</v>
      </c>
      <c r="N220" s="6">
        <v>-1.5648299999999999E-3</v>
      </c>
      <c r="O220" s="6">
        <v>-2.1466800000000001E-2</v>
      </c>
      <c r="P220" s="6">
        <v>13.6968</v>
      </c>
      <c r="Q220" s="6">
        <v>13.718299999999999</v>
      </c>
      <c r="R220" s="6">
        <v>123.80200000000001</v>
      </c>
      <c r="S220" s="6">
        <v>123.80200000000001</v>
      </c>
      <c r="T220" s="6">
        <v>2.7153</v>
      </c>
      <c r="U220" s="6">
        <v>9546.17</v>
      </c>
      <c r="V220">
        <f t="shared" si="6"/>
        <v>51.43410560344828</v>
      </c>
      <c r="W220">
        <f t="shared" si="7"/>
        <v>1.2473503333333333E-3</v>
      </c>
    </row>
    <row r="221" spans="1:23" x14ac:dyDescent="0.3">
      <c r="A221" s="6">
        <v>214</v>
      </c>
      <c r="B221" s="6">
        <v>3.6934200000000002E-3</v>
      </c>
      <c r="C221" s="6">
        <v>0.135048</v>
      </c>
      <c r="D221" s="6">
        <v>36.699399999999997</v>
      </c>
      <c r="E221" s="6">
        <v>36.564399999999999</v>
      </c>
      <c r="F221" s="6">
        <v>-4.3967399999999998E-4</v>
      </c>
      <c r="G221" s="6">
        <v>-7.5620599999999998E-3</v>
      </c>
      <c r="H221" s="6">
        <v>17.191700000000001</v>
      </c>
      <c r="I221" s="6">
        <v>17.199200000000001</v>
      </c>
      <c r="J221" s="6">
        <v>-1.6848E-3</v>
      </c>
      <c r="K221" s="6">
        <v>-2.4391400000000001E-2</v>
      </c>
      <c r="L221" s="6">
        <v>14.452999999999999</v>
      </c>
      <c r="M221" s="6">
        <v>14.477399999999999</v>
      </c>
      <c r="N221" s="6">
        <v>-1.60082E-3</v>
      </c>
      <c r="O221" s="6">
        <v>-2.1960500000000001E-2</v>
      </c>
      <c r="P221" s="6">
        <v>13.696300000000001</v>
      </c>
      <c r="Q221" s="6">
        <v>13.718299999999999</v>
      </c>
      <c r="R221" s="6">
        <v>124.24</v>
      </c>
      <c r="S221" s="6">
        <v>124.24</v>
      </c>
      <c r="T221" s="6">
        <v>2.7437</v>
      </c>
      <c r="U221" s="6">
        <v>9645.64</v>
      </c>
      <c r="V221">
        <f t="shared" si="6"/>
        <v>51.970043103448276</v>
      </c>
      <c r="W221">
        <f t="shared" si="7"/>
        <v>1.2417646666666666E-3</v>
      </c>
    </row>
    <row r="222" spans="1:23" x14ac:dyDescent="0.3">
      <c r="A222" s="6">
        <v>215</v>
      </c>
      <c r="B222" s="6">
        <v>3.7153199999999998E-3</v>
      </c>
      <c r="C222" s="6">
        <v>0.135848</v>
      </c>
      <c r="D222" s="6">
        <v>36.700200000000002</v>
      </c>
      <c r="E222" s="6">
        <v>36.564399999999999</v>
      </c>
      <c r="F222" s="6">
        <v>-5.9640400000000003E-4</v>
      </c>
      <c r="G222" s="6">
        <v>-1.02577E-2</v>
      </c>
      <c r="H222" s="6">
        <v>17.189</v>
      </c>
      <c r="I222" s="6">
        <v>17.199200000000001</v>
      </c>
      <c r="J222" s="6">
        <v>-1.80741E-3</v>
      </c>
      <c r="K222" s="6">
        <v>-2.6166600000000002E-2</v>
      </c>
      <c r="L222" s="6">
        <v>14.4512</v>
      </c>
      <c r="M222" s="6">
        <v>14.477399999999999</v>
      </c>
      <c r="N222" s="6">
        <v>-1.6691E-3</v>
      </c>
      <c r="O222" s="6">
        <v>-2.2897199999999999E-2</v>
      </c>
      <c r="P222" s="6">
        <v>13.695399999999999</v>
      </c>
      <c r="Q222" s="6">
        <v>13.718299999999999</v>
      </c>
      <c r="R222" s="6">
        <v>124.67400000000001</v>
      </c>
      <c r="S222" s="6">
        <v>124.675</v>
      </c>
      <c r="T222" s="6">
        <v>2.7482000000000002</v>
      </c>
      <c r="U222" s="6">
        <v>9661.4599999999991</v>
      </c>
      <c r="V222">
        <f t="shared" si="6"/>
        <v>52.055280172413788</v>
      </c>
      <c r="W222">
        <f t="shared" si="7"/>
        <v>1.3576379999999998E-3</v>
      </c>
    </row>
    <row r="223" spans="1:23" x14ac:dyDescent="0.3">
      <c r="A223" s="6">
        <v>216</v>
      </c>
      <c r="B223" s="6">
        <v>3.7413899999999998E-3</v>
      </c>
      <c r="C223" s="6">
        <v>0.13680200000000001</v>
      </c>
      <c r="D223" s="6">
        <v>36.7012</v>
      </c>
      <c r="E223" s="6">
        <v>36.564399999999999</v>
      </c>
      <c r="F223" s="6">
        <v>-4.4412800000000001E-4</v>
      </c>
      <c r="G223" s="6">
        <v>-7.6386700000000002E-3</v>
      </c>
      <c r="H223" s="6">
        <v>17.191600000000001</v>
      </c>
      <c r="I223" s="6">
        <v>17.199200000000001</v>
      </c>
      <c r="J223" s="6">
        <v>-1.70703E-3</v>
      </c>
      <c r="K223" s="6">
        <v>-2.4713300000000001E-2</v>
      </c>
      <c r="L223" s="6">
        <v>14.4527</v>
      </c>
      <c r="M223" s="6">
        <v>14.477399999999999</v>
      </c>
      <c r="N223" s="6">
        <v>-1.6795600000000001E-3</v>
      </c>
      <c r="O223" s="6">
        <v>-2.3040600000000001E-2</v>
      </c>
      <c r="P223" s="6">
        <v>13.6952</v>
      </c>
      <c r="Q223" s="6">
        <v>13.718299999999999</v>
      </c>
      <c r="R223" s="6">
        <v>125.113</v>
      </c>
      <c r="S223" s="6">
        <v>125.113</v>
      </c>
      <c r="T223" s="6">
        <v>2.754</v>
      </c>
      <c r="U223" s="6">
        <v>9681.81</v>
      </c>
      <c r="V223">
        <f t="shared" si="6"/>
        <v>52.164924568965517</v>
      </c>
      <c r="W223">
        <f t="shared" si="7"/>
        <v>1.2769060000000002E-3</v>
      </c>
    </row>
    <row r="224" spans="1:23" x14ac:dyDescent="0.3">
      <c r="A224" s="6">
        <v>217</v>
      </c>
      <c r="B224" s="6">
        <v>3.7801000000000002E-3</v>
      </c>
      <c r="C224" s="6">
        <v>0.13821700000000001</v>
      </c>
      <c r="D224" s="6">
        <v>36.702599999999997</v>
      </c>
      <c r="E224" s="6">
        <v>36.564399999999999</v>
      </c>
      <c r="F224" s="6">
        <v>-4.8383200000000001E-4</v>
      </c>
      <c r="G224" s="6">
        <v>-8.3215500000000005E-3</v>
      </c>
      <c r="H224" s="6">
        <v>17.190899999999999</v>
      </c>
      <c r="I224" s="6">
        <v>17.199200000000001</v>
      </c>
      <c r="J224" s="6">
        <v>-1.6802200000000001E-3</v>
      </c>
      <c r="K224" s="6">
        <v>-2.4325099999999999E-2</v>
      </c>
      <c r="L224" s="6">
        <v>14.453099999999999</v>
      </c>
      <c r="M224" s="6">
        <v>14.477399999999999</v>
      </c>
      <c r="N224" s="6">
        <v>-1.51629E-3</v>
      </c>
      <c r="O224" s="6">
        <v>-2.0800900000000001E-2</v>
      </c>
      <c r="P224" s="6">
        <v>13.6975</v>
      </c>
      <c r="Q224" s="6">
        <v>13.718299999999999</v>
      </c>
      <c r="R224" s="6">
        <v>125.548</v>
      </c>
      <c r="S224" s="6">
        <v>125.548</v>
      </c>
      <c r="T224" s="6">
        <v>2.7690999999999999</v>
      </c>
      <c r="U224" s="6">
        <v>9734.93</v>
      </c>
      <c r="V224">
        <f t="shared" si="6"/>
        <v>52.451131465517243</v>
      </c>
      <c r="W224">
        <f t="shared" si="7"/>
        <v>1.2267806666666668E-3</v>
      </c>
    </row>
    <row r="225" spans="1:23" x14ac:dyDescent="0.3">
      <c r="A225" s="6">
        <v>218</v>
      </c>
      <c r="B225" s="6">
        <v>3.74114E-3</v>
      </c>
      <c r="C225" s="6">
        <v>0.136792</v>
      </c>
      <c r="D225" s="6">
        <v>36.701099999999997</v>
      </c>
      <c r="E225" s="6">
        <v>36.564399999999999</v>
      </c>
      <c r="F225" s="6">
        <v>-5.2616399999999997E-4</v>
      </c>
      <c r="G225" s="6">
        <v>-9.0496299999999995E-3</v>
      </c>
      <c r="H225" s="6">
        <v>17.190200000000001</v>
      </c>
      <c r="I225" s="6">
        <v>17.199200000000001</v>
      </c>
      <c r="J225" s="6">
        <v>-1.82858E-3</v>
      </c>
      <c r="K225" s="6">
        <v>-2.6473099999999999E-2</v>
      </c>
      <c r="L225" s="6">
        <v>14.450900000000001</v>
      </c>
      <c r="M225" s="6">
        <v>14.477399999999999</v>
      </c>
      <c r="N225" s="6">
        <v>-1.7469499999999999E-3</v>
      </c>
      <c r="O225" s="6">
        <v>-2.39651E-2</v>
      </c>
      <c r="P225" s="6">
        <v>13.6943</v>
      </c>
      <c r="Q225" s="6">
        <v>13.718299999999999</v>
      </c>
      <c r="R225" s="6">
        <v>126.236</v>
      </c>
      <c r="S225" s="6">
        <v>126.236</v>
      </c>
      <c r="T225" s="6">
        <v>2.7835999999999999</v>
      </c>
      <c r="U225" s="6">
        <v>9785.7900000000009</v>
      </c>
      <c r="V225">
        <f t="shared" si="6"/>
        <v>52.725161637931038</v>
      </c>
      <c r="W225">
        <f t="shared" si="7"/>
        <v>1.3672313333333332E-3</v>
      </c>
    </row>
    <row r="226" spans="1:23" x14ac:dyDescent="0.3">
      <c r="A226" s="6">
        <v>219</v>
      </c>
      <c r="B226" s="6">
        <v>3.8230600000000001E-3</v>
      </c>
      <c r="C226" s="6">
        <v>0.139788</v>
      </c>
      <c r="D226" s="6">
        <v>36.704099999999997</v>
      </c>
      <c r="E226" s="6">
        <v>36.564399999999999</v>
      </c>
      <c r="F226" s="6">
        <v>-5.2232299999999999E-4</v>
      </c>
      <c r="G226" s="6">
        <v>-8.9835699999999998E-3</v>
      </c>
      <c r="H226" s="6">
        <v>17.190300000000001</v>
      </c>
      <c r="I226" s="6">
        <v>17.199200000000001</v>
      </c>
      <c r="J226" s="6">
        <v>-1.7338799999999999E-3</v>
      </c>
      <c r="K226" s="6">
        <v>-2.5102099999999999E-2</v>
      </c>
      <c r="L226" s="6">
        <v>14.452299999999999</v>
      </c>
      <c r="M226" s="6">
        <v>14.477399999999999</v>
      </c>
      <c r="N226" s="6">
        <v>-1.59946E-3</v>
      </c>
      <c r="O226" s="6">
        <v>-2.1941800000000001E-2</v>
      </c>
      <c r="P226" s="6">
        <v>13.696300000000001</v>
      </c>
      <c r="Q226" s="6">
        <v>13.718299999999999</v>
      </c>
      <c r="R226" s="6">
        <v>126.60899999999999</v>
      </c>
      <c r="S226" s="6">
        <v>126.60899999999999</v>
      </c>
      <c r="T226" s="6">
        <v>2.7829999999999999</v>
      </c>
      <c r="U226" s="6">
        <v>9783.5300000000007</v>
      </c>
      <c r="V226">
        <f t="shared" si="6"/>
        <v>52.712984913793107</v>
      </c>
      <c r="W226">
        <f t="shared" si="7"/>
        <v>1.285221E-3</v>
      </c>
    </row>
    <row r="227" spans="1:23" x14ac:dyDescent="0.3">
      <c r="A227" s="6">
        <v>220</v>
      </c>
      <c r="B227" s="6">
        <v>3.7425100000000001E-3</v>
      </c>
      <c r="C227" s="6">
        <v>0.13684199999999999</v>
      </c>
      <c r="D227" s="6">
        <v>36.7012</v>
      </c>
      <c r="E227" s="6">
        <v>36.564399999999999</v>
      </c>
      <c r="F227" s="6">
        <v>-5.8076899999999997E-4</v>
      </c>
      <c r="G227" s="6">
        <v>-9.9887799999999992E-3</v>
      </c>
      <c r="H227" s="6">
        <v>17.189299999999999</v>
      </c>
      <c r="I227" s="6">
        <v>17.199200000000001</v>
      </c>
      <c r="J227" s="6">
        <v>-1.8535100000000001E-3</v>
      </c>
      <c r="K227" s="6">
        <v>-2.6834E-2</v>
      </c>
      <c r="L227" s="6">
        <v>14.4505</v>
      </c>
      <c r="M227" s="6">
        <v>14.477399999999999</v>
      </c>
      <c r="N227" s="6">
        <v>-1.7095299999999999E-3</v>
      </c>
      <c r="O227" s="6">
        <v>-2.3451900000000001E-2</v>
      </c>
      <c r="P227" s="6">
        <v>13.694800000000001</v>
      </c>
      <c r="Q227" s="6">
        <v>13.718299999999999</v>
      </c>
      <c r="R227" s="6">
        <v>127.10899999999999</v>
      </c>
      <c r="S227" s="6">
        <v>127.10899999999999</v>
      </c>
      <c r="T227" s="6">
        <v>2.8083999999999998</v>
      </c>
      <c r="U227" s="6">
        <v>9872.82</v>
      </c>
      <c r="V227">
        <f t="shared" si="6"/>
        <v>53.194073275862067</v>
      </c>
      <c r="W227">
        <f t="shared" si="7"/>
        <v>1.3812696666666666E-3</v>
      </c>
    </row>
    <row r="228" spans="1:23" x14ac:dyDescent="0.3">
      <c r="A228" s="6">
        <v>221</v>
      </c>
      <c r="B228" s="6">
        <v>3.7833900000000002E-3</v>
      </c>
      <c r="C228" s="6">
        <v>0.13833699999999999</v>
      </c>
      <c r="D228" s="6">
        <v>36.7027</v>
      </c>
      <c r="E228" s="6">
        <v>36.564399999999999</v>
      </c>
      <c r="F228" s="6">
        <v>-4.6091900000000001E-4</v>
      </c>
      <c r="G228" s="6">
        <v>-7.9274600000000008E-3</v>
      </c>
      <c r="H228" s="6">
        <v>17.191299999999998</v>
      </c>
      <c r="I228" s="6">
        <v>17.199200000000001</v>
      </c>
      <c r="J228" s="6">
        <v>-1.7260400000000001E-3</v>
      </c>
      <c r="K228" s="6">
        <v>-2.49886E-2</v>
      </c>
      <c r="L228" s="6">
        <v>14.452400000000001</v>
      </c>
      <c r="M228" s="6">
        <v>14.477399999999999</v>
      </c>
      <c r="N228" s="6">
        <v>-1.6973100000000001E-3</v>
      </c>
      <c r="O228" s="6">
        <v>-2.3284200000000001E-2</v>
      </c>
      <c r="P228" s="6">
        <v>13.695</v>
      </c>
      <c r="Q228" s="6">
        <v>13.718299999999999</v>
      </c>
      <c r="R228" s="6">
        <v>127.67100000000001</v>
      </c>
      <c r="S228" s="6">
        <v>127.67100000000001</v>
      </c>
      <c r="T228" s="6">
        <v>2.8342000000000001</v>
      </c>
      <c r="U228" s="6">
        <v>9963.24</v>
      </c>
      <c r="V228">
        <f t="shared" si="6"/>
        <v>53.681249999999999</v>
      </c>
      <c r="W228">
        <f t="shared" si="7"/>
        <v>1.2947563333333334E-3</v>
      </c>
    </row>
    <row r="229" spans="1:23" x14ac:dyDescent="0.3">
      <c r="A229" s="6">
        <v>222</v>
      </c>
      <c r="B229" s="6">
        <v>3.8888600000000001E-3</v>
      </c>
      <c r="C229" s="6">
        <v>0.14219399999999999</v>
      </c>
      <c r="D229" s="6">
        <v>36.706600000000002</v>
      </c>
      <c r="E229" s="6">
        <v>36.564399999999999</v>
      </c>
      <c r="F229" s="6">
        <v>-4.4285100000000002E-4</v>
      </c>
      <c r="G229" s="6">
        <v>-7.6166999999999997E-3</v>
      </c>
      <c r="H229" s="6">
        <v>17.191600000000001</v>
      </c>
      <c r="I229" s="6">
        <v>17.199200000000001</v>
      </c>
      <c r="J229" s="6">
        <v>-1.7046400000000001E-3</v>
      </c>
      <c r="K229" s="6">
        <v>-2.4678800000000001E-2</v>
      </c>
      <c r="L229" s="6">
        <v>14.4527</v>
      </c>
      <c r="M229" s="6">
        <v>14.477399999999999</v>
      </c>
      <c r="N229" s="6">
        <v>-1.61455E-3</v>
      </c>
      <c r="O229" s="6">
        <v>-2.2148899999999999E-2</v>
      </c>
      <c r="P229" s="6">
        <v>13.696099999999999</v>
      </c>
      <c r="Q229" s="6">
        <v>13.718299999999999</v>
      </c>
      <c r="R229" s="6">
        <v>128.107</v>
      </c>
      <c r="S229" s="6">
        <v>128.107</v>
      </c>
      <c r="T229" s="6">
        <v>2.84</v>
      </c>
      <c r="U229" s="6">
        <v>9983.59</v>
      </c>
      <c r="V229">
        <f t="shared" si="6"/>
        <v>53.790894396551728</v>
      </c>
      <c r="W229">
        <f t="shared" si="7"/>
        <v>1.2540136666666665E-3</v>
      </c>
    </row>
    <row r="230" spans="1:23" x14ac:dyDescent="0.3">
      <c r="A230" s="6">
        <v>223</v>
      </c>
      <c r="B230" s="6">
        <v>3.7434199999999999E-3</v>
      </c>
      <c r="C230" s="6">
        <v>0.136876</v>
      </c>
      <c r="D230" s="6">
        <v>36.7012</v>
      </c>
      <c r="E230" s="6">
        <v>36.564399999999999</v>
      </c>
      <c r="F230" s="6">
        <v>-6.6569600000000002E-4</v>
      </c>
      <c r="G230" s="6">
        <v>-1.14495E-2</v>
      </c>
      <c r="H230" s="6">
        <v>17.187799999999999</v>
      </c>
      <c r="I230" s="6">
        <v>17.199200000000001</v>
      </c>
      <c r="J230" s="6">
        <v>-1.9661800000000001E-3</v>
      </c>
      <c r="K230" s="6">
        <v>-2.84651E-2</v>
      </c>
      <c r="L230" s="6">
        <v>14.4489</v>
      </c>
      <c r="M230" s="6">
        <v>14.477399999999999</v>
      </c>
      <c r="N230" s="6">
        <v>-1.77429E-3</v>
      </c>
      <c r="O230" s="6">
        <v>-2.4340299999999999E-2</v>
      </c>
      <c r="P230" s="6">
        <v>13.693899999999999</v>
      </c>
      <c r="Q230" s="6">
        <v>13.718299999999999</v>
      </c>
      <c r="R230" s="6">
        <v>128.41999999999999</v>
      </c>
      <c r="S230" s="6">
        <v>128.41999999999999</v>
      </c>
      <c r="T230" s="6">
        <v>2.8502999999999998</v>
      </c>
      <c r="U230" s="6">
        <v>10019.799999999999</v>
      </c>
      <c r="V230">
        <f t="shared" si="6"/>
        <v>53.985991379310342</v>
      </c>
      <c r="W230">
        <f t="shared" si="7"/>
        <v>1.4687219999999998E-3</v>
      </c>
    </row>
    <row r="231" spans="1:23" x14ac:dyDescent="0.3">
      <c r="A231" s="6">
        <v>224</v>
      </c>
      <c r="B231" s="6">
        <v>3.8993999999999999E-3</v>
      </c>
      <c r="C231" s="6">
        <v>0.14257900000000001</v>
      </c>
      <c r="D231" s="6">
        <v>36.706899999999997</v>
      </c>
      <c r="E231" s="6">
        <v>36.564399999999999</v>
      </c>
      <c r="F231" s="6">
        <v>-5.3807099999999999E-4</v>
      </c>
      <c r="G231" s="6">
        <v>-9.2544099999999994E-3</v>
      </c>
      <c r="H231" s="6">
        <v>17.190000000000001</v>
      </c>
      <c r="I231" s="6">
        <v>17.199200000000001</v>
      </c>
      <c r="J231" s="6">
        <v>-1.7509100000000001E-3</v>
      </c>
      <c r="K231" s="6">
        <v>-2.5348599999999999E-2</v>
      </c>
      <c r="L231" s="6">
        <v>14.452</v>
      </c>
      <c r="M231" s="6">
        <v>14.477399999999999</v>
      </c>
      <c r="N231" s="6">
        <v>-1.6507500000000001E-3</v>
      </c>
      <c r="O231" s="6">
        <v>-2.2645499999999999E-2</v>
      </c>
      <c r="P231" s="6">
        <v>13.695600000000001</v>
      </c>
      <c r="Q231" s="6">
        <v>13.718299999999999</v>
      </c>
      <c r="R231" s="6">
        <v>129.10499999999999</v>
      </c>
      <c r="S231" s="6">
        <v>129.10499999999999</v>
      </c>
      <c r="T231" s="6">
        <v>2.8696999999999999</v>
      </c>
      <c r="U231" s="6">
        <v>10087.6</v>
      </c>
      <c r="V231">
        <f t="shared" si="6"/>
        <v>54.351293103448278</v>
      </c>
      <c r="W231">
        <f t="shared" si="7"/>
        <v>1.3132436666666667E-3</v>
      </c>
    </row>
    <row r="232" spans="1:23" x14ac:dyDescent="0.3">
      <c r="A232" s="6">
        <v>225</v>
      </c>
      <c r="B232" s="6">
        <v>3.8566E-3</v>
      </c>
      <c r="C232" s="6">
        <v>0.141014</v>
      </c>
      <c r="D232" s="6">
        <v>36.705399999999997</v>
      </c>
      <c r="E232" s="6">
        <v>36.564399999999999</v>
      </c>
      <c r="F232" s="6">
        <v>-5.3709000000000005E-4</v>
      </c>
      <c r="G232" s="6">
        <v>-9.2375300000000007E-3</v>
      </c>
      <c r="H232" s="6">
        <v>17.190000000000001</v>
      </c>
      <c r="I232" s="6">
        <v>17.199200000000001</v>
      </c>
      <c r="J232" s="6">
        <v>-1.84005E-3</v>
      </c>
      <c r="K232" s="6">
        <v>-2.6639099999999999E-2</v>
      </c>
      <c r="L232" s="6">
        <v>14.450699999999999</v>
      </c>
      <c r="M232" s="6">
        <v>14.477399999999999</v>
      </c>
      <c r="N232" s="6">
        <v>-1.66219E-3</v>
      </c>
      <c r="O232" s="6">
        <v>-2.28024E-2</v>
      </c>
      <c r="P232" s="6">
        <v>13.695499999999999</v>
      </c>
      <c r="Q232" s="6">
        <v>13.718299999999999</v>
      </c>
      <c r="R232" s="6">
        <v>129.60599999999999</v>
      </c>
      <c r="S232" s="6">
        <v>129.60599999999999</v>
      </c>
      <c r="T232" s="6">
        <v>2.8841999999999999</v>
      </c>
      <c r="U232" s="6">
        <v>10138.4</v>
      </c>
      <c r="V232">
        <f t="shared" si="6"/>
        <v>54.625</v>
      </c>
      <c r="W232">
        <f t="shared" si="7"/>
        <v>1.3464433333333333E-3</v>
      </c>
    </row>
    <row r="233" spans="1:23" x14ac:dyDescent="0.3">
      <c r="A233" s="6">
        <v>226</v>
      </c>
      <c r="B233" s="6">
        <v>3.9738600000000001E-3</v>
      </c>
      <c r="C233" s="6">
        <v>0.14530100000000001</v>
      </c>
      <c r="D233" s="6">
        <v>36.709699999999998</v>
      </c>
      <c r="E233" s="6">
        <v>36.564399999999999</v>
      </c>
      <c r="F233" s="6">
        <v>-5.9027999999999999E-4</v>
      </c>
      <c r="G233" s="6">
        <v>-1.0152400000000001E-2</v>
      </c>
      <c r="H233" s="6">
        <v>17.1891</v>
      </c>
      <c r="I233" s="6">
        <v>17.199200000000001</v>
      </c>
      <c r="J233" s="6">
        <v>-1.8836199999999999E-3</v>
      </c>
      <c r="K233" s="6">
        <v>-2.72699E-2</v>
      </c>
      <c r="L233" s="6">
        <v>14.450100000000001</v>
      </c>
      <c r="M233" s="6">
        <v>14.477399999999999</v>
      </c>
      <c r="N233" s="6">
        <v>-1.7355999999999999E-3</v>
      </c>
      <c r="O233" s="6">
        <v>-2.3809500000000001E-2</v>
      </c>
      <c r="P233" s="6">
        <v>13.6945</v>
      </c>
      <c r="Q233" s="6">
        <v>13.718299999999999</v>
      </c>
      <c r="R233" s="6">
        <v>129.91800000000001</v>
      </c>
      <c r="S233" s="6">
        <v>129.91800000000001</v>
      </c>
      <c r="T233" s="6">
        <v>2.8887</v>
      </c>
      <c r="U233" s="6">
        <v>10154.299999999999</v>
      </c>
      <c r="V233">
        <f t="shared" si="6"/>
        <v>54.71066810344827</v>
      </c>
      <c r="W233">
        <f t="shared" si="7"/>
        <v>1.4031666666666665E-3</v>
      </c>
    </row>
    <row r="234" spans="1:23" x14ac:dyDescent="0.3">
      <c r="A234" s="6">
        <v>227</v>
      </c>
      <c r="B234" s="6">
        <v>3.8372300000000001E-3</v>
      </c>
      <c r="C234" s="6">
        <v>0.14030599999999999</v>
      </c>
      <c r="D234" s="6">
        <v>36.704700000000003</v>
      </c>
      <c r="E234" s="6">
        <v>36.564399999999999</v>
      </c>
      <c r="F234" s="6">
        <v>-6.0081499999999999E-4</v>
      </c>
      <c r="G234" s="6">
        <v>-1.03336E-2</v>
      </c>
      <c r="H234" s="6">
        <v>17.1889</v>
      </c>
      <c r="I234" s="6">
        <v>17.199200000000001</v>
      </c>
      <c r="J234" s="6">
        <v>-1.8696699999999999E-3</v>
      </c>
      <c r="K234" s="6">
        <v>-2.7067999999999998E-2</v>
      </c>
      <c r="L234" s="6">
        <v>14.4503</v>
      </c>
      <c r="M234" s="6">
        <v>14.477399999999999</v>
      </c>
      <c r="N234" s="6">
        <v>-1.6266799999999999E-3</v>
      </c>
      <c r="O234" s="6">
        <v>-2.23152E-2</v>
      </c>
      <c r="P234" s="6">
        <v>13.696</v>
      </c>
      <c r="Q234" s="6">
        <v>13.718299999999999</v>
      </c>
      <c r="R234" s="6">
        <v>130.542</v>
      </c>
      <c r="S234" s="6">
        <v>130.542</v>
      </c>
      <c r="T234" s="6">
        <v>2.9108999999999998</v>
      </c>
      <c r="U234" s="6">
        <v>10232.200000000001</v>
      </c>
      <c r="V234">
        <f t="shared" si="6"/>
        <v>55.130387931034491</v>
      </c>
      <c r="W234">
        <f t="shared" si="7"/>
        <v>1.3657216666666666E-3</v>
      </c>
    </row>
    <row r="235" spans="1:23" x14ac:dyDescent="0.3">
      <c r="A235" s="6">
        <v>228</v>
      </c>
      <c r="B235" s="6">
        <v>3.9011200000000001E-3</v>
      </c>
      <c r="C235" s="6">
        <v>0.14264199999999999</v>
      </c>
      <c r="D235" s="6">
        <v>36.707000000000001</v>
      </c>
      <c r="E235" s="6">
        <v>36.564399999999999</v>
      </c>
      <c r="F235" s="6">
        <v>-7.2813499999999998E-4</v>
      </c>
      <c r="G235" s="6">
        <v>-1.2523400000000001E-2</v>
      </c>
      <c r="H235" s="6">
        <v>17.186699999999998</v>
      </c>
      <c r="I235" s="6">
        <v>17.199200000000001</v>
      </c>
      <c r="J235" s="6">
        <v>-1.8863700000000001E-3</v>
      </c>
      <c r="K235" s="6">
        <v>-2.7309799999999999E-2</v>
      </c>
      <c r="L235" s="6">
        <v>14.450100000000001</v>
      </c>
      <c r="M235" s="6">
        <v>14.477399999999999</v>
      </c>
      <c r="N235" s="6">
        <v>-1.6831000000000001E-3</v>
      </c>
      <c r="O235" s="6">
        <v>-2.30893E-2</v>
      </c>
      <c r="P235" s="6">
        <v>13.6952</v>
      </c>
      <c r="Q235" s="6">
        <v>13.718299999999999</v>
      </c>
      <c r="R235" s="6">
        <v>131.04</v>
      </c>
      <c r="S235" s="6">
        <v>131.04</v>
      </c>
      <c r="T235" s="6">
        <v>2.9209000000000001</v>
      </c>
      <c r="U235" s="6">
        <v>10267.299999999999</v>
      </c>
      <c r="V235">
        <f t="shared" si="6"/>
        <v>55.319504310344826</v>
      </c>
      <c r="W235">
        <f t="shared" si="7"/>
        <v>1.4325350000000002E-3</v>
      </c>
    </row>
    <row r="236" spans="1:23" x14ac:dyDescent="0.3">
      <c r="A236" s="6">
        <v>229</v>
      </c>
      <c r="B236" s="6">
        <v>3.9638700000000004E-3</v>
      </c>
      <c r="C236" s="6">
        <v>0.14493600000000001</v>
      </c>
      <c r="D236" s="6">
        <v>36.709299999999999</v>
      </c>
      <c r="E236" s="6">
        <v>36.564399999999999</v>
      </c>
      <c r="F236" s="6">
        <v>-6.74082E-4</v>
      </c>
      <c r="G236" s="6">
        <v>-1.15937E-2</v>
      </c>
      <c r="H236" s="6">
        <v>17.1876</v>
      </c>
      <c r="I236" s="6">
        <v>17.199200000000001</v>
      </c>
      <c r="J236" s="6">
        <v>-1.9286800000000001E-3</v>
      </c>
      <c r="K236" s="6">
        <v>-2.7922300000000001E-2</v>
      </c>
      <c r="L236" s="6">
        <v>14.4495</v>
      </c>
      <c r="M236" s="6">
        <v>14.477399999999999</v>
      </c>
      <c r="N236" s="6">
        <v>-1.7232899999999999E-3</v>
      </c>
      <c r="O236" s="6">
        <v>-2.3640600000000001E-2</v>
      </c>
      <c r="P236" s="6">
        <v>13.694599999999999</v>
      </c>
      <c r="Q236" s="6">
        <v>13.718299999999999</v>
      </c>
      <c r="R236" s="6">
        <v>131.47800000000001</v>
      </c>
      <c r="S236" s="6">
        <v>131.47800000000001</v>
      </c>
      <c r="T236" s="6">
        <v>2.9289999999999998</v>
      </c>
      <c r="U236" s="6">
        <v>10295.5</v>
      </c>
      <c r="V236">
        <f t="shared" si="6"/>
        <v>55.471443965517246</v>
      </c>
      <c r="W236">
        <f t="shared" si="7"/>
        <v>1.4420173333333335E-3</v>
      </c>
    </row>
    <row r="237" spans="1:23" x14ac:dyDescent="0.3">
      <c r="A237" s="6">
        <v>230</v>
      </c>
      <c r="B237" s="6">
        <v>3.8850400000000002E-3</v>
      </c>
      <c r="C237" s="6">
        <v>0.14205400000000001</v>
      </c>
      <c r="D237" s="6">
        <v>36.706400000000002</v>
      </c>
      <c r="E237" s="6">
        <v>36.564399999999999</v>
      </c>
      <c r="F237" s="6">
        <v>-5.8497699999999998E-4</v>
      </c>
      <c r="G237" s="6">
        <v>-1.0061199999999999E-2</v>
      </c>
      <c r="H237" s="6">
        <v>17.1892</v>
      </c>
      <c r="I237" s="6">
        <v>17.199200000000001</v>
      </c>
      <c r="J237" s="6">
        <v>-1.85961E-3</v>
      </c>
      <c r="K237" s="6">
        <v>-2.69223E-2</v>
      </c>
      <c r="L237" s="6">
        <v>14.4505</v>
      </c>
      <c r="M237" s="6">
        <v>14.477399999999999</v>
      </c>
      <c r="N237" s="6">
        <v>-1.6525800000000001E-3</v>
      </c>
      <c r="O237" s="6">
        <v>-2.2670599999999999E-2</v>
      </c>
      <c r="P237" s="6">
        <v>13.695600000000001</v>
      </c>
      <c r="Q237" s="6">
        <v>13.718299999999999</v>
      </c>
      <c r="R237" s="6">
        <v>131.852</v>
      </c>
      <c r="S237" s="6">
        <v>131.852</v>
      </c>
      <c r="T237" s="6">
        <v>2.9405999999999999</v>
      </c>
      <c r="U237" s="6">
        <v>10336.200000000001</v>
      </c>
      <c r="V237">
        <f t="shared" si="6"/>
        <v>55.690732758620697</v>
      </c>
      <c r="W237">
        <f t="shared" si="7"/>
        <v>1.3657223333333331E-3</v>
      </c>
    </row>
    <row r="238" spans="1:23" x14ac:dyDescent="0.3">
      <c r="A238" s="6">
        <v>231</v>
      </c>
      <c r="B238" s="6">
        <v>4.0018199999999997E-3</v>
      </c>
      <c r="C238" s="6">
        <v>0.14632400000000001</v>
      </c>
      <c r="D238" s="6">
        <v>36.710700000000003</v>
      </c>
      <c r="E238" s="6">
        <v>36.564399999999999</v>
      </c>
      <c r="F238" s="6">
        <v>-7.57064E-4</v>
      </c>
      <c r="G238" s="6">
        <v>-1.30209E-2</v>
      </c>
      <c r="H238" s="6">
        <v>17.186199999999999</v>
      </c>
      <c r="I238" s="6">
        <v>17.199200000000001</v>
      </c>
      <c r="J238" s="6">
        <v>-1.9176200000000001E-3</v>
      </c>
      <c r="K238" s="6">
        <v>-2.7762100000000001E-2</v>
      </c>
      <c r="L238" s="6">
        <v>14.4496</v>
      </c>
      <c r="M238" s="6">
        <v>14.477399999999999</v>
      </c>
      <c r="N238" s="6">
        <v>-1.7101099999999999E-3</v>
      </c>
      <c r="O238" s="6">
        <v>-2.3459799999999999E-2</v>
      </c>
      <c r="P238" s="6">
        <v>13.694800000000001</v>
      </c>
      <c r="Q238" s="6">
        <v>13.718299999999999</v>
      </c>
      <c r="R238" s="6">
        <v>132.34899999999999</v>
      </c>
      <c r="S238" s="6">
        <v>132.34899999999999</v>
      </c>
      <c r="T238" s="6">
        <v>2.9499</v>
      </c>
      <c r="U238" s="6">
        <v>10369</v>
      </c>
      <c r="V238">
        <f t="shared" si="6"/>
        <v>55.867456896551722</v>
      </c>
      <c r="W238">
        <f t="shared" si="7"/>
        <v>1.4615979999999999E-3</v>
      </c>
    </row>
    <row r="239" spans="1:23" x14ac:dyDescent="0.3">
      <c r="A239" s="6">
        <v>232</v>
      </c>
      <c r="B239" s="6">
        <v>3.9615099999999997E-3</v>
      </c>
      <c r="C239" s="6">
        <v>0.14485000000000001</v>
      </c>
      <c r="D239" s="6">
        <v>36.709200000000003</v>
      </c>
      <c r="E239" s="6">
        <v>36.564399999999999</v>
      </c>
      <c r="F239" s="6">
        <v>-6.18354E-4</v>
      </c>
      <c r="G239" s="6">
        <v>-1.0635199999999999E-2</v>
      </c>
      <c r="H239" s="6">
        <v>17.188600000000001</v>
      </c>
      <c r="I239" s="6">
        <v>17.199200000000001</v>
      </c>
      <c r="J239" s="6">
        <v>-1.95934E-3</v>
      </c>
      <c r="K239" s="6">
        <v>-2.8366100000000002E-2</v>
      </c>
      <c r="L239" s="6">
        <v>14.449</v>
      </c>
      <c r="M239" s="6">
        <v>14.477399999999999</v>
      </c>
      <c r="N239" s="6">
        <v>-1.80321E-3</v>
      </c>
      <c r="O239" s="6">
        <v>-2.4736999999999999E-2</v>
      </c>
      <c r="P239" s="6">
        <v>13.6935</v>
      </c>
      <c r="Q239" s="6">
        <v>13.718299999999999</v>
      </c>
      <c r="R239" s="6">
        <v>132.786</v>
      </c>
      <c r="S239" s="6">
        <v>132.786</v>
      </c>
      <c r="T239" s="6">
        <v>2.9712000000000001</v>
      </c>
      <c r="U239" s="6">
        <v>10443.6</v>
      </c>
      <c r="V239">
        <f t="shared" si="6"/>
        <v>56.269396551724142</v>
      </c>
      <c r="W239">
        <f t="shared" si="7"/>
        <v>1.4603013333333332E-3</v>
      </c>
    </row>
    <row r="240" spans="1:23" x14ac:dyDescent="0.3">
      <c r="A240" s="6">
        <v>233</v>
      </c>
      <c r="B240" s="6">
        <v>4.0003699999999996E-3</v>
      </c>
      <c r="C240" s="6">
        <v>0.14627100000000001</v>
      </c>
      <c r="D240" s="6">
        <v>36.710599999999999</v>
      </c>
      <c r="E240" s="6">
        <v>36.564399999999999</v>
      </c>
      <c r="F240" s="6">
        <v>-5.8678099999999998E-4</v>
      </c>
      <c r="G240" s="6">
        <v>-1.0092200000000001E-2</v>
      </c>
      <c r="H240" s="6">
        <v>17.1891</v>
      </c>
      <c r="I240" s="6">
        <v>17.199200000000001</v>
      </c>
      <c r="J240" s="6">
        <v>-1.9167800000000001E-3</v>
      </c>
      <c r="K240" s="6">
        <v>-2.775E-2</v>
      </c>
      <c r="L240" s="6">
        <v>14.4496</v>
      </c>
      <c r="M240" s="6">
        <v>14.477399999999999</v>
      </c>
      <c r="N240" s="6">
        <v>-1.85955E-3</v>
      </c>
      <c r="O240" s="6">
        <v>-2.5509899999999999E-2</v>
      </c>
      <c r="P240" s="6">
        <v>13.6928</v>
      </c>
      <c r="Q240" s="6">
        <v>13.718299999999999</v>
      </c>
      <c r="R240" s="6">
        <v>133.28700000000001</v>
      </c>
      <c r="S240" s="6">
        <v>133.28700000000001</v>
      </c>
      <c r="T240" s="6">
        <v>2.9799000000000002</v>
      </c>
      <c r="U240" s="6">
        <v>10474.1</v>
      </c>
      <c r="V240">
        <f t="shared" si="6"/>
        <v>56.433728448275865</v>
      </c>
      <c r="W240">
        <f t="shared" si="7"/>
        <v>1.4543703333333333E-3</v>
      </c>
    </row>
    <row r="241" spans="1:23" x14ac:dyDescent="0.3">
      <c r="A241" s="6">
        <v>234</v>
      </c>
      <c r="B241" s="6">
        <v>3.9709699999999999E-3</v>
      </c>
      <c r="C241" s="6">
        <v>0.14519599999999999</v>
      </c>
      <c r="D241" s="6">
        <v>36.709600000000002</v>
      </c>
      <c r="E241" s="6">
        <v>36.564399999999999</v>
      </c>
      <c r="F241" s="6">
        <v>-6.5106799999999998E-4</v>
      </c>
      <c r="G241" s="6">
        <v>-1.11979E-2</v>
      </c>
      <c r="H241" s="6">
        <v>17.187999999999999</v>
      </c>
      <c r="I241" s="6">
        <v>17.199200000000001</v>
      </c>
      <c r="J241" s="6">
        <v>-1.9982200000000002E-3</v>
      </c>
      <c r="K241" s="6">
        <v>-2.8929E-2</v>
      </c>
      <c r="L241" s="6">
        <v>14.448399999999999</v>
      </c>
      <c r="M241" s="6">
        <v>14.477399999999999</v>
      </c>
      <c r="N241" s="6">
        <v>-1.84049E-3</v>
      </c>
      <c r="O241" s="6">
        <v>-2.5248400000000001E-2</v>
      </c>
      <c r="P241" s="6">
        <v>13.693</v>
      </c>
      <c r="Q241" s="6">
        <v>13.718299999999999</v>
      </c>
      <c r="R241" s="6">
        <v>133.59800000000001</v>
      </c>
      <c r="S241" s="6">
        <v>133.59800000000001</v>
      </c>
      <c r="T241" s="6">
        <v>2.9921000000000002</v>
      </c>
      <c r="U241" s="6">
        <v>10517.1</v>
      </c>
      <c r="V241">
        <f t="shared" si="6"/>
        <v>56.665409482758626</v>
      </c>
      <c r="W241">
        <f t="shared" si="7"/>
        <v>1.4965926666666667E-3</v>
      </c>
    </row>
    <row r="242" spans="1:23" x14ac:dyDescent="0.3">
      <c r="A242" s="6">
        <v>235</v>
      </c>
      <c r="B242" s="6">
        <v>4.0480000000000004E-3</v>
      </c>
      <c r="C242" s="6">
        <v>0.14801300000000001</v>
      </c>
      <c r="D242" s="6">
        <v>36.712400000000002</v>
      </c>
      <c r="E242" s="6">
        <v>36.564399999999999</v>
      </c>
      <c r="F242" s="6">
        <v>-6.4274700000000004E-4</v>
      </c>
      <c r="G242" s="6">
        <v>-1.10548E-2</v>
      </c>
      <c r="H242" s="6">
        <v>17.188199999999998</v>
      </c>
      <c r="I242" s="6">
        <v>17.199200000000001</v>
      </c>
      <c r="J242" s="6">
        <v>-1.89135E-3</v>
      </c>
      <c r="K242" s="6">
        <v>-2.7381800000000001E-2</v>
      </c>
      <c r="L242" s="6">
        <v>14.45</v>
      </c>
      <c r="M242" s="6">
        <v>14.477399999999999</v>
      </c>
      <c r="N242" s="6">
        <v>-1.7212799999999999E-3</v>
      </c>
      <c r="O242" s="6">
        <v>-2.3612999999999999E-2</v>
      </c>
      <c r="P242" s="6">
        <v>13.694699999999999</v>
      </c>
      <c r="Q242" s="6">
        <v>13.718299999999999</v>
      </c>
      <c r="R242" s="6">
        <v>134.096</v>
      </c>
      <c r="S242" s="6">
        <v>134.096</v>
      </c>
      <c r="T242" s="6">
        <v>3.0024999999999999</v>
      </c>
      <c r="U242" s="6">
        <v>10553.2</v>
      </c>
      <c r="V242">
        <f t="shared" si="6"/>
        <v>56.859913793103452</v>
      </c>
      <c r="W242">
        <f t="shared" si="7"/>
        <v>1.4184589999999997E-3</v>
      </c>
    </row>
    <row r="243" spans="1:23" x14ac:dyDescent="0.3">
      <c r="A243" s="6">
        <v>236</v>
      </c>
      <c r="B243" s="6">
        <v>4.0697199999999998E-3</v>
      </c>
      <c r="C243" s="6">
        <v>0.14880699999999999</v>
      </c>
      <c r="D243" s="6">
        <v>36.713200000000001</v>
      </c>
      <c r="E243" s="6">
        <v>36.564399999999999</v>
      </c>
      <c r="F243" s="6">
        <v>-6.7643599999999999E-4</v>
      </c>
      <c r="G243" s="6">
        <v>-1.1634200000000001E-2</v>
      </c>
      <c r="H243" s="6">
        <v>17.1876</v>
      </c>
      <c r="I243" s="6">
        <v>17.199200000000001</v>
      </c>
      <c r="J243" s="6">
        <v>-1.9625599999999999E-3</v>
      </c>
      <c r="K243" s="6">
        <v>-2.8412799999999998E-2</v>
      </c>
      <c r="L243" s="6">
        <v>14.449</v>
      </c>
      <c r="M243" s="6">
        <v>14.477399999999999</v>
      </c>
      <c r="N243" s="6">
        <v>-1.7126000000000001E-3</v>
      </c>
      <c r="O243" s="6">
        <v>-2.3493900000000002E-2</v>
      </c>
      <c r="P243" s="6">
        <v>13.694800000000001</v>
      </c>
      <c r="Q243" s="6">
        <v>13.718299999999999</v>
      </c>
      <c r="R243" s="6">
        <v>134.59800000000001</v>
      </c>
      <c r="S243" s="6">
        <v>134.59800000000001</v>
      </c>
      <c r="T243" s="6">
        <v>3.0188999999999999</v>
      </c>
      <c r="U243" s="6">
        <v>10610.9</v>
      </c>
      <c r="V243">
        <f t="shared" si="6"/>
        <v>57.170797413793103</v>
      </c>
      <c r="W243">
        <f t="shared" si="7"/>
        <v>1.450532E-3</v>
      </c>
    </row>
    <row r="244" spans="1:23" x14ac:dyDescent="0.3">
      <c r="A244" s="6">
        <v>237</v>
      </c>
      <c r="B244" s="6">
        <v>4.0863899999999996E-3</v>
      </c>
      <c r="C244" s="6">
        <v>0.14941599999999999</v>
      </c>
      <c r="D244" s="6">
        <v>36.713799999999999</v>
      </c>
      <c r="E244" s="6">
        <v>36.564399999999999</v>
      </c>
      <c r="F244" s="6">
        <v>-5.5013600000000001E-4</v>
      </c>
      <c r="G244" s="6">
        <v>-9.4619300000000003E-3</v>
      </c>
      <c r="H244" s="6">
        <v>17.189800000000002</v>
      </c>
      <c r="I244" s="6">
        <v>17.199200000000001</v>
      </c>
      <c r="J244" s="6">
        <v>-1.8427700000000001E-3</v>
      </c>
      <c r="K244" s="6">
        <v>-2.6678500000000001E-2</v>
      </c>
      <c r="L244" s="6">
        <v>14.450699999999999</v>
      </c>
      <c r="M244" s="6">
        <v>14.477399999999999</v>
      </c>
      <c r="N244" s="6">
        <v>-1.75234E-3</v>
      </c>
      <c r="O244" s="6">
        <v>-2.4039000000000001E-2</v>
      </c>
      <c r="P244" s="6">
        <v>13.6942</v>
      </c>
      <c r="Q244" s="6">
        <v>13.718299999999999</v>
      </c>
      <c r="R244" s="6">
        <v>135.15899999999999</v>
      </c>
      <c r="S244" s="6">
        <v>135.15899999999999</v>
      </c>
      <c r="T244" s="6">
        <v>3.0375999999999999</v>
      </c>
      <c r="U244" s="6">
        <v>10676.4</v>
      </c>
      <c r="V244">
        <f t="shared" si="6"/>
        <v>57.523706896551722</v>
      </c>
      <c r="W244">
        <f t="shared" si="7"/>
        <v>1.3817486666666667E-3</v>
      </c>
    </row>
    <row r="245" spans="1:23" x14ac:dyDescent="0.3">
      <c r="A245" s="6">
        <v>238</v>
      </c>
      <c r="B245" s="6">
        <v>4.0403899999999996E-3</v>
      </c>
      <c r="C245" s="6">
        <v>0.147734</v>
      </c>
      <c r="D245" s="6">
        <v>36.7121</v>
      </c>
      <c r="E245" s="6">
        <v>36.564399999999999</v>
      </c>
      <c r="F245" s="6">
        <v>-6.8025300000000002E-4</v>
      </c>
      <c r="G245" s="6">
        <v>-1.16998E-2</v>
      </c>
      <c r="H245" s="6">
        <v>17.1875</v>
      </c>
      <c r="I245" s="6">
        <v>17.199200000000001</v>
      </c>
      <c r="J245" s="6">
        <v>-2.05317E-3</v>
      </c>
      <c r="K245" s="6">
        <v>-2.9724500000000001E-2</v>
      </c>
      <c r="L245" s="6">
        <v>14.447699999999999</v>
      </c>
      <c r="M245" s="6">
        <v>14.477399999999999</v>
      </c>
      <c r="N245" s="6">
        <v>-1.9322300000000001E-3</v>
      </c>
      <c r="O245" s="6">
        <v>-2.6506800000000001E-2</v>
      </c>
      <c r="P245" s="6">
        <v>13.691800000000001</v>
      </c>
      <c r="Q245" s="6">
        <v>13.718299999999999</v>
      </c>
      <c r="R245" s="6">
        <v>135.53399999999999</v>
      </c>
      <c r="S245" s="6">
        <v>135.53399999999999</v>
      </c>
      <c r="T245" s="6">
        <v>3.0392000000000001</v>
      </c>
      <c r="U245" s="6">
        <v>10682.1</v>
      </c>
      <c r="V245">
        <f t="shared" si="6"/>
        <v>57.554418103448278</v>
      </c>
      <c r="W245">
        <f t="shared" si="7"/>
        <v>1.5552176666666668E-3</v>
      </c>
    </row>
    <row r="246" spans="1:23" x14ac:dyDescent="0.3">
      <c r="A246" s="6">
        <v>239</v>
      </c>
      <c r="B246" s="6">
        <v>4.11349E-3</v>
      </c>
      <c r="C246" s="6">
        <v>0.15040700000000001</v>
      </c>
      <c r="D246" s="6">
        <v>36.714799999999997</v>
      </c>
      <c r="E246" s="6">
        <v>36.564399999999999</v>
      </c>
      <c r="F246" s="6">
        <v>-5.6850399999999995E-4</v>
      </c>
      <c r="G246" s="6">
        <v>-9.7778299999999995E-3</v>
      </c>
      <c r="H246" s="6">
        <v>17.189499999999999</v>
      </c>
      <c r="I246" s="6">
        <v>17.199200000000001</v>
      </c>
      <c r="J246" s="6">
        <v>-1.9634800000000001E-3</v>
      </c>
      <c r="K246" s="6">
        <v>-2.8426099999999999E-2</v>
      </c>
      <c r="L246" s="6">
        <v>14.449</v>
      </c>
      <c r="M246" s="6">
        <v>14.477399999999999</v>
      </c>
      <c r="N246" s="6">
        <v>-1.73661E-3</v>
      </c>
      <c r="O246" s="6">
        <v>-2.3823299999999999E-2</v>
      </c>
      <c r="P246" s="6">
        <v>13.6945</v>
      </c>
      <c r="Q246" s="6">
        <v>13.718299999999999</v>
      </c>
      <c r="R246" s="6">
        <v>136.15799999999999</v>
      </c>
      <c r="S246" s="6">
        <v>136.15799999999999</v>
      </c>
      <c r="T246" s="6">
        <v>3.0581999999999998</v>
      </c>
      <c r="U246" s="6">
        <v>10748.8</v>
      </c>
      <c r="V246">
        <f t="shared" si="6"/>
        <v>57.91379310344827</v>
      </c>
      <c r="W246">
        <f t="shared" si="7"/>
        <v>1.4228646666666668E-3</v>
      </c>
    </row>
    <row r="247" spans="1:23" x14ac:dyDescent="0.3">
      <c r="A247" s="6">
        <v>240</v>
      </c>
      <c r="B247" s="6">
        <v>4.1021900000000004E-3</v>
      </c>
      <c r="C247" s="6">
        <v>0.14999399999999999</v>
      </c>
      <c r="D247" s="6">
        <v>36.714399999999998</v>
      </c>
      <c r="E247" s="6">
        <v>36.564399999999999</v>
      </c>
      <c r="F247" s="6">
        <v>-5.9341500000000002E-4</v>
      </c>
      <c r="G247" s="6">
        <v>-1.02063E-2</v>
      </c>
      <c r="H247" s="6">
        <v>17.189</v>
      </c>
      <c r="I247" s="6">
        <v>17.199200000000001</v>
      </c>
      <c r="J247" s="6">
        <v>-1.9506300000000001E-3</v>
      </c>
      <c r="K247" s="6">
        <v>-2.8240100000000001E-2</v>
      </c>
      <c r="L247" s="6">
        <v>14.4491</v>
      </c>
      <c r="M247" s="6">
        <v>14.477399999999999</v>
      </c>
      <c r="N247" s="6">
        <v>-1.8299499999999999E-3</v>
      </c>
      <c r="O247" s="6">
        <v>-2.5103799999999999E-2</v>
      </c>
      <c r="P247" s="6">
        <v>13.693199999999999</v>
      </c>
      <c r="Q247" s="6">
        <v>13.718299999999999</v>
      </c>
      <c r="R247" s="6">
        <v>136.65600000000001</v>
      </c>
      <c r="S247" s="6">
        <v>136.65600000000001</v>
      </c>
      <c r="T247" s="6">
        <v>3.0775000000000001</v>
      </c>
      <c r="U247" s="6">
        <v>10816.6</v>
      </c>
      <c r="V247">
        <f t="shared" si="6"/>
        <v>58.279094827586214</v>
      </c>
      <c r="W247">
        <f t="shared" si="7"/>
        <v>1.4579983333333334E-3</v>
      </c>
    </row>
    <row r="248" spans="1:23" x14ac:dyDescent="0.3">
      <c r="A248" s="6">
        <v>241</v>
      </c>
      <c r="B248" s="6">
        <v>4.12649E-3</v>
      </c>
      <c r="C248" s="6">
        <v>0.15088299999999999</v>
      </c>
      <c r="D248" s="6">
        <v>36.715200000000003</v>
      </c>
      <c r="E248" s="6">
        <v>36.564399999999999</v>
      </c>
      <c r="F248" s="6">
        <v>-6.2083699999999995E-4</v>
      </c>
      <c r="G248" s="6">
        <v>-1.0677900000000001E-2</v>
      </c>
      <c r="H248" s="6">
        <v>17.188600000000001</v>
      </c>
      <c r="I248" s="6">
        <v>17.199200000000001</v>
      </c>
      <c r="J248" s="6">
        <v>-1.9104199999999999E-3</v>
      </c>
      <c r="K248" s="6">
        <v>-2.7657899999999999E-2</v>
      </c>
      <c r="L248" s="6">
        <v>14.4497</v>
      </c>
      <c r="M248" s="6">
        <v>14.477399999999999</v>
      </c>
      <c r="N248" s="6">
        <v>-1.79637E-3</v>
      </c>
      <c r="O248" s="6">
        <v>-2.4643100000000001E-2</v>
      </c>
      <c r="P248" s="6">
        <v>13.6936</v>
      </c>
      <c r="Q248" s="6">
        <v>13.718299999999999</v>
      </c>
      <c r="R248" s="6">
        <v>137.029</v>
      </c>
      <c r="S248" s="6">
        <v>137.029</v>
      </c>
      <c r="T248" s="6">
        <v>3.085</v>
      </c>
      <c r="U248" s="6">
        <v>10842.6</v>
      </c>
      <c r="V248">
        <f t="shared" si="6"/>
        <v>58.419181034482762</v>
      </c>
      <c r="W248">
        <f t="shared" si="7"/>
        <v>1.4425423333333332E-3</v>
      </c>
    </row>
    <row r="249" spans="1:23" x14ac:dyDescent="0.3">
      <c r="A249" s="6">
        <v>242</v>
      </c>
      <c r="B249" s="6">
        <v>4.15264E-3</v>
      </c>
      <c r="C249" s="6">
        <v>0.151839</v>
      </c>
      <c r="D249" s="6">
        <v>36.716200000000001</v>
      </c>
      <c r="E249" s="6">
        <v>36.564399999999999</v>
      </c>
      <c r="F249" s="6">
        <v>-5.85653E-4</v>
      </c>
      <c r="G249" s="6">
        <v>-1.00728E-2</v>
      </c>
      <c r="H249" s="6">
        <v>17.1892</v>
      </c>
      <c r="I249" s="6">
        <v>17.199200000000001</v>
      </c>
      <c r="J249" s="6">
        <v>-1.9165499999999999E-3</v>
      </c>
      <c r="K249" s="6">
        <v>-2.7746699999999999E-2</v>
      </c>
      <c r="L249" s="6">
        <v>14.4496</v>
      </c>
      <c r="M249" s="6">
        <v>14.477399999999999</v>
      </c>
      <c r="N249" s="6">
        <v>-1.74496E-3</v>
      </c>
      <c r="O249" s="6">
        <v>-2.3937900000000002E-2</v>
      </c>
      <c r="P249" s="6">
        <v>13.6943</v>
      </c>
      <c r="Q249" s="6">
        <v>13.718299999999999</v>
      </c>
      <c r="R249" s="6">
        <v>137.15700000000001</v>
      </c>
      <c r="S249" s="6">
        <v>137.15700000000001</v>
      </c>
      <c r="T249" s="6">
        <v>3.0937000000000001</v>
      </c>
      <c r="U249" s="6">
        <v>10873.1</v>
      </c>
      <c r="V249">
        <f t="shared" si="6"/>
        <v>58.583512931034484</v>
      </c>
      <c r="W249">
        <f t="shared" si="7"/>
        <v>1.415721E-3</v>
      </c>
    </row>
    <row r="250" spans="1:23" x14ac:dyDescent="0.3">
      <c r="A250" s="6">
        <v>243</v>
      </c>
      <c r="B250" s="6">
        <v>4.1141499999999996E-3</v>
      </c>
      <c r="C250" s="6">
        <v>0.15043100000000001</v>
      </c>
      <c r="D250" s="6">
        <v>36.714799999999997</v>
      </c>
      <c r="E250" s="6">
        <v>36.564399999999999</v>
      </c>
      <c r="F250" s="6">
        <v>-6.57108E-4</v>
      </c>
      <c r="G250" s="6">
        <v>-1.1301800000000001E-2</v>
      </c>
      <c r="H250" s="6">
        <v>17.187899999999999</v>
      </c>
      <c r="I250" s="6">
        <v>17.199200000000001</v>
      </c>
      <c r="J250" s="6">
        <v>-2.00285E-3</v>
      </c>
      <c r="K250" s="6">
        <v>-2.8996000000000001E-2</v>
      </c>
      <c r="L250" s="6">
        <v>14.448399999999999</v>
      </c>
      <c r="M250" s="6">
        <v>14.477399999999999</v>
      </c>
      <c r="N250" s="6">
        <v>-1.8245399999999999E-3</v>
      </c>
      <c r="O250" s="6">
        <v>-2.5029599999999999E-2</v>
      </c>
      <c r="P250" s="6">
        <v>13.693300000000001</v>
      </c>
      <c r="Q250" s="6">
        <v>13.718299999999999</v>
      </c>
      <c r="R250" s="6">
        <v>137.28100000000001</v>
      </c>
      <c r="S250" s="6">
        <v>137.28100000000001</v>
      </c>
      <c r="T250" s="6">
        <v>3.0882000000000001</v>
      </c>
      <c r="U250" s="6">
        <v>10853.9</v>
      </c>
      <c r="V250">
        <f t="shared" si="6"/>
        <v>58.480064655172413</v>
      </c>
      <c r="W250">
        <f t="shared" si="7"/>
        <v>1.4948326666666667E-3</v>
      </c>
    </row>
    <row r="251" spans="1:23" x14ac:dyDescent="0.3">
      <c r="A251" s="6">
        <v>244</v>
      </c>
      <c r="B251" s="6">
        <v>4.1096199999999996E-3</v>
      </c>
      <c r="C251" s="6">
        <v>0.15026600000000001</v>
      </c>
      <c r="D251" s="6">
        <v>36.714599999999997</v>
      </c>
      <c r="E251" s="6">
        <v>36.564399999999999</v>
      </c>
      <c r="F251" s="6">
        <v>-6.4025099999999999E-4</v>
      </c>
      <c r="G251" s="6">
        <v>-1.10118E-2</v>
      </c>
      <c r="H251" s="6">
        <v>17.188199999999998</v>
      </c>
      <c r="I251" s="6">
        <v>17.199200000000001</v>
      </c>
      <c r="J251" s="6">
        <v>-1.98964E-3</v>
      </c>
      <c r="K251" s="6">
        <v>-2.8804699999999999E-2</v>
      </c>
      <c r="L251" s="6">
        <v>14.448600000000001</v>
      </c>
      <c r="M251" s="6">
        <v>14.477399999999999</v>
      </c>
      <c r="N251" s="6">
        <v>-1.84929E-3</v>
      </c>
      <c r="O251" s="6">
        <v>-2.5368999999999999E-2</v>
      </c>
      <c r="P251" s="6">
        <v>13.6929</v>
      </c>
      <c r="Q251" s="6">
        <v>13.718299999999999</v>
      </c>
      <c r="R251" s="6">
        <v>137.84100000000001</v>
      </c>
      <c r="S251" s="6">
        <v>137.84100000000001</v>
      </c>
      <c r="T251" s="6">
        <v>3.1030000000000002</v>
      </c>
      <c r="U251" s="6">
        <v>10905.9</v>
      </c>
      <c r="V251">
        <f t="shared" si="6"/>
        <v>58.760237068965516</v>
      </c>
      <c r="W251">
        <f t="shared" si="7"/>
        <v>1.4930603333333334E-3</v>
      </c>
    </row>
    <row r="252" spans="1:23" x14ac:dyDescent="0.3">
      <c r="A252" s="6">
        <v>245</v>
      </c>
      <c r="B252" s="6">
        <v>4.1610800000000002E-3</v>
      </c>
      <c r="C252" s="6">
        <v>0.152147</v>
      </c>
      <c r="D252" s="6">
        <v>36.716500000000003</v>
      </c>
      <c r="E252" s="6">
        <v>36.564399999999999</v>
      </c>
      <c r="F252" s="6">
        <v>-6.1360199999999998E-4</v>
      </c>
      <c r="G252" s="6">
        <v>-1.05535E-2</v>
      </c>
      <c r="H252" s="6">
        <v>17.188700000000001</v>
      </c>
      <c r="I252" s="6">
        <v>17.199200000000001</v>
      </c>
      <c r="J252" s="6">
        <v>-1.9911799999999999E-3</v>
      </c>
      <c r="K252" s="6">
        <v>-2.8826999999999998E-2</v>
      </c>
      <c r="L252" s="6">
        <v>14.448600000000001</v>
      </c>
      <c r="M252" s="6">
        <v>14.477399999999999</v>
      </c>
      <c r="N252" s="6">
        <v>-1.8913599999999999E-3</v>
      </c>
      <c r="O252" s="6">
        <v>-2.5946199999999999E-2</v>
      </c>
      <c r="P252" s="6">
        <v>13.692299999999999</v>
      </c>
      <c r="Q252" s="6">
        <v>13.718299999999999</v>
      </c>
      <c r="R252" s="6">
        <v>138.40299999999999</v>
      </c>
      <c r="S252" s="6">
        <v>138.40299999999999</v>
      </c>
      <c r="T252" s="6">
        <v>3.1278000000000001</v>
      </c>
      <c r="U252" s="6">
        <v>10992.9</v>
      </c>
      <c r="V252">
        <f t="shared" si="6"/>
        <v>59.228987068965516</v>
      </c>
      <c r="W252">
        <f t="shared" si="7"/>
        <v>1.4987139999999999E-3</v>
      </c>
    </row>
    <row r="253" spans="1:23" x14ac:dyDescent="0.3">
      <c r="A253" s="6">
        <v>246</v>
      </c>
      <c r="B253" s="6">
        <v>4.1250899999999997E-3</v>
      </c>
      <c r="C253" s="6">
        <v>0.15083099999999999</v>
      </c>
      <c r="D253" s="6">
        <v>36.715200000000003</v>
      </c>
      <c r="E253" s="6">
        <v>36.564399999999999</v>
      </c>
      <c r="F253" s="6">
        <v>-6.6469200000000004E-4</v>
      </c>
      <c r="G253" s="6">
        <v>-1.14322E-2</v>
      </c>
      <c r="H253" s="6">
        <v>17.187799999999999</v>
      </c>
      <c r="I253" s="6">
        <v>17.199200000000001</v>
      </c>
      <c r="J253" s="6">
        <v>-2.0397000000000002E-3</v>
      </c>
      <c r="K253" s="6">
        <v>-2.9529400000000001E-2</v>
      </c>
      <c r="L253" s="6">
        <v>14.447800000000001</v>
      </c>
      <c r="M253" s="6">
        <v>14.477399999999999</v>
      </c>
      <c r="N253" s="6">
        <v>-1.9737800000000001E-3</v>
      </c>
      <c r="O253" s="6">
        <v>-2.7076800000000002E-2</v>
      </c>
      <c r="P253" s="6">
        <v>13.6912</v>
      </c>
      <c r="Q253" s="6">
        <v>13.718299999999999</v>
      </c>
      <c r="R253" s="6">
        <v>138.654</v>
      </c>
      <c r="S253" s="6">
        <v>138.654</v>
      </c>
      <c r="T253" s="6">
        <v>3.1284999999999998</v>
      </c>
      <c r="U253" s="6">
        <v>10995.2</v>
      </c>
      <c r="V253">
        <f t="shared" si="6"/>
        <v>59.241379310344833</v>
      </c>
      <c r="W253">
        <f t="shared" si="7"/>
        <v>1.5593906666666669E-3</v>
      </c>
    </row>
    <row r="254" spans="1:23" x14ac:dyDescent="0.3">
      <c r="A254" s="6">
        <v>247</v>
      </c>
      <c r="B254" s="6">
        <v>4.2051099999999998E-3</v>
      </c>
      <c r="C254" s="6">
        <v>0.153757</v>
      </c>
      <c r="D254" s="6">
        <v>36.7181</v>
      </c>
      <c r="E254" s="6">
        <v>36.564399999999999</v>
      </c>
      <c r="F254" s="6">
        <v>-7.3438699999999997E-4</v>
      </c>
      <c r="G254" s="6">
        <v>-1.26309E-2</v>
      </c>
      <c r="H254" s="6">
        <v>17.186599999999999</v>
      </c>
      <c r="I254" s="6">
        <v>17.199200000000001</v>
      </c>
      <c r="J254" s="6">
        <v>-2.12429E-3</v>
      </c>
      <c r="K254" s="6">
        <v>-3.0754099999999999E-2</v>
      </c>
      <c r="L254" s="6">
        <v>14.4466</v>
      </c>
      <c r="M254" s="6">
        <v>14.477399999999999</v>
      </c>
      <c r="N254" s="6">
        <v>-1.91971E-3</v>
      </c>
      <c r="O254" s="6">
        <v>-2.63351E-2</v>
      </c>
      <c r="P254" s="6">
        <v>13.6919</v>
      </c>
      <c r="Q254" s="6">
        <v>13.718299999999999</v>
      </c>
      <c r="R254" s="6">
        <v>139.33799999999999</v>
      </c>
      <c r="S254" s="6">
        <v>139.33799999999999</v>
      </c>
      <c r="T254" s="6">
        <v>3.1516999999999999</v>
      </c>
      <c r="U254" s="6">
        <v>11076.6</v>
      </c>
      <c r="V254">
        <f t="shared" si="6"/>
        <v>59.67995689655173</v>
      </c>
      <c r="W254">
        <f t="shared" si="7"/>
        <v>1.5927956666666667E-3</v>
      </c>
    </row>
    <row r="255" spans="1:23" x14ac:dyDescent="0.3">
      <c r="A255" s="6">
        <v>248</v>
      </c>
      <c r="B255" s="6">
        <v>4.2454099999999998E-3</v>
      </c>
      <c r="C255" s="6">
        <v>0.15523100000000001</v>
      </c>
      <c r="D255" s="6">
        <v>36.7196</v>
      </c>
      <c r="E255" s="6">
        <v>36.564399999999999</v>
      </c>
      <c r="F255" s="6">
        <v>-6.7743299999999996E-4</v>
      </c>
      <c r="G255" s="6">
        <v>-1.16513E-2</v>
      </c>
      <c r="H255" s="6">
        <v>17.1876</v>
      </c>
      <c r="I255" s="6">
        <v>17.199200000000001</v>
      </c>
      <c r="J255" s="6">
        <v>-2.0749700000000002E-3</v>
      </c>
      <c r="K255" s="6">
        <v>-3.00401E-2</v>
      </c>
      <c r="L255" s="6">
        <v>14.4473</v>
      </c>
      <c r="M255" s="6">
        <v>14.477399999999999</v>
      </c>
      <c r="N255" s="6">
        <v>-1.9555900000000001E-3</v>
      </c>
      <c r="O255" s="6">
        <v>-2.6827299999999998E-2</v>
      </c>
      <c r="P255" s="6">
        <v>13.6915</v>
      </c>
      <c r="Q255" s="6">
        <v>13.718299999999999</v>
      </c>
      <c r="R255" s="6">
        <v>139.71199999999999</v>
      </c>
      <c r="S255" s="6">
        <v>139.71199999999999</v>
      </c>
      <c r="T255" s="6">
        <v>3.1638999999999999</v>
      </c>
      <c r="U255" s="6">
        <v>11119.5</v>
      </c>
      <c r="V255">
        <f t="shared" si="6"/>
        <v>59.911099137931039</v>
      </c>
      <c r="W255">
        <f t="shared" si="7"/>
        <v>1.5693310000000002E-3</v>
      </c>
    </row>
    <row r="256" spans="1:23" x14ac:dyDescent="0.3">
      <c r="A256" s="6">
        <v>249</v>
      </c>
      <c r="B256" s="6">
        <v>4.1470600000000002E-3</v>
      </c>
      <c r="C256" s="6">
        <v>0.15163499999999999</v>
      </c>
      <c r="D256" s="6">
        <v>36.716000000000001</v>
      </c>
      <c r="E256" s="6">
        <v>36.564399999999999</v>
      </c>
      <c r="F256" s="6">
        <v>-7.8870999999999998E-4</v>
      </c>
      <c r="G256" s="6">
        <v>-1.3565199999999999E-2</v>
      </c>
      <c r="H256" s="6">
        <v>17.185700000000001</v>
      </c>
      <c r="I256" s="6">
        <v>17.199200000000001</v>
      </c>
      <c r="J256" s="6">
        <v>-2.1267399999999998E-3</v>
      </c>
      <c r="K256" s="6">
        <v>-3.07896E-2</v>
      </c>
      <c r="L256" s="6">
        <v>14.4466</v>
      </c>
      <c r="M256" s="6">
        <v>14.477399999999999</v>
      </c>
      <c r="N256" s="6">
        <v>-1.93254E-3</v>
      </c>
      <c r="O256" s="6">
        <v>-2.6511099999999999E-2</v>
      </c>
      <c r="P256" s="6">
        <v>13.691800000000001</v>
      </c>
      <c r="Q256" s="6">
        <v>13.718299999999999</v>
      </c>
      <c r="R256" s="6">
        <v>140.215</v>
      </c>
      <c r="S256" s="6">
        <v>140.215</v>
      </c>
      <c r="T256" s="6">
        <v>3.1741999999999999</v>
      </c>
      <c r="U256" s="6">
        <v>11155.7</v>
      </c>
      <c r="V256">
        <f t="shared" si="6"/>
        <v>60.106142241379317</v>
      </c>
      <c r="W256">
        <f t="shared" si="7"/>
        <v>1.6159966666666667E-3</v>
      </c>
    </row>
    <row r="257" spans="1:23" x14ac:dyDescent="0.3">
      <c r="A257" s="6">
        <v>250</v>
      </c>
      <c r="B257" s="6">
        <v>4.2031100000000004E-3</v>
      </c>
      <c r="C257" s="6">
        <v>0.15368399999999999</v>
      </c>
      <c r="D257" s="6">
        <v>36.718000000000004</v>
      </c>
      <c r="E257" s="6">
        <v>36.564399999999999</v>
      </c>
      <c r="F257" s="6">
        <v>-6.7983099999999999E-4</v>
      </c>
      <c r="G257" s="6">
        <v>-1.1692599999999999E-2</v>
      </c>
      <c r="H257" s="6">
        <v>17.1875</v>
      </c>
      <c r="I257" s="6">
        <v>17.199200000000001</v>
      </c>
      <c r="J257" s="6">
        <v>-2.05135E-3</v>
      </c>
      <c r="K257" s="6">
        <v>-2.9698100000000002E-2</v>
      </c>
      <c r="L257" s="6">
        <v>14.447699999999999</v>
      </c>
      <c r="M257" s="6">
        <v>14.477399999999999</v>
      </c>
      <c r="N257" s="6">
        <v>-1.89295E-3</v>
      </c>
      <c r="O257" s="6">
        <v>-2.5968000000000001E-2</v>
      </c>
      <c r="P257" s="6">
        <v>13.692299999999999</v>
      </c>
      <c r="Q257" s="6">
        <v>13.718299999999999</v>
      </c>
      <c r="R257" s="6">
        <v>140.46100000000001</v>
      </c>
      <c r="S257" s="6">
        <v>140.46100000000001</v>
      </c>
      <c r="T257" s="6">
        <v>3.1778</v>
      </c>
      <c r="U257" s="6">
        <v>11168.1</v>
      </c>
      <c r="V257">
        <f t="shared" si="6"/>
        <v>60.172952586206904</v>
      </c>
      <c r="W257">
        <f t="shared" si="7"/>
        <v>1.541377E-3</v>
      </c>
    </row>
    <row r="258" spans="1:23" x14ac:dyDescent="0.3">
      <c r="A258" s="6">
        <v>251</v>
      </c>
      <c r="B258" s="6">
        <v>4.25327E-3</v>
      </c>
      <c r="C258" s="6">
        <v>0.15551799999999999</v>
      </c>
      <c r="D258" s="6">
        <v>36.719900000000003</v>
      </c>
      <c r="E258" s="6">
        <v>36.564399999999999</v>
      </c>
      <c r="F258" s="6">
        <v>-6.5417000000000003E-4</v>
      </c>
      <c r="G258" s="6">
        <v>-1.1251199999999999E-2</v>
      </c>
      <c r="H258" s="6">
        <v>17.187999999999999</v>
      </c>
      <c r="I258" s="6">
        <v>17.199200000000001</v>
      </c>
      <c r="J258" s="6">
        <v>-2.0397700000000002E-3</v>
      </c>
      <c r="K258" s="6">
        <v>-2.9530500000000001E-2</v>
      </c>
      <c r="L258" s="6">
        <v>14.447800000000001</v>
      </c>
      <c r="M258" s="6">
        <v>14.477399999999999</v>
      </c>
      <c r="N258" s="6">
        <v>-1.8993E-3</v>
      </c>
      <c r="O258" s="6">
        <v>-2.6055200000000001E-2</v>
      </c>
      <c r="P258" s="6">
        <v>13.6922</v>
      </c>
      <c r="Q258" s="6">
        <v>13.718299999999999</v>
      </c>
      <c r="R258" s="6">
        <v>141.02600000000001</v>
      </c>
      <c r="S258" s="6">
        <v>141.02600000000001</v>
      </c>
      <c r="T258" s="6">
        <v>3.1974</v>
      </c>
      <c r="U258" s="6">
        <v>11237</v>
      </c>
      <c r="V258">
        <f t="shared" si="6"/>
        <v>60.544181034482762</v>
      </c>
      <c r="W258">
        <f t="shared" si="7"/>
        <v>1.53108E-3</v>
      </c>
    </row>
    <row r="259" spans="1:23" x14ac:dyDescent="0.3">
      <c r="A259" s="6">
        <v>252</v>
      </c>
      <c r="B259" s="6">
        <v>4.2393500000000002E-3</v>
      </c>
      <c r="C259" s="6">
        <v>0.15500900000000001</v>
      </c>
      <c r="D259" s="6">
        <v>36.7194</v>
      </c>
      <c r="E259" s="6">
        <v>36.564399999999999</v>
      </c>
      <c r="F259" s="6">
        <v>-6.0957800000000005E-4</v>
      </c>
      <c r="G259" s="6">
        <v>-1.04843E-2</v>
      </c>
      <c r="H259" s="6">
        <v>17.188800000000001</v>
      </c>
      <c r="I259" s="6">
        <v>17.199200000000001</v>
      </c>
      <c r="J259" s="6">
        <v>-2.0975999999999998E-3</v>
      </c>
      <c r="K259" s="6">
        <v>-3.03678E-2</v>
      </c>
      <c r="L259" s="6">
        <v>14.446999999999999</v>
      </c>
      <c r="M259" s="6">
        <v>14.477399999999999</v>
      </c>
      <c r="N259" s="6">
        <v>-1.96496E-3</v>
      </c>
      <c r="O259" s="6">
        <v>-2.6955900000000001E-2</v>
      </c>
      <c r="P259" s="6">
        <v>13.6913</v>
      </c>
      <c r="Q259" s="6">
        <v>13.718299999999999</v>
      </c>
      <c r="R259" s="6">
        <v>141.524</v>
      </c>
      <c r="S259" s="6">
        <v>141.52500000000001</v>
      </c>
      <c r="T259" s="6">
        <v>3.2081</v>
      </c>
      <c r="U259" s="6">
        <v>11274.3</v>
      </c>
      <c r="V259">
        <f t="shared" si="6"/>
        <v>60.745150862068961</v>
      </c>
      <c r="W259">
        <f t="shared" si="7"/>
        <v>1.5573793333333332E-3</v>
      </c>
    </row>
    <row r="260" spans="1:23" x14ac:dyDescent="0.3">
      <c r="A260" s="6">
        <v>253</v>
      </c>
      <c r="B260" s="6">
        <v>4.3146499999999997E-3</v>
      </c>
      <c r="C260" s="6">
        <v>0.15776200000000001</v>
      </c>
      <c r="D260" s="6">
        <v>36.722099999999998</v>
      </c>
      <c r="E260" s="6">
        <v>36.564399999999999</v>
      </c>
      <c r="F260" s="6">
        <v>-7.1878899999999995E-4</v>
      </c>
      <c r="G260" s="6">
        <v>-1.23626E-2</v>
      </c>
      <c r="H260" s="6">
        <v>17.186900000000001</v>
      </c>
      <c r="I260" s="6">
        <v>17.199200000000001</v>
      </c>
      <c r="J260" s="6">
        <v>-2.1128399999999999E-3</v>
      </c>
      <c r="K260" s="6">
        <v>-3.0588400000000002E-2</v>
      </c>
      <c r="L260" s="6">
        <v>14.4468</v>
      </c>
      <c r="M260" s="6">
        <v>14.477399999999999</v>
      </c>
      <c r="N260" s="6">
        <v>-1.9865999999999998E-3</v>
      </c>
      <c r="O260" s="6">
        <v>-2.7252700000000001E-2</v>
      </c>
      <c r="P260" s="6">
        <v>13.691000000000001</v>
      </c>
      <c r="Q260" s="6">
        <v>13.718299999999999</v>
      </c>
      <c r="R260" s="6">
        <v>142.084</v>
      </c>
      <c r="S260" s="6">
        <v>142.084</v>
      </c>
      <c r="T260" s="6">
        <v>3.2273999999999998</v>
      </c>
      <c r="U260" s="6">
        <v>11342.2</v>
      </c>
      <c r="V260">
        <f t="shared" si="6"/>
        <v>61.110991379310349</v>
      </c>
      <c r="W260">
        <f t="shared" si="7"/>
        <v>1.6060763333333335E-3</v>
      </c>
    </row>
    <row r="261" spans="1:23" x14ac:dyDescent="0.3">
      <c r="A261" s="6">
        <v>254</v>
      </c>
      <c r="B261" s="6">
        <v>4.3469600000000004E-3</v>
      </c>
      <c r="C261" s="6">
        <v>0.158944</v>
      </c>
      <c r="D261" s="6">
        <v>36.723300000000002</v>
      </c>
      <c r="E261" s="6">
        <v>36.564399999999999</v>
      </c>
      <c r="F261" s="6">
        <v>-6.9367799999999998E-4</v>
      </c>
      <c r="G261" s="6">
        <v>-1.1930700000000001E-2</v>
      </c>
      <c r="H261" s="6">
        <v>17.1873</v>
      </c>
      <c r="I261" s="6">
        <v>17.199200000000001</v>
      </c>
      <c r="J261" s="6">
        <v>-2.0531799999999999E-3</v>
      </c>
      <c r="K261" s="6">
        <v>-2.97246E-2</v>
      </c>
      <c r="L261" s="6">
        <v>14.447699999999999</v>
      </c>
      <c r="M261" s="6">
        <v>14.477399999999999</v>
      </c>
      <c r="N261" s="6">
        <v>-1.88616E-3</v>
      </c>
      <c r="O261" s="6">
        <v>-2.58748E-2</v>
      </c>
      <c r="P261" s="6">
        <v>13.692399999999999</v>
      </c>
      <c r="Q261" s="6">
        <v>13.718299999999999</v>
      </c>
      <c r="R261" s="6">
        <v>142.27000000000001</v>
      </c>
      <c r="S261" s="6">
        <v>142.27000000000001</v>
      </c>
      <c r="T261" s="6">
        <v>3.2292999999999998</v>
      </c>
      <c r="U261" s="6">
        <v>11348.9</v>
      </c>
      <c r="V261">
        <f t="shared" si="6"/>
        <v>61.147090517241381</v>
      </c>
      <c r="W261">
        <f t="shared" si="7"/>
        <v>1.5443393333333334E-3</v>
      </c>
    </row>
    <row r="262" spans="1:23" x14ac:dyDescent="0.3">
      <c r="A262" s="6">
        <v>255</v>
      </c>
      <c r="B262" s="6">
        <v>4.3348700000000002E-3</v>
      </c>
      <c r="C262" s="6">
        <v>0.158502</v>
      </c>
      <c r="D262" s="6">
        <v>36.722900000000003</v>
      </c>
      <c r="E262" s="6">
        <v>36.564399999999999</v>
      </c>
      <c r="F262" s="6">
        <v>-6.3493999999999996E-4</v>
      </c>
      <c r="G262" s="6">
        <v>-1.09205E-2</v>
      </c>
      <c r="H262" s="6">
        <v>17.188300000000002</v>
      </c>
      <c r="I262" s="6">
        <v>17.199200000000001</v>
      </c>
      <c r="J262" s="6">
        <v>-2.0489000000000002E-3</v>
      </c>
      <c r="K262" s="6">
        <v>-2.96627E-2</v>
      </c>
      <c r="L262" s="6">
        <v>14.447699999999999</v>
      </c>
      <c r="M262" s="6">
        <v>14.477399999999999</v>
      </c>
      <c r="N262" s="6">
        <v>-1.9090999999999999E-3</v>
      </c>
      <c r="O262" s="6">
        <v>-2.61896E-2</v>
      </c>
      <c r="P262" s="6">
        <v>13.6921</v>
      </c>
      <c r="Q262" s="6">
        <v>13.718299999999999</v>
      </c>
      <c r="R262" s="6">
        <v>142.89400000000001</v>
      </c>
      <c r="S262" s="6">
        <v>142.89500000000001</v>
      </c>
      <c r="T262" s="6">
        <v>3.2370999999999999</v>
      </c>
      <c r="U262" s="6">
        <v>11376.1</v>
      </c>
      <c r="V262">
        <f t="shared" si="6"/>
        <v>61.293642241379317</v>
      </c>
      <c r="W262">
        <f t="shared" si="7"/>
        <v>1.5309800000000001E-3</v>
      </c>
    </row>
    <row r="263" spans="1:23" x14ac:dyDescent="0.3">
      <c r="A263" s="6">
        <v>256</v>
      </c>
      <c r="B263" s="6">
        <v>4.3633700000000001E-3</v>
      </c>
      <c r="C263" s="6">
        <v>0.15954399999999999</v>
      </c>
      <c r="D263" s="6">
        <v>36.7239</v>
      </c>
      <c r="E263" s="6">
        <v>36.564399999999999</v>
      </c>
      <c r="F263" s="6">
        <v>-6.2501199999999999E-4</v>
      </c>
      <c r="G263" s="6">
        <v>-1.0749699999999999E-2</v>
      </c>
      <c r="H263" s="6">
        <v>17.188500000000001</v>
      </c>
      <c r="I263" s="6">
        <v>17.199200000000001</v>
      </c>
      <c r="J263" s="6">
        <v>-2.06676E-3</v>
      </c>
      <c r="K263" s="6">
        <v>-2.9921199999999998E-2</v>
      </c>
      <c r="L263" s="6">
        <v>14.4475</v>
      </c>
      <c r="M263" s="6">
        <v>14.477399999999999</v>
      </c>
      <c r="N263" s="6">
        <v>-1.9637700000000001E-3</v>
      </c>
      <c r="O263" s="6">
        <v>-2.6939500000000002E-2</v>
      </c>
      <c r="P263" s="6">
        <v>13.6913</v>
      </c>
      <c r="Q263" s="6">
        <v>13.718299999999999</v>
      </c>
      <c r="R263" s="6">
        <v>143.459</v>
      </c>
      <c r="S263" s="6">
        <v>143.459</v>
      </c>
      <c r="T263" s="6">
        <v>3.2618999999999998</v>
      </c>
      <c r="U263" s="6">
        <v>11463.1</v>
      </c>
      <c r="V263">
        <f t="shared" si="6"/>
        <v>61.762392241379317</v>
      </c>
      <c r="W263">
        <f t="shared" si="7"/>
        <v>1.5518473333333335E-3</v>
      </c>
    </row>
    <row r="264" spans="1:23" x14ac:dyDescent="0.3">
      <c r="A264" s="6">
        <v>257</v>
      </c>
      <c r="B264" s="6">
        <v>4.3383099999999997E-3</v>
      </c>
      <c r="C264" s="6">
        <v>0.15862799999999999</v>
      </c>
      <c r="D264" s="6">
        <v>36.722999999999999</v>
      </c>
      <c r="E264" s="6">
        <v>36.564399999999999</v>
      </c>
      <c r="F264" s="6">
        <v>-7.3499800000000005E-4</v>
      </c>
      <c r="G264" s="6">
        <v>-1.2641400000000001E-2</v>
      </c>
      <c r="H264" s="6">
        <v>17.186599999999999</v>
      </c>
      <c r="I264" s="6">
        <v>17.199200000000001</v>
      </c>
      <c r="J264" s="6">
        <v>-2.1334700000000002E-3</v>
      </c>
      <c r="K264" s="6">
        <v>-3.0887000000000001E-2</v>
      </c>
      <c r="L264" s="6">
        <v>14.4465</v>
      </c>
      <c r="M264" s="6">
        <v>14.477399999999999</v>
      </c>
      <c r="N264" s="6">
        <v>-2.0332100000000001E-3</v>
      </c>
      <c r="O264" s="6">
        <v>-2.78921E-2</v>
      </c>
      <c r="P264" s="6">
        <v>13.6904</v>
      </c>
      <c r="Q264" s="6">
        <v>13.718299999999999</v>
      </c>
      <c r="R264" s="6">
        <v>143.95699999999999</v>
      </c>
      <c r="S264" s="6">
        <v>143.958</v>
      </c>
      <c r="T264" s="6">
        <v>3.2738</v>
      </c>
      <c r="U264" s="6">
        <v>11504.9</v>
      </c>
      <c r="V264">
        <f t="shared" ref="V264:V327" si="8">U264/A$2/B$2</f>
        <v>61.98760775862069</v>
      </c>
      <c r="W264">
        <f t="shared" ref="W264:W327" si="9">-AVERAGE(F264,J264,N264)</f>
        <v>1.6338926666666668E-3</v>
      </c>
    </row>
    <row r="265" spans="1:23" x14ac:dyDescent="0.3">
      <c r="A265" s="6">
        <v>258</v>
      </c>
      <c r="B265" s="6">
        <v>4.3943899999999998E-3</v>
      </c>
      <c r="C265" s="6">
        <v>0.16067799999999999</v>
      </c>
      <c r="D265" s="6">
        <v>36.725000000000001</v>
      </c>
      <c r="E265" s="6">
        <v>36.564399999999999</v>
      </c>
      <c r="F265" s="6">
        <v>-7.5571199999999996E-4</v>
      </c>
      <c r="G265" s="6">
        <v>-1.2997699999999999E-2</v>
      </c>
      <c r="H265" s="6">
        <v>17.186199999999999</v>
      </c>
      <c r="I265" s="6">
        <v>17.199200000000001</v>
      </c>
      <c r="J265" s="6">
        <v>-2.1440000000000001E-3</v>
      </c>
      <c r="K265" s="6">
        <v>-3.1039500000000001E-2</v>
      </c>
      <c r="L265" s="6">
        <v>14.446300000000001</v>
      </c>
      <c r="M265" s="6">
        <v>14.477399999999999</v>
      </c>
      <c r="N265" s="6">
        <v>-1.9887099999999999E-3</v>
      </c>
      <c r="O265" s="6">
        <v>-2.7281699999999999E-2</v>
      </c>
      <c r="P265" s="6">
        <v>13.691000000000001</v>
      </c>
      <c r="Q265" s="6">
        <v>13.718299999999999</v>
      </c>
      <c r="R265" s="6">
        <v>144.27099999999999</v>
      </c>
      <c r="S265" s="6">
        <v>144.27099999999999</v>
      </c>
      <c r="T265" s="6">
        <v>3.2892999999999999</v>
      </c>
      <c r="U265" s="6">
        <v>11559.2</v>
      </c>
      <c r="V265">
        <f t="shared" si="8"/>
        <v>62.28017241379311</v>
      </c>
      <c r="W265">
        <f t="shared" si="9"/>
        <v>1.6294739999999999E-3</v>
      </c>
    </row>
    <row r="266" spans="1:23" x14ac:dyDescent="0.3">
      <c r="A266" s="6">
        <v>259</v>
      </c>
      <c r="B266" s="6">
        <v>4.43933E-3</v>
      </c>
      <c r="C266" s="6">
        <v>0.16232099999999999</v>
      </c>
      <c r="D266" s="6">
        <v>36.726700000000001</v>
      </c>
      <c r="E266" s="6">
        <v>36.564399999999999</v>
      </c>
      <c r="F266" s="6">
        <v>-6.1729999999999999E-4</v>
      </c>
      <c r="G266" s="6">
        <v>-1.0617100000000001E-2</v>
      </c>
      <c r="H266" s="6">
        <v>17.188600000000001</v>
      </c>
      <c r="I266" s="6">
        <v>17.199200000000001</v>
      </c>
      <c r="J266" s="6">
        <v>-2.0130199999999999E-3</v>
      </c>
      <c r="K266" s="6">
        <v>-2.9143200000000001E-2</v>
      </c>
      <c r="L266" s="6">
        <v>14.4482</v>
      </c>
      <c r="M266" s="6">
        <v>14.477399999999999</v>
      </c>
      <c r="N266" s="6">
        <v>-1.91045E-3</v>
      </c>
      <c r="O266" s="6">
        <v>-2.6208100000000002E-2</v>
      </c>
      <c r="P266" s="6">
        <v>13.6921</v>
      </c>
      <c r="Q266" s="6">
        <v>13.718299999999999</v>
      </c>
      <c r="R266" s="6">
        <v>144.767</v>
      </c>
      <c r="S266" s="6">
        <v>144.768</v>
      </c>
      <c r="T266" s="6">
        <v>3.3022</v>
      </c>
      <c r="U266" s="6">
        <v>11604.4</v>
      </c>
      <c r="V266">
        <f t="shared" si="8"/>
        <v>62.523706896551722</v>
      </c>
      <c r="W266">
        <f t="shared" si="9"/>
        <v>1.5135899999999998E-3</v>
      </c>
    </row>
    <row r="267" spans="1:23" x14ac:dyDescent="0.3">
      <c r="A267" s="6">
        <v>260</v>
      </c>
      <c r="B267" s="6">
        <v>4.4545699999999997E-3</v>
      </c>
      <c r="C267" s="6">
        <v>0.162879</v>
      </c>
      <c r="D267" s="6">
        <v>36.727200000000003</v>
      </c>
      <c r="E267" s="6">
        <v>36.564399999999999</v>
      </c>
      <c r="F267" s="6">
        <v>-6.8467199999999999E-4</v>
      </c>
      <c r="G267" s="6">
        <v>-1.1775799999999999E-2</v>
      </c>
      <c r="H267" s="6">
        <v>17.1875</v>
      </c>
      <c r="I267" s="6">
        <v>17.199200000000001</v>
      </c>
      <c r="J267" s="6">
        <v>-2.0830100000000002E-3</v>
      </c>
      <c r="K267" s="6">
        <v>-3.0156499999999999E-2</v>
      </c>
      <c r="L267" s="6">
        <v>14.4472</v>
      </c>
      <c r="M267" s="6">
        <v>14.477399999999999</v>
      </c>
      <c r="N267" s="6">
        <v>-1.9405399999999999E-3</v>
      </c>
      <c r="O267" s="6">
        <v>-2.6620899999999999E-2</v>
      </c>
      <c r="P267" s="6">
        <v>13.691700000000001</v>
      </c>
      <c r="Q267" s="6">
        <v>13.718299999999999</v>
      </c>
      <c r="R267" s="6">
        <v>145.267</v>
      </c>
      <c r="S267" s="6">
        <v>145.268</v>
      </c>
      <c r="T267" s="6">
        <v>3.3176999999999999</v>
      </c>
      <c r="U267" s="6">
        <v>11658.6</v>
      </c>
      <c r="V267">
        <f t="shared" si="8"/>
        <v>62.81573275862069</v>
      </c>
      <c r="W267">
        <f t="shared" si="9"/>
        <v>1.5694073333333333E-3</v>
      </c>
    </row>
    <row r="268" spans="1:23" x14ac:dyDescent="0.3">
      <c r="A268" s="6">
        <v>261</v>
      </c>
      <c r="B268" s="6">
        <v>4.4281399999999997E-3</v>
      </c>
      <c r="C268" s="6">
        <v>0.161912</v>
      </c>
      <c r="D268" s="6">
        <v>36.726300000000002</v>
      </c>
      <c r="E268" s="6">
        <v>36.564399999999999</v>
      </c>
      <c r="F268" s="6">
        <v>-6.3435E-4</v>
      </c>
      <c r="G268" s="6">
        <v>-1.09103E-2</v>
      </c>
      <c r="H268" s="6">
        <v>17.188300000000002</v>
      </c>
      <c r="I268" s="6">
        <v>17.199200000000001</v>
      </c>
      <c r="J268" s="6">
        <v>-2.1011300000000001E-3</v>
      </c>
      <c r="K268" s="6">
        <v>-3.0418899999999999E-2</v>
      </c>
      <c r="L268" s="6">
        <v>14.446999999999999</v>
      </c>
      <c r="M268" s="6">
        <v>14.477399999999999</v>
      </c>
      <c r="N268" s="6">
        <v>-1.9680800000000001E-3</v>
      </c>
      <c r="O268" s="6">
        <v>-2.6998600000000001E-2</v>
      </c>
      <c r="P268" s="6">
        <v>13.6913</v>
      </c>
      <c r="Q268" s="6">
        <v>13.718299999999999</v>
      </c>
      <c r="R268" s="6">
        <v>145.64099999999999</v>
      </c>
      <c r="S268" s="6">
        <v>145.64099999999999</v>
      </c>
      <c r="T268" s="6">
        <v>3.3250999999999999</v>
      </c>
      <c r="U268" s="6">
        <v>11684.6</v>
      </c>
      <c r="V268">
        <f t="shared" si="8"/>
        <v>62.955818965517246</v>
      </c>
      <c r="W268">
        <f t="shared" si="9"/>
        <v>1.5678533333333335E-3</v>
      </c>
    </row>
    <row r="269" spans="1:23" x14ac:dyDescent="0.3">
      <c r="A269" s="6">
        <v>262</v>
      </c>
      <c r="B269" s="6">
        <v>4.41144E-3</v>
      </c>
      <c r="C269" s="6">
        <v>0.161301</v>
      </c>
      <c r="D269" s="6">
        <v>36.725700000000003</v>
      </c>
      <c r="E269" s="6">
        <v>36.564399999999999</v>
      </c>
      <c r="F269" s="6">
        <v>-6.5191499999999998E-4</v>
      </c>
      <c r="G269" s="6">
        <v>-1.1212400000000001E-2</v>
      </c>
      <c r="H269" s="6">
        <v>17.187999999999999</v>
      </c>
      <c r="I269" s="6">
        <v>17.199200000000001</v>
      </c>
      <c r="J269" s="6">
        <v>-2.09917E-3</v>
      </c>
      <c r="K269" s="6">
        <v>-3.0390500000000001E-2</v>
      </c>
      <c r="L269" s="6">
        <v>14.446999999999999</v>
      </c>
      <c r="M269" s="6">
        <v>14.477399999999999</v>
      </c>
      <c r="N269" s="6">
        <v>-2.0749700000000002E-3</v>
      </c>
      <c r="O269" s="6">
        <v>-2.8465000000000001E-2</v>
      </c>
      <c r="P269" s="6">
        <v>13.6898</v>
      </c>
      <c r="Q269" s="6">
        <v>13.718299999999999</v>
      </c>
      <c r="R269" s="6">
        <v>146.13999999999999</v>
      </c>
      <c r="S269" s="6">
        <v>146.13999999999999</v>
      </c>
      <c r="T269" s="6">
        <v>3.3441000000000001</v>
      </c>
      <c r="U269" s="6">
        <v>11751.3</v>
      </c>
      <c r="V269">
        <f t="shared" si="8"/>
        <v>63.315193965517238</v>
      </c>
      <c r="W269">
        <f t="shared" si="9"/>
        <v>1.6086850000000001E-3</v>
      </c>
    </row>
    <row r="270" spans="1:23" x14ac:dyDescent="0.3">
      <c r="A270" s="6">
        <v>263</v>
      </c>
      <c r="B270" s="6">
        <v>4.4487099999999998E-3</v>
      </c>
      <c r="C270" s="6">
        <v>0.162664</v>
      </c>
      <c r="D270" s="6">
        <v>36.726999999999997</v>
      </c>
      <c r="E270" s="6">
        <v>36.564399999999999</v>
      </c>
      <c r="F270" s="6">
        <v>-6.5561999999999999E-4</v>
      </c>
      <c r="G270" s="6">
        <v>-1.12762E-2</v>
      </c>
      <c r="H270" s="6">
        <v>17.187999999999999</v>
      </c>
      <c r="I270" s="6">
        <v>17.199200000000001</v>
      </c>
      <c r="J270" s="6">
        <v>-2.09962E-3</v>
      </c>
      <c r="K270" s="6">
        <v>-3.0397E-2</v>
      </c>
      <c r="L270" s="6">
        <v>14.446999999999999</v>
      </c>
      <c r="M270" s="6">
        <v>14.477399999999999</v>
      </c>
      <c r="N270" s="6">
        <v>-2.02725E-3</v>
      </c>
      <c r="O270" s="6">
        <v>-2.7810399999999999E-2</v>
      </c>
      <c r="P270" s="6">
        <v>13.6905</v>
      </c>
      <c r="Q270" s="6">
        <v>13.718299999999999</v>
      </c>
      <c r="R270" s="6">
        <v>146.577</v>
      </c>
      <c r="S270" s="6">
        <v>146.577</v>
      </c>
      <c r="T270" s="6">
        <v>3.3534000000000002</v>
      </c>
      <c r="U270" s="6">
        <v>11784.1</v>
      </c>
      <c r="V270">
        <f t="shared" si="8"/>
        <v>63.491918103448278</v>
      </c>
      <c r="W270">
        <f t="shared" si="9"/>
        <v>1.5941633333333334E-3</v>
      </c>
    </row>
    <row r="271" spans="1:23" x14ac:dyDescent="0.3">
      <c r="A271" s="6">
        <v>264</v>
      </c>
      <c r="B271" s="6">
        <v>4.4762999999999999E-3</v>
      </c>
      <c r="C271" s="6">
        <v>0.16367300000000001</v>
      </c>
      <c r="D271" s="6">
        <v>36.728000000000002</v>
      </c>
      <c r="E271" s="6">
        <v>36.564399999999999</v>
      </c>
      <c r="F271" s="6">
        <v>-6.7327800000000003E-4</v>
      </c>
      <c r="G271" s="6">
        <v>-1.1579900000000001E-2</v>
      </c>
      <c r="H271" s="6">
        <v>17.1877</v>
      </c>
      <c r="I271" s="6">
        <v>17.199200000000001</v>
      </c>
      <c r="J271" s="6">
        <v>-2.0528500000000002E-3</v>
      </c>
      <c r="K271" s="6">
        <v>-2.97199E-2</v>
      </c>
      <c r="L271" s="6">
        <v>14.447699999999999</v>
      </c>
      <c r="M271" s="6">
        <v>14.477399999999999</v>
      </c>
      <c r="N271" s="6">
        <v>-1.9931800000000002E-3</v>
      </c>
      <c r="O271" s="6">
        <v>-2.7342999999999999E-2</v>
      </c>
      <c r="P271" s="6">
        <v>13.690899999999999</v>
      </c>
      <c r="Q271" s="6">
        <v>13.718299999999999</v>
      </c>
      <c r="R271" s="6">
        <v>146.952</v>
      </c>
      <c r="S271" s="6">
        <v>146.952</v>
      </c>
      <c r="T271" s="6">
        <v>3.3586</v>
      </c>
      <c r="U271" s="6">
        <v>11802.2</v>
      </c>
      <c r="V271">
        <f t="shared" si="8"/>
        <v>63.58943965517242</v>
      </c>
      <c r="W271">
        <f t="shared" si="9"/>
        <v>1.5731026666666668E-3</v>
      </c>
    </row>
    <row r="272" spans="1:23" x14ac:dyDescent="0.3">
      <c r="A272" s="6">
        <v>265</v>
      </c>
      <c r="B272" s="6">
        <v>4.4557800000000003E-3</v>
      </c>
      <c r="C272" s="6">
        <v>0.16292300000000001</v>
      </c>
      <c r="D272" s="6">
        <v>36.7273</v>
      </c>
      <c r="E272" s="6">
        <v>36.564399999999999</v>
      </c>
      <c r="F272" s="6">
        <v>-7.4726899999999995E-4</v>
      </c>
      <c r="G272" s="6">
        <v>-1.2852499999999999E-2</v>
      </c>
      <c r="H272" s="6">
        <v>17.186399999999999</v>
      </c>
      <c r="I272" s="6">
        <v>17.199200000000001</v>
      </c>
      <c r="J272" s="6">
        <v>-2.18695E-3</v>
      </c>
      <c r="K272" s="6">
        <v>-3.1661300000000003E-2</v>
      </c>
      <c r="L272" s="6">
        <v>14.4457</v>
      </c>
      <c r="M272" s="6">
        <v>14.477399999999999</v>
      </c>
      <c r="N272" s="6">
        <v>-2.0266400000000001E-3</v>
      </c>
      <c r="O272" s="6">
        <v>-2.78021E-2</v>
      </c>
      <c r="P272" s="6">
        <v>13.6905</v>
      </c>
      <c r="Q272" s="6">
        <v>13.718299999999999</v>
      </c>
      <c r="R272" s="6">
        <v>147.517</v>
      </c>
      <c r="S272" s="6">
        <v>147.518</v>
      </c>
      <c r="T272" s="6">
        <v>3.3788999999999998</v>
      </c>
      <c r="U272" s="6">
        <v>11873.4</v>
      </c>
      <c r="V272">
        <f t="shared" si="8"/>
        <v>63.973060344827587</v>
      </c>
      <c r="W272">
        <f t="shared" si="9"/>
        <v>1.6536196666666666E-3</v>
      </c>
    </row>
    <row r="273" spans="1:23" x14ac:dyDescent="0.3">
      <c r="A273" s="6">
        <v>266</v>
      </c>
      <c r="B273" s="6">
        <v>4.4728299999999997E-3</v>
      </c>
      <c r="C273" s="6">
        <v>0.163546</v>
      </c>
      <c r="D273" s="6">
        <v>36.727899999999998</v>
      </c>
      <c r="E273" s="6">
        <v>36.564399999999999</v>
      </c>
      <c r="F273" s="6">
        <v>-8.3926499999999995E-4</v>
      </c>
      <c r="G273" s="6">
        <v>-1.44347E-2</v>
      </c>
      <c r="H273" s="6">
        <v>17.184799999999999</v>
      </c>
      <c r="I273" s="6">
        <v>17.199200000000001</v>
      </c>
      <c r="J273" s="6">
        <v>-2.2932299999999998E-3</v>
      </c>
      <c r="K273" s="6">
        <v>-3.3199899999999997E-2</v>
      </c>
      <c r="L273" s="6">
        <v>14.4442</v>
      </c>
      <c r="M273" s="6">
        <v>14.477399999999999</v>
      </c>
      <c r="N273" s="6">
        <v>-2.1955099999999999E-3</v>
      </c>
      <c r="O273" s="6">
        <v>-3.0118599999999999E-2</v>
      </c>
      <c r="P273" s="6">
        <v>13.6882</v>
      </c>
      <c r="Q273" s="6">
        <v>13.718299999999999</v>
      </c>
      <c r="R273" s="6">
        <v>147.88800000000001</v>
      </c>
      <c r="S273" s="6">
        <v>147.88800000000001</v>
      </c>
      <c r="T273" s="6">
        <v>3.3969</v>
      </c>
      <c r="U273" s="6">
        <v>11936.7</v>
      </c>
      <c r="V273">
        <f t="shared" si="8"/>
        <v>64.314116379310349</v>
      </c>
      <c r="W273">
        <f t="shared" si="9"/>
        <v>1.7760016666666667E-3</v>
      </c>
    </row>
    <row r="274" spans="1:23" x14ac:dyDescent="0.3">
      <c r="A274" s="6">
        <v>267</v>
      </c>
      <c r="B274" s="6">
        <v>4.5205100000000002E-3</v>
      </c>
      <c r="C274" s="6">
        <v>0.16528999999999999</v>
      </c>
      <c r="D274" s="6">
        <v>36.729599999999998</v>
      </c>
      <c r="E274" s="6">
        <v>36.564399999999999</v>
      </c>
      <c r="F274" s="6">
        <v>-6.7531600000000002E-4</v>
      </c>
      <c r="G274" s="6">
        <v>-1.1614899999999999E-2</v>
      </c>
      <c r="H274" s="6">
        <v>17.1876</v>
      </c>
      <c r="I274" s="6">
        <v>17.199200000000001</v>
      </c>
      <c r="J274" s="6">
        <v>-2.19045E-3</v>
      </c>
      <c r="K274" s="6">
        <v>-3.1711900000000001E-2</v>
      </c>
      <c r="L274" s="6">
        <v>14.4457</v>
      </c>
      <c r="M274" s="6">
        <v>14.477399999999999</v>
      </c>
      <c r="N274" s="6">
        <v>-2.0954200000000002E-3</v>
      </c>
      <c r="O274" s="6">
        <v>-2.87455E-2</v>
      </c>
      <c r="P274" s="6">
        <v>13.689500000000001</v>
      </c>
      <c r="Q274" s="6">
        <v>13.718299999999999</v>
      </c>
      <c r="R274" s="6">
        <v>148.32599999999999</v>
      </c>
      <c r="S274" s="6">
        <v>148.32599999999999</v>
      </c>
      <c r="T274" s="6">
        <v>3.3992</v>
      </c>
      <c r="U274" s="6">
        <v>11944.6</v>
      </c>
      <c r="V274">
        <f t="shared" si="8"/>
        <v>64.356681034482762</v>
      </c>
      <c r="W274">
        <f t="shared" si="9"/>
        <v>1.6537286666666667E-3</v>
      </c>
    </row>
    <row r="275" spans="1:23" x14ac:dyDescent="0.3">
      <c r="A275" s="6">
        <v>268</v>
      </c>
      <c r="B275" s="6">
        <v>4.5384300000000004E-3</v>
      </c>
      <c r="C275" s="6">
        <v>0.16594500000000001</v>
      </c>
      <c r="D275" s="6">
        <v>36.7303</v>
      </c>
      <c r="E275" s="6">
        <v>36.564399999999999</v>
      </c>
      <c r="F275" s="6">
        <v>-6.1501899999999996E-4</v>
      </c>
      <c r="G275" s="6">
        <v>-1.0577899999999999E-2</v>
      </c>
      <c r="H275" s="6">
        <v>17.188700000000001</v>
      </c>
      <c r="I275" s="6">
        <v>17.199200000000001</v>
      </c>
      <c r="J275" s="6">
        <v>-2.0901299999999999E-3</v>
      </c>
      <c r="K275" s="6">
        <v>-3.0259600000000001E-2</v>
      </c>
      <c r="L275" s="6">
        <v>14.447100000000001</v>
      </c>
      <c r="M275" s="6">
        <v>14.477399999999999</v>
      </c>
      <c r="N275" s="6">
        <v>-2.0139899999999998E-3</v>
      </c>
      <c r="O275" s="6">
        <v>-2.7628400000000001E-2</v>
      </c>
      <c r="P275" s="6">
        <v>13.6907</v>
      </c>
      <c r="Q275" s="6">
        <v>13.718299999999999</v>
      </c>
      <c r="R275" s="6">
        <v>148.94999999999999</v>
      </c>
      <c r="S275" s="6">
        <v>148.94999999999999</v>
      </c>
      <c r="T275" s="6">
        <v>3.4176000000000002</v>
      </c>
      <c r="U275" s="6">
        <v>12009</v>
      </c>
      <c r="V275">
        <f t="shared" si="8"/>
        <v>64.703663793103445</v>
      </c>
      <c r="W275">
        <f t="shared" si="9"/>
        <v>1.5730463333333332E-3</v>
      </c>
    </row>
    <row r="276" spans="1:23" x14ac:dyDescent="0.3">
      <c r="A276" s="6">
        <v>269</v>
      </c>
      <c r="B276" s="6">
        <v>4.4881499999999998E-3</v>
      </c>
      <c r="C276" s="6">
        <v>0.164106</v>
      </c>
      <c r="D276" s="6">
        <v>36.728499999999997</v>
      </c>
      <c r="E276" s="6">
        <v>36.564399999999999</v>
      </c>
      <c r="F276" s="6">
        <v>-7.1909199999999995E-4</v>
      </c>
      <c r="G276" s="6">
        <v>-1.23678E-2</v>
      </c>
      <c r="H276" s="6">
        <v>17.186900000000001</v>
      </c>
      <c r="I276" s="6">
        <v>17.199200000000001</v>
      </c>
      <c r="J276" s="6">
        <v>-2.2098E-3</v>
      </c>
      <c r="K276" s="6">
        <v>-3.1992100000000002E-2</v>
      </c>
      <c r="L276" s="6">
        <v>14.445399999999999</v>
      </c>
      <c r="M276" s="6">
        <v>14.477399999999999</v>
      </c>
      <c r="N276" s="6">
        <v>-2.0349299999999999E-3</v>
      </c>
      <c r="O276" s="6">
        <v>-2.7915700000000002E-2</v>
      </c>
      <c r="P276" s="6">
        <v>13.6904</v>
      </c>
      <c r="Q276" s="6">
        <v>13.718299999999999</v>
      </c>
      <c r="R276" s="6">
        <v>149.32300000000001</v>
      </c>
      <c r="S276" s="6">
        <v>149.32300000000001</v>
      </c>
      <c r="T276" s="6">
        <v>3.4287999999999998</v>
      </c>
      <c r="U276" s="6">
        <v>12048.6</v>
      </c>
      <c r="V276">
        <f t="shared" si="8"/>
        <v>64.917025862068968</v>
      </c>
      <c r="W276">
        <f t="shared" si="9"/>
        <v>1.6546073333333332E-3</v>
      </c>
    </row>
    <row r="277" spans="1:23" x14ac:dyDescent="0.3">
      <c r="A277" s="6">
        <v>270</v>
      </c>
      <c r="B277" s="6">
        <v>4.59941E-3</v>
      </c>
      <c r="C277" s="6">
        <v>0.16817499999999999</v>
      </c>
      <c r="D277" s="6">
        <v>36.732500000000002</v>
      </c>
      <c r="E277" s="6">
        <v>36.564399999999999</v>
      </c>
      <c r="F277" s="6">
        <v>-7.2412900000000001E-4</v>
      </c>
      <c r="G277" s="6">
        <v>-1.24545E-2</v>
      </c>
      <c r="H277" s="6">
        <v>17.186800000000002</v>
      </c>
      <c r="I277" s="6">
        <v>17.199200000000001</v>
      </c>
      <c r="J277" s="6">
        <v>-2.18988E-3</v>
      </c>
      <c r="K277" s="6">
        <v>-3.1703700000000001E-2</v>
      </c>
      <c r="L277" s="6">
        <v>14.4457</v>
      </c>
      <c r="M277" s="6">
        <v>14.477399999999999</v>
      </c>
      <c r="N277" s="6">
        <v>-2.03403E-3</v>
      </c>
      <c r="O277" s="6">
        <v>-2.7903299999999999E-2</v>
      </c>
      <c r="P277" s="6">
        <v>13.6904</v>
      </c>
      <c r="Q277" s="6">
        <v>13.718299999999999</v>
      </c>
      <c r="R277" s="6">
        <v>149.75899999999999</v>
      </c>
      <c r="S277" s="6">
        <v>149.75899999999999</v>
      </c>
      <c r="T277" s="6">
        <v>3.4426999999999999</v>
      </c>
      <c r="U277" s="6">
        <v>12097.2</v>
      </c>
      <c r="V277">
        <f t="shared" si="8"/>
        <v>65.17887931034484</v>
      </c>
      <c r="W277">
        <f t="shared" si="9"/>
        <v>1.6493463333333333E-3</v>
      </c>
    </row>
    <row r="278" spans="1:23" x14ac:dyDescent="0.3">
      <c r="A278" s="6">
        <v>271</v>
      </c>
      <c r="B278" s="6">
        <v>4.6109899999999997E-3</v>
      </c>
      <c r="C278" s="6">
        <v>0.168598</v>
      </c>
      <c r="D278" s="6">
        <v>36.732999999999997</v>
      </c>
      <c r="E278" s="6">
        <v>36.564399999999999</v>
      </c>
      <c r="F278" s="6">
        <v>-7.2377800000000001E-4</v>
      </c>
      <c r="G278" s="6">
        <v>-1.24484E-2</v>
      </c>
      <c r="H278" s="6">
        <v>17.186800000000002</v>
      </c>
      <c r="I278" s="6">
        <v>17.199200000000001</v>
      </c>
      <c r="J278" s="6">
        <v>-2.1897499999999999E-3</v>
      </c>
      <c r="K278" s="6">
        <v>-3.1701899999999998E-2</v>
      </c>
      <c r="L278" s="6">
        <v>14.4457</v>
      </c>
      <c r="M278" s="6">
        <v>14.477399999999999</v>
      </c>
      <c r="N278" s="6">
        <v>-2.0641600000000002E-3</v>
      </c>
      <c r="O278" s="6">
        <v>-2.83168E-2</v>
      </c>
      <c r="P278" s="6">
        <v>13.69</v>
      </c>
      <c r="Q278" s="6">
        <v>13.718299999999999</v>
      </c>
      <c r="R278" s="6">
        <v>150.38300000000001</v>
      </c>
      <c r="S278" s="6">
        <v>150.38399999999999</v>
      </c>
      <c r="T278" s="6">
        <v>3.4569000000000001</v>
      </c>
      <c r="U278" s="6">
        <v>12146.9</v>
      </c>
      <c r="V278">
        <f t="shared" si="8"/>
        <v>65.446659482758619</v>
      </c>
      <c r="W278">
        <f t="shared" si="9"/>
        <v>1.6592293333333333E-3</v>
      </c>
    </row>
    <row r="279" spans="1:23" x14ac:dyDescent="0.3">
      <c r="A279" s="6">
        <v>272</v>
      </c>
      <c r="B279" s="6">
        <v>4.5765099999999998E-3</v>
      </c>
      <c r="C279" s="6">
        <v>0.16733700000000001</v>
      </c>
      <c r="D279" s="6">
        <v>36.731699999999996</v>
      </c>
      <c r="E279" s="6">
        <v>36.564399999999999</v>
      </c>
      <c r="F279" s="6">
        <v>-7.9412799999999996E-4</v>
      </c>
      <c r="G279" s="6">
        <v>-1.3658399999999999E-2</v>
      </c>
      <c r="H279" s="6">
        <v>17.185600000000001</v>
      </c>
      <c r="I279" s="6">
        <v>17.199200000000001</v>
      </c>
      <c r="J279" s="6">
        <v>-2.2108700000000002E-3</v>
      </c>
      <c r="K279" s="6">
        <v>-3.20077E-2</v>
      </c>
      <c r="L279" s="6">
        <v>14.445399999999999</v>
      </c>
      <c r="M279" s="6">
        <v>14.477399999999999</v>
      </c>
      <c r="N279" s="6">
        <v>-2.08946E-3</v>
      </c>
      <c r="O279" s="6">
        <v>-2.86638E-2</v>
      </c>
      <c r="P279" s="6">
        <v>13.6896</v>
      </c>
      <c r="Q279" s="6">
        <v>13.718299999999999</v>
      </c>
      <c r="R279" s="6">
        <v>150.57</v>
      </c>
      <c r="S279" s="6">
        <v>150.57</v>
      </c>
      <c r="T279" s="6">
        <v>3.4575</v>
      </c>
      <c r="U279" s="6">
        <v>12149.2</v>
      </c>
      <c r="V279">
        <f t="shared" si="8"/>
        <v>65.459051724137936</v>
      </c>
      <c r="W279">
        <f t="shared" si="9"/>
        <v>1.6981526666666666E-3</v>
      </c>
    </row>
    <row r="280" spans="1:23" x14ac:dyDescent="0.3">
      <c r="A280" s="6">
        <v>273</v>
      </c>
      <c r="B280" s="6">
        <v>4.6215900000000001E-3</v>
      </c>
      <c r="C280" s="6">
        <v>0.168986</v>
      </c>
      <c r="D280" s="6">
        <v>36.7333</v>
      </c>
      <c r="E280" s="6">
        <v>36.564399999999999</v>
      </c>
      <c r="F280" s="6">
        <v>-6.7049799999999995E-4</v>
      </c>
      <c r="G280" s="6">
        <v>-1.15321E-2</v>
      </c>
      <c r="H280" s="6">
        <v>17.1877</v>
      </c>
      <c r="I280" s="6">
        <v>17.199200000000001</v>
      </c>
      <c r="J280" s="6">
        <v>-2.1970499999999999E-3</v>
      </c>
      <c r="K280" s="6">
        <v>-3.1807500000000002E-2</v>
      </c>
      <c r="L280" s="6">
        <v>14.445600000000001</v>
      </c>
      <c r="M280" s="6">
        <v>14.477399999999999</v>
      </c>
      <c r="N280" s="6">
        <v>-2.0883799999999999E-3</v>
      </c>
      <c r="O280" s="6">
        <v>-2.8649000000000001E-2</v>
      </c>
      <c r="P280" s="6">
        <v>13.6896</v>
      </c>
      <c r="Q280" s="6">
        <v>13.718299999999999</v>
      </c>
      <c r="R280" s="6">
        <v>150.76</v>
      </c>
      <c r="S280" s="6">
        <v>150.76</v>
      </c>
      <c r="T280" s="6">
        <v>3.4624000000000001</v>
      </c>
      <c r="U280" s="6">
        <v>12166.1</v>
      </c>
      <c r="V280">
        <f t="shared" si="8"/>
        <v>65.550107758620697</v>
      </c>
      <c r="W280">
        <f t="shared" si="9"/>
        <v>1.6519760000000001E-3</v>
      </c>
    </row>
    <row r="281" spans="1:23" x14ac:dyDescent="0.3">
      <c r="A281" s="6">
        <v>274</v>
      </c>
      <c r="B281" s="6">
        <v>4.6510700000000002E-3</v>
      </c>
      <c r="C281" s="6">
        <v>0.17006399999999999</v>
      </c>
      <c r="D281" s="6">
        <v>36.734400000000001</v>
      </c>
      <c r="E281" s="6">
        <v>36.564399999999999</v>
      </c>
      <c r="F281" s="6">
        <v>-7.7229600000000001E-4</v>
      </c>
      <c r="G281" s="6">
        <v>-1.32829E-2</v>
      </c>
      <c r="H281" s="6">
        <v>17.186</v>
      </c>
      <c r="I281" s="6">
        <v>17.199200000000001</v>
      </c>
      <c r="J281" s="6">
        <v>-2.25785E-3</v>
      </c>
      <c r="K281" s="6">
        <v>-3.26877E-2</v>
      </c>
      <c r="L281" s="6">
        <v>14.444699999999999</v>
      </c>
      <c r="M281" s="6">
        <v>14.477399999999999</v>
      </c>
      <c r="N281" s="6">
        <v>-2.20879E-3</v>
      </c>
      <c r="O281" s="6">
        <v>-3.03007E-2</v>
      </c>
      <c r="P281" s="6">
        <v>13.688000000000001</v>
      </c>
      <c r="Q281" s="6">
        <v>13.718299999999999</v>
      </c>
      <c r="R281" s="6">
        <v>151.196</v>
      </c>
      <c r="S281" s="6">
        <v>151.196</v>
      </c>
      <c r="T281" s="6">
        <v>3.4777999999999998</v>
      </c>
      <c r="U281" s="6">
        <v>12220.4</v>
      </c>
      <c r="V281">
        <f t="shared" si="8"/>
        <v>65.84267241379311</v>
      </c>
      <c r="W281">
        <f t="shared" si="9"/>
        <v>1.7463119999999999E-3</v>
      </c>
    </row>
    <row r="282" spans="1:23" x14ac:dyDescent="0.3">
      <c r="A282" s="6">
        <v>275</v>
      </c>
      <c r="B282" s="6">
        <v>4.5898400000000004E-3</v>
      </c>
      <c r="C282" s="6">
        <v>0.167824</v>
      </c>
      <c r="D282" s="6">
        <v>36.732199999999999</v>
      </c>
      <c r="E282" s="6">
        <v>36.564399999999999</v>
      </c>
      <c r="F282" s="6">
        <v>-8.0557299999999997E-4</v>
      </c>
      <c r="G282" s="6">
        <v>-1.38552E-2</v>
      </c>
      <c r="H282" s="6">
        <v>17.185400000000001</v>
      </c>
      <c r="I282" s="6">
        <v>17.199200000000001</v>
      </c>
      <c r="J282" s="6">
        <v>-2.2434500000000001E-3</v>
      </c>
      <c r="K282" s="6">
        <v>-3.24792E-2</v>
      </c>
      <c r="L282" s="6">
        <v>14.444900000000001</v>
      </c>
      <c r="M282" s="6">
        <v>14.477399999999999</v>
      </c>
      <c r="N282" s="6">
        <v>-2.1459700000000001E-3</v>
      </c>
      <c r="O282" s="6">
        <v>-2.9439E-2</v>
      </c>
      <c r="P282" s="6">
        <v>13.688800000000001</v>
      </c>
      <c r="Q282" s="6">
        <v>13.718299999999999</v>
      </c>
      <c r="R282" s="6">
        <v>151.82</v>
      </c>
      <c r="S282" s="6">
        <v>151.82</v>
      </c>
      <c r="T282" s="6">
        <v>3.4939</v>
      </c>
      <c r="U282" s="6">
        <v>12276.9</v>
      </c>
      <c r="V282">
        <f t="shared" si="8"/>
        <v>66.147090517241381</v>
      </c>
      <c r="W282">
        <f t="shared" si="9"/>
        <v>1.7316643333333333E-3</v>
      </c>
    </row>
    <row r="283" spans="1:23" x14ac:dyDescent="0.3">
      <c r="A283" s="6">
        <v>276</v>
      </c>
      <c r="B283" s="6">
        <v>4.6464399999999999E-3</v>
      </c>
      <c r="C283" s="6">
        <v>0.16989399999999999</v>
      </c>
      <c r="D283" s="6">
        <v>36.734299999999998</v>
      </c>
      <c r="E283" s="6">
        <v>36.564399999999999</v>
      </c>
      <c r="F283" s="6">
        <v>-8.0135600000000003E-4</v>
      </c>
      <c r="G283" s="6">
        <v>-1.37827E-2</v>
      </c>
      <c r="H283" s="6">
        <v>17.185500000000001</v>
      </c>
      <c r="I283" s="6">
        <v>17.199200000000001</v>
      </c>
      <c r="J283" s="6">
        <v>-2.3000400000000002E-3</v>
      </c>
      <c r="K283" s="6">
        <v>-3.3298500000000002E-2</v>
      </c>
      <c r="L283" s="6">
        <v>14.444100000000001</v>
      </c>
      <c r="M283" s="6">
        <v>14.477399999999999</v>
      </c>
      <c r="N283" s="6">
        <v>-2.1688900000000001E-3</v>
      </c>
      <c r="O283" s="6">
        <v>-2.9753399999999999E-2</v>
      </c>
      <c r="P283" s="6">
        <v>13.688499999999999</v>
      </c>
      <c r="Q283" s="6">
        <v>13.718299999999999</v>
      </c>
      <c r="R283" s="6">
        <v>152.19300000000001</v>
      </c>
      <c r="S283" s="6">
        <v>152.19300000000001</v>
      </c>
      <c r="T283" s="6">
        <v>3.5059</v>
      </c>
      <c r="U283" s="6">
        <v>12318.7</v>
      </c>
      <c r="V283">
        <f t="shared" si="8"/>
        <v>66.372306034482762</v>
      </c>
      <c r="W283">
        <f t="shared" si="9"/>
        <v>1.7567620000000003E-3</v>
      </c>
    </row>
    <row r="284" spans="1:23" x14ac:dyDescent="0.3">
      <c r="A284" s="6">
        <v>277</v>
      </c>
      <c r="B284" s="6">
        <v>4.6679E-3</v>
      </c>
      <c r="C284" s="6">
        <v>0.170679</v>
      </c>
      <c r="D284" s="6">
        <v>36.734999999999999</v>
      </c>
      <c r="E284" s="6">
        <v>36.564399999999999</v>
      </c>
      <c r="F284" s="6">
        <v>-8.0810599999999995E-4</v>
      </c>
      <c r="G284" s="6">
        <v>-1.3898799999999999E-2</v>
      </c>
      <c r="H284" s="6">
        <v>17.185300000000002</v>
      </c>
      <c r="I284" s="6">
        <v>17.199200000000001</v>
      </c>
      <c r="J284" s="6">
        <v>-2.3162500000000002E-3</v>
      </c>
      <c r="K284" s="6">
        <v>-3.3533199999999999E-2</v>
      </c>
      <c r="L284" s="6">
        <v>14.4438</v>
      </c>
      <c r="M284" s="6">
        <v>14.477399999999999</v>
      </c>
      <c r="N284" s="6">
        <v>-2.16753E-3</v>
      </c>
      <c r="O284" s="6">
        <v>-2.9734799999999999E-2</v>
      </c>
      <c r="P284" s="6">
        <v>13.688499999999999</v>
      </c>
      <c r="Q284" s="6">
        <v>13.718299999999999</v>
      </c>
      <c r="R284" s="6">
        <v>152.69300000000001</v>
      </c>
      <c r="S284" s="6">
        <v>152.69300000000001</v>
      </c>
      <c r="T284" s="6">
        <v>3.5223</v>
      </c>
      <c r="U284" s="6">
        <v>12376.4</v>
      </c>
      <c r="V284">
        <f t="shared" si="8"/>
        <v>66.683189655172413</v>
      </c>
      <c r="W284">
        <f t="shared" si="9"/>
        <v>1.763962E-3</v>
      </c>
    </row>
    <row r="285" spans="1:23" x14ac:dyDescent="0.3">
      <c r="A285" s="6">
        <v>278</v>
      </c>
      <c r="B285" s="6">
        <v>4.6677999999999997E-3</v>
      </c>
      <c r="C285" s="6">
        <v>0.17067499999999999</v>
      </c>
      <c r="D285" s="6">
        <v>36.734999999999999</v>
      </c>
      <c r="E285" s="6">
        <v>36.564399999999999</v>
      </c>
      <c r="F285" s="6">
        <v>-6.9392499999999997E-4</v>
      </c>
      <c r="G285" s="6">
        <v>-1.1934999999999999E-2</v>
      </c>
      <c r="H285" s="6">
        <v>17.1873</v>
      </c>
      <c r="I285" s="6">
        <v>17.199200000000001</v>
      </c>
      <c r="J285" s="6">
        <v>-2.1344900000000002E-3</v>
      </c>
      <c r="K285" s="6">
        <v>-3.09018E-2</v>
      </c>
      <c r="L285" s="6">
        <v>14.4465</v>
      </c>
      <c r="M285" s="6">
        <v>14.477399999999999</v>
      </c>
      <c r="N285" s="6">
        <v>-1.9829600000000002E-3</v>
      </c>
      <c r="O285" s="6">
        <v>-2.7202799999999999E-2</v>
      </c>
      <c r="P285" s="6">
        <v>13.6911</v>
      </c>
      <c r="Q285" s="6">
        <v>13.718299999999999</v>
      </c>
      <c r="R285" s="6">
        <v>153.006</v>
      </c>
      <c r="S285" s="6">
        <v>153.006</v>
      </c>
      <c r="T285" s="6">
        <v>3.5310000000000001</v>
      </c>
      <c r="U285" s="6">
        <v>12406.9</v>
      </c>
      <c r="V285">
        <f t="shared" si="8"/>
        <v>66.847521551724142</v>
      </c>
      <c r="W285">
        <f t="shared" si="9"/>
        <v>1.6037916666666666E-3</v>
      </c>
    </row>
    <row r="286" spans="1:23" x14ac:dyDescent="0.3">
      <c r="A286" s="6">
        <v>279</v>
      </c>
      <c r="B286" s="6">
        <v>4.7440299999999998E-3</v>
      </c>
      <c r="C286" s="6">
        <v>0.17346200000000001</v>
      </c>
      <c r="D286" s="6">
        <v>36.7378</v>
      </c>
      <c r="E286" s="6">
        <v>36.564399999999999</v>
      </c>
      <c r="F286" s="6">
        <v>-7.2742300000000005E-4</v>
      </c>
      <c r="G286" s="6">
        <v>-1.2511100000000001E-2</v>
      </c>
      <c r="H286" s="6">
        <v>17.186699999999998</v>
      </c>
      <c r="I286" s="6">
        <v>17.199200000000001</v>
      </c>
      <c r="J286" s="6">
        <v>-2.1996400000000001E-3</v>
      </c>
      <c r="K286" s="6">
        <v>-3.1845100000000001E-2</v>
      </c>
      <c r="L286" s="6">
        <v>14.445499999999999</v>
      </c>
      <c r="M286" s="6">
        <v>14.477399999999999</v>
      </c>
      <c r="N286" s="6">
        <v>-2.1190900000000001E-3</v>
      </c>
      <c r="O286" s="6">
        <v>-2.90703E-2</v>
      </c>
      <c r="P286" s="6">
        <v>13.6892</v>
      </c>
      <c r="Q286" s="6">
        <v>13.718299999999999</v>
      </c>
      <c r="R286" s="6">
        <v>153.37799999999999</v>
      </c>
      <c r="S286" s="6">
        <v>153.37799999999999</v>
      </c>
      <c r="T286" s="6">
        <v>3.5426000000000002</v>
      </c>
      <c r="U286" s="6">
        <v>12447.6</v>
      </c>
      <c r="V286">
        <f t="shared" si="8"/>
        <v>67.066810344827587</v>
      </c>
      <c r="W286">
        <f t="shared" si="9"/>
        <v>1.6820510000000002E-3</v>
      </c>
    </row>
    <row r="287" spans="1:23" x14ac:dyDescent="0.3">
      <c r="A287" s="6">
        <v>280</v>
      </c>
      <c r="B287" s="6">
        <v>4.7229699999999999E-3</v>
      </c>
      <c r="C287" s="6">
        <v>0.17269200000000001</v>
      </c>
      <c r="D287" s="6">
        <v>36.737000000000002</v>
      </c>
      <c r="E287" s="6">
        <v>36.564399999999999</v>
      </c>
      <c r="F287" s="6">
        <v>-7.0080700000000001E-4</v>
      </c>
      <c r="G287" s="6">
        <v>-1.2053299999999999E-2</v>
      </c>
      <c r="H287" s="6">
        <v>17.187200000000001</v>
      </c>
      <c r="I287" s="6">
        <v>17.199200000000001</v>
      </c>
      <c r="J287" s="6">
        <v>-2.2506499999999999E-3</v>
      </c>
      <c r="K287" s="6">
        <v>-3.2583500000000001E-2</v>
      </c>
      <c r="L287" s="6">
        <v>14.444800000000001</v>
      </c>
      <c r="M287" s="6">
        <v>14.477399999999999</v>
      </c>
      <c r="N287" s="6">
        <v>-2.1123700000000001E-3</v>
      </c>
      <c r="O287" s="6">
        <v>-2.8978199999999999E-2</v>
      </c>
      <c r="P287" s="6">
        <v>13.689299999999999</v>
      </c>
      <c r="Q287" s="6">
        <v>13.718299999999999</v>
      </c>
      <c r="R287" s="6">
        <v>153.87899999999999</v>
      </c>
      <c r="S287" s="6">
        <v>153.87899999999999</v>
      </c>
      <c r="T287" s="6">
        <v>3.55</v>
      </c>
      <c r="U287" s="6">
        <v>12473.6</v>
      </c>
      <c r="V287">
        <f t="shared" si="8"/>
        <v>67.206896551724142</v>
      </c>
      <c r="W287">
        <f t="shared" si="9"/>
        <v>1.6879423333333334E-3</v>
      </c>
    </row>
    <row r="288" spans="1:23" x14ac:dyDescent="0.3">
      <c r="A288" s="6">
        <v>281</v>
      </c>
      <c r="B288" s="6">
        <v>4.7572999999999999E-3</v>
      </c>
      <c r="C288" s="6">
        <v>0.17394799999999999</v>
      </c>
      <c r="D288" s="6">
        <v>36.738300000000002</v>
      </c>
      <c r="E288" s="6">
        <v>36.564399999999999</v>
      </c>
      <c r="F288" s="6">
        <v>-5.4672900000000003E-4</v>
      </c>
      <c r="G288" s="6">
        <v>-9.4033199999999997E-3</v>
      </c>
      <c r="H288" s="6">
        <v>17.189800000000002</v>
      </c>
      <c r="I288" s="6">
        <v>17.199200000000001</v>
      </c>
      <c r="J288" s="6">
        <v>-2.0828399999999999E-3</v>
      </c>
      <c r="K288" s="6">
        <v>-3.01541E-2</v>
      </c>
      <c r="L288" s="6">
        <v>14.4472</v>
      </c>
      <c r="M288" s="6">
        <v>14.477399999999999</v>
      </c>
      <c r="N288" s="6">
        <v>-2.0383799999999998E-3</v>
      </c>
      <c r="O288" s="6">
        <v>-2.7963100000000001E-2</v>
      </c>
      <c r="P288" s="6">
        <v>13.690300000000001</v>
      </c>
      <c r="Q288" s="6">
        <v>13.718299999999999</v>
      </c>
      <c r="R288" s="6">
        <v>154.376</v>
      </c>
      <c r="S288" s="6">
        <v>154.376</v>
      </c>
      <c r="T288" s="6">
        <v>3.5722999999999998</v>
      </c>
      <c r="U288" s="6">
        <v>12551.5</v>
      </c>
      <c r="V288">
        <f t="shared" si="8"/>
        <v>67.626616379310349</v>
      </c>
      <c r="W288">
        <f t="shared" si="9"/>
        <v>1.5559829999999997E-3</v>
      </c>
    </row>
    <row r="289" spans="1:23" x14ac:dyDescent="0.3">
      <c r="A289" s="6">
        <v>282</v>
      </c>
      <c r="B289" s="6">
        <v>4.7374799999999996E-3</v>
      </c>
      <c r="C289" s="6">
        <v>0.17322299999999999</v>
      </c>
      <c r="D289" s="6">
        <v>36.7376</v>
      </c>
      <c r="E289" s="6">
        <v>36.564399999999999</v>
      </c>
      <c r="F289" s="6">
        <v>-6.4019399999999996E-4</v>
      </c>
      <c r="G289" s="6">
        <v>-1.1010900000000001E-2</v>
      </c>
      <c r="H289" s="6">
        <v>17.188199999999998</v>
      </c>
      <c r="I289" s="6">
        <v>17.199200000000001</v>
      </c>
      <c r="J289" s="6">
        <v>-2.1739400000000001E-3</v>
      </c>
      <c r="K289" s="6">
        <v>-3.1472899999999998E-2</v>
      </c>
      <c r="L289" s="6">
        <v>14.4459</v>
      </c>
      <c r="M289" s="6">
        <v>14.477399999999999</v>
      </c>
      <c r="N289" s="6">
        <v>-2.0889799999999998E-3</v>
      </c>
      <c r="O289" s="6">
        <v>-2.8657200000000001E-2</v>
      </c>
      <c r="P289" s="6">
        <v>13.6896</v>
      </c>
      <c r="Q289" s="6">
        <v>13.718299999999999</v>
      </c>
      <c r="R289" s="6">
        <v>154.566</v>
      </c>
      <c r="S289" s="6">
        <v>154.566</v>
      </c>
      <c r="T289" s="6">
        <v>3.5773999999999999</v>
      </c>
      <c r="U289" s="6">
        <v>12569.6</v>
      </c>
      <c r="V289">
        <f t="shared" si="8"/>
        <v>67.724137931034491</v>
      </c>
      <c r="W289">
        <f t="shared" si="9"/>
        <v>1.6343713333333333E-3</v>
      </c>
    </row>
    <row r="290" spans="1:23" x14ac:dyDescent="0.3">
      <c r="A290" s="6">
        <v>283</v>
      </c>
      <c r="B290" s="6">
        <v>4.7712199999999996E-3</v>
      </c>
      <c r="C290" s="6">
        <v>0.174457</v>
      </c>
      <c r="D290" s="6">
        <v>36.738799999999998</v>
      </c>
      <c r="E290" s="6">
        <v>36.564399999999999</v>
      </c>
      <c r="F290" s="6">
        <v>-7.6010900000000002E-4</v>
      </c>
      <c r="G290" s="6">
        <v>-1.30733E-2</v>
      </c>
      <c r="H290" s="6">
        <v>17.186199999999999</v>
      </c>
      <c r="I290" s="6">
        <v>17.199200000000001</v>
      </c>
      <c r="J290" s="6">
        <v>-2.2394799999999999E-3</v>
      </c>
      <c r="K290" s="6">
        <v>-3.2421800000000001E-2</v>
      </c>
      <c r="L290" s="6">
        <v>14.445</v>
      </c>
      <c r="M290" s="6">
        <v>14.477399999999999</v>
      </c>
      <c r="N290" s="6">
        <v>-2.12137E-3</v>
      </c>
      <c r="O290" s="6">
        <v>-2.9101499999999999E-2</v>
      </c>
      <c r="P290" s="6">
        <v>13.6892</v>
      </c>
      <c r="Q290" s="6">
        <v>13.718299999999999</v>
      </c>
      <c r="R290" s="6">
        <v>154.93899999999999</v>
      </c>
      <c r="S290" s="6">
        <v>154.93899999999999</v>
      </c>
      <c r="T290" s="6">
        <v>3.5832000000000002</v>
      </c>
      <c r="U290" s="6">
        <v>12590</v>
      </c>
      <c r="V290">
        <f t="shared" si="8"/>
        <v>67.834051724137936</v>
      </c>
      <c r="W290">
        <f t="shared" si="9"/>
        <v>1.7069863333333331E-3</v>
      </c>
    </row>
    <row r="291" spans="1:23" x14ac:dyDescent="0.3">
      <c r="A291" s="6">
        <v>284</v>
      </c>
      <c r="B291" s="6">
        <v>4.8192399999999998E-3</v>
      </c>
      <c r="C291" s="6">
        <v>0.17621200000000001</v>
      </c>
      <c r="D291" s="6">
        <v>36.740600000000001</v>
      </c>
      <c r="E291" s="6">
        <v>36.564399999999999</v>
      </c>
      <c r="F291" s="6">
        <v>-7.1231199999999999E-4</v>
      </c>
      <c r="G291" s="6">
        <v>-1.22512E-2</v>
      </c>
      <c r="H291" s="6">
        <v>17.187000000000001</v>
      </c>
      <c r="I291" s="6">
        <v>17.199200000000001</v>
      </c>
      <c r="J291" s="6">
        <v>-2.2473200000000001E-3</v>
      </c>
      <c r="K291" s="6">
        <v>-3.2535300000000003E-2</v>
      </c>
      <c r="L291" s="6">
        <v>14.444800000000001</v>
      </c>
      <c r="M291" s="6">
        <v>14.477399999999999</v>
      </c>
      <c r="N291" s="6">
        <v>-2.1624600000000002E-3</v>
      </c>
      <c r="O291" s="6">
        <v>-2.9665299999999999E-2</v>
      </c>
      <c r="P291" s="6">
        <v>13.688599999999999</v>
      </c>
      <c r="Q291" s="6">
        <v>13.718299999999999</v>
      </c>
      <c r="R291" s="6">
        <v>155.375</v>
      </c>
      <c r="S291" s="6">
        <v>155.375</v>
      </c>
      <c r="T291" s="6">
        <v>3.6032000000000002</v>
      </c>
      <c r="U291" s="6">
        <v>12660.1</v>
      </c>
      <c r="V291">
        <f t="shared" si="8"/>
        <v>68.211745689655174</v>
      </c>
      <c r="W291">
        <f t="shared" si="9"/>
        <v>1.7073640000000001E-3</v>
      </c>
    </row>
    <row r="292" spans="1:23" x14ac:dyDescent="0.3">
      <c r="A292" s="6">
        <v>285</v>
      </c>
      <c r="B292" s="6">
        <v>4.8051500000000002E-3</v>
      </c>
      <c r="C292" s="6">
        <v>0.17569699999999999</v>
      </c>
      <c r="D292" s="6">
        <v>36.740099999999998</v>
      </c>
      <c r="E292" s="6">
        <v>36.564399999999999</v>
      </c>
      <c r="F292" s="6">
        <v>-7.3434699999999999E-4</v>
      </c>
      <c r="G292" s="6">
        <v>-1.2630199999999999E-2</v>
      </c>
      <c r="H292" s="6">
        <v>17.186599999999999</v>
      </c>
      <c r="I292" s="6">
        <v>17.199200000000001</v>
      </c>
      <c r="J292" s="6">
        <v>-2.28152E-3</v>
      </c>
      <c r="K292" s="6">
        <v>-3.3030400000000001E-2</v>
      </c>
      <c r="L292" s="6">
        <v>14.4443</v>
      </c>
      <c r="M292" s="6">
        <v>14.477399999999999</v>
      </c>
      <c r="N292" s="6">
        <v>-2.13985E-3</v>
      </c>
      <c r="O292" s="6">
        <v>-2.9355099999999999E-2</v>
      </c>
      <c r="P292" s="6">
        <v>13.6889</v>
      </c>
      <c r="Q292" s="6">
        <v>13.718299999999999</v>
      </c>
      <c r="R292" s="6">
        <v>155.93799999999999</v>
      </c>
      <c r="S292" s="6">
        <v>155.93799999999999</v>
      </c>
      <c r="T292" s="6">
        <v>3.6171000000000002</v>
      </c>
      <c r="U292" s="6">
        <v>12708.7</v>
      </c>
      <c r="V292">
        <f t="shared" si="8"/>
        <v>68.473599137931046</v>
      </c>
      <c r="W292">
        <f t="shared" si="9"/>
        <v>1.7185723333333336E-3</v>
      </c>
    </row>
    <row r="293" spans="1:23" x14ac:dyDescent="0.3">
      <c r="A293" s="6">
        <v>286</v>
      </c>
      <c r="B293" s="6">
        <v>4.76385E-3</v>
      </c>
      <c r="C293" s="6">
        <v>0.17418700000000001</v>
      </c>
      <c r="D293" s="6">
        <v>36.738500000000002</v>
      </c>
      <c r="E293" s="6">
        <v>36.564399999999999</v>
      </c>
      <c r="F293" s="6">
        <v>-7.8751400000000001E-4</v>
      </c>
      <c r="G293" s="6">
        <v>-1.35446E-2</v>
      </c>
      <c r="H293" s="6">
        <v>17.185700000000001</v>
      </c>
      <c r="I293" s="6">
        <v>17.199200000000001</v>
      </c>
      <c r="J293" s="6">
        <v>-2.3667599999999999E-3</v>
      </c>
      <c r="K293" s="6">
        <v>-3.4264500000000003E-2</v>
      </c>
      <c r="L293" s="6">
        <v>14.443099999999999</v>
      </c>
      <c r="M293" s="6">
        <v>14.477399999999999</v>
      </c>
      <c r="N293" s="6">
        <v>-2.1710399999999999E-3</v>
      </c>
      <c r="O293" s="6">
        <v>-2.9783E-2</v>
      </c>
      <c r="P293" s="6">
        <v>13.688499999999999</v>
      </c>
      <c r="Q293" s="6">
        <v>13.718299999999999</v>
      </c>
      <c r="R293" s="6">
        <v>156.49799999999999</v>
      </c>
      <c r="S293" s="6">
        <v>156.49799999999999</v>
      </c>
      <c r="T293" s="6">
        <v>3.6328999999999998</v>
      </c>
      <c r="U293" s="6">
        <v>12764</v>
      </c>
      <c r="V293">
        <f t="shared" si="8"/>
        <v>68.771551724137936</v>
      </c>
      <c r="W293">
        <f t="shared" si="9"/>
        <v>1.7751046666666665E-3</v>
      </c>
    </row>
    <row r="294" spans="1:23" x14ac:dyDescent="0.3">
      <c r="A294" s="6">
        <v>287</v>
      </c>
      <c r="B294" s="6">
        <v>4.7871900000000002E-3</v>
      </c>
      <c r="C294" s="6">
        <v>0.175041</v>
      </c>
      <c r="D294" s="6">
        <v>36.739400000000003</v>
      </c>
      <c r="E294" s="6">
        <v>36.564399999999999</v>
      </c>
      <c r="F294" s="6">
        <v>-8.7588100000000001E-4</v>
      </c>
      <c r="G294" s="6">
        <v>-1.50645E-2</v>
      </c>
      <c r="H294" s="6">
        <v>17.184200000000001</v>
      </c>
      <c r="I294" s="6">
        <v>17.199200000000001</v>
      </c>
      <c r="J294" s="6">
        <v>-2.3620199999999998E-3</v>
      </c>
      <c r="K294" s="6">
        <v>-3.4195799999999998E-2</v>
      </c>
      <c r="L294" s="6">
        <v>14.443199999999999</v>
      </c>
      <c r="M294" s="6">
        <v>14.477399999999999</v>
      </c>
      <c r="N294" s="6">
        <v>-2.2670199999999998E-3</v>
      </c>
      <c r="O294" s="6">
        <v>-3.1099700000000001E-2</v>
      </c>
      <c r="P294" s="6">
        <v>13.687200000000001</v>
      </c>
      <c r="Q294" s="6">
        <v>13.718299999999999</v>
      </c>
      <c r="R294" s="6">
        <v>156.81100000000001</v>
      </c>
      <c r="S294" s="6">
        <v>156.81100000000001</v>
      </c>
      <c r="T294" s="6">
        <v>3.6454</v>
      </c>
      <c r="U294" s="6">
        <v>12808.1</v>
      </c>
      <c r="V294">
        <f t="shared" si="8"/>
        <v>69.009159482758619</v>
      </c>
      <c r="W294">
        <f t="shared" si="9"/>
        <v>1.8349736666666665E-3</v>
      </c>
    </row>
    <row r="295" spans="1:23" x14ac:dyDescent="0.3">
      <c r="A295" s="6">
        <v>288</v>
      </c>
      <c r="B295" s="6">
        <v>4.81717E-3</v>
      </c>
      <c r="C295" s="6">
        <v>0.17613699999999999</v>
      </c>
      <c r="D295" s="6">
        <v>36.740499999999997</v>
      </c>
      <c r="E295" s="6">
        <v>36.564399999999999</v>
      </c>
      <c r="F295" s="6">
        <v>-8.7401299999999998E-4</v>
      </c>
      <c r="G295" s="6">
        <v>-1.50324E-2</v>
      </c>
      <c r="H295" s="6">
        <v>17.184200000000001</v>
      </c>
      <c r="I295" s="6">
        <v>17.199200000000001</v>
      </c>
      <c r="J295" s="6">
        <v>-2.4708999999999998E-3</v>
      </c>
      <c r="K295" s="6">
        <v>-3.5772100000000001E-2</v>
      </c>
      <c r="L295" s="6">
        <v>14.441599999999999</v>
      </c>
      <c r="M295" s="6">
        <v>14.477399999999999</v>
      </c>
      <c r="N295" s="6">
        <v>-2.23755E-3</v>
      </c>
      <c r="O295" s="6">
        <v>-3.0695299999999998E-2</v>
      </c>
      <c r="P295" s="6">
        <v>13.6876</v>
      </c>
      <c r="Q295" s="6">
        <v>13.718299999999999</v>
      </c>
      <c r="R295" s="6">
        <v>157.18600000000001</v>
      </c>
      <c r="S295" s="6">
        <v>157.18600000000001</v>
      </c>
      <c r="T295" s="6">
        <v>3.6596000000000002</v>
      </c>
      <c r="U295" s="6">
        <v>12857.8</v>
      </c>
      <c r="V295">
        <f t="shared" si="8"/>
        <v>69.276939655172413</v>
      </c>
      <c r="W295">
        <f t="shared" si="9"/>
        <v>1.8608209999999997E-3</v>
      </c>
    </row>
    <row r="296" spans="1:23" x14ac:dyDescent="0.3">
      <c r="A296" s="6">
        <v>289</v>
      </c>
      <c r="B296" s="6">
        <v>4.8406200000000003E-3</v>
      </c>
      <c r="C296" s="6">
        <v>0.17699400000000001</v>
      </c>
      <c r="D296" s="6">
        <v>36.741399999999999</v>
      </c>
      <c r="E296" s="6">
        <v>36.564399999999999</v>
      </c>
      <c r="F296" s="6">
        <v>-8.58328E-4</v>
      </c>
      <c r="G296" s="6">
        <v>-1.4762600000000001E-2</v>
      </c>
      <c r="H296" s="6">
        <v>17.1845</v>
      </c>
      <c r="I296" s="6">
        <v>17.199200000000001</v>
      </c>
      <c r="J296" s="6">
        <v>-2.3875400000000001E-3</v>
      </c>
      <c r="K296" s="6">
        <v>-3.45653E-2</v>
      </c>
      <c r="L296" s="6">
        <v>14.4428</v>
      </c>
      <c r="M296" s="6">
        <v>14.477399999999999</v>
      </c>
      <c r="N296" s="6">
        <v>-2.2265000000000002E-3</v>
      </c>
      <c r="O296" s="6">
        <v>-3.0543799999999999E-2</v>
      </c>
      <c r="P296" s="6">
        <v>13.6877</v>
      </c>
      <c r="Q296" s="6">
        <v>13.718299999999999</v>
      </c>
      <c r="R296" s="6">
        <v>157.87100000000001</v>
      </c>
      <c r="S296" s="6">
        <v>157.87100000000001</v>
      </c>
      <c r="T296" s="6">
        <v>3.6753999999999998</v>
      </c>
      <c r="U296" s="6">
        <v>12913.2</v>
      </c>
      <c r="V296">
        <f t="shared" si="8"/>
        <v>69.575431034482762</v>
      </c>
      <c r="W296">
        <f t="shared" si="9"/>
        <v>1.8241226666666666E-3</v>
      </c>
    </row>
    <row r="297" spans="1:23" x14ac:dyDescent="0.3">
      <c r="A297" s="6">
        <v>290</v>
      </c>
      <c r="B297" s="6">
        <v>4.8995999999999996E-3</v>
      </c>
      <c r="C297" s="6">
        <v>0.179151</v>
      </c>
      <c r="D297" s="6">
        <v>36.743499999999997</v>
      </c>
      <c r="E297" s="6">
        <v>36.564399999999999</v>
      </c>
      <c r="F297" s="6">
        <v>-8.5551900000000001E-4</v>
      </c>
      <c r="G297" s="6">
        <v>-1.47143E-2</v>
      </c>
      <c r="H297" s="6">
        <v>17.1845</v>
      </c>
      <c r="I297" s="6">
        <v>17.199200000000001</v>
      </c>
      <c r="J297" s="6">
        <v>-2.2954799999999999E-3</v>
      </c>
      <c r="K297" s="6">
        <v>-3.3232600000000001E-2</v>
      </c>
      <c r="L297" s="6">
        <v>14.444100000000001</v>
      </c>
      <c r="M297" s="6">
        <v>14.477399999999999</v>
      </c>
      <c r="N297" s="6">
        <v>-2.1965700000000001E-3</v>
      </c>
      <c r="O297" s="6">
        <v>-3.0133199999999999E-2</v>
      </c>
      <c r="P297" s="6">
        <v>13.6881</v>
      </c>
      <c r="Q297" s="6">
        <v>13.718299999999999</v>
      </c>
      <c r="R297" s="6">
        <v>158.245</v>
      </c>
      <c r="S297" s="6">
        <v>158.245</v>
      </c>
      <c r="T297" s="6">
        <v>3.6888999999999998</v>
      </c>
      <c r="U297" s="6">
        <v>12960.7</v>
      </c>
      <c r="V297">
        <f t="shared" si="8"/>
        <v>69.831357758620697</v>
      </c>
      <c r="W297">
        <f t="shared" si="9"/>
        <v>1.7825230000000001E-3</v>
      </c>
    </row>
    <row r="298" spans="1:23" x14ac:dyDescent="0.3">
      <c r="A298" s="6">
        <v>291</v>
      </c>
      <c r="B298" s="6">
        <v>4.89691E-3</v>
      </c>
      <c r="C298" s="6">
        <v>0.17905199999999999</v>
      </c>
      <c r="D298" s="6">
        <v>36.743400000000001</v>
      </c>
      <c r="E298" s="6">
        <v>36.564399999999999</v>
      </c>
      <c r="F298" s="6">
        <v>-7.77157E-4</v>
      </c>
      <c r="G298" s="6">
        <v>-1.33665E-2</v>
      </c>
      <c r="H298" s="6">
        <v>17.1859</v>
      </c>
      <c r="I298" s="6">
        <v>17.199200000000001</v>
      </c>
      <c r="J298" s="6">
        <v>-2.3681599999999998E-3</v>
      </c>
      <c r="K298" s="6">
        <v>-3.4284799999999997E-2</v>
      </c>
      <c r="L298" s="6">
        <v>14.443099999999999</v>
      </c>
      <c r="M298" s="6">
        <v>14.477399999999999</v>
      </c>
      <c r="N298" s="6">
        <v>-2.2489900000000002E-3</v>
      </c>
      <c r="O298" s="6">
        <v>-3.08522E-2</v>
      </c>
      <c r="P298" s="6">
        <v>13.6874</v>
      </c>
      <c r="Q298" s="6">
        <v>13.718299999999999</v>
      </c>
      <c r="R298" s="6">
        <v>158.68199999999999</v>
      </c>
      <c r="S298" s="6">
        <v>158.68199999999999</v>
      </c>
      <c r="T298" s="6">
        <v>3.6966999999999999</v>
      </c>
      <c r="U298" s="6">
        <v>12987.8</v>
      </c>
      <c r="V298">
        <f t="shared" si="8"/>
        <v>69.977370689655174</v>
      </c>
      <c r="W298">
        <f t="shared" si="9"/>
        <v>1.7981023333333334E-3</v>
      </c>
    </row>
    <row r="299" spans="1:23" x14ac:dyDescent="0.3">
      <c r="A299" s="6">
        <v>292</v>
      </c>
      <c r="B299" s="6">
        <v>4.8553900000000002E-3</v>
      </c>
      <c r="C299" s="6">
        <v>0.177534</v>
      </c>
      <c r="D299" s="6">
        <v>36.741900000000001</v>
      </c>
      <c r="E299" s="6">
        <v>36.564399999999999</v>
      </c>
      <c r="F299" s="6">
        <v>-8.8921699999999998E-4</v>
      </c>
      <c r="G299" s="6">
        <v>-1.5293899999999999E-2</v>
      </c>
      <c r="H299" s="6">
        <v>17.183900000000001</v>
      </c>
      <c r="I299" s="6">
        <v>17.199200000000001</v>
      </c>
      <c r="J299" s="6">
        <v>-2.3986599999999999E-3</v>
      </c>
      <c r="K299" s="6">
        <v>-3.4726300000000002E-2</v>
      </c>
      <c r="L299" s="6">
        <v>14.4427</v>
      </c>
      <c r="M299" s="6">
        <v>14.477399999999999</v>
      </c>
      <c r="N299" s="6">
        <v>-2.2196899999999999E-3</v>
      </c>
      <c r="O299" s="6">
        <v>-3.0450399999999999E-2</v>
      </c>
      <c r="P299" s="6">
        <v>13.687799999999999</v>
      </c>
      <c r="Q299" s="6">
        <v>13.718299999999999</v>
      </c>
      <c r="R299" s="6">
        <v>159.12</v>
      </c>
      <c r="S299" s="6">
        <v>159.12</v>
      </c>
      <c r="T299" s="6">
        <v>3.7105000000000001</v>
      </c>
      <c r="U299" s="6">
        <v>13036.4</v>
      </c>
      <c r="V299">
        <f t="shared" si="8"/>
        <v>70.239224137931032</v>
      </c>
      <c r="W299">
        <f t="shared" si="9"/>
        <v>1.8358556666666665E-3</v>
      </c>
    </row>
    <row r="300" spans="1:23" x14ac:dyDescent="0.3">
      <c r="A300" s="6">
        <v>293</v>
      </c>
      <c r="B300" s="6">
        <v>4.9242399999999999E-3</v>
      </c>
      <c r="C300" s="6">
        <v>0.18005199999999999</v>
      </c>
      <c r="D300" s="6">
        <v>36.744399999999999</v>
      </c>
      <c r="E300" s="6">
        <v>36.564399999999999</v>
      </c>
      <c r="F300" s="6">
        <v>-9.3287800000000005E-4</v>
      </c>
      <c r="G300" s="6">
        <v>-1.6044800000000001E-2</v>
      </c>
      <c r="H300" s="6">
        <v>17.183199999999999</v>
      </c>
      <c r="I300" s="6">
        <v>17.199200000000001</v>
      </c>
      <c r="J300" s="6">
        <v>-2.5462699999999998E-3</v>
      </c>
      <c r="K300" s="6">
        <v>-3.6863300000000002E-2</v>
      </c>
      <c r="L300" s="6">
        <v>14.4405</v>
      </c>
      <c r="M300" s="6">
        <v>14.477399999999999</v>
      </c>
      <c r="N300" s="6">
        <v>-2.3644600000000001E-3</v>
      </c>
      <c r="O300" s="6">
        <v>-3.2436300000000001E-2</v>
      </c>
      <c r="P300" s="6">
        <v>13.6858</v>
      </c>
      <c r="Q300" s="6">
        <v>13.718299999999999</v>
      </c>
      <c r="R300" s="6">
        <v>159.62</v>
      </c>
      <c r="S300" s="6">
        <v>159.62</v>
      </c>
      <c r="T300" s="6">
        <v>3.7286000000000001</v>
      </c>
      <c r="U300" s="6">
        <v>13099.7</v>
      </c>
      <c r="V300">
        <f t="shared" si="8"/>
        <v>70.580280172413794</v>
      </c>
      <c r="W300">
        <f t="shared" si="9"/>
        <v>1.9478693333333335E-3</v>
      </c>
    </row>
    <row r="301" spans="1:23" x14ac:dyDescent="0.3">
      <c r="A301" s="6">
        <v>294</v>
      </c>
      <c r="B301" s="6">
        <v>4.9204899999999996E-3</v>
      </c>
      <c r="C301" s="6">
        <v>0.17991499999999999</v>
      </c>
      <c r="D301" s="6">
        <v>36.744300000000003</v>
      </c>
      <c r="E301" s="6">
        <v>36.564399999999999</v>
      </c>
      <c r="F301" s="6">
        <v>-8.1816099999999998E-4</v>
      </c>
      <c r="G301" s="6">
        <v>-1.4071800000000001E-2</v>
      </c>
      <c r="H301" s="6">
        <v>17.185199999999998</v>
      </c>
      <c r="I301" s="6">
        <v>17.199200000000001</v>
      </c>
      <c r="J301" s="6">
        <v>-2.4243899999999998E-3</v>
      </c>
      <c r="K301" s="6">
        <v>-3.5098799999999999E-2</v>
      </c>
      <c r="L301" s="6">
        <v>14.442299999999999</v>
      </c>
      <c r="M301" s="6">
        <v>14.477399999999999</v>
      </c>
      <c r="N301" s="6">
        <v>-2.36915E-3</v>
      </c>
      <c r="O301" s="6">
        <v>-3.25007E-2</v>
      </c>
      <c r="P301" s="6">
        <v>13.6858</v>
      </c>
      <c r="Q301" s="6">
        <v>13.718299999999999</v>
      </c>
      <c r="R301" s="6">
        <v>159.99199999999999</v>
      </c>
      <c r="S301" s="6">
        <v>159.99199999999999</v>
      </c>
      <c r="T301" s="6">
        <v>3.7399</v>
      </c>
      <c r="U301" s="6">
        <v>13139.3</v>
      </c>
      <c r="V301">
        <f t="shared" si="8"/>
        <v>70.793642241379303</v>
      </c>
      <c r="W301">
        <f t="shared" si="9"/>
        <v>1.8705670000000001E-3</v>
      </c>
    </row>
    <row r="302" spans="1:23" x14ac:dyDescent="0.3">
      <c r="A302" s="6">
        <v>295</v>
      </c>
      <c r="B302" s="6">
        <v>4.9214200000000001E-3</v>
      </c>
      <c r="C302" s="6">
        <v>0.179949</v>
      </c>
      <c r="D302" s="6">
        <v>36.744300000000003</v>
      </c>
      <c r="E302" s="6">
        <v>36.564399999999999</v>
      </c>
      <c r="F302" s="6">
        <v>-9.2529500000000002E-4</v>
      </c>
      <c r="G302" s="6">
        <v>-1.5914399999999999E-2</v>
      </c>
      <c r="H302" s="6">
        <v>17.183299999999999</v>
      </c>
      <c r="I302" s="6">
        <v>17.199200000000001</v>
      </c>
      <c r="J302" s="6">
        <v>-2.3974700000000001E-3</v>
      </c>
      <c r="K302" s="6">
        <v>-3.47091E-2</v>
      </c>
      <c r="L302" s="6">
        <v>14.4427</v>
      </c>
      <c r="M302" s="6">
        <v>14.477399999999999</v>
      </c>
      <c r="N302" s="6">
        <v>-2.3835900000000001E-3</v>
      </c>
      <c r="O302" s="6">
        <v>-3.26988E-2</v>
      </c>
      <c r="P302" s="6">
        <v>13.685600000000001</v>
      </c>
      <c r="Q302" s="6">
        <v>13.718299999999999</v>
      </c>
      <c r="R302" s="6">
        <v>160.179</v>
      </c>
      <c r="S302" s="6">
        <v>160.179</v>
      </c>
      <c r="T302" s="6">
        <v>3.7488999999999999</v>
      </c>
      <c r="U302" s="6">
        <v>13170.9</v>
      </c>
      <c r="V302">
        <f t="shared" si="8"/>
        <v>70.963900862068968</v>
      </c>
      <c r="W302">
        <f t="shared" si="9"/>
        <v>1.9021183333333333E-3</v>
      </c>
    </row>
    <row r="303" spans="1:23" x14ac:dyDescent="0.3">
      <c r="A303" s="6">
        <v>296</v>
      </c>
      <c r="B303" s="6">
        <v>4.9666099999999998E-3</v>
      </c>
      <c r="C303" s="6">
        <v>0.18160100000000001</v>
      </c>
      <c r="D303" s="6">
        <v>36.746000000000002</v>
      </c>
      <c r="E303" s="6">
        <v>36.564399999999999</v>
      </c>
      <c r="F303" s="6">
        <v>-8.0519599999999999E-4</v>
      </c>
      <c r="G303" s="6">
        <v>-1.38488E-2</v>
      </c>
      <c r="H303" s="6">
        <v>17.185400000000001</v>
      </c>
      <c r="I303" s="6">
        <v>17.199200000000001</v>
      </c>
      <c r="J303" s="6">
        <v>-2.3512699999999999E-3</v>
      </c>
      <c r="K303" s="6">
        <v>-3.40402E-2</v>
      </c>
      <c r="L303" s="6">
        <v>14.443300000000001</v>
      </c>
      <c r="M303" s="6">
        <v>14.477399999999999</v>
      </c>
      <c r="N303" s="6">
        <v>-2.2734500000000002E-3</v>
      </c>
      <c r="O303" s="6">
        <v>-3.1187800000000002E-2</v>
      </c>
      <c r="P303" s="6">
        <v>13.687099999999999</v>
      </c>
      <c r="Q303" s="6">
        <v>13.718299999999999</v>
      </c>
      <c r="R303" s="6">
        <v>160.80500000000001</v>
      </c>
      <c r="S303" s="6">
        <v>160.80600000000001</v>
      </c>
      <c r="T303" s="6">
        <v>3.7643</v>
      </c>
      <c r="U303" s="6">
        <v>13225.2</v>
      </c>
      <c r="V303">
        <f t="shared" si="8"/>
        <v>71.256465517241381</v>
      </c>
      <c r="W303">
        <f t="shared" si="9"/>
        <v>1.809972E-3</v>
      </c>
    </row>
    <row r="304" spans="1:23" x14ac:dyDescent="0.3">
      <c r="A304" s="6">
        <v>297</v>
      </c>
      <c r="B304" s="6">
        <v>4.9129300000000002E-3</v>
      </c>
      <c r="C304" s="6">
        <v>0.17963799999999999</v>
      </c>
      <c r="D304" s="6">
        <v>36.744</v>
      </c>
      <c r="E304" s="6">
        <v>36.564399999999999</v>
      </c>
      <c r="F304" s="6">
        <v>-8.0323700000000005E-4</v>
      </c>
      <c r="G304" s="6">
        <v>-1.38151E-2</v>
      </c>
      <c r="H304" s="6">
        <v>17.185400000000001</v>
      </c>
      <c r="I304" s="6">
        <v>17.199200000000001</v>
      </c>
      <c r="J304" s="6">
        <v>-2.39193E-3</v>
      </c>
      <c r="K304" s="6">
        <v>-3.4628800000000001E-2</v>
      </c>
      <c r="L304" s="6">
        <v>14.4427</v>
      </c>
      <c r="M304" s="6">
        <v>14.477399999999999</v>
      </c>
      <c r="N304" s="6">
        <v>-2.2536000000000001E-3</v>
      </c>
      <c r="O304" s="6">
        <v>-3.0915499999999999E-2</v>
      </c>
      <c r="P304" s="6">
        <v>13.6874</v>
      </c>
      <c r="Q304" s="6">
        <v>13.718299999999999</v>
      </c>
      <c r="R304" s="6">
        <v>161.18</v>
      </c>
      <c r="S304" s="6">
        <v>161.18</v>
      </c>
      <c r="T304" s="6">
        <v>3.7679</v>
      </c>
      <c r="U304" s="6">
        <v>13237.6</v>
      </c>
      <c r="V304">
        <f t="shared" si="8"/>
        <v>71.323275862068968</v>
      </c>
      <c r="W304">
        <f t="shared" si="9"/>
        <v>1.8162556666666667E-3</v>
      </c>
    </row>
    <row r="305" spans="1:23" x14ac:dyDescent="0.3">
      <c r="A305" s="6">
        <v>298</v>
      </c>
      <c r="B305" s="6">
        <v>4.9783600000000003E-3</v>
      </c>
      <c r="C305" s="6">
        <v>0.182031</v>
      </c>
      <c r="D305" s="6">
        <v>36.746400000000001</v>
      </c>
      <c r="E305" s="6">
        <v>36.564399999999999</v>
      </c>
      <c r="F305" s="6">
        <v>-9.1431399999999995E-4</v>
      </c>
      <c r="G305" s="6">
        <v>-1.57255E-2</v>
      </c>
      <c r="H305" s="6">
        <v>17.183499999999999</v>
      </c>
      <c r="I305" s="6">
        <v>17.199200000000001</v>
      </c>
      <c r="J305" s="6">
        <v>-2.4964399999999999E-3</v>
      </c>
      <c r="K305" s="6">
        <v>-3.6141899999999998E-2</v>
      </c>
      <c r="L305" s="6">
        <v>14.4412</v>
      </c>
      <c r="M305" s="6">
        <v>14.477399999999999</v>
      </c>
      <c r="N305" s="6">
        <v>-2.3475100000000001E-3</v>
      </c>
      <c r="O305" s="6">
        <v>-3.2203799999999998E-2</v>
      </c>
      <c r="P305" s="6">
        <v>13.6861</v>
      </c>
      <c r="Q305" s="6">
        <v>13.718299999999999</v>
      </c>
      <c r="R305" s="6">
        <v>161.68</v>
      </c>
      <c r="S305" s="6">
        <v>161.68</v>
      </c>
      <c r="T305" s="6">
        <v>3.7885</v>
      </c>
      <c r="U305" s="6">
        <v>13310</v>
      </c>
      <c r="V305">
        <f t="shared" si="8"/>
        <v>71.713362068965523</v>
      </c>
      <c r="W305">
        <f t="shared" si="9"/>
        <v>1.9194213333333333E-3</v>
      </c>
    </row>
    <row r="306" spans="1:23" x14ac:dyDescent="0.3">
      <c r="A306" s="6">
        <v>299</v>
      </c>
      <c r="B306" s="6">
        <v>4.9652400000000001E-3</v>
      </c>
      <c r="C306" s="6">
        <v>0.18155099999999999</v>
      </c>
      <c r="D306" s="6">
        <v>36.745899999999999</v>
      </c>
      <c r="E306" s="6">
        <v>36.564399999999999</v>
      </c>
      <c r="F306" s="6">
        <v>-7.9666199999999996E-4</v>
      </c>
      <c r="G306" s="6">
        <v>-1.3702000000000001E-2</v>
      </c>
      <c r="H306" s="6">
        <v>17.185500000000001</v>
      </c>
      <c r="I306" s="6">
        <v>17.199200000000001</v>
      </c>
      <c r="J306" s="6">
        <v>-2.3999199999999998E-3</v>
      </c>
      <c r="K306" s="6">
        <v>-3.47446E-2</v>
      </c>
      <c r="L306" s="6">
        <v>14.442600000000001</v>
      </c>
      <c r="M306" s="6">
        <v>14.477399999999999</v>
      </c>
      <c r="N306" s="6">
        <v>-2.2697199999999998E-3</v>
      </c>
      <c r="O306" s="6">
        <v>-3.11366E-2</v>
      </c>
      <c r="P306" s="6">
        <v>13.687099999999999</v>
      </c>
      <c r="Q306" s="6">
        <v>13.718299999999999</v>
      </c>
      <c r="R306" s="6">
        <v>162.05199999999999</v>
      </c>
      <c r="S306" s="6">
        <v>162.05199999999999</v>
      </c>
      <c r="T306" s="6">
        <v>3.8033000000000001</v>
      </c>
      <c r="U306" s="6">
        <v>13361.9</v>
      </c>
      <c r="V306">
        <f t="shared" si="8"/>
        <v>71.992995689655174</v>
      </c>
      <c r="W306">
        <f t="shared" si="9"/>
        <v>1.8221006666666664E-3</v>
      </c>
    </row>
    <row r="307" spans="1:23" x14ac:dyDescent="0.3">
      <c r="A307" s="6">
        <v>300</v>
      </c>
      <c r="B307" s="6">
        <v>4.9488199999999996E-3</v>
      </c>
      <c r="C307" s="6">
        <v>0.18095</v>
      </c>
      <c r="D307" s="6">
        <v>36.7453</v>
      </c>
      <c r="E307" s="6">
        <v>36.564399999999999</v>
      </c>
      <c r="F307" s="6">
        <v>-9.3178200000000003E-4</v>
      </c>
      <c r="G307" s="6">
        <v>-1.6025899999999999E-2</v>
      </c>
      <c r="H307" s="6">
        <v>17.183199999999999</v>
      </c>
      <c r="I307" s="6">
        <v>17.199200000000001</v>
      </c>
      <c r="J307" s="6">
        <v>-2.5362200000000001E-3</v>
      </c>
      <c r="K307" s="6">
        <v>-3.6717699999999999E-2</v>
      </c>
      <c r="L307" s="6">
        <v>14.4407</v>
      </c>
      <c r="M307" s="6">
        <v>14.477399999999999</v>
      </c>
      <c r="N307" s="6">
        <v>-2.41734E-3</v>
      </c>
      <c r="O307" s="6">
        <v>-3.3161700000000002E-2</v>
      </c>
      <c r="P307" s="6">
        <v>13.6851</v>
      </c>
      <c r="Q307" s="6">
        <v>13.718299999999999</v>
      </c>
      <c r="R307" s="6">
        <v>162.55000000000001</v>
      </c>
      <c r="S307" s="6">
        <v>162.55099999999999</v>
      </c>
      <c r="T307" s="6">
        <v>3.8155999999999999</v>
      </c>
      <c r="U307" s="6">
        <v>13404.9</v>
      </c>
      <c r="V307">
        <f t="shared" si="8"/>
        <v>72.224676724137936</v>
      </c>
      <c r="W307">
        <f t="shared" si="9"/>
        <v>1.9617806666666665E-3</v>
      </c>
    </row>
    <row r="308" spans="1:23" x14ac:dyDescent="0.3">
      <c r="A308" s="6">
        <v>301</v>
      </c>
      <c r="B308" s="6">
        <v>4.9918799999999998E-3</v>
      </c>
      <c r="C308" s="6">
        <v>0.18252499999999999</v>
      </c>
      <c r="D308" s="6">
        <v>36.746899999999997</v>
      </c>
      <c r="E308" s="6">
        <v>36.564399999999999</v>
      </c>
      <c r="F308" s="6">
        <v>-8.8901599999999996E-4</v>
      </c>
      <c r="G308" s="6">
        <v>-1.5290400000000001E-2</v>
      </c>
      <c r="H308" s="6">
        <v>17.184000000000001</v>
      </c>
      <c r="I308" s="6">
        <v>17.199200000000001</v>
      </c>
      <c r="J308" s="6">
        <v>-2.5157000000000001E-3</v>
      </c>
      <c r="K308" s="6">
        <v>-3.6420800000000003E-2</v>
      </c>
      <c r="L308" s="6">
        <v>14.441000000000001</v>
      </c>
      <c r="M308" s="6">
        <v>14.477399999999999</v>
      </c>
      <c r="N308" s="6">
        <v>-2.4163000000000001E-3</v>
      </c>
      <c r="O308" s="6">
        <v>-3.3147500000000003E-2</v>
      </c>
      <c r="P308" s="6">
        <v>13.6851</v>
      </c>
      <c r="Q308" s="6">
        <v>13.718299999999999</v>
      </c>
      <c r="R308" s="6">
        <v>162.928</v>
      </c>
      <c r="S308" s="6">
        <v>162.928</v>
      </c>
      <c r="T308" s="6">
        <v>3.8319999999999999</v>
      </c>
      <c r="U308" s="6">
        <v>13462.5</v>
      </c>
      <c r="V308">
        <f t="shared" si="8"/>
        <v>72.535021551724142</v>
      </c>
      <c r="W308">
        <f t="shared" si="9"/>
        <v>1.9403386666666668E-3</v>
      </c>
    </row>
    <row r="309" spans="1:23" x14ac:dyDescent="0.3">
      <c r="A309" s="6">
        <v>302</v>
      </c>
      <c r="B309" s="6">
        <v>5.0481600000000003E-3</v>
      </c>
      <c r="C309" s="6">
        <v>0.184583</v>
      </c>
      <c r="D309" s="6">
        <v>36.748899999999999</v>
      </c>
      <c r="E309" s="6">
        <v>36.564399999999999</v>
      </c>
      <c r="F309" s="6">
        <v>-8.6962300000000003E-4</v>
      </c>
      <c r="G309" s="6">
        <v>-1.49569E-2</v>
      </c>
      <c r="H309" s="6">
        <v>17.1843</v>
      </c>
      <c r="I309" s="6">
        <v>17.199200000000001</v>
      </c>
      <c r="J309" s="6">
        <v>-2.4964000000000002E-3</v>
      </c>
      <c r="K309" s="6">
        <v>-3.6141300000000001E-2</v>
      </c>
      <c r="L309" s="6">
        <v>14.4412</v>
      </c>
      <c r="M309" s="6">
        <v>14.477399999999999</v>
      </c>
      <c r="N309" s="6">
        <v>-2.3146600000000001E-3</v>
      </c>
      <c r="O309" s="6">
        <v>-3.1753200000000002E-2</v>
      </c>
      <c r="P309" s="6">
        <v>13.686500000000001</v>
      </c>
      <c r="Q309" s="6">
        <v>13.718299999999999</v>
      </c>
      <c r="R309" s="6">
        <v>163.42500000000001</v>
      </c>
      <c r="S309" s="6">
        <v>163.42599999999999</v>
      </c>
      <c r="T309" s="6">
        <v>3.8422999999999998</v>
      </c>
      <c r="U309" s="6">
        <v>13498.7</v>
      </c>
      <c r="V309">
        <f t="shared" si="8"/>
        <v>72.730064655172427</v>
      </c>
      <c r="W309">
        <f t="shared" si="9"/>
        <v>1.8935610000000002E-3</v>
      </c>
    </row>
    <row r="310" spans="1:23" x14ac:dyDescent="0.3">
      <c r="A310" s="6">
        <v>303</v>
      </c>
      <c r="B310" s="6">
        <v>5.03492E-3</v>
      </c>
      <c r="C310" s="6">
        <v>0.18409900000000001</v>
      </c>
      <c r="D310" s="6">
        <v>36.7485</v>
      </c>
      <c r="E310" s="6">
        <v>36.564399999999999</v>
      </c>
      <c r="F310" s="6">
        <v>-8.1590199999999997E-4</v>
      </c>
      <c r="G310" s="6">
        <v>-1.4032899999999999E-2</v>
      </c>
      <c r="H310" s="6">
        <v>17.185199999999998</v>
      </c>
      <c r="I310" s="6">
        <v>17.199200000000001</v>
      </c>
      <c r="J310" s="6">
        <v>-2.4183299999999998E-3</v>
      </c>
      <c r="K310" s="6">
        <v>-3.5011100000000003E-2</v>
      </c>
      <c r="L310" s="6">
        <v>14.442399999999999</v>
      </c>
      <c r="M310" s="6">
        <v>14.477399999999999</v>
      </c>
      <c r="N310" s="6">
        <v>-2.3412799999999998E-3</v>
      </c>
      <c r="O310" s="6">
        <v>-3.2118300000000002E-2</v>
      </c>
      <c r="P310" s="6">
        <v>13.686199999999999</v>
      </c>
      <c r="Q310" s="6">
        <v>13.718299999999999</v>
      </c>
      <c r="R310" s="6">
        <v>163.613</v>
      </c>
      <c r="S310" s="6">
        <v>163.613</v>
      </c>
      <c r="T310" s="6">
        <v>3.8477999999999999</v>
      </c>
      <c r="U310" s="6">
        <v>13517.9</v>
      </c>
      <c r="V310">
        <f t="shared" si="8"/>
        <v>72.833512931034477</v>
      </c>
      <c r="W310">
        <f t="shared" si="9"/>
        <v>1.8585039999999998E-3</v>
      </c>
    </row>
    <row r="311" spans="1:23" x14ac:dyDescent="0.3">
      <c r="A311" s="6">
        <v>304</v>
      </c>
      <c r="B311" s="6">
        <v>5.0369200000000003E-3</v>
      </c>
      <c r="C311" s="6">
        <v>0.184172</v>
      </c>
      <c r="D311" s="6">
        <v>36.7485</v>
      </c>
      <c r="E311" s="6">
        <v>36.564399999999999</v>
      </c>
      <c r="F311" s="6">
        <v>-1.0237600000000001E-3</v>
      </c>
      <c r="G311" s="6">
        <v>-1.7607899999999999E-2</v>
      </c>
      <c r="H311" s="6">
        <v>17.1816</v>
      </c>
      <c r="I311" s="6">
        <v>17.199200000000001</v>
      </c>
      <c r="J311" s="6">
        <v>-2.6405299999999999E-3</v>
      </c>
      <c r="K311" s="6">
        <v>-3.8227900000000002E-2</v>
      </c>
      <c r="L311" s="6">
        <v>14.4391</v>
      </c>
      <c r="M311" s="6">
        <v>14.477399999999999</v>
      </c>
      <c r="N311" s="6">
        <v>-2.4964399999999999E-3</v>
      </c>
      <c r="O311" s="6">
        <v>-3.4246800000000001E-2</v>
      </c>
      <c r="P311" s="6">
        <v>13.683999999999999</v>
      </c>
      <c r="Q311" s="6">
        <v>13.718299999999999</v>
      </c>
      <c r="R311" s="6">
        <v>164.238</v>
      </c>
      <c r="S311" s="6">
        <v>164.238</v>
      </c>
      <c r="T311" s="6">
        <v>3.8654999999999999</v>
      </c>
      <c r="U311" s="6">
        <v>13580.1</v>
      </c>
      <c r="V311">
        <f t="shared" si="8"/>
        <v>73.168642241379317</v>
      </c>
      <c r="W311">
        <f t="shared" si="9"/>
        <v>2.0535766666666664E-3</v>
      </c>
    </row>
    <row r="312" spans="1:23" x14ac:dyDescent="0.3">
      <c r="A312" s="6">
        <v>305</v>
      </c>
      <c r="B312" s="6">
        <v>5.2223800000000004E-3</v>
      </c>
      <c r="C312" s="6">
        <v>0.19095300000000001</v>
      </c>
      <c r="D312" s="6">
        <v>36.755299999999998</v>
      </c>
      <c r="E312" s="6">
        <v>36.564399999999999</v>
      </c>
      <c r="F312" s="6">
        <v>-8.1382299999999998E-4</v>
      </c>
      <c r="G312" s="6">
        <v>-1.39971E-2</v>
      </c>
      <c r="H312" s="6">
        <v>17.185199999999998</v>
      </c>
      <c r="I312" s="6">
        <v>17.199200000000001</v>
      </c>
      <c r="J312" s="6">
        <v>-2.37397E-3</v>
      </c>
      <c r="K312" s="6">
        <v>-3.4368900000000001E-2</v>
      </c>
      <c r="L312" s="6">
        <v>14.443</v>
      </c>
      <c r="M312" s="6">
        <v>14.477399999999999</v>
      </c>
      <c r="N312" s="6">
        <v>-2.2006999999999999E-3</v>
      </c>
      <c r="O312" s="6">
        <v>-3.0189899999999999E-2</v>
      </c>
      <c r="P312" s="6">
        <v>13.6881</v>
      </c>
      <c r="Q312" s="6">
        <v>13.718299999999999</v>
      </c>
      <c r="R312" s="6">
        <v>164.55099999999999</v>
      </c>
      <c r="S312" s="6">
        <v>164.55099999999999</v>
      </c>
      <c r="T312" s="6">
        <v>3.8761999999999999</v>
      </c>
      <c r="U312" s="6">
        <v>13617.4</v>
      </c>
      <c r="V312">
        <f t="shared" si="8"/>
        <v>73.369612068965523</v>
      </c>
      <c r="W312">
        <f t="shared" si="9"/>
        <v>1.7961643333333332E-3</v>
      </c>
    </row>
    <row r="313" spans="1:23" x14ac:dyDescent="0.3">
      <c r="A313" s="6">
        <v>306</v>
      </c>
      <c r="B313" s="6">
        <v>5.0494700000000003E-3</v>
      </c>
      <c r="C313" s="6">
        <v>0.18462999999999999</v>
      </c>
      <c r="D313" s="6">
        <v>36.749000000000002</v>
      </c>
      <c r="E313" s="6">
        <v>36.564399999999999</v>
      </c>
      <c r="F313" s="6">
        <v>-8.7104700000000001E-4</v>
      </c>
      <c r="G313" s="6">
        <v>-1.4981299999999999E-2</v>
      </c>
      <c r="H313" s="6">
        <v>17.1843</v>
      </c>
      <c r="I313" s="6">
        <v>17.199200000000001</v>
      </c>
      <c r="J313" s="6">
        <v>-2.5649499999999999E-3</v>
      </c>
      <c r="K313" s="6">
        <v>-3.7133699999999999E-2</v>
      </c>
      <c r="L313" s="6">
        <v>14.440200000000001</v>
      </c>
      <c r="M313" s="6">
        <v>14.477399999999999</v>
      </c>
      <c r="N313" s="6">
        <v>-2.44685E-3</v>
      </c>
      <c r="O313" s="6">
        <v>-3.3566499999999999E-2</v>
      </c>
      <c r="P313" s="6">
        <v>13.684699999999999</v>
      </c>
      <c r="Q313" s="6">
        <v>13.718299999999999</v>
      </c>
      <c r="R313" s="6">
        <v>165.04900000000001</v>
      </c>
      <c r="S313" s="6">
        <v>165.04900000000001</v>
      </c>
      <c r="T313" s="6">
        <v>3.8906999999999998</v>
      </c>
      <c r="U313" s="6">
        <v>13668.2</v>
      </c>
      <c r="V313">
        <f t="shared" si="8"/>
        <v>73.643318965517253</v>
      </c>
      <c r="W313">
        <f t="shared" si="9"/>
        <v>1.960949E-3</v>
      </c>
    </row>
    <row r="314" spans="1:23" x14ac:dyDescent="0.3">
      <c r="A314" s="6">
        <v>307</v>
      </c>
      <c r="B314" s="6">
        <v>5.1255500000000004E-3</v>
      </c>
      <c r="C314" s="6">
        <v>0.187413</v>
      </c>
      <c r="D314" s="6">
        <v>36.751800000000003</v>
      </c>
      <c r="E314" s="6">
        <v>36.564399999999999</v>
      </c>
      <c r="F314" s="6">
        <v>-9.2568200000000005E-4</v>
      </c>
      <c r="G314" s="6">
        <v>-1.5921000000000001E-2</v>
      </c>
      <c r="H314" s="6">
        <v>17.183299999999999</v>
      </c>
      <c r="I314" s="6">
        <v>17.199200000000001</v>
      </c>
      <c r="J314" s="6">
        <v>-2.4643899999999999E-3</v>
      </c>
      <c r="K314" s="6">
        <v>-3.5677899999999999E-2</v>
      </c>
      <c r="L314" s="6">
        <v>14.441700000000001</v>
      </c>
      <c r="M314" s="6">
        <v>14.477399999999999</v>
      </c>
      <c r="N314" s="6">
        <v>-2.26144E-3</v>
      </c>
      <c r="O314" s="6">
        <v>-3.1023100000000001E-2</v>
      </c>
      <c r="P314" s="6">
        <v>13.6873</v>
      </c>
      <c r="Q314" s="6">
        <v>13.718299999999999</v>
      </c>
      <c r="R314" s="6">
        <v>165.42099999999999</v>
      </c>
      <c r="S314" s="6">
        <v>165.422</v>
      </c>
      <c r="T314" s="6">
        <v>3.9022999999999999</v>
      </c>
      <c r="U314" s="6">
        <v>13708.9</v>
      </c>
      <c r="V314">
        <f t="shared" si="8"/>
        <v>73.862607758620683</v>
      </c>
      <c r="W314">
        <f t="shared" si="9"/>
        <v>1.8838373333333333E-3</v>
      </c>
    </row>
    <row r="315" spans="1:23" x14ac:dyDescent="0.3">
      <c r="A315" s="6">
        <v>308</v>
      </c>
      <c r="B315" s="6">
        <v>5.1371100000000003E-3</v>
      </c>
      <c r="C315" s="6">
        <v>0.187835</v>
      </c>
      <c r="D315" s="6">
        <v>36.752200000000002</v>
      </c>
      <c r="E315" s="6">
        <v>36.564399999999999</v>
      </c>
      <c r="F315" s="6">
        <v>-8.7574799999999998E-4</v>
      </c>
      <c r="G315" s="6">
        <v>-1.50622E-2</v>
      </c>
      <c r="H315" s="6">
        <v>17.184200000000001</v>
      </c>
      <c r="I315" s="6">
        <v>17.199200000000001</v>
      </c>
      <c r="J315" s="6">
        <v>-2.4691000000000001E-3</v>
      </c>
      <c r="K315" s="6">
        <v>-3.5746100000000003E-2</v>
      </c>
      <c r="L315" s="6">
        <v>14.441599999999999</v>
      </c>
      <c r="M315" s="6">
        <v>14.477399999999999</v>
      </c>
      <c r="N315" s="6">
        <v>-2.3416000000000001E-3</v>
      </c>
      <c r="O315" s="6">
        <v>-3.21228E-2</v>
      </c>
      <c r="P315" s="6">
        <v>13.686199999999999</v>
      </c>
      <c r="Q315" s="6">
        <v>13.718299999999999</v>
      </c>
      <c r="R315" s="6">
        <v>165.98400000000001</v>
      </c>
      <c r="S315" s="6">
        <v>165.98400000000001</v>
      </c>
      <c r="T315" s="6">
        <v>3.9222999999999999</v>
      </c>
      <c r="U315" s="6">
        <v>13779</v>
      </c>
      <c r="V315">
        <f t="shared" si="8"/>
        <v>74.240301724137936</v>
      </c>
      <c r="W315">
        <f t="shared" si="9"/>
        <v>1.8954826666666667E-3</v>
      </c>
    </row>
    <row r="316" spans="1:23" x14ac:dyDescent="0.3">
      <c r="A316" s="6">
        <v>309</v>
      </c>
      <c r="B316" s="6">
        <v>5.1942400000000001E-3</v>
      </c>
      <c r="C316" s="6">
        <v>0.18992400000000001</v>
      </c>
      <c r="D316" s="6">
        <v>36.754300000000001</v>
      </c>
      <c r="E316" s="6">
        <v>36.564399999999999</v>
      </c>
      <c r="F316" s="6">
        <v>-8.8916699999999995E-4</v>
      </c>
      <c r="G316" s="6">
        <v>-1.5292999999999999E-2</v>
      </c>
      <c r="H316" s="6">
        <v>17.183900000000001</v>
      </c>
      <c r="I316" s="6">
        <v>17.199200000000001</v>
      </c>
      <c r="J316" s="6">
        <v>-2.5460000000000001E-3</v>
      </c>
      <c r="K316" s="6">
        <v>-3.6859500000000003E-2</v>
      </c>
      <c r="L316" s="6">
        <v>14.4405</v>
      </c>
      <c r="M316" s="6">
        <v>14.477399999999999</v>
      </c>
      <c r="N316" s="6">
        <v>-2.3752500000000002E-3</v>
      </c>
      <c r="O316" s="6">
        <v>-3.2584299999999997E-2</v>
      </c>
      <c r="P316" s="6">
        <v>13.685700000000001</v>
      </c>
      <c r="Q316" s="6">
        <v>13.718299999999999</v>
      </c>
      <c r="R316" s="6">
        <v>166.23500000000001</v>
      </c>
      <c r="S316" s="6">
        <v>166.23500000000001</v>
      </c>
      <c r="T316" s="6">
        <v>3.9258000000000002</v>
      </c>
      <c r="U316" s="6">
        <v>13791.4</v>
      </c>
      <c r="V316">
        <f t="shared" si="8"/>
        <v>74.307112068965523</v>
      </c>
      <c r="W316">
        <f t="shared" si="9"/>
        <v>1.9368056666666667E-3</v>
      </c>
    </row>
    <row r="317" spans="1:23" x14ac:dyDescent="0.3">
      <c r="A317" s="6">
        <v>310</v>
      </c>
      <c r="B317" s="6">
        <v>5.2163799999999996E-3</v>
      </c>
      <c r="C317" s="6">
        <v>0.19073399999999999</v>
      </c>
      <c r="D317" s="6">
        <v>36.755099999999999</v>
      </c>
      <c r="E317" s="6">
        <v>36.564399999999999</v>
      </c>
      <c r="F317" s="6">
        <v>-8.1641500000000002E-4</v>
      </c>
      <c r="G317" s="6">
        <v>-1.4041700000000001E-2</v>
      </c>
      <c r="H317" s="6">
        <v>17.185199999999998</v>
      </c>
      <c r="I317" s="6">
        <v>17.199200000000001</v>
      </c>
      <c r="J317" s="6">
        <v>-2.45401E-3</v>
      </c>
      <c r="K317" s="6">
        <v>-3.5527700000000002E-2</v>
      </c>
      <c r="L317" s="6">
        <v>14.441800000000001</v>
      </c>
      <c r="M317" s="6">
        <v>14.477399999999999</v>
      </c>
      <c r="N317" s="6">
        <v>-2.36944E-3</v>
      </c>
      <c r="O317" s="6">
        <v>-3.2504600000000002E-2</v>
      </c>
      <c r="P317" s="6">
        <v>13.6858</v>
      </c>
      <c r="Q317" s="6">
        <v>13.718299999999999</v>
      </c>
      <c r="R317" s="6">
        <v>166.67</v>
      </c>
      <c r="S317" s="6">
        <v>166.67</v>
      </c>
      <c r="T317" s="6">
        <v>3.9367999999999999</v>
      </c>
      <c r="U317" s="6">
        <v>13829.9</v>
      </c>
      <c r="V317">
        <f t="shared" si="8"/>
        <v>74.51454741379311</v>
      </c>
      <c r="W317">
        <f t="shared" si="9"/>
        <v>1.879955E-3</v>
      </c>
    </row>
    <row r="318" spans="1:23" x14ac:dyDescent="0.3">
      <c r="A318" s="6">
        <v>311</v>
      </c>
      <c r="B318" s="6">
        <v>5.20201E-3</v>
      </c>
      <c r="C318" s="6">
        <v>0.19020799999999999</v>
      </c>
      <c r="D318" s="6">
        <v>36.754600000000003</v>
      </c>
      <c r="E318" s="6">
        <v>36.564399999999999</v>
      </c>
      <c r="F318" s="6">
        <v>-8.6652500000000004E-4</v>
      </c>
      <c r="G318" s="6">
        <v>-1.4903599999999999E-2</v>
      </c>
      <c r="H318" s="6">
        <v>17.1843</v>
      </c>
      <c r="I318" s="6">
        <v>17.199200000000001</v>
      </c>
      <c r="J318" s="6">
        <v>-2.5339799999999999E-3</v>
      </c>
      <c r="K318" s="6">
        <v>-3.6685299999999997E-2</v>
      </c>
      <c r="L318" s="6">
        <v>14.4407</v>
      </c>
      <c r="M318" s="6">
        <v>14.477399999999999</v>
      </c>
      <c r="N318" s="6">
        <v>-2.4240400000000001E-3</v>
      </c>
      <c r="O318" s="6">
        <v>-3.3253699999999997E-2</v>
      </c>
      <c r="P318" s="6">
        <v>13.685</v>
      </c>
      <c r="Q318" s="6">
        <v>13.718299999999999</v>
      </c>
      <c r="R318" s="6">
        <v>167.10599999999999</v>
      </c>
      <c r="S318" s="6">
        <v>167.10599999999999</v>
      </c>
      <c r="T318" s="6">
        <v>3.9535</v>
      </c>
      <c r="U318" s="6">
        <v>13888.7</v>
      </c>
      <c r="V318">
        <f t="shared" si="8"/>
        <v>74.831357758620697</v>
      </c>
      <c r="W318">
        <f t="shared" si="9"/>
        <v>1.9415150000000002E-3</v>
      </c>
    </row>
    <row r="319" spans="1:23" x14ac:dyDescent="0.3">
      <c r="A319" s="6">
        <v>312</v>
      </c>
      <c r="B319" s="6">
        <v>5.2060500000000003E-3</v>
      </c>
      <c r="C319" s="6">
        <v>0.190356</v>
      </c>
      <c r="D319" s="6">
        <v>36.7547</v>
      </c>
      <c r="E319" s="6">
        <v>36.564399999999999</v>
      </c>
      <c r="F319" s="6">
        <v>-8.9361599999999996E-4</v>
      </c>
      <c r="G319" s="6">
        <v>-1.5369499999999999E-2</v>
      </c>
      <c r="H319" s="6">
        <v>17.183900000000001</v>
      </c>
      <c r="I319" s="6">
        <v>17.199200000000001</v>
      </c>
      <c r="J319" s="6">
        <v>-2.57494E-3</v>
      </c>
      <c r="K319" s="6">
        <v>-3.7278400000000003E-2</v>
      </c>
      <c r="L319" s="6">
        <v>14.440099999999999</v>
      </c>
      <c r="M319" s="6">
        <v>14.477399999999999</v>
      </c>
      <c r="N319" s="6">
        <v>-2.4606099999999998E-3</v>
      </c>
      <c r="O319" s="6">
        <v>-3.3755300000000002E-2</v>
      </c>
      <c r="P319" s="6">
        <v>13.6845</v>
      </c>
      <c r="Q319" s="6">
        <v>13.718299999999999</v>
      </c>
      <c r="R319" s="6">
        <v>167.66900000000001</v>
      </c>
      <c r="S319" s="6">
        <v>167.66900000000001</v>
      </c>
      <c r="T319" s="6">
        <v>3.9719000000000002</v>
      </c>
      <c r="U319" s="6">
        <v>13953.1</v>
      </c>
      <c r="V319">
        <f t="shared" si="8"/>
        <v>75.178340517241381</v>
      </c>
      <c r="W319">
        <f t="shared" si="9"/>
        <v>1.9763886666666667E-3</v>
      </c>
    </row>
    <row r="320" spans="1:23" x14ac:dyDescent="0.3">
      <c r="A320" s="6">
        <v>313</v>
      </c>
      <c r="B320" s="6">
        <v>5.2102800000000003E-3</v>
      </c>
      <c r="C320" s="6">
        <v>0.19051100000000001</v>
      </c>
      <c r="D320" s="6">
        <v>36.754899999999999</v>
      </c>
      <c r="E320" s="6">
        <v>36.564399999999999</v>
      </c>
      <c r="F320" s="6">
        <v>-9.4345300000000002E-4</v>
      </c>
      <c r="G320" s="6">
        <v>-1.62267E-2</v>
      </c>
      <c r="H320" s="6">
        <v>17.183</v>
      </c>
      <c r="I320" s="6">
        <v>17.199200000000001</v>
      </c>
      <c r="J320" s="6">
        <v>-2.54901E-3</v>
      </c>
      <c r="K320" s="6">
        <v>-3.6902999999999998E-2</v>
      </c>
      <c r="L320" s="6">
        <v>14.4405</v>
      </c>
      <c r="M320" s="6">
        <v>14.477399999999999</v>
      </c>
      <c r="N320" s="6">
        <v>-2.3385300000000001E-3</v>
      </c>
      <c r="O320" s="6">
        <v>-3.2080600000000001E-2</v>
      </c>
      <c r="P320" s="6">
        <v>13.686199999999999</v>
      </c>
      <c r="Q320" s="6">
        <v>13.718299999999999</v>
      </c>
      <c r="R320" s="6">
        <v>167.91900000000001</v>
      </c>
      <c r="S320" s="6">
        <v>167.91900000000001</v>
      </c>
      <c r="T320" s="6">
        <v>3.9763999999999999</v>
      </c>
      <c r="U320" s="6">
        <v>13968.9</v>
      </c>
      <c r="V320">
        <f t="shared" si="8"/>
        <v>75.263469827586206</v>
      </c>
      <c r="W320">
        <f t="shared" si="9"/>
        <v>1.9436643333333333E-3</v>
      </c>
    </row>
    <row r="321" spans="1:23" x14ac:dyDescent="0.3">
      <c r="A321" s="6">
        <v>314</v>
      </c>
      <c r="B321" s="6">
        <v>5.24509E-3</v>
      </c>
      <c r="C321" s="6">
        <v>0.19178300000000001</v>
      </c>
      <c r="D321" s="6">
        <v>36.756100000000004</v>
      </c>
      <c r="E321" s="6">
        <v>36.564399999999999</v>
      </c>
      <c r="F321" s="6">
        <v>-9.0628300000000002E-4</v>
      </c>
      <c r="G321" s="6">
        <v>-1.55874E-2</v>
      </c>
      <c r="H321" s="6">
        <v>17.183700000000002</v>
      </c>
      <c r="I321" s="6">
        <v>17.199200000000001</v>
      </c>
      <c r="J321" s="6">
        <v>-2.6093399999999999E-3</v>
      </c>
      <c r="K321" s="6">
        <v>-3.7776400000000002E-2</v>
      </c>
      <c r="L321" s="6">
        <v>14.4396</v>
      </c>
      <c r="M321" s="6">
        <v>14.477399999999999</v>
      </c>
      <c r="N321" s="6">
        <v>-2.4655100000000002E-3</v>
      </c>
      <c r="O321" s="6">
        <v>-3.3822600000000001E-2</v>
      </c>
      <c r="P321" s="6">
        <v>13.6845</v>
      </c>
      <c r="Q321" s="6">
        <v>13.718299999999999</v>
      </c>
      <c r="R321" s="6">
        <v>168.417</v>
      </c>
      <c r="S321" s="6">
        <v>168.417</v>
      </c>
      <c r="T321" s="6">
        <v>3.9948000000000001</v>
      </c>
      <c r="U321" s="6">
        <v>14033.3</v>
      </c>
      <c r="V321">
        <f t="shared" si="8"/>
        <v>75.61045258620689</v>
      </c>
      <c r="W321">
        <f t="shared" si="9"/>
        <v>1.993711E-3</v>
      </c>
    </row>
    <row r="322" spans="1:23" x14ac:dyDescent="0.3">
      <c r="A322" s="6">
        <v>315</v>
      </c>
      <c r="B322" s="6">
        <v>5.2610499999999998E-3</v>
      </c>
      <c r="C322" s="6">
        <v>0.19236700000000001</v>
      </c>
      <c r="D322" s="6">
        <v>36.756700000000002</v>
      </c>
      <c r="E322" s="6">
        <v>36.564399999999999</v>
      </c>
      <c r="F322" s="6">
        <v>-8.7766500000000002E-4</v>
      </c>
      <c r="G322" s="6">
        <v>-1.50952E-2</v>
      </c>
      <c r="H322" s="6">
        <v>17.184100000000001</v>
      </c>
      <c r="I322" s="6">
        <v>17.199200000000001</v>
      </c>
      <c r="J322" s="6">
        <v>-2.4685100000000001E-3</v>
      </c>
      <c r="K322" s="6">
        <v>-3.5737499999999998E-2</v>
      </c>
      <c r="L322" s="6">
        <v>14.441599999999999</v>
      </c>
      <c r="M322" s="6">
        <v>14.477399999999999</v>
      </c>
      <c r="N322" s="6">
        <v>-2.3069200000000001E-3</v>
      </c>
      <c r="O322" s="6">
        <v>-3.1646899999999999E-2</v>
      </c>
      <c r="P322" s="6">
        <v>13.6866</v>
      </c>
      <c r="Q322" s="6">
        <v>13.718299999999999</v>
      </c>
      <c r="R322" s="6">
        <v>168.85400000000001</v>
      </c>
      <c r="S322" s="6">
        <v>168.85400000000001</v>
      </c>
      <c r="T322" s="6">
        <v>4.0103</v>
      </c>
      <c r="U322" s="6">
        <v>14087.6</v>
      </c>
      <c r="V322">
        <f t="shared" si="8"/>
        <v>75.903017241379317</v>
      </c>
      <c r="W322">
        <f t="shared" si="9"/>
        <v>1.884365E-3</v>
      </c>
    </row>
    <row r="323" spans="1:23" x14ac:dyDescent="0.3">
      <c r="A323" s="6">
        <v>316</v>
      </c>
      <c r="B323" s="6">
        <v>5.2204399999999998E-3</v>
      </c>
      <c r="C323" s="6">
        <v>0.190882</v>
      </c>
      <c r="D323" s="6">
        <v>36.755200000000002</v>
      </c>
      <c r="E323" s="6">
        <v>36.564399999999999</v>
      </c>
      <c r="F323" s="6">
        <v>-9.0260500000000001E-4</v>
      </c>
      <c r="G323" s="6">
        <v>-1.5524100000000001E-2</v>
      </c>
      <c r="H323" s="6">
        <v>17.183700000000002</v>
      </c>
      <c r="I323" s="6">
        <v>17.199200000000001</v>
      </c>
      <c r="J323" s="6">
        <v>-2.5656699999999999E-3</v>
      </c>
      <c r="K323" s="6">
        <v>-3.7144200000000002E-2</v>
      </c>
      <c r="L323" s="6">
        <v>14.440200000000001</v>
      </c>
      <c r="M323" s="6">
        <v>14.477399999999999</v>
      </c>
      <c r="N323" s="6">
        <v>-2.4573199999999998E-3</v>
      </c>
      <c r="O323" s="6">
        <v>-3.3710200000000003E-2</v>
      </c>
      <c r="P323" s="6">
        <v>13.6846</v>
      </c>
      <c r="Q323" s="6">
        <v>13.718299999999999</v>
      </c>
      <c r="R323" s="6">
        <v>169.042</v>
      </c>
      <c r="S323" s="6">
        <v>169.04300000000001</v>
      </c>
      <c r="T323" s="6">
        <v>4.0128000000000004</v>
      </c>
      <c r="U323" s="6">
        <v>14096.6</v>
      </c>
      <c r="V323">
        <f t="shared" si="8"/>
        <v>75.951508620689665</v>
      </c>
      <c r="W323">
        <f t="shared" si="9"/>
        <v>1.9751983333333332E-3</v>
      </c>
    </row>
    <row r="324" spans="1:23" x14ac:dyDescent="0.3">
      <c r="A324" s="6">
        <v>317</v>
      </c>
      <c r="B324" s="6">
        <v>5.2707199999999996E-3</v>
      </c>
      <c r="C324" s="6">
        <v>0.192721</v>
      </c>
      <c r="D324" s="6">
        <v>36.757100000000001</v>
      </c>
      <c r="E324" s="6">
        <v>36.564399999999999</v>
      </c>
      <c r="F324" s="6">
        <v>-9.3029799999999998E-4</v>
      </c>
      <c r="G324" s="6">
        <v>-1.6000400000000001E-2</v>
      </c>
      <c r="H324" s="6">
        <v>17.183199999999999</v>
      </c>
      <c r="I324" s="6">
        <v>17.199200000000001</v>
      </c>
      <c r="J324" s="6">
        <v>-2.5422000000000001E-3</v>
      </c>
      <c r="K324" s="6">
        <v>-3.6804299999999998E-2</v>
      </c>
      <c r="L324" s="6">
        <v>14.4406</v>
      </c>
      <c r="M324" s="6">
        <v>14.477399999999999</v>
      </c>
      <c r="N324" s="6">
        <v>-2.3635000000000001E-3</v>
      </c>
      <c r="O324" s="6">
        <v>-3.2423199999999999E-2</v>
      </c>
      <c r="P324" s="6">
        <v>13.6859</v>
      </c>
      <c r="Q324" s="6">
        <v>13.718299999999999</v>
      </c>
      <c r="R324" s="6">
        <v>169.541</v>
      </c>
      <c r="S324" s="6">
        <v>169.541</v>
      </c>
      <c r="T324" s="6">
        <v>4.0296000000000003</v>
      </c>
      <c r="U324" s="6">
        <v>14155.4</v>
      </c>
      <c r="V324">
        <f t="shared" si="8"/>
        <v>76.268318965517238</v>
      </c>
      <c r="W324">
        <f t="shared" si="9"/>
        <v>1.9453326666666667E-3</v>
      </c>
    </row>
    <row r="325" spans="1:23" x14ac:dyDescent="0.3">
      <c r="A325" s="6">
        <v>318</v>
      </c>
      <c r="B325" s="6">
        <v>5.2953399999999999E-3</v>
      </c>
      <c r="C325" s="6">
        <v>0.19362099999999999</v>
      </c>
      <c r="D325" s="6">
        <v>36.758000000000003</v>
      </c>
      <c r="E325" s="6">
        <v>36.564399999999999</v>
      </c>
      <c r="F325" s="6">
        <v>-9.6373900000000002E-4</v>
      </c>
      <c r="G325" s="6">
        <v>-1.6575599999999999E-2</v>
      </c>
      <c r="H325" s="6">
        <v>17.182700000000001</v>
      </c>
      <c r="I325" s="6">
        <v>17.199200000000001</v>
      </c>
      <c r="J325" s="6">
        <v>-2.58377E-3</v>
      </c>
      <c r="K325" s="6">
        <v>-3.7406200000000001E-2</v>
      </c>
      <c r="L325" s="6">
        <v>14.44</v>
      </c>
      <c r="M325" s="6">
        <v>14.477399999999999</v>
      </c>
      <c r="N325" s="6">
        <v>-2.4189900000000002E-3</v>
      </c>
      <c r="O325" s="6">
        <v>-3.31843E-2</v>
      </c>
      <c r="P325" s="6">
        <v>13.6851</v>
      </c>
      <c r="Q325" s="6">
        <v>13.718299999999999</v>
      </c>
      <c r="R325" s="6">
        <v>170.10300000000001</v>
      </c>
      <c r="S325" s="6">
        <v>170.10300000000001</v>
      </c>
      <c r="T325" s="6">
        <v>4.0404999999999998</v>
      </c>
      <c r="U325" s="6">
        <v>14193.8</v>
      </c>
      <c r="V325">
        <f t="shared" si="8"/>
        <v>76.475215517241381</v>
      </c>
      <c r="W325">
        <f t="shared" si="9"/>
        <v>1.9888330000000002E-3</v>
      </c>
    </row>
    <row r="326" spans="1:23" x14ac:dyDescent="0.3">
      <c r="A326" s="6">
        <v>319</v>
      </c>
      <c r="B326" s="6">
        <v>5.3294400000000004E-3</v>
      </c>
      <c r="C326" s="6">
        <v>0.19486800000000001</v>
      </c>
      <c r="D326" s="6">
        <v>36.7592</v>
      </c>
      <c r="E326" s="6">
        <v>36.564399999999999</v>
      </c>
      <c r="F326" s="6">
        <v>-8.4033000000000003E-4</v>
      </c>
      <c r="G326" s="6">
        <v>-1.4453000000000001E-2</v>
      </c>
      <c r="H326" s="6">
        <v>17.184799999999999</v>
      </c>
      <c r="I326" s="6">
        <v>17.199200000000001</v>
      </c>
      <c r="J326" s="6">
        <v>-2.5120799999999999E-3</v>
      </c>
      <c r="K326" s="6">
        <v>-3.6368299999999999E-2</v>
      </c>
      <c r="L326" s="6">
        <v>14.441000000000001</v>
      </c>
      <c r="M326" s="6">
        <v>14.477399999999999</v>
      </c>
      <c r="N326" s="6">
        <v>-2.4143799999999998E-3</v>
      </c>
      <c r="O326" s="6">
        <v>-3.3121100000000001E-2</v>
      </c>
      <c r="P326" s="6">
        <v>13.6852</v>
      </c>
      <c r="Q326" s="6">
        <v>13.718299999999999</v>
      </c>
      <c r="R326" s="6">
        <v>170.53800000000001</v>
      </c>
      <c r="S326" s="6">
        <v>170.53800000000001</v>
      </c>
      <c r="T326" s="6">
        <v>4.0525000000000002</v>
      </c>
      <c r="U326" s="6">
        <v>14235.6</v>
      </c>
      <c r="V326">
        <f t="shared" si="8"/>
        <v>76.700431034482762</v>
      </c>
      <c r="W326">
        <f t="shared" si="9"/>
        <v>1.9222633333333334E-3</v>
      </c>
    </row>
    <row r="327" spans="1:23" x14ac:dyDescent="0.3">
      <c r="A327" s="6">
        <v>320</v>
      </c>
      <c r="B327" s="6">
        <v>5.3046200000000003E-3</v>
      </c>
      <c r="C327" s="6">
        <v>0.19395999999999999</v>
      </c>
      <c r="D327" s="6">
        <v>36.758299999999998</v>
      </c>
      <c r="E327" s="6">
        <v>36.564399999999999</v>
      </c>
      <c r="F327" s="6">
        <v>-9.6351800000000001E-4</v>
      </c>
      <c r="G327" s="6">
        <v>-1.6571800000000001E-2</v>
      </c>
      <c r="H327" s="6">
        <v>17.182700000000001</v>
      </c>
      <c r="I327" s="6">
        <v>17.199200000000001</v>
      </c>
      <c r="J327" s="6">
        <v>-2.6435E-3</v>
      </c>
      <c r="K327" s="6">
        <v>-3.8270899999999997E-2</v>
      </c>
      <c r="L327" s="6">
        <v>14.4391</v>
      </c>
      <c r="M327" s="6">
        <v>14.477399999999999</v>
      </c>
      <c r="N327" s="6">
        <v>-2.4549699999999999E-3</v>
      </c>
      <c r="O327" s="6">
        <v>-3.3678E-2</v>
      </c>
      <c r="P327" s="6">
        <v>13.6846</v>
      </c>
      <c r="Q327" s="6">
        <v>13.718299999999999</v>
      </c>
      <c r="R327" s="6">
        <v>170.851</v>
      </c>
      <c r="S327" s="6">
        <v>170.851</v>
      </c>
      <c r="T327" s="6">
        <v>4.0650000000000004</v>
      </c>
      <c r="U327" s="6">
        <v>14279.7</v>
      </c>
      <c r="V327">
        <f t="shared" si="8"/>
        <v>76.938038793103459</v>
      </c>
      <c r="W327">
        <f t="shared" si="9"/>
        <v>2.0206626666666666E-3</v>
      </c>
    </row>
    <row r="328" spans="1:23" x14ac:dyDescent="0.3">
      <c r="A328" s="6">
        <v>321</v>
      </c>
      <c r="B328" s="6">
        <v>5.35214E-3</v>
      </c>
      <c r="C328" s="6">
        <v>0.19569700000000001</v>
      </c>
      <c r="D328" s="6">
        <v>36.760100000000001</v>
      </c>
      <c r="E328" s="6">
        <v>36.564399999999999</v>
      </c>
      <c r="F328" s="6">
        <v>-9.0388999999999997E-4</v>
      </c>
      <c r="G328" s="6">
        <v>-1.55462E-2</v>
      </c>
      <c r="H328" s="6">
        <v>17.183700000000002</v>
      </c>
      <c r="I328" s="6">
        <v>17.199200000000001</v>
      </c>
      <c r="J328" s="6">
        <v>-2.6068200000000001E-3</v>
      </c>
      <c r="K328" s="6">
        <v>-3.77399E-2</v>
      </c>
      <c r="L328" s="6">
        <v>14.4396</v>
      </c>
      <c r="M328" s="6">
        <v>14.477399999999999</v>
      </c>
      <c r="N328" s="6">
        <v>-2.4309100000000001E-3</v>
      </c>
      <c r="O328" s="6">
        <v>-3.3347799999999997E-2</v>
      </c>
      <c r="P328" s="6">
        <v>13.684900000000001</v>
      </c>
      <c r="Q328" s="6">
        <v>13.718299999999999</v>
      </c>
      <c r="R328" s="6">
        <v>171.41399999999999</v>
      </c>
      <c r="S328" s="6">
        <v>171.41399999999999</v>
      </c>
      <c r="T328" s="6">
        <v>4.0841000000000003</v>
      </c>
      <c r="U328" s="6">
        <v>14346.4</v>
      </c>
      <c r="V328">
        <f t="shared" ref="V328:V391" si="10">U328/A$2/B$2</f>
        <v>77.297413793103445</v>
      </c>
      <c r="W328">
        <f t="shared" ref="W328:W391" si="11">-AVERAGE(F328,J328,N328)</f>
        <v>1.9805399999999998E-3</v>
      </c>
    </row>
    <row r="329" spans="1:23" x14ac:dyDescent="0.3">
      <c r="A329" s="6">
        <v>322</v>
      </c>
      <c r="B329" s="6">
        <v>5.3339700000000004E-3</v>
      </c>
      <c r="C329" s="6">
        <v>0.19503300000000001</v>
      </c>
      <c r="D329" s="6">
        <v>36.759399999999999</v>
      </c>
      <c r="E329" s="6">
        <v>36.564399999999999</v>
      </c>
      <c r="F329" s="6">
        <v>-9.4012900000000005E-4</v>
      </c>
      <c r="G329" s="6">
        <v>-1.61695E-2</v>
      </c>
      <c r="H329" s="6">
        <v>17.1831</v>
      </c>
      <c r="I329" s="6">
        <v>17.199200000000001</v>
      </c>
      <c r="J329" s="6">
        <v>-2.6373199999999999E-3</v>
      </c>
      <c r="K329" s="6">
        <v>-3.8181399999999997E-2</v>
      </c>
      <c r="L329" s="6">
        <v>14.4392</v>
      </c>
      <c r="M329" s="6">
        <v>14.477399999999999</v>
      </c>
      <c r="N329" s="6">
        <v>-2.55332E-3</v>
      </c>
      <c r="O329" s="6">
        <v>-3.5027099999999999E-2</v>
      </c>
      <c r="P329" s="6">
        <v>13.683299999999999</v>
      </c>
      <c r="Q329" s="6">
        <v>13.718299999999999</v>
      </c>
      <c r="R329" s="6">
        <v>171.78800000000001</v>
      </c>
      <c r="S329" s="6">
        <v>171.78800000000001</v>
      </c>
      <c r="T329" s="6">
        <v>4.0949999999999998</v>
      </c>
      <c r="U329" s="6">
        <v>14384.8</v>
      </c>
      <c r="V329">
        <f t="shared" si="10"/>
        <v>77.504310344827587</v>
      </c>
      <c r="W329">
        <f t="shared" si="11"/>
        <v>2.0435896666666665E-3</v>
      </c>
    </row>
    <row r="330" spans="1:23" x14ac:dyDescent="0.3">
      <c r="A330" s="6">
        <v>323</v>
      </c>
      <c r="B330" s="6">
        <v>5.3883100000000003E-3</v>
      </c>
      <c r="C330" s="6">
        <v>0.19702</v>
      </c>
      <c r="D330" s="6">
        <v>36.761400000000002</v>
      </c>
      <c r="E330" s="6">
        <v>36.564399999999999</v>
      </c>
      <c r="F330" s="6">
        <v>-9.3949300000000001E-4</v>
      </c>
      <c r="G330" s="6">
        <v>-1.6158599999999999E-2</v>
      </c>
      <c r="H330" s="6">
        <v>17.1831</v>
      </c>
      <c r="I330" s="6">
        <v>17.199200000000001</v>
      </c>
      <c r="J330" s="6">
        <v>-2.64788E-3</v>
      </c>
      <c r="K330" s="6">
        <v>-3.8334300000000002E-2</v>
      </c>
      <c r="L330" s="6">
        <v>14.439</v>
      </c>
      <c r="M330" s="6">
        <v>14.477399999999999</v>
      </c>
      <c r="N330" s="6">
        <v>-2.5536000000000001E-3</v>
      </c>
      <c r="O330" s="6">
        <v>-3.5031E-2</v>
      </c>
      <c r="P330" s="6">
        <v>13.683299999999999</v>
      </c>
      <c r="Q330" s="6">
        <v>13.718299999999999</v>
      </c>
      <c r="R330" s="6">
        <v>172.411</v>
      </c>
      <c r="S330" s="6">
        <v>172.411</v>
      </c>
      <c r="T330" s="6">
        <v>4.1108000000000002</v>
      </c>
      <c r="U330" s="6">
        <v>14440.2</v>
      </c>
      <c r="V330">
        <f t="shared" si="10"/>
        <v>77.802801724137936</v>
      </c>
      <c r="W330">
        <f t="shared" si="11"/>
        <v>2.0469910000000002E-3</v>
      </c>
    </row>
    <row r="331" spans="1:23" x14ac:dyDescent="0.3">
      <c r="A331" s="6">
        <v>324</v>
      </c>
      <c r="B331" s="6">
        <v>5.4058800000000001E-3</v>
      </c>
      <c r="C331" s="6">
        <v>0.19766300000000001</v>
      </c>
      <c r="D331" s="6">
        <v>36.762</v>
      </c>
      <c r="E331" s="6">
        <v>36.564399999999999</v>
      </c>
      <c r="F331" s="6">
        <v>-9.5372199999999995E-4</v>
      </c>
      <c r="G331" s="6">
        <v>-1.6403299999999999E-2</v>
      </c>
      <c r="H331" s="6">
        <v>17.1828</v>
      </c>
      <c r="I331" s="6">
        <v>17.199200000000001</v>
      </c>
      <c r="J331" s="6">
        <v>-2.6497299999999999E-3</v>
      </c>
      <c r="K331" s="6">
        <v>-3.8361199999999998E-2</v>
      </c>
      <c r="L331" s="6">
        <v>14.439</v>
      </c>
      <c r="M331" s="6">
        <v>14.477399999999999</v>
      </c>
      <c r="N331" s="6">
        <v>-2.49651E-3</v>
      </c>
      <c r="O331" s="6">
        <v>-3.4247800000000002E-2</v>
      </c>
      <c r="P331" s="6">
        <v>13.683999999999999</v>
      </c>
      <c r="Q331" s="6">
        <v>13.718299999999999</v>
      </c>
      <c r="R331" s="6">
        <v>172.786</v>
      </c>
      <c r="S331" s="6">
        <v>172.786</v>
      </c>
      <c r="T331" s="6">
        <v>4.1246999999999998</v>
      </c>
      <c r="U331" s="6">
        <v>14488.8</v>
      </c>
      <c r="V331">
        <f t="shared" si="10"/>
        <v>78.064655172413794</v>
      </c>
      <c r="W331">
        <f t="shared" si="11"/>
        <v>2.0333206666666667E-3</v>
      </c>
    </row>
    <row r="332" spans="1:23" x14ac:dyDescent="0.3">
      <c r="A332" s="6">
        <v>325</v>
      </c>
      <c r="B332" s="6">
        <v>5.3963400000000003E-3</v>
      </c>
      <c r="C332" s="6">
        <v>0.19731399999999999</v>
      </c>
      <c r="D332" s="6">
        <v>36.761699999999998</v>
      </c>
      <c r="E332" s="6">
        <v>36.564399999999999</v>
      </c>
      <c r="F332" s="6">
        <v>-8.9225800000000005E-4</v>
      </c>
      <c r="G332" s="6">
        <v>-1.5346200000000001E-2</v>
      </c>
      <c r="H332" s="6">
        <v>17.183900000000001</v>
      </c>
      <c r="I332" s="6">
        <v>17.199200000000001</v>
      </c>
      <c r="J332" s="6">
        <v>-2.6303400000000001E-3</v>
      </c>
      <c r="K332" s="6">
        <v>-3.80804E-2</v>
      </c>
      <c r="L332" s="6">
        <v>14.439299999999999</v>
      </c>
      <c r="M332" s="6">
        <v>14.477399999999999</v>
      </c>
      <c r="N332" s="6">
        <v>-2.5265600000000002E-3</v>
      </c>
      <c r="O332" s="6">
        <v>-3.4660099999999999E-2</v>
      </c>
      <c r="P332" s="6">
        <v>13.6836</v>
      </c>
      <c r="Q332" s="6">
        <v>13.718299999999999</v>
      </c>
      <c r="R332" s="6">
        <v>173.096</v>
      </c>
      <c r="S332" s="6">
        <v>173.096</v>
      </c>
      <c r="T332" s="6">
        <v>4.1321000000000003</v>
      </c>
      <c r="U332" s="6">
        <v>14514.8</v>
      </c>
      <c r="V332">
        <f t="shared" si="10"/>
        <v>78.204741379310349</v>
      </c>
      <c r="W332">
        <f t="shared" si="11"/>
        <v>2.0163860000000002E-3</v>
      </c>
    </row>
    <row r="333" spans="1:23" x14ac:dyDescent="0.3">
      <c r="A333" s="6">
        <v>326</v>
      </c>
      <c r="B333" s="6">
        <v>5.4398199999999997E-3</v>
      </c>
      <c r="C333" s="6">
        <v>0.198904</v>
      </c>
      <c r="D333" s="6">
        <v>36.763300000000001</v>
      </c>
      <c r="E333" s="6">
        <v>36.564399999999999</v>
      </c>
      <c r="F333" s="6">
        <v>-9.0965999999999996E-4</v>
      </c>
      <c r="G333" s="6">
        <v>-1.56455E-2</v>
      </c>
      <c r="H333" s="6">
        <v>17.183599999999998</v>
      </c>
      <c r="I333" s="6">
        <v>17.199200000000001</v>
      </c>
      <c r="J333" s="6">
        <v>-2.5681900000000001E-3</v>
      </c>
      <c r="K333" s="6">
        <v>-3.7180600000000001E-2</v>
      </c>
      <c r="L333" s="6">
        <v>14.440200000000001</v>
      </c>
      <c r="M333" s="6">
        <v>14.477399999999999</v>
      </c>
      <c r="N333" s="6">
        <v>-2.4949600000000001E-3</v>
      </c>
      <c r="O333" s="6">
        <v>-3.4226600000000003E-2</v>
      </c>
      <c r="P333" s="6">
        <v>13.684100000000001</v>
      </c>
      <c r="Q333" s="6">
        <v>13.718299999999999</v>
      </c>
      <c r="R333" s="6">
        <v>173.535</v>
      </c>
      <c r="S333" s="6">
        <v>173.535</v>
      </c>
      <c r="T333" s="6">
        <v>4.1492000000000004</v>
      </c>
      <c r="U333" s="6">
        <v>14574.7</v>
      </c>
      <c r="V333">
        <f t="shared" si="10"/>
        <v>78.527478448275872</v>
      </c>
      <c r="W333">
        <f t="shared" si="11"/>
        <v>1.9909366666666668E-3</v>
      </c>
    </row>
    <row r="334" spans="1:23" x14ac:dyDescent="0.3">
      <c r="A334" s="6">
        <v>327</v>
      </c>
      <c r="B334" s="6">
        <v>5.4660899999999998E-3</v>
      </c>
      <c r="C334" s="6">
        <v>0.19986400000000001</v>
      </c>
      <c r="D334" s="6">
        <v>36.764200000000002</v>
      </c>
      <c r="E334" s="6">
        <v>36.564399999999999</v>
      </c>
      <c r="F334" s="6">
        <v>-1.0260099999999999E-3</v>
      </c>
      <c r="G334" s="6">
        <v>-1.7646599999999998E-2</v>
      </c>
      <c r="H334" s="6">
        <v>17.1816</v>
      </c>
      <c r="I334" s="6">
        <v>17.199200000000001</v>
      </c>
      <c r="J334" s="6">
        <v>-2.6540000000000001E-3</v>
      </c>
      <c r="K334" s="6">
        <v>-3.8422999999999999E-2</v>
      </c>
      <c r="L334" s="6">
        <v>14.439</v>
      </c>
      <c r="M334" s="6">
        <v>14.477399999999999</v>
      </c>
      <c r="N334" s="6">
        <v>-2.4919600000000001E-3</v>
      </c>
      <c r="O334" s="6">
        <v>-3.4185399999999998E-2</v>
      </c>
      <c r="P334" s="6">
        <v>13.684100000000001</v>
      </c>
      <c r="Q334" s="6">
        <v>13.718299999999999</v>
      </c>
      <c r="R334" s="6">
        <v>174.15700000000001</v>
      </c>
      <c r="S334" s="6">
        <v>174.15700000000001</v>
      </c>
      <c r="T334" s="6">
        <v>4.1597999999999997</v>
      </c>
      <c r="U334" s="6">
        <v>14612</v>
      </c>
      <c r="V334">
        <f t="shared" si="10"/>
        <v>78.728448275862078</v>
      </c>
      <c r="W334">
        <f t="shared" si="11"/>
        <v>2.0573233333333334E-3</v>
      </c>
    </row>
    <row r="335" spans="1:23" x14ac:dyDescent="0.3">
      <c r="A335" s="6">
        <v>328</v>
      </c>
      <c r="B335" s="6">
        <v>5.4331199999999996E-3</v>
      </c>
      <c r="C335" s="6">
        <v>0.198659</v>
      </c>
      <c r="D335" s="6">
        <v>36.762999999999998</v>
      </c>
      <c r="E335" s="6">
        <v>36.564399999999999</v>
      </c>
      <c r="F335" s="6">
        <v>-9.3970700000000002E-4</v>
      </c>
      <c r="G335" s="6">
        <v>-1.6162200000000002E-2</v>
      </c>
      <c r="H335" s="6">
        <v>17.1831</v>
      </c>
      <c r="I335" s="6">
        <v>17.199200000000001</v>
      </c>
      <c r="J335" s="6">
        <v>-2.6980200000000002E-3</v>
      </c>
      <c r="K335" s="6">
        <v>-3.9060299999999999E-2</v>
      </c>
      <c r="L335" s="6">
        <v>14.4383</v>
      </c>
      <c r="M335" s="6">
        <v>14.477399999999999</v>
      </c>
      <c r="N335" s="6">
        <v>-2.5741100000000001E-3</v>
      </c>
      <c r="O335" s="6">
        <v>-3.5312400000000001E-2</v>
      </c>
      <c r="P335" s="6">
        <v>13.683</v>
      </c>
      <c r="Q335" s="6">
        <v>13.718299999999999</v>
      </c>
      <c r="R335" s="6">
        <v>174.34399999999999</v>
      </c>
      <c r="S335" s="6">
        <v>174.34399999999999</v>
      </c>
      <c r="T335" s="6">
        <v>4.1630000000000003</v>
      </c>
      <c r="U335" s="6">
        <v>14623.3</v>
      </c>
      <c r="V335">
        <f t="shared" si="10"/>
        <v>78.78933189655173</v>
      </c>
      <c r="W335">
        <f t="shared" si="11"/>
        <v>2.0706123333333335E-3</v>
      </c>
    </row>
    <row r="336" spans="1:23" x14ac:dyDescent="0.3">
      <c r="A336" s="6">
        <v>329</v>
      </c>
      <c r="B336" s="6">
        <v>5.46943E-3</v>
      </c>
      <c r="C336" s="6">
        <v>0.199986</v>
      </c>
      <c r="D336" s="6">
        <v>36.764299999999999</v>
      </c>
      <c r="E336" s="6">
        <v>36.564399999999999</v>
      </c>
      <c r="F336" s="6">
        <v>-9.0551E-4</v>
      </c>
      <c r="G336" s="6">
        <v>-1.55741E-2</v>
      </c>
      <c r="H336" s="6">
        <v>17.183700000000002</v>
      </c>
      <c r="I336" s="6">
        <v>17.199200000000001</v>
      </c>
      <c r="J336" s="6">
        <v>-2.67907E-3</v>
      </c>
      <c r="K336" s="6">
        <v>-3.8785899999999998E-2</v>
      </c>
      <c r="L336" s="6">
        <v>14.438599999999999</v>
      </c>
      <c r="M336" s="6">
        <v>14.477399999999999</v>
      </c>
      <c r="N336" s="6">
        <v>-2.5886799999999999E-3</v>
      </c>
      <c r="O336" s="6">
        <v>-3.5512200000000001E-2</v>
      </c>
      <c r="P336" s="6">
        <v>13.6828</v>
      </c>
      <c r="Q336" s="6">
        <v>13.718299999999999</v>
      </c>
      <c r="R336" s="6">
        <v>175.096</v>
      </c>
      <c r="S336" s="6">
        <v>175.096</v>
      </c>
      <c r="T336" s="6">
        <v>4.1862000000000004</v>
      </c>
      <c r="U336" s="6">
        <v>14704.7</v>
      </c>
      <c r="V336">
        <f t="shared" si="10"/>
        <v>79.227909482758633</v>
      </c>
      <c r="W336">
        <f t="shared" si="11"/>
        <v>2.0577533333333334E-3</v>
      </c>
    </row>
    <row r="337" spans="1:23" x14ac:dyDescent="0.3">
      <c r="A337" s="6">
        <v>330</v>
      </c>
      <c r="B337" s="6">
        <v>5.4949400000000002E-3</v>
      </c>
      <c r="C337" s="6">
        <v>0.20091899999999999</v>
      </c>
      <c r="D337" s="6">
        <v>36.765300000000003</v>
      </c>
      <c r="E337" s="6">
        <v>36.564399999999999</v>
      </c>
      <c r="F337" s="6">
        <v>-9.4864999999999999E-4</v>
      </c>
      <c r="G337" s="6">
        <v>-1.63161E-2</v>
      </c>
      <c r="H337" s="6">
        <v>17.1829</v>
      </c>
      <c r="I337" s="6">
        <v>17.199200000000001</v>
      </c>
      <c r="J337" s="6">
        <v>-2.6985400000000001E-3</v>
      </c>
      <c r="K337" s="6">
        <v>-3.90678E-2</v>
      </c>
      <c r="L337" s="6">
        <v>14.4383</v>
      </c>
      <c r="M337" s="6">
        <v>14.477399999999999</v>
      </c>
      <c r="N337" s="6">
        <v>-2.5410200000000002E-3</v>
      </c>
      <c r="O337" s="6">
        <v>-3.4858500000000001E-2</v>
      </c>
      <c r="P337" s="6">
        <v>13.683400000000001</v>
      </c>
      <c r="Q337" s="6">
        <v>13.718299999999999</v>
      </c>
      <c r="R337" s="6">
        <v>175.28</v>
      </c>
      <c r="S337" s="6">
        <v>175.28</v>
      </c>
      <c r="T337" s="6">
        <v>4.1878000000000002</v>
      </c>
      <c r="U337" s="6">
        <v>14710.4</v>
      </c>
      <c r="V337">
        <f t="shared" si="10"/>
        <v>79.258620689655174</v>
      </c>
      <c r="W337">
        <f t="shared" si="11"/>
        <v>2.0627366666666667E-3</v>
      </c>
    </row>
    <row r="338" spans="1:23" x14ac:dyDescent="0.3">
      <c r="A338" s="6">
        <v>331</v>
      </c>
      <c r="B338" s="6">
        <v>5.5004700000000004E-3</v>
      </c>
      <c r="C338" s="6">
        <v>0.20112099999999999</v>
      </c>
      <c r="D338" s="6">
        <v>36.765500000000003</v>
      </c>
      <c r="E338" s="6">
        <v>36.564399999999999</v>
      </c>
      <c r="F338" s="6">
        <v>-8.0102999999999999E-4</v>
      </c>
      <c r="G338" s="6">
        <v>-1.37771E-2</v>
      </c>
      <c r="H338" s="6">
        <v>17.185500000000001</v>
      </c>
      <c r="I338" s="6">
        <v>17.199200000000001</v>
      </c>
      <c r="J338" s="6">
        <v>-2.59764E-3</v>
      </c>
      <c r="K338" s="6">
        <v>-3.7607000000000002E-2</v>
      </c>
      <c r="L338" s="6">
        <v>14.4398</v>
      </c>
      <c r="M338" s="6">
        <v>14.477399999999999</v>
      </c>
      <c r="N338" s="6">
        <v>-2.5297499999999999E-3</v>
      </c>
      <c r="O338" s="6">
        <v>-3.47038E-2</v>
      </c>
      <c r="P338" s="6">
        <v>13.6836</v>
      </c>
      <c r="Q338" s="6">
        <v>13.718299999999999</v>
      </c>
      <c r="R338" s="6">
        <v>175.84200000000001</v>
      </c>
      <c r="S338" s="6">
        <v>175.84200000000001</v>
      </c>
      <c r="T338" s="6">
        <v>4.2065000000000001</v>
      </c>
      <c r="U338" s="6">
        <v>14775.9</v>
      </c>
      <c r="V338">
        <f t="shared" si="10"/>
        <v>79.611530172413794</v>
      </c>
      <c r="W338">
        <f t="shared" si="11"/>
        <v>1.9761399999999999E-3</v>
      </c>
    </row>
    <row r="339" spans="1:23" x14ac:dyDescent="0.3">
      <c r="A339" s="6">
        <v>332</v>
      </c>
      <c r="B339" s="6">
        <v>5.4621399999999999E-3</v>
      </c>
      <c r="C339" s="6">
        <v>0.19972000000000001</v>
      </c>
      <c r="D339" s="6">
        <v>36.764099999999999</v>
      </c>
      <c r="E339" s="6">
        <v>36.564399999999999</v>
      </c>
      <c r="F339" s="6">
        <v>-9.3500899999999999E-4</v>
      </c>
      <c r="G339" s="6">
        <v>-1.6081499999999999E-2</v>
      </c>
      <c r="H339" s="6">
        <v>17.183199999999999</v>
      </c>
      <c r="I339" s="6">
        <v>17.199200000000001</v>
      </c>
      <c r="J339" s="6">
        <v>-2.7191199999999998E-3</v>
      </c>
      <c r="K339" s="6">
        <v>-3.9365799999999999E-2</v>
      </c>
      <c r="L339" s="6">
        <v>14.438000000000001</v>
      </c>
      <c r="M339" s="6">
        <v>14.477399999999999</v>
      </c>
      <c r="N339" s="6">
        <v>-2.5650500000000001E-3</v>
      </c>
      <c r="O339" s="6">
        <v>-3.51881E-2</v>
      </c>
      <c r="P339" s="6">
        <v>13.6831</v>
      </c>
      <c r="Q339" s="6">
        <v>13.718299999999999</v>
      </c>
      <c r="R339" s="6">
        <v>176.21600000000001</v>
      </c>
      <c r="S339" s="6">
        <v>176.21600000000001</v>
      </c>
      <c r="T339" s="6">
        <v>4.2339000000000002</v>
      </c>
      <c r="U339" s="6">
        <v>14872</v>
      </c>
      <c r="V339">
        <f t="shared" si="10"/>
        <v>80.129310344827587</v>
      </c>
      <c r="W339">
        <f t="shared" si="11"/>
        <v>2.0730596666666667E-3</v>
      </c>
    </row>
    <row r="340" spans="1:23" x14ac:dyDescent="0.3">
      <c r="A340" s="6">
        <v>333</v>
      </c>
      <c r="B340" s="6">
        <v>5.6073099999999999E-3</v>
      </c>
      <c r="C340" s="6">
        <v>0.20502799999999999</v>
      </c>
      <c r="D340" s="6">
        <v>36.769399999999997</v>
      </c>
      <c r="E340" s="6">
        <v>36.564399999999999</v>
      </c>
      <c r="F340" s="6">
        <v>-7.9098500000000002E-4</v>
      </c>
      <c r="G340" s="6">
        <v>-1.36043E-2</v>
      </c>
      <c r="H340" s="6">
        <v>17.185600000000001</v>
      </c>
      <c r="I340" s="6">
        <v>17.199200000000001</v>
      </c>
      <c r="J340" s="6">
        <v>-2.61291E-3</v>
      </c>
      <c r="K340" s="6">
        <v>-3.7828100000000003E-2</v>
      </c>
      <c r="L340" s="6">
        <v>14.439500000000001</v>
      </c>
      <c r="M340" s="6">
        <v>14.477399999999999</v>
      </c>
      <c r="N340" s="6">
        <v>-2.45094E-3</v>
      </c>
      <c r="O340" s="6">
        <v>-3.3622699999999998E-2</v>
      </c>
      <c r="P340" s="6">
        <v>13.684699999999999</v>
      </c>
      <c r="Q340" s="6">
        <v>13.718299999999999</v>
      </c>
      <c r="R340" s="6">
        <v>176.71899999999999</v>
      </c>
      <c r="S340" s="6">
        <v>176.71899999999999</v>
      </c>
      <c r="T340" s="6">
        <v>4.2259000000000002</v>
      </c>
      <c r="U340" s="6">
        <v>14843.7</v>
      </c>
      <c r="V340">
        <f t="shared" si="10"/>
        <v>79.97683189655173</v>
      </c>
      <c r="W340">
        <f t="shared" si="11"/>
        <v>1.9516116666666668E-3</v>
      </c>
    </row>
    <row r="341" spans="1:23" x14ac:dyDescent="0.3">
      <c r="A341" s="6">
        <v>334</v>
      </c>
      <c r="B341" s="6">
        <v>5.5689099999999998E-3</v>
      </c>
      <c r="C341" s="6">
        <v>0.203624</v>
      </c>
      <c r="D341" s="6">
        <v>36.768000000000001</v>
      </c>
      <c r="E341" s="6">
        <v>36.564399999999999</v>
      </c>
      <c r="F341" s="6">
        <v>-9.4357299999999996E-4</v>
      </c>
      <c r="G341" s="6">
        <v>-1.6228699999999999E-2</v>
      </c>
      <c r="H341" s="6">
        <v>17.183</v>
      </c>
      <c r="I341" s="6">
        <v>17.199200000000001</v>
      </c>
      <c r="J341" s="6">
        <v>-2.6709099999999999E-3</v>
      </c>
      <c r="K341" s="6">
        <v>-3.8667800000000002E-2</v>
      </c>
      <c r="L341" s="6">
        <v>14.438700000000001</v>
      </c>
      <c r="M341" s="6">
        <v>14.477399999999999</v>
      </c>
      <c r="N341" s="6">
        <v>-2.52864E-3</v>
      </c>
      <c r="O341" s="6">
        <v>-3.4688700000000003E-2</v>
      </c>
      <c r="P341" s="6">
        <v>13.6836</v>
      </c>
      <c r="Q341" s="6">
        <v>13.718299999999999</v>
      </c>
      <c r="R341" s="6">
        <v>176.96700000000001</v>
      </c>
      <c r="S341" s="6">
        <v>176.96700000000001</v>
      </c>
      <c r="T341" s="6">
        <v>4.2416999999999998</v>
      </c>
      <c r="U341" s="6">
        <v>14899.1</v>
      </c>
      <c r="V341">
        <f t="shared" si="10"/>
        <v>80.275323275862078</v>
      </c>
      <c r="W341">
        <f t="shared" si="11"/>
        <v>2.0477076666666669E-3</v>
      </c>
    </row>
    <row r="342" spans="1:23" x14ac:dyDescent="0.3">
      <c r="A342" s="6">
        <v>335</v>
      </c>
      <c r="B342" s="6">
        <v>5.5485300000000003E-3</v>
      </c>
      <c r="C342" s="6">
        <v>0.202878</v>
      </c>
      <c r="D342" s="6">
        <v>36.767200000000003</v>
      </c>
      <c r="E342" s="6">
        <v>36.564399999999999</v>
      </c>
      <c r="F342" s="6">
        <v>-9.8062999999999991E-4</v>
      </c>
      <c r="G342" s="6">
        <v>-1.6866099999999998E-2</v>
      </c>
      <c r="H342" s="6">
        <v>17.182400000000001</v>
      </c>
      <c r="I342" s="6">
        <v>17.199200000000001</v>
      </c>
      <c r="J342" s="6">
        <v>-2.7135499999999999E-3</v>
      </c>
      <c r="K342" s="6">
        <v>-3.9285100000000003E-2</v>
      </c>
      <c r="L342" s="6">
        <v>14.4381</v>
      </c>
      <c r="M342" s="6">
        <v>14.477399999999999</v>
      </c>
      <c r="N342" s="6">
        <v>-2.5831000000000001E-3</v>
      </c>
      <c r="O342" s="6">
        <v>-3.5435700000000001E-2</v>
      </c>
      <c r="P342" s="6">
        <v>13.6828</v>
      </c>
      <c r="Q342" s="6">
        <v>13.718299999999999</v>
      </c>
      <c r="R342" s="6">
        <v>177.53200000000001</v>
      </c>
      <c r="S342" s="6">
        <v>177.53200000000001</v>
      </c>
      <c r="T342" s="6">
        <v>4.2613000000000003</v>
      </c>
      <c r="U342" s="6">
        <v>14968.1</v>
      </c>
      <c r="V342">
        <f t="shared" si="10"/>
        <v>80.647090517241381</v>
      </c>
      <c r="W342">
        <f t="shared" si="11"/>
        <v>2.0924266666666664E-3</v>
      </c>
    </row>
    <row r="343" spans="1:23" x14ac:dyDescent="0.3">
      <c r="A343" s="6">
        <v>336</v>
      </c>
      <c r="B343" s="6">
        <v>5.5252399999999998E-3</v>
      </c>
      <c r="C343" s="6">
        <v>0.20202700000000001</v>
      </c>
      <c r="D343" s="6">
        <v>36.766399999999997</v>
      </c>
      <c r="E343" s="6">
        <v>36.564399999999999</v>
      </c>
      <c r="F343" s="6">
        <v>-9.7315800000000001E-4</v>
      </c>
      <c r="G343" s="6">
        <v>-1.6737599999999998E-2</v>
      </c>
      <c r="H343" s="6">
        <v>17.182500000000001</v>
      </c>
      <c r="I343" s="6">
        <v>17.199200000000001</v>
      </c>
      <c r="J343" s="6">
        <v>-2.6535899999999999E-3</v>
      </c>
      <c r="K343" s="6">
        <v>-3.8417100000000003E-2</v>
      </c>
      <c r="L343" s="6">
        <v>14.439</v>
      </c>
      <c r="M343" s="6">
        <v>14.477399999999999</v>
      </c>
      <c r="N343" s="6">
        <v>-2.5265399999999999E-3</v>
      </c>
      <c r="O343" s="6">
        <v>-3.4659799999999998E-2</v>
      </c>
      <c r="P343" s="6">
        <v>13.6836</v>
      </c>
      <c r="Q343" s="6">
        <v>13.718299999999999</v>
      </c>
      <c r="R343" s="6">
        <v>177.90299999999999</v>
      </c>
      <c r="S343" s="6">
        <v>177.90299999999999</v>
      </c>
      <c r="T343" s="6">
        <v>4.2723000000000004</v>
      </c>
      <c r="U343" s="6">
        <v>15006.5</v>
      </c>
      <c r="V343">
        <f t="shared" si="10"/>
        <v>80.853987068965523</v>
      </c>
      <c r="W343">
        <f t="shared" si="11"/>
        <v>2.0510960000000001E-3</v>
      </c>
    </row>
    <row r="344" spans="1:23" x14ac:dyDescent="0.3">
      <c r="A344" s="6">
        <v>337</v>
      </c>
      <c r="B344" s="6">
        <v>5.6245100000000001E-3</v>
      </c>
      <c r="C344" s="6">
        <v>0.20565700000000001</v>
      </c>
      <c r="D344" s="6">
        <v>36.770000000000003</v>
      </c>
      <c r="E344" s="6">
        <v>36.564399999999999</v>
      </c>
      <c r="F344" s="6">
        <v>-9.5678899999999999E-4</v>
      </c>
      <c r="G344" s="6">
        <v>-1.6455999999999998E-2</v>
      </c>
      <c r="H344" s="6">
        <v>17.1828</v>
      </c>
      <c r="I344" s="6">
        <v>17.199200000000001</v>
      </c>
      <c r="J344" s="6">
        <v>-2.7278799999999998E-3</v>
      </c>
      <c r="K344" s="6">
        <v>-3.94925E-2</v>
      </c>
      <c r="L344" s="6">
        <v>14.437900000000001</v>
      </c>
      <c r="M344" s="6">
        <v>14.477399999999999</v>
      </c>
      <c r="N344" s="6">
        <v>-2.6284400000000001E-3</v>
      </c>
      <c r="O344" s="6">
        <v>-3.6057699999999998E-2</v>
      </c>
      <c r="P344" s="6">
        <v>13.6822</v>
      </c>
      <c r="Q344" s="6">
        <v>13.718299999999999</v>
      </c>
      <c r="R344" s="6">
        <v>178.215</v>
      </c>
      <c r="S344" s="6">
        <v>178.21600000000001</v>
      </c>
      <c r="T344" s="6">
        <v>4.2870999999999997</v>
      </c>
      <c r="U344" s="6">
        <v>15058.5</v>
      </c>
      <c r="V344">
        <f t="shared" si="10"/>
        <v>81.134159482758619</v>
      </c>
      <c r="W344">
        <f t="shared" si="11"/>
        <v>2.1043696666666668E-3</v>
      </c>
    </row>
    <row r="345" spans="1:23" x14ac:dyDescent="0.3">
      <c r="A345" s="6">
        <v>338</v>
      </c>
      <c r="B345" s="6">
        <v>5.6578399999999999E-3</v>
      </c>
      <c r="C345" s="6">
        <v>0.206875</v>
      </c>
      <c r="D345" s="6">
        <v>36.7712</v>
      </c>
      <c r="E345" s="6">
        <v>36.564399999999999</v>
      </c>
      <c r="F345" s="6">
        <v>-1.0215300000000001E-3</v>
      </c>
      <c r="G345" s="6">
        <v>-1.7569499999999998E-2</v>
      </c>
      <c r="H345" s="6">
        <v>17.181699999999999</v>
      </c>
      <c r="I345" s="6">
        <v>17.199200000000001</v>
      </c>
      <c r="J345" s="6">
        <v>-2.7625000000000002E-3</v>
      </c>
      <c r="K345" s="6">
        <v>-3.9993800000000003E-2</v>
      </c>
      <c r="L345" s="6">
        <v>14.4374</v>
      </c>
      <c r="M345" s="6">
        <v>14.477399999999999</v>
      </c>
      <c r="N345" s="6">
        <v>-2.5813799999999999E-3</v>
      </c>
      <c r="O345" s="6">
        <v>-3.5412100000000002E-2</v>
      </c>
      <c r="P345" s="6">
        <v>13.6829</v>
      </c>
      <c r="Q345" s="6">
        <v>13.718299999999999</v>
      </c>
      <c r="R345" s="6">
        <v>178.77500000000001</v>
      </c>
      <c r="S345" s="6">
        <v>178.77600000000001</v>
      </c>
      <c r="T345" s="6">
        <v>4.3</v>
      </c>
      <c r="U345" s="6">
        <v>15103.7</v>
      </c>
      <c r="V345">
        <f t="shared" si="10"/>
        <v>81.377693965517253</v>
      </c>
      <c r="W345">
        <f t="shared" si="11"/>
        <v>2.1218033333333334E-3</v>
      </c>
    </row>
    <row r="346" spans="1:23" x14ac:dyDescent="0.3">
      <c r="A346" s="6">
        <v>339</v>
      </c>
      <c r="B346" s="6">
        <v>5.5712100000000001E-3</v>
      </c>
      <c r="C346" s="6">
        <v>0.203708</v>
      </c>
      <c r="D346" s="6">
        <v>36.768099999999997</v>
      </c>
      <c r="E346" s="6">
        <v>36.564399999999999</v>
      </c>
      <c r="F346" s="6">
        <v>-1.03904E-3</v>
      </c>
      <c r="G346" s="6">
        <v>-1.78706E-2</v>
      </c>
      <c r="H346" s="6">
        <v>17.1814</v>
      </c>
      <c r="I346" s="6">
        <v>17.199200000000001</v>
      </c>
      <c r="J346" s="6">
        <v>-2.8357199999999999E-3</v>
      </c>
      <c r="K346" s="6">
        <v>-4.1053699999999999E-2</v>
      </c>
      <c r="L346" s="6">
        <v>14.436299999999999</v>
      </c>
      <c r="M346" s="6">
        <v>14.477399999999999</v>
      </c>
      <c r="N346" s="6">
        <v>-2.7141800000000001E-3</v>
      </c>
      <c r="O346" s="6">
        <v>-3.72339E-2</v>
      </c>
      <c r="P346" s="6">
        <v>13.680999999999999</v>
      </c>
      <c r="Q346" s="6">
        <v>13.718299999999999</v>
      </c>
      <c r="R346" s="6">
        <v>179.27500000000001</v>
      </c>
      <c r="S346" s="6">
        <v>179.27500000000001</v>
      </c>
      <c r="T346" s="6">
        <v>4.3205999999999998</v>
      </c>
      <c r="U346" s="6">
        <v>15176</v>
      </c>
      <c r="V346">
        <f t="shared" si="10"/>
        <v>81.767241379310349</v>
      </c>
      <c r="W346">
        <f t="shared" si="11"/>
        <v>2.1963133333333332E-3</v>
      </c>
    </row>
    <row r="347" spans="1:23" x14ac:dyDescent="0.3">
      <c r="A347" s="6">
        <v>340</v>
      </c>
      <c r="B347" s="6">
        <v>5.6041700000000003E-3</v>
      </c>
      <c r="C347" s="6">
        <v>0.20491300000000001</v>
      </c>
      <c r="D347" s="6">
        <v>36.769300000000001</v>
      </c>
      <c r="E347" s="6">
        <v>36.564399999999999</v>
      </c>
      <c r="F347" s="6">
        <v>-1.0914799999999999E-3</v>
      </c>
      <c r="G347" s="6">
        <v>-1.87726E-2</v>
      </c>
      <c r="H347" s="6">
        <v>17.180499999999999</v>
      </c>
      <c r="I347" s="6">
        <v>17.199200000000001</v>
      </c>
      <c r="J347" s="6">
        <v>-2.8573399999999999E-3</v>
      </c>
      <c r="K347" s="6">
        <v>-4.1366800000000002E-2</v>
      </c>
      <c r="L347" s="6">
        <v>14.436</v>
      </c>
      <c r="M347" s="6">
        <v>14.477399999999999</v>
      </c>
      <c r="N347" s="6">
        <v>-2.7262300000000001E-3</v>
      </c>
      <c r="O347" s="6">
        <v>-3.73992E-2</v>
      </c>
      <c r="P347" s="6">
        <v>13.680899999999999</v>
      </c>
      <c r="Q347" s="6">
        <v>13.718299999999999</v>
      </c>
      <c r="R347" s="6">
        <v>179.774</v>
      </c>
      <c r="S347" s="6">
        <v>179.774</v>
      </c>
      <c r="T347" s="6">
        <v>4.3296000000000001</v>
      </c>
      <c r="U347" s="6">
        <v>15207.7</v>
      </c>
      <c r="V347">
        <f t="shared" si="10"/>
        <v>81.938038793103459</v>
      </c>
      <c r="W347">
        <f t="shared" si="11"/>
        <v>2.2250166666666665E-3</v>
      </c>
    </row>
    <row r="348" spans="1:23" x14ac:dyDescent="0.3">
      <c r="A348" s="6">
        <v>341</v>
      </c>
      <c r="B348" s="6">
        <v>5.5973200000000002E-3</v>
      </c>
      <c r="C348" s="6">
        <v>0.20466200000000001</v>
      </c>
      <c r="D348" s="6">
        <v>36.768999999999998</v>
      </c>
      <c r="E348" s="6">
        <v>36.564399999999999</v>
      </c>
      <c r="F348" s="6">
        <v>-9.8439600000000001E-4</v>
      </c>
      <c r="G348" s="6">
        <v>-1.6930899999999999E-2</v>
      </c>
      <c r="H348" s="6">
        <v>17.182300000000001</v>
      </c>
      <c r="I348" s="6">
        <v>17.199200000000001</v>
      </c>
      <c r="J348" s="6">
        <v>-2.6879E-3</v>
      </c>
      <c r="K348" s="6">
        <v>-3.8913700000000002E-2</v>
      </c>
      <c r="L348" s="6">
        <v>14.438499999999999</v>
      </c>
      <c r="M348" s="6">
        <v>14.477399999999999</v>
      </c>
      <c r="N348" s="6">
        <v>-2.5957300000000001E-3</v>
      </c>
      <c r="O348" s="6">
        <v>-3.5608899999999999E-2</v>
      </c>
      <c r="P348" s="6">
        <v>13.682700000000001</v>
      </c>
      <c r="Q348" s="6">
        <v>13.718299999999999</v>
      </c>
      <c r="R348" s="6">
        <v>180.024</v>
      </c>
      <c r="S348" s="6">
        <v>180.024</v>
      </c>
      <c r="T348" s="6">
        <v>4.3451000000000004</v>
      </c>
      <c r="U348" s="6">
        <v>15261.9</v>
      </c>
      <c r="V348">
        <f t="shared" si="10"/>
        <v>82.230064655172413</v>
      </c>
      <c r="W348">
        <f t="shared" si="11"/>
        <v>2.0893420000000001E-3</v>
      </c>
    </row>
    <row r="349" spans="1:23" x14ac:dyDescent="0.3">
      <c r="A349" s="6">
        <v>342</v>
      </c>
      <c r="B349" s="6">
        <v>5.7290600000000002E-3</v>
      </c>
      <c r="C349" s="6">
        <v>0.20948</v>
      </c>
      <c r="D349" s="6">
        <v>36.773800000000001</v>
      </c>
      <c r="E349" s="6">
        <v>36.564399999999999</v>
      </c>
      <c r="F349" s="6">
        <v>-1.0380700000000001E-3</v>
      </c>
      <c r="G349" s="6">
        <v>-1.7854100000000001E-2</v>
      </c>
      <c r="H349" s="6">
        <v>17.1814</v>
      </c>
      <c r="I349" s="6">
        <v>17.199200000000001</v>
      </c>
      <c r="J349" s="6">
        <v>-2.8576299999999999E-3</v>
      </c>
      <c r="K349" s="6">
        <v>-4.1370900000000002E-2</v>
      </c>
      <c r="L349" s="6">
        <v>14.436</v>
      </c>
      <c r="M349" s="6">
        <v>14.477399999999999</v>
      </c>
      <c r="N349" s="6">
        <v>-2.69425E-3</v>
      </c>
      <c r="O349" s="6">
        <v>-3.69605E-2</v>
      </c>
      <c r="P349" s="6">
        <v>13.6813</v>
      </c>
      <c r="Q349" s="6">
        <v>13.718299999999999</v>
      </c>
      <c r="R349" s="6">
        <v>180.77500000000001</v>
      </c>
      <c r="S349" s="6">
        <v>180.77500000000001</v>
      </c>
      <c r="T349" s="6">
        <v>4.3437999999999999</v>
      </c>
      <c r="U349" s="6">
        <v>15257.4</v>
      </c>
      <c r="V349">
        <f t="shared" si="10"/>
        <v>82.205818965517238</v>
      </c>
      <c r="W349">
        <f t="shared" si="11"/>
        <v>2.1966500000000001E-3</v>
      </c>
    </row>
    <row r="350" spans="1:23" x14ac:dyDescent="0.3">
      <c r="A350" s="6">
        <v>343</v>
      </c>
      <c r="B350" s="6">
        <v>5.7498000000000002E-3</v>
      </c>
      <c r="C350" s="6">
        <v>0.21023800000000001</v>
      </c>
      <c r="D350" s="6">
        <v>36.7746</v>
      </c>
      <c r="E350" s="6">
        <v>36.564399999999999</v>
      </c>
      <c r="F350" s="6">
        <v>-1.1103599999999999E-3</v>
      </c>
      <c r="G350" s="6">
        <v>-1.90974E-2</v>
      </c>
      <c r="H350" s="6">
        <v>17.180099999999999</v>
      </c>
      <c r="I350" s="6">
        <v>17.199200000000001</v>
      </c>
      <c r="J350" s="6">
        <v>-2.87448E-3</v>
      </c>
      <c r="K350" s="6">
        <v>-4.1614999999999999E-2</v>
      </c>
      <c r="L350" s="6">
        <v>14.4358</v>
      </c>
      <c r="M350" s="6">
        <v>14.477399999999999</v>
      </c>
      <c r="N350" s="6">
        <v>-2.7102599999999999E-3</v>
      </c>
      <c r="O350" s="6">
        <v>-3.7180199999999997E-2</v>
      </c>
      <c r="P350" s="6">
        <v>13.681100000000001</v>
      </c>
      <c r="Q350" s="6">
        <v>13.718299999999999</v>
      </c>
      <c r="R350" s="6">
        <v>181.33500000000001</v>
      </c>
      <c r="S350" s="6">
        <v>181.33500000000001</v>
      </c>
      <c r="T350" s="6">
        <v>4.3682999999999996</v>
      </c>
      <c r="U350" s="6">
        <v>15343.3</v>
      </c>
      <c r="V350">
        <f t="shared" si="10"/>
        <v>82.668642241379303</v>
      </c>
      <c r="W350">
        <f t="shared" si="11"/>
        <v>2.2317000000000001E-3</v>
      </c>
    </row>
    <row r="351" spans="1:23" x14ac:dyDescent="0.3">
      <c r="A351" s="6">
        <v>344</v>
      </c>
      <c r="B351" s="6">
        <v>5.7531700000000002E-3</v>
      </c>
      <c r="C351" s="6">
        <v>0.21036099999999999</v>
      </c>
      <c r="D351" s="6">
        <v>36.774700000000003</v>
      </c>
      <c r="E351" s="6">
        <v>36.564399999999999</v>
      </c>
      <c r="F351" s="6">
        <v>-1.05514E-3</v>
      </c>
      <c r="G351" s="6">
        <v>-1.81476E-2</v>
      </c>
      <c r="H351" s="6">
        <v>17.181100000000001</v>
      </c>
      <c r="I351" s="6">
        <v>17.199200000000001</v>
      </c>
      <c r="J351" s="6">
        <v>-2.87163E-3</v>
      </c>
      <c r="K351" s="6">
        <v>-4.1573600000000002E-2</v>
      </c>
      <c r="L351" s="6">
        <v>14.4358</v>
      </c>
      <c r="M351" s="6">
        <v>14.477399999999999</v>
      </c>
      <c r="N351" s="6">
        <v>-2.7111599999999998E-3</v>
      </c>
      <c r="O351" s="6">
        <v>-3.71924E-2</v>
      </c>
      <c r="P351" s="6">
        <v>13.681100000000001</v>
      </c>
      <c r="Q351" s="6">
        <v>13.718299999999999</v>
      </c>
      <c r="R351" s="6">
        <v>181.77199999999999</v>
      </c>
      <c r="S351" s="6">
        <v>181.773</v>
      </c>
      <c r="T351" s="6">
        <v>4.3837999999999999</v>
      </c>
      <c r="U351" s="6">
        <v>15397.6</v>
      </c>
      <c r="V351">
        <f t="shared" si="10"/>
        <v>82.96120689655173</v>
      </c>
      <c r="W351">
        <f t="shared" si="11"/>
        <v>2.212643333333333E-3</v>
      </c>
    </row>
    <row r="352" spans="1:23" x14ac:dyDescent="0.3">
      <c r="A352" s="6">
        <v>345</v>
      </c>
      <c r="B352" s="6">
        <v>5.8187899999999999E-3</v>
      </c>
      <c r="C352" s="6">
        <v>0.21276</v>
      </c>
      <c r="D352" s="6">
        <v>36.777099999999997</v>
      </c>
      <c r="E352" s="6">
        <v>36.564399999999999</v>
      </c>
      <c r="F352" s="6">
        <v>-1.10498E-3</v>
      </c>
      <c r="G352" s="6">
        <v>-1.9004799999999999E-2</v>
      </c>
      <c r="H352" s="6">
        <v>17.180199999999999</v>
      </c>
      <c r="I352" s="6">
        <v>17.199200000000001</v>
      </c>
      <c r="J352" s="6">
        <v>-2.9225599999999998E-3</v>
      </c>
      <c r="K352" s="6">
        <v>-4.2311000000000001E-2</v>
      </c>
      <c r="L352" s="6">
        <v>14.4351</v>
      </c>
      <c r="M352" s="6">
        <v>14.477399999999999</v>
      </c>
      <c r="N352" s="6">
        <v>-2.7497400000000001E-3</v>
      </c>
      <c r="O352" s="6">
        <v>-3.7721699999999997E-2</v>
      </c>
      <c r="P352" s="6">
        <v>13.6806</v>
      </c>
      <c r="Q352" s="6">
        <v>13.718299999999999</v>
      </c>
      <c r="R352" s="6">
        <v>181.959</v>
      </c>
      <c r="S352" s="6">
        <v>181.959</v>
      </c>
      <c r="T352" s="6">
        <v>4.3851000000000004</v>
      </c>
      <c r="U352" s="6">
        <v>15402.1</v>
      </c>
      <c r="V352">
        <f t="shared" si="10"/>
        <v>82.985452586206904</v>
      </c>
      <c r="W352">
        <f t="shared" si="11"/>
        <v>2.2590933333333334E-3</v>
      </c>
    </row>
    <row r="353" spans="1:23" x14ac:dyDescent="0.3">
      <c r="A353" s="6">
        <v>346</v>
      </c>
      <c r="B353" s="6">
        <v>5.83411E-3</v>
      </c>
      <c r="C353" s="6">
        <v>0.21332000000000001</v>
      </c>
      <c r="D353" s="6">
        <v>36.777700000000003</v>
      </c>
      <c r="E353" s="6">
        <v>36.564399999999999</v>
      </c>
      <c r="F353" s="6">
        <v>-9.8216699999999994E-4</v>
      </c>
      <c r="G353" s="6">
        <v>-1.6892500000000001E-2</v>
      </c>
      <c r="H353" s="6">
        <v>17.182300000000001</v>
      </c>
      <c r="I353" s="6">
        <v>17.199200000000001</v>
      </c>
      <c r="J353" s="6">
        <v>-2.7581799999999998E-3</v>
      </c>
      <c r="K353" s="6">
        <v>-3.99312E-2</v>
      </c>
      <c r="L353" s="6">
        <v>14.4374</v>
      </c>
      <c r="M353" s="6">
        <v>14.477399999999999</v>
      </c>
      <c r="N353" s="6">
        <v>-2.6026500000000002E-3</v>
      </c>
      <c r="O353" s="6">
        <v>-3.5703800000000001E-2</v>
      </c>
      <c r="P353" s="6">
        <v>13.682600000000001</v>
      </c>
      <c r="Q353" s="6">
        <v>13.718299999999999</v>
      </c>
      <c r="R353" s="6">
        <v>182.52</v>
      </c>
      <c r="S353" s="6">
        <v>182.52</v>
      </c>
      <c r="T353" s="6">
        <v>4.4021999999999997</v>
      </c>
      <c r="U353" s="6">
        <v>15462</v>
      </c>
      <c r="V353">
        <f t="shared" si="10"/>
        <v>83.308189655172413</v>
      </c>
      <c r="W353">
        <f t="shared" si="11"/>
        <v>2.1143323333333332E-3</v>
      </c>
    </row>
    <row r="354" spans="1:23" x14ac:dyDescent="0.3">
      <c r="A354" s="6">
        <v>347</v>
      </c>
      <c r="B354" s="6">
        <v>5.7335399999999996E-3</v>
      </c>
      <c r="C354" s="6">
        <v>0.209643</v>
      </c>
      <c r="D354" s="6">
        <v>36.774000000000001</v>
      </c>
      <c r="E354" s="6">
        <v>36.564399999999999</v>
      </c>
      <c r="F354" s="6">
        <v>-1.09073E-3</v>
      </c>
      <c r="G354" s="6">
        <v>-1.8759700000000001E-2</v>
      </c>
      <c r="H354" s="6">
        <v>17.180499999999999</v>
      </c>
      <c r="I354" s="6">
        <v>17.199200000000001</v>
      </c>
      <c r="J354" s="6">
        <v>-2.9364600000000001E-3</v>
      </c>
      <c r="K354" s="6">
        <v>-4.25122E-2</v>
      </c>
      <c r="L354" s="6">
        <v>14.434900000000001</v>
      </c>
      <c r="M354" s="6">
        <v>14.477399999999999</v>
      </c>
      <c r="N354" s="6">
        <v>-2.8066599999999999E-3</v>
      </c>
      <c r="O354" s="6">
        <v>-3.8502599999999998E-2</v>
      </c>
      <c r="P354" s="6">
        <v>13.6798</v>
      </c>
      <c r="Q354" s="6">
        <v>13.718299999999999</v>
      </c>
      <c r="R354" s="6">
        <v>183.143</v>
      </c>
      <c r="S354" s="6">
        <v>183.143</v>
      </c>
      <c r="T354" s="6">
        <v>4.4234</v>
      </c>
      <c r="U354" s="6">
        <v>15536.6</v>
      </c>
      <c r="V354">
        <f t="shared" si="10"/>
        <v>83.710129310344826</v>
      </c>
      <c r="W354">
        <f t="shared" si="11"/>
        <v>2.2779499999999999E-3</v>
      </c>
    </row>
    <row r="355" spans="1:23" x14ac:dyDescent="0.3">
      <c r="A355" s="6">
        <v>348</v>
      </c>
      <c r="B355" s="6">
        <v>5.8283700000000003E-3</v>
      </c>
      <c r="C355" s="6">
        <v>0.21311099999999999</v>
      </c>
      <c r="D355" s="6">
        <v>36.777500000000003</v>
      </c>
      <c r="E355" s="6">
        <v>36.564399999999999</v>
      </c>
      <c r="F355" s="6">
        <v>-9.67766E-4</v>
      </c>
      <c r="G355" s="6">
        <v>-1.6644800000000001E-2</v>
      </c>
      <c r="H355" s="6">
        <v>17.182600000000001</v>
      </c>
      <c r="I355" s="6">
        <v>17.199200000000001</v>
      </c>
      <c r="J355" s="6">
        <v>-2.7586300000000002E-3</v>
      </c>
      <c r="K355" s="6">
        <v>-3.99377E-2</v>
      </c>
      <c r="L355" s="6">
        <v>14.4374</v>
      </c>
      <c r="M355" s="6">
        <v>14.477399999999999</v>
      </c>
      <c r="N355" s="6">
        <v>-2.6400400000000002E-3</v>
      </c>
      <c r="O355" s="6">
        <v>-3.62168E-2</v>
      </c>
      <c r="P355" s="6">
        <v>13.6821</v>
      </c>
      <c r="Q355" s="6">
        <v>13.718299999999999</v>
      </c>
      <c r="R355" s="6">
        <v>183.26900000000001</v>
      </c>
      <c r="S355" s="6">
        <v>183.27</v>
      </c>
      <c r="T355" s="6">
        <v>4.4143999999999997</v>
      </c>
      <c r="U355" s="6">
        <v>15504.9</v>
      </c>
      <c r="V355">
        <f t="shared" si="10"/>
        <v>83.53933189655173</v>
      </c>
      <c r="W355">
        <f t="shared" si="11"/>
        <v>2.1221453333333334E-3</v>
      </c>
    </row>
    <row r="356" spans="1:23" x14ac:dyDescent="0.3">
      <c r="A356" s="6">
        <v>349</v>
      </c>
      <c r="B356" s="6">
        <v>5.8005699999999997E-3</v>
      </c>
      <c r="C356" s="6">
        <v>0.212094</v>
      </c>
      <c r="D356" s="6">
        <v>36.776499999999999</v>
      </c>
      <c r="E356" s="6">
        <v>36.564399999999999</v>
      </c>
      <c r="F356" s="6">
        <v>-9.9628999999999994E-4</v>
      </c>
      <c r="G356" s="6">
        <v>-1.7135399999999999E-2</v>
      </c>
      <c r="H356" s="6">
        <v>17.182099999999998</v>
      </c>
      <c r="I356" s="6">
        <v>17.199200000000001</v>
      </c>
      <c r="J356" s="6">
        <v>-2.8226800000000002E-3</v>
      </c>
      <c r="K356" s="6">
        <v>-4.0864900000000003E-2</v>
      </c>
      <c r="L356" s="6">
        <v>14.436500000000001</v>
      </c>
      <c r="M356" s="6">
        <v>14.477399999999999</v>
      </c>
      <c r="N356" s="6">
        <v>-2.6802599999999998E-3</v>
      </c>
      <c r="O356" s="6">
        <v>-3.6768599999999999E-2</v>
      </c>
      <c r="P356" s="6">
        <v>13.6815</v>
      </c>
      <c r="Q356" s="6">
        <v>13.718299999999999</v>
      </c>
      <c r="R356" s="6">
        <v>183.83</v>
      </c>
      <c r="S356" s="6">
        <v>183.83</v>
      </c>
      <c r="T356" s="6">
        <v>4.4511000000000003</v>
      </c>
      <c r="U356" s="6">
        <v>15633.8</v>
      </c>
      <c r="V356">
        <f t="shared" si="10"/>
        <v>84.233836206896555</v>
      </c>
      <c r="W356">
        <f t="shared" si="11"/>
        <v>2.1664100000000001E-3</v>
      </c>
    </row>
    <row r="357" spans="1:23" x14ac:dyDescent="0.3">
      <c r="A357" s="6">
        <v>350</v>
      </c>
      <c r="B357" s="6">
        <v>5.7631999999999996E-3</v>
      </c>
      <c r="C357" s="6">
        <v>0.210728</v>
      </c>
      <c r="D357" s="6">
        <v>36.775100000000002</v>
      </c>
      <c r="E357" s="6">
        <v>36.564399999999999</v>
      </c>
      <c r="F357" s="6">
        <v>-1.0291300000000001E-3</v>
      </c>
      <c r="G357" s="6">
        <v>-1.7700199999999999E-2</v>
      </c>
      <c r="H357" s="6">
        <v>17.1815</v>
      </c>
      <c r="I357" s="6">
        <v>17.199200000000001</v>
      </c>
      <c r="J357" s="6">
        <v>-2.8497700000000002E-3</v>
      </c>
      <c r="K357" s="6">
        <v>-4.1257299999999997E-2</v>
      </c>
      <c r="L357" s="6">
        <v>14.4361</v>
      </c>
      <c r="M357" s="6">
        <v>14.477399999999999</v>
      </c>
      <c r="N357" s="6">
        <v>-2.7288500000000001E-3</v>
      </c>
      <c r="O357" s="6">
        <v>-3.7435099999999999E-2</v>
      </c>
      <c r="P357" s="6">
        <v>13.6808</v>
      </c>
      <c r="Q357" s="6">
        <v>13.718299999999999</v>
      </c>
      <c r="R357" s="6">
        <v>184.14400000000001</v>
      </c>
      <c r="S357" s="6">
        <v>184.14400000000001</v>
      </c>
      <c r="T357" s="6">
        <v>4.4501999999999997</v>
      </c>
      <c r="U357" s="6">
        <v>15630.4</v>
      </c>
      <c r="V357">
        <f t="shared" si="10"/>
        <v>84.215517241379317</v>
      </c>
      <c r="W357">
        <f t="shared" si="11"/>
        <v>2.2025833333333337E-3</v>
      </c>
    </row>
    <row r="358" spans="1:23" x14ac:dyDescent="0.3">
      <c r="A358" s="6">
        <v>351</v>
      </c>
      <c r="B358" s="6">
        <v>5.8843400000000001E-3</v>
      </c>
      <c r="C358" s="6">
        <v>0.21515699999999999</v>
      </c>
      <c r="D358" s="6">
        <v>36.779499999999999</v>
      </c>
      <c r="E358" s="6">
        <v>36.564399999999999</v>
      </c>
      <c r="F358" s="6">
        <v>-1.0007E-3</v>
      </c>
      <c r="G358" s="6">
        <v>-1.7211299999999999E-2</v>
      </c>
      <c r="H358" s="6">
        <v>17.181999999999999</v>
      </c>
      <c r="I358" s="6">
        <v>17.199200000000001</v>
      </c>
      <c r="J358" s="6">
        <v>-2.8203600000000001E-3</v>
      </c>
      <c r="K358" s="6">
        <v>-4.0831399999999997E-2</v>
      </c>
      <c r="L358" s="6">
        <v>14.436500000000001</v>
      </c>
      <c r="M358" s="6">
        <v>14.477399999999999</v>
      </c>
      <c r="N358" s="6">
        <v>-2.7391199999999998E-3</v>
      </c>
      <c r="O358" s="6">
        <v>-3.7576100000000001E-2</v>
      </c>
      <c r="P358" s="6">
        <v>13.6807</v>
      </c>
      <c r="Q358" s="6">
        <v>13.718299999999999</v>
      </c>
      <c r="R358" s="6">
        <v>184.51499999999999</v>
      </c>
      <c r="S358" s="6">
        <v>184.51599999999999</v>
      </c>
      <c r="T358" s="6">
        <v>4.4637000000000002</v>
      </c>
      <c r="U358" s="6">
        <v>15677.9</v>
      </c>
      <c r="V358">
        <f t="shared" si="10"/>
        <v>84.471443965517238</v>
      </c>
      <c r="W358">
        <f t="shared" si="11"/>
        <v>2.1867266666666667E-3</v>
      </c>
    </row>
    <row r="359" spans="1:23" x14ac:dyDescent="0.3">
      <c r="A359" s="6">
        <v>352</v>
      </c>
      <c r="B359" s="6">
        <v>5.8491000000000003E-3</v>
      </c>
      <c r="C359" s="6">
        <v>0.213869</v>
      </c>
      <c r="D359" s="6">
        <v>36.778199999999998</v>
      </c>
      <c r="E359" s="6">
        <v>36.564399999999999</v>
      </c>
      <c r="F359" s="6">
        <v>-1.0018099999999999E-3</v>
      </c>
      <c r="G359" s="6">
        <v>-1.72304E-2</v>
      </c>
      <c r="H359" s="6">
        <v>17.181999999999999</v>
      </c>
      <c r="I359" s="6">
        <v>17.199200000000001</v>
      </c>
      <c r="J359" s="6">
        <v>-2.84622E-3</v>
      </c>
      <c r="K359" s="6">
        <v>-4.1205800000000001E-2</v>
      </c>
      <c r="L359" s="6">
        <v>14.436199999999999</v>
      </c>
      <c r="M359" s="6">
        <v>14.477399999999999</v>
      </c>
      <c r="N359" s="6">
        <v>-2.6814999999999999E-3</v>
      </c>
      <c r="O359" s="6">
        <v>-3.6785600000000002E-2</v>
      </c>
      <c r="P359" s="6">
        <v>13.6815</v>
      </c>
      <c r="Q359" s="6">
        <v>13.718299999999999</v>
      </c>
      <c r="R359" s="6">
        <v>185.01400000000001</v>
      </c>
      <c r="S359" s="6">
        <v>185.01499999999999</v>
      </c>
      <c r="T359" s="6">
        <v>4.4810999999999996</v>
      </c>
      <c r="U359" s="6">
        <v>15738.9</v>
      </c>
      <c r="V359">
        <f t="shared" si="10"/>
        <v>84.800107758620683</v>
      </c>
      <c r="W359">
        <f t="shared" si="11"/>
        <v>2.17651E-3</v>
      </c>
    </row>
    <row r="360" spans="1:23" x14ac:dyDescent="0.3">
      <c r="A360" s="6">
        <v>353</v>
      </c>
      <c r="B360" s="6">
        <v>5.8186499999999999E-3</v>
      </c>
      <c r="C360" s="6">
        <v>0.212755</v>
      </c>
      <c r="D360" s="6">
        <v>36.777099999999997</v>
      </c>
      <c r="E360" s="6">
        <v>36.564399999999999</v>
      </c>
      <c r="F360" s="6">
        <v>-1.0273299999999999E-3</v>
      </c>
      <c r="G360" s="6">
        <v>-1.7669399999999998E-2</v>
      </c>
      <c r="H360" s="6">
        <v>17.1816</v>
      </c>
      <c r="I360" s="6">
        <v>17.199200000000001</v>
      </c>
      <c r="J360" s="6">
        <v>-2.87697E-3</v>
      </c>
      <c r="K360" s="6">
        <v>-4.1650899999999998E-2</v>
      </c>
      <c r="L360" s="6">
        <v>14.435700000000001</v>
      </c>
      <c r="M360" s="6">
        <v>14.477399999999999</v>
      </c>
      <c r="N360" s="6">
        <v>-2.7735699999999999E-3</v>
      </c>
      <c r="O360" s="6">
        <v>-3.8048600000000002E-2</v>
      </c>
      <c r="P360" s="6">
        <v>13.680199999999999</v>
      </c>
      <c r="Q360" s="6">
        <v>13.718299999999999</v>
      </c>
      <c r="R360" s="6">
        <v>185.267</v>
      </c>
      <c r="S360" s="6">
        <v>185.267</v>
      </c>
      <c r="T360" s="6">
        <v>4.4875999999999996</v>
      </c>
      <c r="U360" s="6">
        <v>15761.5</v>
      </c>
      <c r="V360">
        <f t="shared" si="10"/>
        <v>84.921875</v>
      </c>
      <c r="W360">
        <f t="shared" si="11"/>
        <v>2.2259566666666666E-3</v>
      </c>
    </row>
    <row r="361" spans="1:23" x14ac:dyDescent="0.3">
      <c r="A361" s="6">
        <v>354</v>
      </c>
      <c r="B361" s="6">
        <v>5.9462400000000002E-3</v>
      </c>
      <c r="C361" s="6">
        <v>0.21742</v>
      </c>
      <c r="D361" s="6">
        <v>36.781799999999997</v>
      </c>
      <c r="E361" s="6">
        <v>36.564399999999999</v>
      </c>
      <c r="F361" s="6">
        <v>-1.0588800000000001E-3</v>
      </c>
      <c r="G361" s="6">
        <v>-1.82119E-2</v>
      </c>
      <c r="H361" s="6">
        <v>17.181000000000001</v>
      </c>
      <c r="I361" s="6">
        <v>17.199200000000001</v>
      </c>
      <c r="J361" s="6">
        <v>-2.9103599999999999E-3</v>
      </c>
      <c r="K361" s="6">
        <v>-4.2134400000000002E-2</v>
      </c>
      <c r="L361" s="6">
        <v>14.4352</v>
      </c>
      <c r="M361" s="6">
        <v>14.477399999999999</v>
      </c>
      <c r="N361" s="6">
        <v>-2.69645E-3</v>
      </c>
      <c r="O361" s="6">
        <v>-3.6990700000000001E-2</v>
      </c>
      <c r="P361" s="6">
        <v>13.6813</v>
      </c>
      <c r="Q361" s="6">
        <v>13.718299999999999</v>
      </c>
      <c r="R361" s="6">
        <v>185.89</v>
      </c>
      <c r="S361" s="6">
        <v>185.89</v>
      </c>
      <c r="T361" s="6">
        <v>4.5084999999999997</v>
      </c>
      <c r="U361" s="6">
        <v>15835</v>
      </c>
      <c r="V361">
        <f t="shared" si="10"/>
        <v>85.317887931034491</v>
      </c>
      <c r="W361">
        <f t="shared" si="11"/>
        <v>2.2218966666666669E-3</v>
      </c>
    </row>
    <row r="362" spans="1:23" x14ac:dyDescent="0.3">
      <c r="A362" s="6">
        <v>355</v>
      </c>
      <c r="B362" s="6">
        <v>5.9117500000000003E-3</v>
      </c>
      <c r="C362" s="6">
        <v>0.21615899999999999</v>
      </c>
      <c r="D362" s="6">
        <v>36.780500000000004</v>
      </c>
      <c r="E362" s="6">
        <v>36.564399999999999</v>
      </c>
      <c r="F362" s="6">
        <v>-1.0961199999999999E-3</v>
      </c>
      <c r="G362" s="6">
        <v>-1.8852399999999998E-2</v>
      </c>
      <c r="H362" s="6">
        <v>17.180399999999999</v>
      </c>
      <c r="I362" s="6">
        <v>17.199200000000001</v>
      </c>
      <c r="J362" s="6">
        <v>-2.9274399999999999E-3</v>
      </c>
      <c r="K362" s="6">
        <v>-4.2381700000000001E-2</v>
      </c>
      <c r="L362" s="6">
        <v>14.435</v>
      </c>
      <c r="M362" s="6">
        <v>14.477399999999999</v>
      </c>
      <c r="N362" s="6">
        <v>-2.7336399999999999E-3</v>
      </c>
      <c r="O362" s="6">
        <v>-3.7500800000000001E-2</v>
      </c>
      <c r="P362" s="6">
        <v>13.6808</v>
      </c>
      <c r="Q362" s="6">
        <v>13.718299999999999</v>
      </c>
      <c r="R362" s="6">
        <v>186.32499999999999</v>
      </c>
      <c r="S362" s="6">
        <v>186.32599999999999</v>
      </c>
      <c r="T362" s="6">
        <v>4.5269000000000004</v>
      </c>
      <c r="U362" s="6">
        <v>15899.4</v>
      </c>
      <c r="V362">
        <f t="shared" si="10"/>
        <v>85.664870689655174</v>
      </c>
      <c r="W362">
        <f t="shared" si="11"/>
        <v>2.2523999999999999E-3</v>
      </c>
    </row>
    <row r="363" spans="1:23" x14ac:dyDescent="0.3">
      <c r="A363" s="6">
        <v>356</v>
      </c>
      <c r="B363" s="6">
        <v>5.9157400000000001E-3</v>
      </c>
      <c r="C363" s="6">
        <v>0.216305</v>
      </c>
      <c r="D363" s="6">
        <v>36.780700000000003</v>
      </c>
      <c r="E363" s="6">
        <v>36.564399999999999</v>
      </c>
      <c r="F363" s="6">
        <v>-1.1632299999999999E-3</v>
      </c>
      <c r="G363" s="6">
        <v>-2.0006599999999999E-2</v>
      </c>
      <c r="H363" s="6">
        <v>17.179200000000002</v>
      </c>
      <c r="I363" s="6">
        <v>17.199200000000001</v>
      </c>
      <c r="J363" s="6">
        <v>-3.01944E-3</v>
      </c>
      <c r="K363" s="6">
        <v>-4.3713599999999998E-2</v>
      </c>
      <c r="L363" s="6">
        <v>14.4337</v>
      </c>
      <c r="M363" s="6">
        <v>14.477399999999999</v>
      </c>
      <c r="N363" s="6">
        <v>-2.87083E-3</v>
      </c>
      <c r="O363" s="6">
        <v>-3.9382800000000003E-2</v>
      </c>
      <c r="P363" s="6">
        <v>13.678900000000001</v>
      </c>
      <c r="Q363" s="6">
        <v>13.718299999999999</v>
      </c>
      <c r="R363" s="6">
        <v>186.63900000000001</v>
      </c>
      <c r="S363" s="6">
        <v>186.63900000000001</v>
      </c>
      <c r="T363" s="6">
        <v>4.5313999999999997</v>
      </c>
      <c r="U363" s="6">
        <v>15915.2</v>
      </c>
      <c r="V363">
        <f t="shared" si="10"/>
        <v>85.75</v>
      </c>
      <c r="W363">
        <f t="shared" si="11"/>
        <v>2.3511666666666663E-3</v>
      </c>
    </row>
    <row r="364" spans="1:23" x14ac:dyDescent="0.3">
      <c r="A364" s="6">
        <v>357</v>
      </c>
      <c r="B364" s="6">
        <v>5.93971E-3</v>
      </c>
      <c r="C364" s="6">
        <v>0.21718199999999999</v>
      </c>
      <c r="D364" s="6">
        <v>36.781500000000001</v>
      </c>
      <c r="E364" s="6">
        <v>36.564399999999999</v>
      </c>
      <c r="F364" s="6">
        <v>-1.0716600000000001E-3</v>
      </c>
      <c r="G364" s="6">
        <v>-1.8431800000000002E-2</v>
      </c>
      <c r="H364" s="6">
        <v>17.180800000000001</v>
      </c>
      <c r="I364" s="6">
        <v>17.199200000000001</v>
      </c>
      <c r="J364" s="6">
        <v>-2.8878599999999999E-3</v>
      </c>
      <c r="K364" s="6">
        <v>-4.1808699999999997E-2</v>
      </c>
      <c r="L364" s="6">
        <v>14.435600000000001</v>
      </c>
      <c r="M364" s="6">
        <v>14.477399999999999</v>
      </c>
      <c r="N364" s="6">
        <v>-2.7918399999999999E-3</v>
      </c>
      <c r="O364" s="6">
        <v>-3.8299199999999999E-2</v>
      </c>
      <c r="P364" s="6">
        <v>13.68</v>
      </c>
      <c r="Q364" s="6">
        <v>13.718299999999999</v>
      </c>
      <c r="R364" s="6">
        <v>187.137</v>
      </c>
      <c r="S364" s="6">
        <v>187.137</v>
      </c>
      <c r="T364" s="6">
        <v>4.5374999999999996</v>
      </c>
      <c r="U364" s="6">
        <v>15936.7</v>
      </c>
      <c r="V364">
        <f t="shared" si="10"/>
        <v>85.865840517241381</v>
      </c>
      <c r="W364">
        <f t="shared" si="11"/>
        <v>2.2504533333333331E-3</v>
      </c>
    </row>
    <row r="365" spans="1:23" x14ac:dyDescent="0.3">
      <c r="A365" s="6">
        <v>358</v>
      </c>
      <c r="B365" s="6">
        <v>6.0186399999999996E-3</v>
      </c>
      <c r="C365" s="6">
        <v>0.22006800000000001</v>
      </c>
      <c r="D365" s="6">
        <v>36.784399999999998</v>
      </c>
      <c r="E365" s="6">
        <v>36.564399999999999</v>
      </c>
      <c r="F365" s="6">
        <v>-1.05872E-3</v>
      </c>
      <c r="G365" s="6">
        <v>-1.8209199999999998E-2</v>
      </c>
      <c r="H365" s="6">
        <v>17.181000000000001</v>
      </c>
      <c r="I365" s="6">
        <v>17.199200000000001</v>
      </c>
      <c r="J365" s="6">
        <v>-2.9035300000000001E-3</v>
      </c>
      <c r="K365" s="6">
        <v>-4.2035599999999999E-2</v>
      </c>
      <c r="L365" s="6">
        <v>14.4353</v>
      </c>
      <c r="M365" s="6">
        <v>14.477399999999999</v>
      </c>
      <c r="N365" s="6">
        <v>-2.7431600000000001E-3</v>
      </c>
      <c r="O365" s="6">
        <v>-3.7631499999999998E-2</v>
      </c>
      <c r="P365" s="6">
        <v>13.6806</v>
      </c>
      <c r="Q365" s="6">
        <v>13.718299999999999</v>
      </c>
      <c r="R365" s="6">
        <v>187.511</v>
      </c>
      <c r="S365" s="6">
        <v>187.511</v>
      </c>
      <c r="T365" s="6">
        <v>4.5622999999999996</v>
      </c>
      <c r="U365" s="6">
        <v>16023.7</v>
      </c>
      <c r="V365">
        <f t="shared" si="10"/>
        <v>86.334590517241381</v>
      </c>
      <c r="W365">
        <f t="shared" si="11"/>
        <v>2.2351366666666667E-3</v>
      </c>
    </row>
    <row r="366" spans="1:23" x14ac:dyDescent="0.3">
      <c r="A366" s="6">
        <v>359</v>
      </c>
      <c r="B366" s="6">
        <v>5.9677599999999999E-3</v>
      </c>
      <c r="C366" s="6">
        <v>0.21820700000000001</v>
      </c>
      <c r="D366" s="6">
        <v>36.782600000000002</v>
      </c>
      <c r="E366" s="6">
        <v>36.564399999999999</v>
      </c>
      <c r="F366" s="6">
        <v>-1.08077E-3</v>
      </c>
      <c r="G366" s="6">
        <v>-1.8588400000000001E-2</v>
      </c>
      <c r="H366" s="6">
        <v>17.180700000000002</v>
      </c>
      <c r="I366" s="6">
        <v>17.199200000000001</v>
      </c>
      <c r="J366" s="6">
        <v>-2.8734400000000001E-3</v>
      </c>
      <c r="K366" s="6">
        <v>-4.1599900000000002E-2</v>
      </c>
      <c r="L366" s="6">
        <v>14.4358</v>
      </c>
      <c r="M366" s="6">
        <v>14.477399999999999</v>
      </c>
      <c r="N366" s="6">
        <v>-2.7713199999999999E-3</v>
      </c>
      <c r="O366" s="6">
        <v>-3.8017700000000001E-2</v>
      </c>
      <c r="P366" s="6">
        <v>13.680300000000001</v>
      </c>
      <c r="Q366" s="6">
        <v>13.718299999999999</v>
      </c>
      <c r="R366" s="6">
        <v>188.01</v>
      </c>
      <c r="S366" s="6">
        <v>188.01</v>
      </c>
      <c r="T366" s="6">
        <v>4.5854999999999997</v>
      </c>
      <c r="U366" s="6">
        <v>16105.1</v>
      </c>
      <c r="V366">
        <f t="shared" si="10"/>
        <v>86.773168103448285</v>
      </c>
      <c r="W366">
        <f t="shared" si="11"/>
        <v>2.241843333333333E-3</v>
      </c>
    </row>
    <row r="367" spans="1:23" x14ac:dyDescent="0.3">
      <c r="A367" s="6">
        <v>360</v>
      </c>
      <c r="B367" s="6">
        <v>6.0062800000000001E-3</v>
      </c>
      <c r="C367" s="6">
        <v>0.21961600000000001</v>
      </c>
      <c r="D367" s="6">
        <v>36.783999999999999</v>
      </c>
      <c r="E367" s="6">
        <v>36.564399999999999</v>
      </c>
      <c r="F367" s="6">
        <v>-1.0637999999999999E-3</v>
      </c>
      <c r="G367" s="6">
        <v>-1.82966E-2</v>
      </c>
      <c r="H367" s="6">
        <v>17.180900000000001</v>
      </c>
      <c r="I367" s="6">
        <v>17.199200000000001</v>
      </c>
      <c r="J367" s="6">
        <v>-2.89238E-3</v>
      </c>
      <c r="K367" s="6">
        <v>-4.1874099999999997E-2</v>
      </c>
      <c r="L367" s="6">
        <v>14.435499999999999</v>
      </c>
      <c r="M367" s="6">
        <v>14.477399999999999</v>
      </c>
      <c r="N367" s="6">
        <v>-2.8327399999999998E-3</v>
      </c>
      <c r="O367" s="6">
        <v>-3.88603E-2</v>
      </c>
      <c r="P367" s="6">
        <v>13.679399999999999</v>
      </c>
      <c r="Q367" s="6">
        <v>13.718299999999999</v>
      </c>
      <c r="R367" s="6">
        <v>188.32400000000001</v>
      </c>
      <c r="S367" s="6">
        <v>188.32400000000001</v>
      </c>
      <c r="T367" s="6">
        <v>4.5910000000000002</v>
      </c>
      <c r="U367" s="6">
        <v>16124.3</v>
      </c>
      <c r="V367">
        <f t="shared" si="10"/>
        <v>86.876616379310349</v>
      </c>
      <c r="W367">
        <f t="shared" si="11"/>
        <v>2.2629733333333333E-3</v>
      </c>
    </row>
    <row r="368" spans="1:23" x14ac:dyDescent="0.3">
      <c r="A368" s="6">
        <v>361</v>
      </c>
      <c r="B368" s="6">
        <v>6.0742399999999998E-3</v>
      </c>
      <c r="C368" s="6">
        <v>0.22210099999999999</v>
      </c>
      <c r="D368" s="6">
        <v>36.786499999999997</v>
      </c>
      <c r="E368" s="6">
        <v>36.564399999999999</v>
      </c>
      <c r="F368" s="6">
        <v>-9.8604300000000003E-4</v>
      </c>
      <c r="G368" s="6">
        <v>-1.6959200000000001E-2</v>
      </c>
      <c r="H368" s="6">
        <v>17.182300000000001</v>
      </c>
      <c r="I368" s="6">
        <v>17.199200000000001</v>
      </c>
      <c r="J368" s="6">
        <v>-2.8288499999999999E-3</v>
      </c>
      <c r="K368" s="6">
        <v>-4.0954299999999999E-2</v>
      </c>
      <c r="L368" s="6">
        <v>14.436400000000001</v>
      </c>
      <c r="M368" s="6">
        <v>14.477399999999999</v>
      </c>
      <c r="N368" s="6">
        <v>-2.6756900000000001E-3</v>
      </c>
      <c r="O368" s="6">
        <v>-3.67059E-2</v>
      </c>
      <c r="P368" s="6">
        <v>13.6816</v>
      </c>
      <c r="Q368" s="6">
        <v>13.718299999999999</v>
      </c>
      <c r="R368" s="6">
        <v>188.69900000000001</v>
      </c>
      <c r="S368" s="6">
        <v>188.69900000000001</v>
      </c>
      <c r="T368" s="6">
        <v>4.5999999999999996</v>
      </c>
      <c r="U368" s="6">
        <v>16156</v>
      </c>
      <c r="V368">
        <f t="shared" si="10"/>
        <v>87.047413793103445</v>
      </c>
      <c r="W368">
        <f t="shared" si="11"/>
        <v>2.1635276666666665E-3</v>
      </c>
    </row>
    <row r="369" spans="1:23" x14ac:dyDescent="0.3">
      <c r="A369" s="6">
        <v>362</v>
      </c>
      <c r="B369" s="6">
        <v>6.02281E-3</v>
      </c>
      <c r="C369" s="6">
        <v>0.22022</v>
      </c>
      <c r="D369" s="6">
        <v>36.784599999999998</v>
      </c>
      <c r="E369" s="6">
        <v>36.564399999999999</v>
      </c>
      <c r="F369" s="6">
        <v>-1.0820000000000001E-3</v>
      </c>
      <c r="G369" s="6">
        <v>-1.86096E-2</v>
      </c>
      <c r="H369" s="6">
        <v>17.180599999999998</v>
      </c>
      <c r="I369" s="6">
        <v>17.199200000000001</v>
      </c>
      <c r="J369" s="6">
        <v>-3.00593E-3</v>
      </c>
      <c r="K369" s="6">
        <v>-4.3518000000000001E-2</v>
      </c>
      <c r="L369" s="6">
        <v>14.4339</v>
      </c>
      <c r="M369" s="6">
        <v>14.477399999999999</v>
      </c>
      <c r="N369" s="6">
        <v>-2.87047E-3</v>
      </c>
      <c r="O369" s="6">
        <v>-3.9378000000000003E-2</v>
      </c>
      <c r="P369" s="6">
        <v>13.678900000000001</v>
      </c>
      <c r="Q369" s="6">
        <v>13.718299999999999</v>
      </c>
      <c r="R369" s="6">
        <v>189.07300000000001</v>
      </c>
      <c r="S369" s="6">
        <v>189.07300000000001</v>
      </c>
      <c r="T369" s="6">
        <v>4.6036000000000001</v>
      </c>
      <c r="U369" s="6">
        <v>16168.4</v>
      </c>
      <c r="V369">
        <f t="shared" si="10"/>
        <v>87.114224137931032</v>
      </c>
      <c r="W369">
        <f t="shared" si="11"/>
        <v>2.3194666666666668E-3</v>
      </c>
    </row>
    <row r="370" spans="1:23" x14ac:dyDescent="0.3">
      <c r="A370" s="6">
        <v>363</v>
      </c>
      <c r="B370" s="6">
        <v>5.9846700000000001E-3</v>
      </c>
      <c r="C370" s="6">
        <v>0.21882499999999999</v>
      </c>
      <c r="D370" s="6">
        <v>36.783200000000001</v>
      </c>
      <c r="E370" s="6">
        <v>36.564399999999999</v>
      </c>
      <c r="F370" s="6">
        <v>-1.1079200000000001E-3</v>
      </c>
      <c r="G370" s="6">
        <v>-1.90554E-2</v>
      </c>
      <c r="H370" s="6">
        <v>17.180199999999999</v>
      </c>
      <c r="I370" s="6">
        <v>17.199200000000001</v>
      </c>
      <c r="J370" s="6">
        <v>-3.0069599999999999E-3</v>
      </c>
      <c r="K370" s="6">
        <v>-4.3532899999999999E-2</v>
      </c>
      <c r="L370" s="6">
        <v>14.4338</v>
      </c>
      <c r="M370" s="6">
        <v>14.477399999999999</v>
      </c>
      <c r="N370" s="6">
        <v>-2.92954E-3</v>
      </c>
      <c r="O370" s="6">
        <v>-4.01882E-2</v>
      </c>
      <c r="P370" s="6">
        <v>13.678100000000001</v>
      </c>
      <c r="Q370" s="6">
        <v>13.718299999999999</v>
      </c>
      <c r="R370" s="6">
        <v>189.50899999999999</v>
      </c>
      <c r="S370" s="6">
        <v>189.50899999999999</v>
      </c>
      <c r="T370" s="6">
        <v>4.6228999999999996</v>
      </c>
      <c r="U370" s="6">
        <v>16236.2</v>
      </c>
      <c r="V370">
        <f t="shared" si="10"/>
        <v>87.479525862068968</v>
      </c>
      <c r="W370">
        <f t="shared" si="11"/>
        <v>2.3481399999999999E-3</v>
      </c>
    </row>
    <row r="371" spans="1:23" x14ac:dyDescent="0.3">
      <c r="A371" s="6">
        <v>364</v>
      </c>
      <c r="B371" s="6">
        <v>6.0922299999999997E-3</v>
      </c>
      <c r="C371" s="6">
        <v>0.22275800000000001</v>
      </c>
      <c r="D371" s="6">
        <v>36.787100000000002</v>
      </c>
      <c r="E371" s="6">
        <v>36.564399999999999</v>
      </c>
      <c r="F371" s="6">
        <v>-1.17745E-3</v>
      </c>
      <c r="G371" s="6">
        <v>-2.02512E-2</v>
      </c>
      <c r="H371" s="6">
        <v>17.178999999999998</v>
      </c>
      <c r="I371" s="6">
        <v>17.199200000000001</v>
      </c>
      <c r="J371" s="6">
        <v>-3.0085099999999998E-3</v>
      </c>
      <c r="K371" s="6">
        <v>-4.3555400000000001E-2</v>
      </c>
      <c r="L371" s="6">
        <v>14.4338</v>
      </c>
      <c r="M371" s="6">
        <v>14.477399999999999</v>
      </c>
      <c r="N371" s="6">
        <v>-2.78918E-3</v>
      </c>
      <c r="O371" s="6">
        <v>-3.8262699999999997E-2</v>
      </c>
      <c r="P371" s="6">
        <v>13.68</v>
      </c>
      <c r="Q371" s="6">
        <v>13.718299999999999</v>
      </c>
      <c r="R371" s="6">
        <v>189.88399999999999</v>
      </c>
      <c r="S371" s="6">
        <v>189.88399999999999</v>
      </c>
      <c r="T371" s="6">
        <v>4.6332000000000004</v>
      </c>
      <c r="U371" s="6">
        <v>16272.4</v>
      </c>
      <c r="V371">
        <f t="shared" si="10"/>
        <v>87.674568965517238</v>
      </c>
      <c r="W371">
        <f t="shared" si="11"/>
        <v>2.3250466666666666E-3</v>
      </c>
    </row>
    <row r="372" spans="1:23" x14ac:dyDescent="0.3">
      <c r="A372" s="6">
        <v>365</v>
      </c>
      <c r="B372" s="6">
        <v>6.0254200000000001E-3</v>
      </c>
      <c r="C372" s="6">
        <v>0.22031600000000001</v>
      </c>
      <c r="D372" s="6">
        <v>36.784700000000001</v>
      </c>
      <c r="E372" s="6">
        <v>36.564399999999999</v>
      </c>
      <c r="F372" s="6">
        <v>-1.1422100000000001E-3</v>
      </c>
      <c r="G372" s="6">
        <v>-1.9645099999999999E-2</v>
      </c>
      <c r="H372" s="6">
        <v>17.179600000000001</v>
      </c>
      <c r="I372" s="6">
        <v>17.199200000000001</v>
      </c>
      <c r="J372" s="6">
        <v>-3.02017E-3</v>
      </c>
      <c r="K372" s="6">
        <v>-4.3724199999999998E-2</v>
      </c>
      <c r="L372" s="6">
        <v>14.4337</v>
      </c>
      <c r="M372" s="6">
        <v>14.477399999999999</v>
      </c>
      <c r="N372" s="6">
        <v>-2.87769E-3</v>
      </c>
      <c r="O372" s="6">
        <v>-3.9476900000000002E-2</v>
      </c>
      <c r="P372" s="6">
        <v>13.678800000000001</v>
      </c>
      <c r="Q372" s="6">
        <v>13.718299999999999</v>
      </c>
      <c r="R372" s="6">
        <v>190.38300000000001</v>
      </c>
      <c r="S372" s="6">
        <v>190.38300000000001</v>
      </c>
      <c r="T372" s="6">
        <v>4.6535000000000002</v>
      </c>
      <c r="U372" s="6">
        <v>16343.6</v>
      </c>
      <c r="V372">
        <f t="shared" si="10"/>
        <v>88.058189655172413</v>
      </c>
      <c r="W372">
        <f t="shared" si="11"/>
        <v>2.3466900000000002E-3</v>
      </c>
    </row>
    <row r="373" spans="1:23" x14ac:dyDescent="0.3">
      <c r="A373" s="6">
        <v>366</v>
      </c>
      <c r="B373" s="6">
        <v>6.0597999999999997E-3</v>
      </c>
      <c r="C373" s="6">
        <v>0.22157299999999999</v>
      </c>
      <c r="D373" s="6">
        <v>36.785899999999998</v>
      </c>
      <c r="E373" s="6">
        <v>36.564399999999999</v>
      </c>
      <c r="F373" s="6">
        <v>-1.0696900000000001E-3</v>
      </c>
      <c r="G373" s="6">
        <v>-1.8397899999999998E-2</v>
      </c>
      <c r="H373" s="6">
        <v>17.180800000000001</v>
      </c>
      <c r="I373" s="6">
        <v>17.199200000000001</v>
      </c>
      <c r="J373" s="6">
        <v>-2.96211E-3</v>
      </c>
      <c r="K373" s="6">
        <v>-4.2883600000000001E-2</v>
      </c>
      <c r="L373" s="6">
        <v>14.4345</v>
      </c>
      <c r="M373" s="6">
        <v>14.477399999999999</v>
      </c>
      <c r="N373" s="6">
        <v>-2.81088E-3</v>
      </c>
      <c r="O373" s="6">
        <v>-3.8560400000000002E-2</v>
      </c>
      <c r="P373" s="6">
        <v>13.6797</v>
      </c>
      <c r="Q373" s="6">
        <v>13.718299999999999</v>
      </c>
      <c r="R373" s="6">
        <v>190.571</v>
      </c>
      <c r="S373" s="6">
        <v>190.571</v>
      </c>
      <c r="T373" s="6">
        <v>4.6551999999999998</v>
      </c>
      <c r="U373" s="6">
        <v>16349.2</v>
      </c>
      <c r="V373">
        <f t="shared" si="10"/>
        <v>88.088362068965523</v>
      </c>
      <c r="W373">
        <f t="shared" si="11"/>
        <v>2.2808933333333336E-3</v>
      </c>
    </row>
    <row r="374" spans="1:23" x14ac:dyDescent="0.3">
      <c r="A374" s="6">
        <v>367</v>
      </c>
      <c r="B374" s="6">
        <v>6.0660599999999999E-3</v>
      </c>
      <c r="C374" s="6">
        <v>0.221802</v>
      </c>
      <c r="D374" s="6">
        <v>36.786200000000001</v>
      </c>
      <c r="E374" s="6">
        <v>36.564399999999999</v>
      </c>
      <c r="F374" s="6">
        <v>-1.12952E-3</v>
      </c>
      <c r="G374" s="6">
        <v>-1.94269E-2</v>
      </c>
      <c r="H374" s="6">
        <v>17.1798</v>
      </c>
      <c r="I374" s="6">
        <v>17.199200000000001</v>
      </c>
      <c r="J374" s="6">
        <v>-3.0160899999999999E-3</v>
      </c>
      <c r="K374" s="6">
        <v>-4.3665099999999998E-2</v>
      </c>
      <c r="L374" s="6">
        <v>14.4337</v>
      </c>
      <c r="M374" s="6">
        <v>14.477399999999999</v>
      </c>
      <c r="N374" s="6">
        <v>-2.9326899999999999E-3</v>
      </c>
      <c r="O374" s="6">
        <v>-4.02314E-2</v>
      </c>
      <c r="P374" s="6">
        <v>13.678100000000001</v>
      </c>
      <c r="Q374" s="6">
        <v>13.718299999999999</v>
      </c>
      <c r="R374" s="6">
        <v>191.07</v>
      </c>
      <c r="S374" s="6">
        <v>191.07</v>
      </c>
      <c r="T374" s="6">
        <v>4.6745000000000001</v>
      </c>
      <c r="U374" s="6">
        <v>16417.099999999999</v>
      </c>
      <c r="V374">
        <f t="shared" si="10"/>
        <v>88.45420258620689</v>
      </c>
      <c r="W374">
        <f t="shared" si="11"/>
        <v>2.3594333333333333E-3</v>
      </c>
    </row>
    <row r="375" spans="1:23" x14ac:dyDescent="0.3">
      <c r="A375" s="6">
        <v>368</v>
      </c>
      <c r="B375" s="6">
        <v>6.0814399999999996E-3</v>
      </c>
      <c r="C375" s="6">
        <v>0.22236400000000001</v>
      </c>
      <c r="D375" s="6">
        <v>36.786700000000003</v>
      </c>
      <c r="E375" s="6">
        <v>36.564399999999999</v>
      </c>
      <c r="F375" s="6">
        <v>-1.1896400000000001E-3</v>
      </c>
      <c r="G375" s="6">
        <v>-2.0460900000000001E-2</v>
      </c>
      <c r="H375" s="6">
        <v>17.178799999999999</v>
      </c>
      <c r="I375" s="6">
        <v>17.199200000000001</v>
      </c>
      <c r="J375" s="6">
        <v>-3.0886099999999999E-3</v>
      </c>
      <c r="K375" s="6">
        <v>-4.4714999999999998E-2</v>
      </c>
      <c r="L375" s="6">
        <v>14.432700000000001</v>
      </c>
      <c r="M375" s="6">
        <v>14.477399999999999</v>
      </c>
      <c r="N375" s="6">
        <v>-2.8626400000000001E-3</v>
      </c>
      <c r="O375" s="6">
        <v>-3.92705E-2</v>
      </c>
      <c r="P375" s="6">
        <v>13.679</v>
      </c>
      <c r="Q375" s="6">
        <v>13.718299999999999</v>
      </c>
      <c r="R375" s="6">
        <v>191.50399999999999</v>
      </c>
      <c r="S375" s="6">
        <v>191.50399999999999</v>
      </c>
      <c r="T375" s="6">
        <v>4.6886999999999999</v>
      </c>
      <c r="U375" s="6">
        <v>16466.8</v>
      </c>
      <c r="V375">
        <f t="shared" si="10"/>
        <v>88.721982758620683</v>
      </c>
      <c r="W375">
        <f t="shared" si="11"/>
        <v>2.3802966666666668E-3</v>
      </c>
    </row>
    <row r="376" spans="1:23" x14ac:dyDescent="0.3">
      <c r="A376" s="6">
        <v>369</v>
      </c>
      <c r="B376" s="6">
        <v>6.16959E-3</v>
      </c>
      <c r="C376" s="6">
        <v>0.22558700000000001</v>
      </c>
      <c r="D376" s="6">
        <v>36.789900000000003</v>
      </c>
      <c r="E376" s="6">
        <v>36.564399999999999</v>
      </c>
      <c r="F376" s="6">
        <v>-1.0625999999999999E-3</v>
      </c>
      <c r="G376" s="6">
        <v>-1.8276000000000001E-2</v>
      </c>
      <c r="H376" s="6">
        <v>17.181000000000001</v>
      </c>
      <c r="I376" s="6">
        <v>17.199200000000001</v>
      </c>
      <c r="J376" s="6">
        <v>-2.9871400000000001E-3</v>
      </c>
      <c r="K376" s="6">
        <v>-4.3245899999999997E-2</v>
      </c>
      <c r="L376" s="6">
        <v>14.434100000000001</v>
      </c>
      <c r="M376" s="6">
        <v>14.477399999999999</v>
      </c>
      <c r="N376" s="6">
        <v>-2.93852E-3</v>
      </c>
      <c r="O376" s="6">
        <v>-4.0311399999999997E-2</v>
      </c>
      <c r="P376" s="6">
        <v>13.678000000000001</v>
      </c>
      <c r="Q376" s="6">
        <v>13.718299999999999</v>
      </c>
      <c r="R376" s="6">
        <v>191.941</v>
      </c>
      <c r="S376" s="6">
        <v>191.941</v>
      </c>
      <c r="T376" s="6">
        <v>4.6989999999999998</v>
      </c>
      <c r="U376" s="6">
        <v>16503</v>
      </c>
      <c r="V376">
        <f t="shared" si="10"/>
        <v>88.917025862068968</v>
      </c>
      <c r="W376">
        <f t="shared" si="11"/>
        <v>2.32942E-3</v>
      </c>
    </row>
    <row r="377" spans="1:23" x14ac:dyDescent="0.3">
      <c r="A377" s="6">
        <v>370</v>
      </c>
      <c r="B377" s="6">
        <v>6.1760799999999996E-3</v>
      </c>
      <c r="C377" s="6">
        <v>0.225824</v>
      </c>
      <c r="D377" s="6">
        <v>36.790199999999999</v>
      </c>
      <c r="E377" s="6">
        <v>36.564399999999999</v>
      </c>
      <c r="F377" s="6">
        <v>-1.1742499999999999E-3</v>
      </c>
      <c r="G377" s="6">
        <v>-2.0196200000000001E-2</v>
      </c>
      <c r="H377" s="6">
        <v>17.178999999999998</v>
      </c>
      <c r="I377" s="6">
        <v>17.199200000000001</v>
      </c>
      <c r="J377" s="6">
        <v>-3.03323E-3</v>
      </c>
      <c r="K377" s="6">
        <v>-4.3913099999999997E-2</v>
      </c>
      <c r="L377" s="6">
        <v>14.4335</v>
      </c>
      <c r="M377" s="6">
        <v>14.477399999999999</v>
      </c>
      <c r="N377" s="6">
        <v>-2.90785E-3</v>
      </c>
      <c r="O377" s="6">
        <v>-3.9890599999999998E-2</v>
      </c>
      <c r="P377" s="6">
        <v>13.6784</v>
      </c>
      <c r="Q377" s="6">
        <v>13.718299999999999</v>
      </c>
      <c r="R377" s="6">
        <v>192.25299999999999</v>
      </c>
      <c r="S377" s="6">
        <v>192.25299999999999</v>
      </c>
      <c r="T377" s="6">
        <v>4.7134999999999998</v>
      </c>
      <c r="U377" s="6">
        <v>16553.8</v>
      </c>
      <c r="V377">
        <f t="shared" si="10"/>
        <v>89.190732758620683</v>
      </c>
      <c r="W377">
        <f t="shared" si="11"/>
        <v>2.3717766666666667E-3</v>
      </c>
    </row>
    <row r="378" spans="1:23" x14ac:dyDescent="0.3">
      <c r="A378" s="6">
        <v>371</v>
      </c>
      <c r="B378" s="6">
        <v>6.0708999999999997E-3</v>
      </c>
      <c r="C378" s="6">
        <v>0.22197800000000001</v>
      </c>
      <c r="D378" s="6">
        <v>36.786299999999997</v>
      </c>
      <c r="E378" s="6">
        <v>36.564399999999999</v>
      </c>
      <c r="F378" s="6">
        <v>-1.1554600000000001E-3</v>
      </c>
      <c r="G378" s="6">
        <v>-1.9872999999999998E-2</v>
      </c>
      <c r="H378" s="6">
        <v>17.179400000000001</v>
      </c>
      <c r="I378" s="6">
        <v>17.199200000000001</v>
      </c>
      <c r="J378" s="6">
        <v>-3.0141299999999998E-3</v>
      </c>
      <c r="K378" s="6">
        <v>-4.3636599999999998E-2</v>
      </c>
      <c r="L378" s="6">
        <v>14.4337</v>
      </c>
      <c r="M378" s="6">
        <v>14.477399999999999</v>
      </c>
      <c r="N378" s="6">
        <v>-2.9246300000000001E-3</v>
      </c>
      <c r="O378" s="6">
        <v>-4.0120900000000001E-2</v>
      </c>
      <c r="P378" s="6">
        <v>13.6782</v>
      </c>
      <c r="Q378" s="6">
        <v>13.718299999999999</v>
      </c>
      <c r="R378" s="6">
        <v>192.69</v>
      </c>
      <c r="S378" s="6">
        <v>192.69</v>
      </c>
      <c r="T378" s="6">
        <v>4.7251000000000003</v>
      </c>
      <c r="U378" s="6">
        <v>16594.5</v>
      </c>
      <c r="V378">
        <f t="shared" si="10"/>
        <v>89.410021551724142</v>
      </c>
      <c r="W378">
        <f t="shared" si="11"/>
        <v>2.3647400000000002E-3</v>
      </c>
    </row>
    <row r="379" spans="1:23" x14ac:dyDescent="0.3">
      <c r="A379" s="6">
        <v>372</v>
      </c>
      <c r="B379" s="6">
        <v>6.1654300000000004E-3</v>
      </c>
      <c r="C379" s="6">
        <v>0.225435</v>
      </c>
      <c r="D379" s="6">
        <v>36.7898</v>
      </c>
      <c r="E379" s="6">
        <v>36.564399999999999</v>
      </c>
      <c r="F379" s="6">
        <v>-1.13638E-3</v>
      </c>
      <c r="G379" s="6">
        <v>-1.9544800000000001E-2</v>
      </c>
      <c r="H379" s="6">
        <v>17.1797</v>
      </c>
      <c r="I379" s="6">
        <v>17.199200000000001</v>
      </c>
      <c r="J379" s="6">
        <v>-3.0499500000000001E-3</v>
      </c>
      <c r="K379" s="6">
        <v>-4.4155300000000001E-2</v>
      </c>
      <c r="L379" s="6">
        <v>14.433199999999999</v>
      </c>
      <c r="M379" s="6">
        <v>14.477399999999999</v>
      </c>
      <c r="N379" s="6">
        <v>-2.89091E-3</v>
      </c>
      <c r="O379" s="6">
        <v>-3.96583E-2</v>
      </c>
      <c r="P379" s="6">
        <v>13.678599999999999</v>
      </c>
      <c r="Q379" s="6">
        <v>13.718299999999999</v>
      </c>
      <c r="R379" s="6">
        <v>193.50200000000001</v>
      </c>
      <c r="S379" s="6">
        <v>193.50200000000001</v>
      </c>
      <c r="T379" s="6">
        <v>4.7417999999999996</v>
      </c>
      <c r="U379" s="6">
        <v>16653.3</v>
      </c>
      <c r="V379">
        <f t="shared" si="10"/>
        <v>89.72683189655173</v>
      </c>
      <c r="W379">
        <f t="shared" si="11"/>
        <v>2.3590799999999999E-3</v>
      </c>
    </row>
    <row r="380" spans="1:23" x14ac:dyDescent="0.3">
      <c r="A380" s="6">
        <v>373</v>
      </c>
      <c r="B380" s="6">
        <v>6.2217699999999997E-3</v>
      </c>
      <c r="C380" s="6">
        <v>0.227495</v>
      </c>
      <c r="D380" s="6">
        <v>36.791899999999998</v>
      </c>
      <c r="E380" s="6">
        <v>36.564399999999999</v>
      </c>
      <c r="F380" s="6">
        <v>-1.1868600000000001E-3</v>
      </c>
      <c r="G380" s="6">
        <v>-2.0413199999999999E-2</v>
      </c>
      <c r="H380" s="6">
        <v>17.178799999999999</v>
      </c>
      <c r="I380" s="6">
        <v>17.199200000000001</v>
      </c>
      <c r="J380" s="6">
        <v>-3.12481E-3</v>
      </c>
      <c r="K380" s="6">
        <v>-4.5239000000000001E-2</v>
      </c>
      <c r="L380" s="6">
        <v>14.4321</v>
      </c>
      <c r="M380" s="6">
        <v>14.477399999999999</v>
      </c>
      <c r="N380" s="6">
        <v>-2.9661900000000001E-3</v>
      </c>
      <c r="O380" s="6">
        <v>-4.0691100000000001E-2</v>
      </c>
      <c r="P380" s="6">
        <v>13.6776</v>
      </c>
      <c r="Q380" s="6">
        <v>13.718299999999999</v>
      </c>
      <c r="R380" s="6">
        <v>193.93899999999999</v>
      </c>
      <c r="S380" s="6">
        <v>193.93899999999999</v>
      </c>
      <c r="T380" s="6">
        <v>4.7557</v>
      </c>
      <c r="U380" s="6">
        <v>16701.900000000001</v>
      </c>
      <c r="V380">
        <f t="shared" si="10"/>
        <v>89.988685344827601</v>
      </c>
      <c r="W380">
        <f t="shared" si="11"/>
        <v>2.4259533333333334E-3</v>
      </c>
    </row>
    <row r="381" spans="1:23" x14ac:dyDescent="0.3">
      <c r="A381" s="6">
        <v>374</v>
      </c>
      <c r="B381" s="6">
        <v>6.2307999999999999E-3</v>
      </c>
      <c r="C381" s="6">
        <v>0.227825</v>
      </c>
      <c r="D381" s="6">
        <v>36.792200000000001</v>
      </c>
      <c r="E381" s="6">
        <v>36.564399999999999</v>
      </c>
      <c r="F381" s="6">
        <v>-1.14843E-3</v>
      </c>
      <c r="G381" s="6">
        <v>-1.9752100000000002E-2</v>
      </c>
      <c r="H381" s="6">
        <v>17.179500000000001</v>
      </c>
      <c r="I381" s="6">
        <v>17.199200000000001</v>
      </c>
      <c r="J381" s="6">
        <v>-3.03506E-3</v>
      </c>
      <c r="K381" s="6">
        <v>-4.3939699999999998E-2</v>
      </c>
      <c r="L381" s="6">
        <v>14.433400000000001</v>
      </c>
      <c r="M381" s="6">
        <v>14.477399999999999</v>
      </c>
      <c r="N381" s="6">
        <v>-2.9215999999999999E-3</v>
      </c>
      <c r="O381" s="6">
        <v>-4.0079299999999998E-2</v>
      </c>
      <c r="P381" s="6">
        <v>13.6782</v>
      </c>
      <c r="Q381" s="6">
        <v>13.718299999999999</v>
      </c>
      <c r="R381" s="6">
        <v>194.31399999999999</v>
      </c>
      <c r="S381" s="6">
        <v>194.31399999999999</v>
      </c>
      <c r="T381" s="6">
        <v>4.7695999999999996</v>
      </c>
      <c r="U381" s="6">
        <v>16750.5</v>
      </c>
      <c r="V381">
        <f t="shared" si="10"/>
        <v>90.250538793103445</v>
      </c>
      <c r="W381">
        <f t="shared" si="11"/>
        <v>2.3683633333333332E-3</v>
      </c>
    </row>
    <row r="382" spans="1:23" x14ac:dyDescent="0.3">
      <c r="A382" s="6">
        <v>375</v>
      </c>
      <c r="B382" s="6">
        <v>6.2429399999999998E-3</v>
      </c>
      <c r="C382" s="6">
        <v>0.228269</v>
      </c>
      <c r="D382" s="6">
        <v>36.7926</v>
      </c>
      <c r="E382" s="6">
        <v>36.564399999999999</v>
      </c>
      <c r="F382" s="6">
        <v>-1.1706399999999999E-3</v>
      </c>
      <c r="G382" s="6">
        <v>-2.0133999999999999E-2</v>
      </c>
      <c r="H382" s="6">
        <v>17.179099999999998</v>
      </c>
      <c r="I382" s="6">
        <v>17.199200000000001</v>
      </c>
      <c r="J382" s="6">
        <v>-3.1470000000000001E-3</v>
      </c>
      <c r="K382" s="6">
        <v>-4.5560299999999998E-2</v>
      </c>
      <c r="L382" s="6">
        <v>14.431800000000001</v>
      </c>
      <c r="M382" s="6">
        <v>14.477399999999999</v>
      </c>
      <c r="N382" s="6">
        <v>-2.9770199999999999E-3</v>
      </c>
      <c r="O382" s="6">
        <v>-4.08397E-2</v>
      </c>
      <c r="P382" s="6">
        <v>13.6774</v>
      </c>
      <c r="Q382" s="6">
        <v>13.718299999999999</v>
      </c>
      <c r="R382" s="6">
        <v>194.751</v>
      </c>
      <c r="S382" s="6">
        <v>194.751</v>
      </c>
      <c r="T382" s="6">
        <v>4.7775999999999996</v>
      </c>
      <c r="U382" s="6">
        <v>16778.7</v>
      </c>
      <c r="V382">
        <f t="shared" si="10"/>
        <v>90.402478448275872</v>
      </c>
      <c r="W382">
        <f t="shared" si="11"/>
        <v>2.4315533333333331E-3</v>
      </c>
    </row>
    <row r="383" spans="1:23" x14ac:dyDescent="0.3">
      <c r="A383" s="6">
        <v>376</v>
      </c>
      <c r="B383" s="6">
        <v>6.2208799999999998E-3</v>
      </c>
      <c r="C383" s="6">
        <v>0.227462</v>
      </c>
      <c r="D383" s="6">
        <v>36.791800000000002</v>
      </c>
      <c r="E383" s="6">
        <v>36.564399999999999</v>
      </c>
      <c r="F383" s="6">
        <v>-1.17E-3</v>
      </c>
      <c r="G383" s="6">
        <v>-2.0123200000000001E-2</v>
      </c>
      <c r="H383" s="6">
        <v>17.179099999999998</v>
      </c>
      <c r="I383" s="6">
        <v>17.199200000000001</v>
      </c>
      <c r="J383" s="6">
        <v>-3.0885399999999999E-3</v>
      </c>
      <c r="K383" s="6">
        <v>-4.4713999999999997E-2</v>
      </c>
      <c r="L383" s="6">
        <v>14.432700000000001</v>
      </c>
      <c r="M383" s="6">
        <v>14.477399999999999</v>
      </c>
      <c r="N383" s="6">
        <v>-2.9328599999999998E-3</v>
      </c>
      <c r="O383" s="6">
        <v>-4.02338E-2</v>
      </c>
      <c r="P383" s="6">
        <v>13.678000000000001</v>
      </c>
      <c r="Q383" s="6">
        <v>13.718299999999999</v>
      </c>
      <c r="R383" s="6">
        <v>195.06100000000001</v>
      </c>
      <c r="S383" s="6">
        <v>195.06100000000001</v>
      </c>
      <c r="T383" s="6">
        <v>4.7869999999999999</v>
      </c>
      <c r="U383" s="6">
        <v>16811.5</v>
      </c>
      <c r="V383">
        <f t="shared" si="10"/>
        <v>90.579202586206904</v>
      </c>
      <c r="W383">
        <f t="shared" si="11"/>
        <v>2.3971333333333332E-3</v>
      </c>
    </row>
    <row r="384" spans="1:23" x14ac:dyDescent="0.3">
      <c r="A384" s="6">
        <v>377</v>
      </c>
      <c r="B384" s="6">
        <v>6.3273699999999997E-3</v>
      </c>
      <c r="C384" s="6">
        <v>0.23135600000000001</v>
      </c>
      <c r="D384" s="6">
        <v>36.795699999999997</v>
      </c>
      <c r="E384" s="6">
        <v>36.564399999999999</v>
      </c>
      <c r="F384" s="6">
        <v>-1.1972300000000001E-3</v>
      </c>
      <c r="G384" s="6">
        <v>-2.0591499999999999E-2</v>
      </c>
      <c r="H384" s="6">
        <v>17.178599999999999</v>
      </c>
      <c r="I384" s="6">
        <v>17.199200000000001</v>
      </c>
      <c r="J384" s="6">
        <v>-3.13248E-3</v>
      </c>
      <c r="K384" s="6">
        <v>-4.5350099999999997E-2</v>
      </c>
      <c r="L384" s="6">
        <v>14.432</v>
      </c>
      <c r="M384" s="6">
        <v>14.477399999999999</v>
      </c>
      <c r="N384" s="6">
        <v>-2.9410299999999999E-3</v>
      </c>
      <c r="O384" s="6">
        <v>-4.0345899999999997E-2</v>
      </c>
      <c r="P384" s="6">
        <v>13.677899999999999</v>
      </c>
      <c r="Q384" s="6">
        <v>13.718299999999999</v>
      </c>
      <c r="R384" s="6">
        <v>195.24799999999999</v>
      </c>
      <c r="S384" s="6">
        <v>195.24799999999999</v>
      </c>
      <c r="T384" s="6">
        <v>4.7937000000000003</v>
      </c>
      <c r="U384" s="6">
        <v>16835.3</v>
      </c>
      <c r="V384">
        <f t="shared" si="10"/>
        <v>90.707435344827587</v>
      </c>
      <c r="W384">
        <f t="shared" si="11"/>
        <v>2.4235800000000003E-3</v>
      </c>
    </row>
    <row r="385" spans="1:23" x14ac:dyDescent="0.3">
      <c r="A385" s="6">
        <v>378</v>
      </c>
      <c r="B385" s="6">
        <v>6.34849E-3</v>
      </c>
      <c r="C385" s="6">
        <v>0.232129</v>
      </c>
      <c r="D385" s="6">
        <v>36.796500000000002</v>
      </c>
      <c r="E385" s="6">
        <v>36.564399999999999</v>
      </c>
      <c r="F385" s="6">
        <v>-1.2175E-3</v>
      </c>
      <c r="G385" s="6">
        <v>-2.09401E-2</v>
      </c>
      <c r="H385" s="6">
        <v>17.1783</v>
      </c>
      <c r="I385" s="6">
        <v>17.199200000000001</v>
      </c>
      <c r="J385" s="6">
        <v>-3.1387400000000001E-3</v>
      </c>
      <c r="K385" s="6">
        <v>-4.5440700000000001E-2</v>
      </c>
      <c r="L385" s="6">
        <v>14.431900000000001</v>
      </c>
      <c r="M385" s="6">
        <v>14.477399999999999</v>
      </c>
      <c r="N385" s="6">
        <v>-2.9182399999999999E-3</v>
      </c>
      <c r="O385" s="6">
        <v>-4.0033199999999998E-2</v>
      </c>
      <c r="P385" s="6">
        <v>13.6782</v>
      </c>
      <c r="Q385" s="6">
        <v>13.718299999999999</v>
      </c>
      <c r="R385" s="6">
        <v>195.874</v>
      </c>
      <c r="S385" s="6">
        <v>195.874</v>
      </c>
      <c r="T385" s="6">
        <v>4.8169000000000004</v>
      </c>
      <c r="U385" s="6">
        <v>16916.599999999999</v>
      </c>
      <c r="V385">
        <f t="shared" si="10"/>
        <v>91.145474137931032</v>
      </c>
      <c r="W385">
        <f t="shared" si="11"/>
        <v>2.4248266666666665E-3</v>
      </c>
    </row>
    <row r="386" spans="1:23" x14ac:dyDescent="0.3">
      <c r="A386" s="6">
        <v>379</v>
      </c>
      <c r="B386" s="6">
        <v>6.3220400000000001E-3</v>
      </c>
      <c r="C386" s="6">
        <v>0.23116100000000001</v>
      </c>
      <c r="D386" s="6">
        <v>36.795499999999997</v>
      </c>
      <c r="E386" s="6">
        <v>36.564399999999999</v>
      </c>
      <c r="F386" s="6">
        <v>-1.23672E-3</v>
      </c>
      <c r="G386" s="6">
        <v>-2.1270600000000001E-2</v>
      </c>
      <c r="H386" s="6">
        <v>17.178000000000001</v>
      </c>
      <c r="I386" s="6">
        <v>17.199200000000001</v>
      </c>
      <c r="J386" s="6">
        <v>-3.17359E-3</v>
      </c>
      <c r="K386" s="6">
        <v>-4.5945199999999999E-2</v>
      </c>
      <c r="L386" s="6">
        <v>14.4314</v>
      </c>
      <c r="M386" s="6">
        <v>14.477399999999999</v>
      </c>
      <c r="N386" s="6">
        <v>-3.0108800000000001E-3</v>
      </c>
      <c r="O386" s="6">
        <v>-4.1304100000000003E-2</v>
      </c>
      <c r="P386" s="6">
        <v>13.677</v>
      </c>
      <c r="Q386" s="6">
        <v>13.718299999999999</v>
      </c>
      <c r="R386" s="6">
        <v>196.249</v>
      </c>
      <c r="S386" s="6">
        <v>196.249</v>
      </c>
      <c r="T386" s="6">
        <v>4.8339999999999996</v>
      </c>
      <c r="U386" s="6">
        <v>16976.5</v>
      </c>
      <c r="V386">
        <f t="shared" si="10"/>
        <v>91.468211206896555</v>
      </c>
      <c r="W386">
        <f t="shared" si="11"/>
        <v>2.4737299999999999E-3</v>
      </c>
    </row>
    <row r="387" spans="1:23" x14ac:dyDescent="0.3">
      <c r="A387" s="6">
        <v>380</v>
      </c>
      <c r="B387" s="6">
        <v>6.3464400000000001E-3</v>
      </c>
      <c r="C387" s="6">
        <v>0.23205400000000001</v>
      </c>
      <c r="D387" s="6">
        <v>36.796399999999998</v>
      </c>
      <c r="E387" s="6">
        <v>36.564399999999999</v>
      </c>
      <c r="F387" s="6">
        <v>-1.2495799999999999E-3</v>
      </c>
      <c r="G387" s="6">
        <v>-2.1491799999999998E-2</v>
      </c>
      <c r="H387" s="6">
        <v>17.177700000000002</v>
      </c>
      <c r="I387" s="6">
        <v>17.199200000000001</v>
      </c>
      <c r="J387" s="6">
        <v>-3.19498E-3</v>
      </c>
      <c r="K387" s="6">
        <v>-4.6254999999999998E-2</v>
      </c>
      <c r="L387" s="6">
        <v>14.431100000000001</v>
      </c>
      <c r="M387" s="6">
        <v>14.477399999999999</v>
      </c>
      <c r="N387" s="6">
        <v>-3.0259100000000001E-3</v>
      </c>
      <c r="O387" s="6">
        <v>-4.1510199999999997E-2</v>
      </c>
      <c r="P387" s="6">
        <v>13.6768</v>
      </c>
      <c r="Q387" s="6">
        <v>13.718299999999999</v>
      </c>
      <c r="R387" s="6">
        <v>196.68299999999999</v>
      </c>
      <c r="S387" s="6">
        <v>196.68299999999999</v>
      </c>
      <c r="T387" s="6">
        <v>4.8414000000000001</v>
      </c>
      <c r="U387" s="6">
        <v>17002.5</v>
      </c>
      <c r="V387">
        <f t="shared" si="10"/>
        <v>91.60829741379311</v>
      </c>
      <c r="W387">
        <f t="shared" si="11"/>
        <v>2.4901566666666666E-3</v>
      </c>
    </row>
    <row r="388" spans="1:23" x14ac:dyDescent="0.3">
      <c r="A388" s="6">
        <v>381</v>
      </c>
      <c r="B388" s="6">
        <v>6.3515899999999998E-3</v>
      </c>
      <c r="C388" s="6">
        <v>0.232242</v>
      </c>
      <c r="D388" s="6">
        <v>36.796599999999998</v>
      </c>
      <c r="E388" s="6">
        <v>36.564399999999999</v>
      </c>
      <c r="F388" s="6">
        <v>-1.2727000000000001E-3</v>
      </c>
      <c r="G388" s="6">
        <v>-2.1889499999999999E-2</v>
      </c>
      <c r="H388" s="6">
        <v>17.177399999999999</v>
      </c>
      <c r="I388" s="6">
        <v>17.199200000000001</v>
      </c>
      <c r="J388" s="6">
        <v>-3.2323400000000002E-3</v>
      </c>
      <c r="K388" s="6">
        <v>-4.6795900000000001E-2</v>
      </c>
      <c r="L388" s="6">
        <v>14.4306</v>
      </c>
      <c r="M388" s="6">
        <v>14.477399999999999</v>
      </c>
      <c r="N388" s="6">
        <v>-3.0933200000000001E-3</v>
      </c>
      <c r="O388" s="6">
        <v>-4.2435E-2</v>
      </c>
      <c r="P388" s="6">
        <v>13.675800000000001</v>
      </c>
      <c r="Q388" s="6">
        <v>13.718299999999999</v>
      </c>
      <c r="R388" s="6">
        <v>197.05799999999999</v>
      </c>
      <c r="S388" s="6">
        <v>197.05799999999999</v>
      </c>
      <c r="T388" s="6">
        <v>4.8569000000000004</v>
      </c>
      <c r="U388" s="6">
        <v>17056.8</v>
      </c>
      <c r="V388">
        <f t="shared" si="10"/>
        <v>91.900862068965523</v>
      </c>
      <c r="W388">
        <f t="shared" si="11"/>
        <v>2.5327866666666667E-3</v>
      </c>
    </row>
    <row r="389" spans="1:23" x14ac:dyDescent="0.3">
      <c r="A389" s="6">
        <v>382</v>
      </c>
      <c r="B389" s="6">
        <v>6.3295399999999998E-3</v>
      </c>
      <c r="C389" s="6">
        <v>0.231436</v>
      </c>
      <c r="D389" s="6">
        <v>36.7958</v>
      </c>
      <c r="E389" s="6">
        <v>36.564399999999999</v>
      </c>
      <c r="F389" s="6">
        <v>-1.2347300000000001E-3</v>
      </c>
      <c r="G389" s="6">
        <v>-2.1236399999999999E-2</v>
      </c>
      <c r="H389" s="6">
        <v>17.178000000000001</v>
      </c>
      <c r="I389" s="6">
        <v>17.199200000000001</v>
      </c>
      <c r="J389" s="6">
        <v>-3.1930600000000002E-3</v>
      </c>
      <c r="K389" s="6">
        <v>-4.6227200000000003E-2</v>
      </c>
      <c r="L389" s="6">
        <v>14.4312</v>
      </c>
      <c r="M389" s="6">
        <v>14.477399999999999</v>
      </c>
      <c r="N389" s="6">
        <v>-3.0343100000000001E-3</v>
      </c>
      <c r="O389" s="6">
        <v>-4.1625500000000003E-2</v>
      </c>
      <c r="P389" s="6">
        <v>13.6767</v>
      </c>
      <c r="Q389" s="6">
        <v>13.718299999999999</v>
      </c>
      <c r="R389" s="6">
        <v>197.49600000000001</v>
      </c>
      <c r="S389" s="6">
        <v>197.49600000000001</v>
      </c>
      <c r="T389" s="6">
        <v>4.8681999999999999</v>
      </c>
      <c r="U389" s="6">
        <v>17096.400000000001</v>
      </c>
      <c r="V389">
        <f t="shared" si="10"/>
        <v>92.114224137931046</v>
      </c>
      <c r="W389">
        <f t="shared" si="11"/>
        <v>2.4873666666666667E-3</v>
      </c>
    </row>
    <row r="390" spans="1:23" x14ac:dyDescent="0.3">
      <c r="A390" s="6">
        <v>383</v>
      </c>
      <c r="B390" s="6">
        <v>6.3509400000000002E-3</v>
      </c>
      <c r="C390" s="6">
        <v>0.23221800000000001</v>
      </c>
      <c r="D390" s="6">
        <v>36.796599999999998</v>
      </c>
      <c r="E390" s="6">
        <v>36.564399999999999</v>
      </c>
      <c r="F390" s="6">
        <v>-1.18805E-3</v>
      </c>
      <c r="G390" s="6">
        <v>-2.04336E-2</v>
      </c>
      <c r="H390" s="6">
        <v>17.178799999999999</v>
      </c>
      <c r="I390" s="6">
        <v>17.199200000000001</v>
      </c>
      <c r="J390" s="6">
        <v>-3.10926E-3</v>
      </c>
      <c r="K390" s="6">
        <v>-4.5013900000000003E-2</v>
      </c>
      <c r="L390" s="6">
        <v>14.432399999999999</v>
      </c>
      <c r="M390" s="6">
        <v>14.477399999999999</v>
      </c>
      <c r="N390" s="6">
        <v>-2.9397500000000001E-3</v>
      </c>
      <c r="O390" s="6">
        <v>-4.0328200000000002E-2</v>
      </c>
      <c r="P390" s="6">
        <v>13.678000000000001</v>
      </c>
      <c r="Q390" s="6">
        <v>13.718299999999999</v>
      </c>
      <c r="R390" s="6">
        <v>197.87</v>
      </c>
      <c r="S390" s="6">
        <v>197.87</v>
      </c>
      <c r="T390" s="6">
        <v>4.8837000000000002</v>
      </c>
      <c r="U390" s="6">
        <v>17150.599999999999</v>
      </c>
      <c r="V390">
        <f t="shared" si="10"/>
        <v>92.40625</v>
      </c>
      <c r="W390">
        <f t="shared" si="11"/>
        <v>2.4123533333333335E-3</v>
      </c>
    </row>
    <row r="391" spans="1:23" x14ac:dyDescent="0.3">
      <c r="A391" s="6">
        <v>384</v>
      </c>
      <c r="B391" s="6">
        <v>6.3659600000000004E-3</v>
      </c>
      <c r="C391" s="6">
        <v>0.232767</v>
      </c>
      <c r="D391" s="6">
        <v>36.7971</v>
      </c>
      <c r="E391" s="6">
        <v>36.564399999999999</v>
      </c>
      <c r="F391" s="6">
        <v>-1.2276399999999999E-3</v>
      </c>
      <c r="G391" s="6">
        <v>-2.1114600000000001E-2</v>
      </c>
      <c r="H391" s="6">
        <v>17.178100000000001</v>
      </c>
      <c r="I391" s="6">
        <v>17.199200000000001</v>
      </c>
      <c r="J391" s="6">
        <v>-3.1593900000000002E-3</v>
      </c>
      <c r="K391" s="6">
        <v>-4.5739599999999998E-2</v>
      </c>
      <c r="L391" s="6">
        <v>14.4316</v>
      </c>
      <c r="M391" s="6">
        <v>14.477399999999999</v>
      </c>
      <c r="N391" s="6">
        <v>-2.9789199999999999E-3</v>
      </c>
      <c r="O391" s="6">
        <v>-4.0865699999999998E-2</v>
      </c>
      <c r="P391" s="6">
        <v>13.6774</v>
      </c>
      <c r="Q391" s="6">
        <v>13.718299999999999</v>
      </c>
      <c r="R391" s="6">
        <v>198.30600000000001</v>
      </c>
      <c r="S391" s="6">
        <v>198.30600000000001</v>
      </c>
      <c r="T391" s="6">
        <v>4.8940000000000001</v>
      </c>
      <c r="U391" s="6">
        <v>17186.8</v>
      </c>
      <c r="V391">
        <f t="shared" si="10"/>
        <v>92.60129310344827</v>
      </c>
      <c r="W391">
        <f t="shared" si="11"/>
        <v>2.4553166666666667E-3</v>
      </c>
    </row>
    <row r="392" spans="1:23" x14ac:dyDescent="0.3">
      <c r="A392" s="6">
        <v>385</v>
      </c>
      <c r="B392" s="6">
        <v>6.4348199999999999E-3</v>
      </c>
      <c r="C392" s="6">
        <v>0.23528499999999999</v>
      </c>
      <c r="D392" s="6">
        <v>36.799599999999998</v>
      </c>
      <c r="E392" s="6">
        <v>36.564399999999999</v>
      </c>
      <c r="F392" s="6">
        <v>-1.24351E-3</v>
      </c>
      <c r="G392" s="6">
        <v>-2.1387400000000001E-2</v>
      </c>
      <c r="H392" s="6">
        <v>17.177900000000001</v>
      </c>
      <c r="I392" s="6">
        <v>17.199200000000001</v>
      </c>
      <c r="J392" s="6">
        <v>-3.2242600000000001E-3</v>
      </c>
      <c r="K392" s="6">
        <v>-4.6678799999999999E-2</v>
      </c>
      <c r="L392" s="6">
        <v>14.4307</v>
      </c>
      <c r="M392" s="6">
        <v>14.477399999999999</v>
      </c>
      <c r="N392" s="6">
        <v>-3.0393299999999998E-3</v>
      </c>
      <c r="O392" s="6">
        <v>-4.16944E-2</v>
      </c>
      <c r="P392" s="6">
        <v>13.676600000000001</v>
      </c>
      <c r="Q392" s="6">
        <v>13.718299999999999</v>
      </c>
      <c r="R392" s="6">
        <v>198.68</v>
      </c>
      <c r="S392" s="6">
        <v>198.68</v>
      </c>
      <c r="T392" s="6">
        <v>4.9036</v>
      </c>
      <c r="U392" s="6">
        <v>17220.7</v>
      </c>
      <c r="V392">
        <f t="shared" ref="V392:V414" si="12">U392/A$2/B$2</f>
        <v>92.783943965517253</v>
      </c>
      <c r="W392">
        <f t="shared" ref="W392:W414" si="13">-AVERAGE(F392,J392,N392)</f>
        <v>2.5023666666666665E-3</v>
      </c>
    </row>
    <row r="393" spans="1:23" x14ac:dyDescent="0.3">
      <c r="A393" s="6">
        <v>386</v>
      </c>
      <c r="B393" s="6">
        <v>6.3867300000000002E-3</v>
      </c>
      <c r="C393" s="6">
        <v>0.23352700000000001</v>
      </c>
      <c r="D393" s="6">
        <v>36.797899999999998</v>
      </c>
      <c r="E393" s="6">
        <v>36.564399999999999</v>
      </c>
      <c r="F393" s="6">
        <v>-1.2690399999999999E-3</v>
      </c>
      <c r="G393" s="6">
        <v>-2.1826600000000002E-2</v>
      </c>
      <c r="H393" s="6">
        <v>17.177399999999999</v>
      </c>
      <c r="I393" s="6">
        <v>17.199200000000001</v>
      </c>
      <c r="J393" s="6">
        <v>-3.1729499999999999E-3</v>
      </c>
      <c r="K393" s="6">
        <v>-4.5935999999999998E-2</v>
      </c>
      <c r="L393" s="6">
        <v>14.4314</v>
      </c>
      <c r="M393" s="6">
        <v>14.477399999999999</v>
      </c>
      <c r="N393" s="6">
        <v>-3.01754E-3</v>
      </c>
      <c r="O393" s="6">
        <v>-4.1395500000000002E-2</v>
      </c>
      <c r="P393" s="6">
        <v>13.6769</v>
      </c>
      <c r="Q393" s="6">
        <v>13.718299999999999</v>
      </c>
      <c r="R393" s="6">
        <v>198.93199999999999</v>
      </c>
      <c r="S393" s="6">
        <v>198.93199999999999</v>
      </c>
      <c r="T393" s="6">
        <v>4.9165000000000001</v>
      </c>
      <c r="U393" s="6">
        <v>17265.900000000001</v>
      </c>
      <c r="V393">
        <f t="shared" si="12"/>
        <v>93.027478448275872</v>
      </c>
      <c r="W393">
        <f t="shared" si="13"/>
        <v>2.4865099999999999E-3</v>
      </c>
    </row>
    <row r="394" spans="1:23" x14ac:dyDescent="0.3">
      <c r="A394" s="6">
        <v>387</v>
      </c>
      <c r="B394" s="6">
        <v>6.4259499999999997E-3</v>
      </c>
      <c r="C394" s="6">
        <v>0.234961</v>
      </c>
      <c r="D394" s="6">
        <v>36.799300000000002</v>
      </c>
      <c r="E394" s="6">
        <v>36.564399999999999</v>
      </c>
      <c r="F394" s="6">
        <v>-1.2351700000000001E-3</v>
      </c>
      <c r="G394" s="6">
        <v>-2.1244099999999998E-2</v>
      </c>
      <c r="H394" s="6">
        <v>17.178000000000001</v>
      </c>
      <c r="I394" s="6">
        <v>17.199200000000001</v>
      </c>
      <c r="J394" s="6">
        <v>-3.2091400000000001E-3</v>
      </c>
      <c r="K394" s="6">
        <v>-4.6459899999999998E-2</v>
      </c>
      <c r="L394" s="6">
        <v>14.430899999999999</v>
      </c>
      <c r="M394" s="6">
        <v>14.477399999999999</v>
      </c>
      <c r="N394" s="6">
        <v>-3.0942700000000001E-3</v>
      </c>
      <c r="O394" s="6">
        <v>-4.2448E-2</v>
      </c>
      <c r="P394" s="6">
        <v>13.675800000000001</v>
      </c>
      <c r="Q394" s="6">
        <v>13.718299999999999</v>
      </c>
      <c r="R394" s="6">
        <v>199.304</v>
      </c>
      <c r="S394" s="6">
        <v>199.304</v>
      </c>
      <c r="T394" s="6">
        <v>4.9275000000000002</v>
      </c>
      <c r="U394" s="6">
        <v>17304.3</v>
      </c>
      <c r="V394">
        <f t="shared" si="12"/>
        <v>93.234375</v>
      </c>
      <c r="W394">
        <f t="shared" si="13"/>
        <v>2.51286E-3</v>
      </c>
    </row>
    <row r="395" spans="1:23" x14ac:dyDescent="0.3">
      <c r="A395" s="6">
        <v>388</v>
      </c>
      <c r="B395" s="6">
        <v>6.4223600000000002E-3</v>
      </c>
      <c r="C395" s="6">
        <v>0.23482900000000001</v>
      </c>
      <c r="D395" s="6">
        <v>36.799199999999999</v>
      </c>
      <c r="E395" s="6">
        <v>36.564399999999999</v>
      </c>
      <c r="F395" s="6">
        <v>-1.3782899999999999E-3</v>
      </c>
      <c r="G395" s="6">
        <v>-2.37056E-2</v>
      </c>
      <c r="H395" s="6">
        <v>17.1755</v>
      </c>
      <c r="I395" s="6">
        <v>17.199200000000001</v>
      </c>
      <c r="J395" s="6">
        <v>-3.2861800000000001E-3</v>
      </c>
      <c r="K395" s="6">
        <v>-4.7575300000000001E-2</v>
      </c>
      <c r="L395" s="6">
        <v>14.4298</v>
      </c>
      <c r="M395" s="6">
        <v>14.477399999999999</v>
      </c>
      <c r="N395" s="6">
        <v>-3.13767E-3</v>
      </c>
      <c r="O395" s="6">
        <v>-4.3043499999999998E-2</v>
      </c>
      <c r="P395" s="6">
        <v>13.6752</v>
      </c>
      <c r="Q395" s="6">
        <v>13.718299999999999</v>
      </c>
      <c r="R395" s="6">
        <v>199.803</v>
      </c>
      <c r="S395" s="6">
        <v>199.803</v>
      </c>
      <c r="T395" s="6">
        <v>4.9467999999999996</v>
      </c>
      <c r="U395" s="6">
        <v>17372.099999999999</v>
      </c>
      <c r="V395">
        <f t="shared" si="12"/>
        <v>93.599676724137922</v>
      </c>
      <c r="W395">
        <f t="shared" si="13"/>
        <v>2.6007133333333337E-3</v>
      </c>
    </row>
    <row r="396" spans="1:23" x14ac:dyDescent="0.3">
      <c r="A396" s="6">
        <v>389</v>
      </c>
      <c r="B396" s="6">
        <v>6.4805599999999998E-3</v>
      </c>
      <c r="C396" s="6">
        <v>0.236957</v>
      </c>
      <c r="D396" s="6">
        <v>36.801299999999998</v>
      </c>
      <c r="E396" s="6">
        <v>36.564399999999999</v>
      </c>
      <c r="F396" s="6">
        <v>-1.22736E-3</v>
      </c>
      <c r="G396" s="6">
        <v>-2.1109699999999999E-2</v>
      </c>
      <c r="H396" s="6">
        <v>17.178100000000001</v>
      </c>
      <c r="I396" s="6">
        <v>17.199200000000001</v>
      </c>
      <c r="J396" s="6">
        <v>-3.1424399999999998E-3</v>
      </c>
      <c r="K396" s="6">
        <v>-4.5494300000000001E-2</v>
      </c>
      <c r="L396" s="6">
        <v>14.431900000000001</v>
      </c>
      <c r="M396" s="6">
        <v>14.477399999999999</v>
      </c>
      <c r="N396" s="6">
        <v>-3.0089600000000002E-3</v>
      </c>
      <c r="O396" s="6">
        <v>-4.1277800000000003E-2</v>
      </c>
      <c r="P396" s="6">
        <v>13.677</v>
      </c>
      <c r="Q396" s="6">
        <v>13.718299999999999</v>
      </c>
      <c r="R396" s="6">
        <v>200.30199999999999</v>
      </c>
      <c r="S396" s="6">
        <v>200.30199999999999</v>
      </c>
      <c r="T396" s="6">
        <v>4.9516999999999998</v>
      </c>
      <c r="U396" s="6">
        <v>17389.099999999999</v>
      </c>
      <c r="V396">
        <f t="shared" si="12"/>
        <v>93.691271551724128</v>
      </c>
      <c r="W396">
        <f t="shared" si="13"/>
        <v>2.4595866666666665E-3</v>
      </c>
    </row>
    <row r="397" spans="1:23" x14ac:dyDescent="0.3">
      <c r="A397" s="6">
        <v>390</v>
      </c>
      <c r="B397" s="6">
        <v>6.5006400000000002E-3</v>
      </c>
      <c r="C397" s="6">
        <v>0.23769199999999999</v>
      </c>
      <c r="D397" s="6">
        <v>36.802100000000003</v>
      </c>
      <c r="E397" s="6">
        <v>36.564399999999999</v>
      </c>
      <c r="F397" s="6">
        <v>-1.20389E-3</v>
      </c>
      <c r="G397" s="6">
        <v>-2.0706100000000002E-2</v>
      </c>
      <c r="H397" s="6">
        <v>17.1785</v>
      </c>
      <c r="I397" s="6">
        <v>17.199200000000001</v>
      </c>
      <c r="J397" s="6">
        <v>-3.2357699999999998E-3</v>
      </c>
      <c r="K397" s="6">
        <v>-4.6845499999999998E-2</v>
      </c>
      <c r="L397" s="6">
        <v>14.4305</v>
      </c>
      <c r="M397" s="6">
        <v>14.477399999999999</v>
      </c>
      <c r="N397" s="6">
        <v>-3.1772699999999998E-3</v>
      </c>
      <c r="O397" s="6">
        <v>-4.3586699999999999E-2</v>
      </c>
      <c r="P397" s="6">
        <v>13.6747</v>
      </c>
      <c r="Q397" s="6">
        <v>13.718299999999999</v>
      </c>
      <c r="R397" s="6">
        <v>200.74</v>
      </c>
      <c r="S397" s="6">
        <v>200.74100000000001</v>
      </c>
      <c r="T397" s="6">
        <v>4.9748999999999999</v>
      </c>
      <c r="U397" s="6">
        <v>17470.5</v>
      </c>
      <c r="V397">
        <f t="shared" si="12"/>
        <v>94.129849137931032</v>
      </c>
      <c r="W397">
        <f t="shared" si="13"/>
        <v>2.5389766666666664E-3</v>
      </c>
    </row>
    <row r="398" spans="1:23" x14ac:dyDescent="0.3">
      <c r="A398" s="6">
        <v>391</v>
      </c>
      <c r="B398" s="6">
        <v>6.5327099999999997E-3</v>
      </c>
      <c r="C398" s="6">
        <v>0.23886399999999999</v>
      </c>
      <c r="D398" s="6">
        <v>36.803199999999997</v>
      </c>
      <c r="E398" s="6">
        <v>36.564399999999999</v>
      </c>
      <c r="F398" s="6">
        <v>-1.1941600000000001E-3</v>
      </c>
      <c r="G398" s="6">
        <v>-2.05387E-2</v>
      </c>
      <c r="H398" s="6">
        <v>17.178699999999999</v>
      </c>
      <c r="I398" s="6">
        <v>17.199200000000001</v>
      </c>
      <c r="J398" s="6">
        <v>-3.18455E-3</v>
      </c>
      <c r="K398" s="6">
        <v>-4.6103999999999999E-2</v>
      </c>
      <c r="L398" s="6">
        <v>14.4313</v>
      </c>
      <c r="M398" s="6">
        <v>14.477399999999999</v>
      </c>
      <c r="N398" s="6">
        <v>-3.3718699999999999E-3</v>
      </c>
      <c r="O398" s="6">
        <v>-4.62563E-2</v>
      </c>
      <c r="P398" s="6">
        <v>13.672000000000001</v>
      </c>
      <c r="Q398" s="6">
        <v>13.718299999999999</v>
      </c>
      <c r="R398" s="6">
        <v>201.739</v>
      </c>
      <c r="S398" s="6">
        <v>201.74</v>
      </c>
      <c r="T398" s="6">
        <v>4.9870999999999999</v>
      </c>
      <c r="U398" s="6">
        <v>17513.400000000001</v>
      </c>
      <c r="V398">
        <f t="shared" si="12"/>
        <v>94.360991379310349</v>
      </c>
      <c r="W398">
        <f t="shared" si="13"/>
        <v>2.5835266666666668E-3</v>
      </c>
    </row>
    <row r="399" spans="1:23" x14ac:dyDescent="0.3">
      <c r="A399" s="6">
        <v>392</v>
      </c>
      <c r="B399" s="6">
        <v>6.5291400000000001E-3</v>
      </c>
      <c r="C399" s="6">
        <v>0.238734</v>
      </c>
      <c r="D399" s="6">
        <v>36.803100000000001</v>
      </c>
      <c r="E399" s="6">
        <v>36.564399999999999</v>
      </c>
      <c r="F399" s="6">
        <v>-1.26625E-3</v>
      </c>
      <c r="G399" s="6">
        <v>-2.1778599999999999E-2</v>
      </c>
      <c r="H399" s="6">
        <v>17.177499999999998</v>
      </c>
      <c r="I399" s="6">
        <v>17.199200000000001</v>
      </c>
      <c r="J399" s="6">
        <v>-3.3020300000000001E-3</v>
      </c>
      <c r="K399" s="6">
        <v>-4.7804699999999999E-2</v>
      </c>
      <c r="L399" s="6">
        <v>14.429600000000001</v>
      </c>
      <c r="M399" s="6">
        <v>14.477399999999999</v>
      </c>
      <c r="N399" s="6">
        <v>-3.5097499999999998E-3</v>
      </c>
      <c r="O399" s="6">
        <v>-4.8147799999999998E-2</v>
      </c>
      <c r="P399" s="6">
        <v>13.6701</v>
      </c>
      <c r="Q399" s="6">
        <v>13.718299999999999</v>
      </c>
      <c r="R399" s="6">
        <v>201.86500000000001</v>
      </c>
      <c r="S399" s="6">
        <v>201.86500000000001</v>
      </c>
      <c r="T399" s="6">
        <v>4.9893999999999998</v>
      </c>
      <c r="U399" s="6">
        <v>17521.3</v>
      </c>
      <c r="V399">
        <f t="shared" si="12"/>
        <v>94.403556034482762</v>
      </c>
      <c r="W399">
        <f t="shared" si="13"/>
        <v>2.6926766666666665E-3</v>
      </c>
    </row>
    <row r="400" spans="1:23" x14ac:dyDescent="0.3">
      <c r="A400" s="6">
        <v>393</v>
      </c>
      <c r="B400" s="6">
        <v>6.6066700000000003E-3</v>
      </c>
      <c r="C400" s="6">
        <v>0.24156900000000001</v>
      </c>
      <c r="D400" s="6">
        <v>36.805900000000001</v>
      </c>
      <c r="E400" s="6">
        <v>36.564399999999999</v>
      </c>
      <c r="F400" s="6">
        <v>-1.2543599999999999E-3</v>
      </c>
      <c r="G400" s="6">
        <v>-2.1574099999999999E-2</v>
      </c>
      <c r="H400" s="6">
        <v>17.177700000000002</v>
      </c>
      <c r="I400" s="6">
        <v>17.199200000000001</v>
      </c>
      <c r="J400" s="6">
        <v>-3.21894E-3</v>
      </c>
      <c r="K400" s="6">
        <v>-4.6601799999999999E-2</v>
      </c>
      <c r="L400" s="6">
        <v>14.4308</v>
      </c>
      <c r="M400" s="6">
        <v>14.477399999999999</v>
      </c>
      <c r="N400" s="6">
        <v>-3.3672099999999998E-3</v>
      </c>
      <c r="O400" s="6">
        <v>-4.6192400000000002E-2</v>
      </c>
      <c r="P400" s="6">
        <v>13.6721</v>
      </c>
      <c r="Q400" s="6">
        <v>13.718299999999999</v>
      </c>
      <c r="R400" s="6">
        <v>202.29900000000001</v>
      </c>
      <c r="S400" s="6">
        <v>202.29900000000001</v>
      </c>
      <c r="T400" s="6">
        <v>4.9987000000000004</v>
      </c>
      <c r="U400" s="6">
        <v>17554.099999999999</v>
      </c>
      <c r="V400">
        <f t="shared" si="12"/>
        <v>94.580280172413794</v>
      </c>
      <c r="W400">
        <f t="shared" si="13"/>
        <v>2.6135033333333328E-3</v>
      </c>
    </row>
    <row r="401" spans="1:23" x14ac:dyDescent="0.3">
      <c r="A401" s="6">
        <v>394</v>
      </c>
      <c r="B401" s="6">
        <v>6.6205099999999996E-3</v>
      </c>
      <c r="C401" s="6">
        <v>0.24207500000000001</v>
      </c>
      <c r="D401" s="6">
        <v>36.806399999999996</v>
      </c>
      <c r="E401" s="6">
        <v>36.564399999999999</v>
      </c>
      <c r="F401" s="6">
        <v>-1.23474E-3</v>
      </c>
      <c r="G401" s="6">
        <v>-2.1236700000000001E-2</v>
      </c>
      <c r="H401" s="6">
        <v>17.178000000000001</v>
      </c>
      <c r="I401" s="6">
        <v>17.199200000000001</v>
      </c>
      <c r="J401" s="6">
        <v>-3.2557100000000002E-3</v>
      </c>
      <c r="K401" s="6">
        <v>-4.7134200000000001E-2</v>
      </c>
      <c r="L401" s="6">
        <v>14.430199999999999</v>
      </c>
      <c r="M401" s="6">
        <v>14.477399999999999</v>
      </c>
      <c r="N401" s="6">
        <v>-3.4261700000000001E-3</v>
      </c>
      <c r="O401" s="6">
        <v>-4.7001099999999997E-2</v>
      </c>
      <c r="P401" s="6">
        <v>13.6713</v>
      </c>
      <c r="Q401" s="6">
        <v>13.718299999999999</v>
      </c>
      <c r="R401" s="6">
        <v>202.79900000000001</v>
      </c>
      <c r="S401" s="6">
        <v>202.79900000000001</v>
      </c>
      <c r="T401" s="6">
        <v>5.0183999999999997</v>
      </c>
      <c r="U401" s="6">
        <v>17623.099999999999</v>
      </c>
      <c r="V401">
        <f t="shared" si="12"/>
        <v>94.952047413793096</v>
      </c>
      <c r="W401">
        <f t="shared" si="13"/>
        <v>2.6388733333333331E-3</v>
      </c>
    </row>
    <row r="402" spans="1:23" x14ac:dyDescent="0.3">
      <c r="A402" s="6">
        <v>395</v>
      </c>
      <c r="B402" s="6">
        <v>1.0076200000000001E-3</v>
      </c>
      <c r="C402" s="6">
        <v>3.6843000000000001E-2</v>
      </c>
      <c r="D402" s="6">
        <v>36.601199999999999</v>
      </c>
      <c r="E402" s="6">
        <v>36.564399999999999</v>
      </c>
      <c r="F402" s="7">
        <v>-3.1619099999999997E-5</v>
      </c>
      <c r="G402" s="6">
        <v>-5.4382400000000004E-4</v>
      </c>
      <c r="H402" s="6">
        <v>17.198699999999999</v>
      </c>
      <c r="I402" s="6">
        <v>17.199200000000001</v>
      </c>
      <c r="J402" s="6">
        <v>-3.8951300000000002E-4</v>
      </c>
      <c r="K402" s="6">
        <v>-5.63913E-3</v>
      </c>
      <c r="L402" s="6">
        <v>14.4717</v>
      </c>
      <c r="M402" s="6">
        <v>14.477399999999999</v>
      </c>
      <c r="N402" s="6">
        <v>-7.6319400000000003E-4</v>
      </c>
      <c r="O402" s="6">
        <v>-1.04697E-2</v>
      </c>
      <c r="P402" s="6">
        <v>13.707800000000001</v>
      </c>
      <c r="Q402" s="6">
        <v>13.718299999999999</v>
      </c>
      <c r="R402" s="6">
        <v>203.548</v>
      </c>
      <c r="S402" s="6">
        <v>203.548</v>
      </c>
      <c r="T402" s="6">
        <v>2.3172999999999999</v>
      </c>
      <c r="U402" s="6">
        <v>8150.3</v>
      </c>
      <c r="V402">
        <f t="shared" si="12"/>
        <v>43.913254310344833</v>
      </c>
      <c r="W402">
        <f t="shared" si="13"/>
        <v>3.9477536666666669E-4</v>
      </c>
    </row>
    <row r="403" spans="1:23" x14ac:dyDescent="0.3">
      <c r="A403" s="6">
        <v>396</v>
      </c>
      <c r="B403" s="6">
        <v>8.8708700000000005E-4</v>
      </c>
      <c r="C403" s="6">
        <v>3.2435800000000001E-2</v>
      </c>
      <c r="D403" s="6">
        <v>36.596800000000002</v>
      </c>
      <c r="E403" s="6">
        <v>36.564399999999999</v>
      </c>
      <c r="F403" s="7">
        <v>8.8398600000000004E-5</v>
      </c>
      <c r="G403" s="6">
        <v>1.5203899999999999E-3</v>
      </c>
      <c r="H403" s="6">
        <v>17.200800000000001</v>
      </c>
      <c r="I403" s="6">
        <v>17.199200000000001</v>
      </c>
      <c r="J403" s="6">
        <v>-2.5005699999999998E-4</v>
      </c>
      <c r="K403" s="6">
        <v>-3.6201699999999998E-3</v>
      </c>
      <c r="L403" s="6">
        <v>14.473800000000001</v>
      </c>
      <c r="M403" s="6">
        <v>14.477399999999999</v>
      </c>
      <c r="N403" s="6">
        <v>-4.9236600000000005E-4</v>
      </c>
      <c r="O403" s="6">
        <v>-6.7544099999999998E-3</v>
      </c>
      <c r="P403" s="6">
        <v>13.711499999999999</v>
      </c>
      <c r="Q403" s="6">
        <v>13.718299999999999</v>
      </c>
      <c r="R403" s="6">
        <v>203.672</v>
      </c>
      <c r="S403" s="6">
        <v>203.672</v>
      </c>
      <c r="T403" s="6">
        <v>1.0551999999999999</v>
      </c>
      <c r="U403" s="6">
        <v>3724.2</v>
      </c>
      <c r="V403">
        <f t="shared" si="12"/>
        <v>20.06573275862069</v>
      </c>
      <c r="W403">
        <f t="shared" si="13"/>
        <v>2.1800813333333334E-4</v>
      </c>
    </row>
    <row r="404" spans="1:23" x14ac:dyDescent="0.3">
      <c r="A404" s="6">
        <v>397</v>
      </c>
      <c r="B404" s="6">
        <v>8.4635400000000001E-4</v>
      </c>
      <c r="C404" s="6">
        <v>3.0946399999999999E-2</v>
      </c>
      <c r="D404" s="6">
        <v>36.595300000000002</v>
      </c>
      <c r="E404" s="6">
        <v>36.564399999999999</v>
      </c>
      <c r="F404" s="7">
        <v>7.8821500000000004E-5</v>
      </c>
      <c r="G404" s="6">
        <v>1.35567E-3</v>
      </c>
      <c r="H404" s="6">
        <v>17.200600000000001</v>
      </c>
      <c r="I404" s="6">
        <v>17.199200000000001</v>
      </c>
      <c r="J404" s="6">
        <v>-1.61602E-4</v>
      </c>
      <c r="K404" s="6">
        <v>-2.33958E-3</v>
      </c>
      <c r="L404" s="6">
        <v>14.475</v>
      </c>
      <c r="M404" s="6">
        <v>14.477399999999999</v>
      </c>
      <c r="N404" s="6">
        <v>-4.7305099999999999E-4</v>
      </c>
      <c r="O404" s="6">
        <v>-6.4894499999999999E-3</v>
      </c>
      <c r="P404" s="6">
        <v>13.7118</v>
      </c>
      <c r="Q404" s="6">
        <v>13.718299999999999</v>
      </c>
      <c r="R404" s="6">
        <v>203.798</v>
      </c>
      <c r="S404" s="6">
        <v>203.79900000000001</v>
      </c>
      <c r="T404" s="6">
        <v>0.48149999999999998</v>
      </c>
      <c r="U404" s="6">
        <v>1712.33</v>
      </c>
      <c r="V404">
        <f t="shared" si="12"/>
        <v>9.2259159482758619</v>
      </c>
      <c r="W404">
        <f t="shared" si="13"/>
        <v>1.8527716666666666E-4</v>
      </c>
    </row>
    <row r="405" spans="1:23" x14ac:dyDescent="0.3">
      <c r="A405" s="6">
        <v>398</v>
      </c>
      <c r="B405" s="6">
        <v>7.9312299999999996E-4</v>
      </c>
      <c r="C405" s="6">
        <v>2.9000000000000001E-2</v>
      </c>
      <c r="D405" s="6">
        <v>36.593400000000003</v>
      </c>
      <c r="E405" s="6">
        <v>36.564399999999999</v>
      </c>
      <c r="F405" s="7">
        <v>8.2871400000000001E-5</v>
      </c>
      <c r="G405" s="6">
        <v>1.4253200000000001E-3</v>
      </c>
      <c r="H405" s="6">
        <v>17.200700000000001</v>
      </c>
      <c r="I405" s="6">
        <v>17.199200000000001</v>
      </c>
      <c r="J405" s="6">
        <v>-1.8503200000000001E-4</v>
      </c>
      <c r="K405" s="6">
        <v>-2.67877E-3</v>
      </c>
      <c r="L405" s="6">
        <v>14.4747</v>
      </c>
      <c r="M405" s="6">
        <v>14.477399999999999</v>
      </c>
      <c r="N405" s="6">
        <v>-4.8514499999999998E-4</v>
      </c>
      <c r="O405" s="6">
        <v>-6.65535E-3</v>
      </c>
      <c r="P405" s="6">
        <v>13.711600000000001</v>
      </c>
      <c r="Q405" s="6">
        <v>13.718299999999999</v>
      </c>
      <c r="R405" s="6">
        <v>203.923</v>
      </c>
      <c r="S405" s="6">
        <v>203.923</v>
      </c>
      <c r="T405" s="6">
        <v>0.2147</v>
      </c>
      <c r="U405" s="6">
        <v>776.476</v>
      </c>
      <c r="V405">
        <f t="shared" si="12"/>
        <v>4.1835991379310347</v>
      </c>
      <c r="W405">
        <f t="shared" si="13"/>
        <v>1.9576853333333333E-4</v>
      </c>
    </row>
    <row r="406" spans="1:23" x14ac:dyDescent="0.3">
      <c r="A406" s="6">
        <v>399</v>
      </c>
      <c r="B406" s="6">
        <v>7.6228099999999996E-4</v>
      </c>
      <c r="C406" s="6">
        <v>2.7872299999999999E-2</v>
      </c>
      <c r="D406" s="6">
        <v>36.592199999999998</v>
      </c>
      <c r="E406" s="6">
        <v>36.564399999999999</v>
      </c>
      <c r="F406" s="7">
        <v>8.0454899999999994E-5</v>
      </c>
      <c r="G406" s="6">
        <v>1.3837599999999999E-3</v>
      </c>
      <c r="H406" s="6">
        <v>17.200600000000001</v>
      </c>
      <c r="I406" s="6">
        <v>17.199200000000001</v>
      </c>
      <c r="J406" s="6">
        <v>-1.86706E-4</v>
      </c>
      <c r="K406" s="6">
        <v>-2.70301E-3</v>
      </c>
      <c r="L406" s="6">
        <v>14.4747</v>
      </c>
      <c r="M406" s="6">
        <v>14.477399999999999</v>
      </c>
      <c r="N406" s="6">
        <v>-4.5540899999999999E-4</v>
      </c>
      <c r="O406" s="6">
        <v>-6.24743E-3</v>
      </c>
      <c r="P406" s="6">
        <v>13.712</v>
      </c>
      <c r="Q406" s="6">
        <v>13.718299999999999</v>
      </c>
      <c r="R406" s="6">
        <v>204.047</v>
      </c>
      <c r="S406" s="6">
        <v>204.048</v>
      </c>
      <c r="T406" s="6">
        <v>9.64E-2</v>
      </c>
      <c r="U406" s="6">
        <v>361.67</v>
      </c>
      <c r="V406">
        <f t="shared" si="12"/>
        <v>1.9486530172413794</v>
      </c>
      <c r="W406">
        <f t="shared" si="13"/>
        <v>1.8722003333333334E-4</v>
      </c>
    </row>
    <row r="407" spans="1:23" x14ac:dyDescent="0.3">
      <c r="A407" s="6">
        <v>400</v>
      </c>
      <c r="B407" s="6">
        <v>7.7408399999999997E-4</v>
      </c>
      <c r="C407" s="6">
        <v>2.83039E-2</v>
      </c>
      <c r="D407" s="6">
        <v>36.592700000000001</v>
      </c>
      <c r="E407" s="6">
        <v>36.564399999999999</v>
      </c>
      <c r="F407" s="7">
        <v>-5.50734E-5</v>
      </c>
      <c r="G407" s="6">
        <v>-9.4722000000000003E-4</v>
      </c>
      <c r="H407" s="6">
        <v>17.1983</v>
      </c>
      <c r="I407" s="6">
        <v>17.199200000000001</v>
      </c>
      <c r="J407" s="6">
        <v>-2.19407E-4</v>
      </c>
      <c r="K407" s="6">
        <v>-3.1764300000000001E-3</v>
      </c>
      <c r="L407" s="6">
        <v>14.4742</v>
      </c>
      <c r="M407" s="6">
        <v>14.477399999999999</v>
      </c>
      <c r="N407" s="6">
        <v>-3.56404E-4</v>
      </c>
      <c r="O407" s="6">
        <v>-4.8892500000000004E-3</v>
      </c>
      <c r="P407" s="6">
        <v>13.7134</v>
      </c>
      <c r="Q407" s="6">
        <v>13.718299999999999</v>
      </c>
      <c r="R407" s="6">
        <v>204.172</v>
      </c>
      <c r="S407" s="6">
        <v>204.172</v>
      </c>
      <c r="T407" s="6">
        <v>4.4499999999999998E-2</v>
      </c>
      <c r="U407" s="6">
        <v>179.69800000000001</v>
      </c>
      <c r="V407">
        <f t="shared" si="12"/>
        <v>0.96820043103448283</v>
      </c>
      <c r="W407">
        <f t="shared" si="13"/>
        <v>2.102948E-4</v>
      </c>
    </row>
    <row r="408" spans="1:23" x14ac:dyDescent="0.3">
      <c r="A408" s="6">
        <v>401</v>
      </c>
      <c r="B408" s="6">
        <v>7.3583299999999997E-4</v>
      </c>
      <c r="C408" s="6">
        <v>2.69053E-2</v>
      </c>
      <c r="D408" s="6">
        <v>36.591299999999997</v>
      </c>
      <c r="E408" s="6">
        <v>36.564399999999999</v>
      </c>
      <c r="F408" s="7">
        <v>3.73686E-5</v>
      </c>
      <c r="G408" s="6">
        <v>6.4271100000000002E-4</v>
      </c>
      <c r="H408" s="6">
        <v>17.1999</v>
      </c>
      <c r="I408" s="6">
        <v>17.199200000000001</v>
      </c>
      <c r="J408" s="6">
        <v>-1.8792099999999999E-4</v>
      </c>
      <c r="K408" s="6">
        <v>-2.7206000000000001E-3</v>
      </c>
      <c r="L408" s="6">
        <v>14.4747</v>
      </c>
      <c r="M408" s="6">
        <v>14.477399999999999</v>
      </c>
      <c r="N408" s="6">
        <v>-4.3603000000000001E-4</v>
      </c>
      <c r="O408" s="6">
        <v>-5.9815900000000002E-3</v>
      </c>
      <c r="P408" s="6">
        <v>13.712300000000001</v>
      </c>
      <c r="Q408" s="6">
        <v>13.718299999999999</v>
      </c>
      <c r="R408" s="6">
        <v>204.30099999999999</v>
      </c>
      <c r="S408" s="6">
        <v>204.30099999999999</v>
      </c>
      <c r="T408" s="6">
        <v>2.4500000000000001E-2</v>
      </c>
      <c r="U408" s="6">
        <v>109.622</v>
      </c>
      <c r="V408">
        <f t="shared" si="12"/>
        <v>0.59063577586206895</v>
      </c>
      <c r="W408">
        <f t="shared" si="13"/>
        <v>1.9552746666666668E-4</v>
      </c>
    </row>
    <row r="409" spans="1:23" x14ac:dyDescent="0.3">
      <c r="A409" s="6">
        <v>402</v>
      </c>
      <c r="B409" s="6">
        <v>7.2825099999999996E-4</v>
      </c>
      <c r="C409" s="6">
        <v>2.6627999999999999E-2</v>
      </c>
      <c r="D409" s="6">
        <v>36.591000000000001</v>
      </c>
      <c r="E409" s="6">
        <v>36.564399999999999</v>
      </c>
      <c r="F409" s="7">
        <v>8.8135700000000004E-5</v>
      </c>
      <c r="G409" s="6">
        <v>1.5158700000000001E-3</v>
      </c>
      <c r="H409" s="6">
        <v>17.200800000000001</v>
      </c>
      <c r="I409" s="6">
        <v>17.199200000000001</v>
      </c>
      <c r="J409" s="6">
        <v>-1.4323499999999999E-4</v>
      </c>
      <c r="K409" s="6">
        <v>-2.0736700000000001E-3</v>
      </c>
      <c r="L409" s="6">
        <v>14.475300000000001</v>
      </c>
      <c r="M409" s="6">
        <v>14.477399999999999</v>
      </c>
      <c r="N409" s="6">
        <v>-3.4306899999999999E-4</v>
      </c>
      <c r="O409" s="6">
        <v>-4.70631E-3</v>
      </c>
      <c r="P409" s="6">
        <v>13.7136</v>
      </c>
      <c r="Q409" s="6">
        <v>13.718299999999999</v>
      </c>
      <c r="R409" s="6">
        <v>204.42400000000001</v>
      </c>
      <c r="S409" s="6">
        <v>204.42400000000001</v>
      </c>
      <c r="T409" s="6">
        <v>1.6799999999999999E-2</v>
      </c>
      <c r="U409" s="6">
        <v>82.495500000000007</v>
      </c>
      <c r="V409">
        <f t="shared" si="12"/>
        <v>0.44448006465517248</v>
      </c>
      <c r="W409">
        <f t="shared" si="13"/>
        <v>1.3272276666666664E-4</v>
      </c>
    </row>
    <row r="410" spans="1:23" x14ac:dyDescent="0.3">
      <c r="A410" s="6">
        <v>403</v>
      </c>
      <c r="B410" s="6">
        <v>7.1373900000000002E-4</v>
      </c>
      <c r="C410" s="6">
        <v>2.60974E-2</v>
      </c>
      <c r="D410" s="6">
        <v>36.590499999999999</v>
      </c>
      <c r="E410" s="6">
        <v>36.564399999999999</v>
      </c>
      <c r="F410" s="6">
        <v>1.1300500000000001E-4</v>
      </c>
      <c r="G410" s="6">
        <v>1.9436E-3</v>
      </c>
      <c r="H410" s="6">
        <v>17.2012</v>
      </c>
      <c r="I410" s="6">
        <v>17.199200000000001</v>
      </c>
      <c r="J410" s="6">
        <v>-1.04901E-4</v>
      </c>
      <c r="K410" s="6">
        <v>-1.5186900000000001E-3</v>
      </c>
      <c r="L410" s="6">
        <v>14.475899999999999</v>
      </c>
      <c r="M410" s="6">
        <v>14.477399999999999</v>
      </c>
      <c r="N410" s="6">
        <v>-3.8255899999999998E-4</v>
      </c>
      <c r="O410" s="6">
        <v>-5.2480499999999998E-3</v>
      </c>
      <c r="P410" s="6">
        <v>13.712999999999999</v>
      </c>
      <c r="Q410" s="6">
        <v>13.718299999999999</v>
      </c>
      <c r="R410" s="6">
        <v>204.547</v>
      </c>
      <c r="S410" s="6">
        <v>204.548</v>
      </c>
      <c r="T410" s="6">
        <v>1.2999999999999999E-3</v>
      </c>
      <c r="U410" s="6">
        <v>28.242999999999999</v>
      </c>
      <c r="V410">
        <f t="shared" si="12"/>
        <v>0.15217133620689655</v>
      </c>
      <c r="W410">
        <f t="shared" si="13"/>
        <v>1.2481833333333333E-4</v>
      </c>
    </row>
    <row r="411" spans="1:23" x14ac:dyDescent="0.3">
      <c r="A411" s="6">
        <v>404</v>
      </c>
      <c r="B411" s="6">
        <v>5.0338100000000001E-4</v>
      </c>
      <c r="C411" s="6">
        <v>1.84058E-2</v>
      </c>
      <c r="D411" s="6">
        <v>36.582799999999999</v>
      </c>
      <c r="E411" s="6">
        <v>36.564399999999999</v>
      </c>
      <c r="F411" s="7">
        <v>-2.25997E-5</v>
      </c>
      <c r="G411" s="6">
        <v>-3.8869799999999998E-4</v>
      </c>
      <c r="H411" s="6">
        <v>17.198899999999998</v>
      </c>
      <c r="I411" s="6">
        <v>17.199200000000001</v>
      </c>
      <c r="J411" s="6">
        <v>-2.1295999999999999E-4</v>
      </c>
      <c r="K411" s="6">
        <v>-3.0831000000000001E-3</v>
      </c>
      <c r="L411" s="6">
        <v>14.474299999999999</v>
      </c>
      <c r="M411" s="6">
        <v>14.477399999999999</v>
      </c>
      <c r="N411" s="6">
        <v>-2.8192700000000001E-4</v>
      </c>
      <c r="O411" s="6">
        <v>-3.8675599999999999E-3</v>
      </c>
      <c r="P411" s="6">
        <v>13.714399999999999</v>
      </c>
      <c r="Q411" s="6">
        <v>13.718299999999999</v>
      </c>
      <c r="R411" s="6">
        <v>207.60599999999999</v>
      </c>
      <c r="S411" s="6">
        <v>207.60599999999999</v>
      </c>
      <c r="T411" s="6">
        <v>-6.4000000000000003E-3</v>
      </c>
      <c r="U411" s="6">
        <v>1.1168</v>
      </c>
      <c r="V411">
        <f t="shared" si="12"/>
        <v>6.0172413793103448E-3</v>
      </c>
      <c r="W411">
        <f t="shared" si="13"/>
        <v>1.7249556666666666E-4</v>
      </c>
    </row>
    <row r="412" spans="1:23" x14ac:dyDescent="0.3">
      <c r="A412" s="6">
        <v>405</v>
      </c>
      <c r="B412" s="6">
        <v>5.4969899999999996E-4</v>
      </c>
      <c r="C412" s="6">
        <v>2.00994E-2</v>
      </c>
      <c r="D412" s="6">
        <v>36.584499999999998</v>
      </c>
      <c r="E412" s="6">
        <v>36.564399999999999</v>
      </c>
      <c r="F412" s="7">
        <v>3.4007999999999997E-5</v>
      </c>
      <c r="G412" s="6">
        <v>5.8491200000000004E-4</v>
      </c>
      <c r="H412" s="6">
        <v>17.1998</v>
      </c>
      <c r="I412" s="6">
        <v>17.199200000000001</v>
      </c>
      <c r="J412" s="6">
        <v>-1.58135E-4</v>
      </c>
      <c r="K412" s="6">
        <v>-2.2893800000000001E-3</v>
      </c>
      <c r="L412" s="6">
        <v>14.475099999999999</v>
      </c>
      <c r="M412" s="6">
        <v>14.477399999999999</v>
      </c>
      <c r="N412" s="6">
        <v>-2.7052599999999999E-4</v>
      </c>
      <c r="O412" s="6">
        <v>-3.7111499999999999E-3</v>
      </c>
      <c r="P412" s="6">
        <v>13.714600000000001</v>
      </c>
      <c r="Q412" s="6">
        <v>13.718299999999999</v>
      </c>
      <c r="R412" s="6">
        <v>207.85300000000001</v>
      </c>
      <c r="S412" s="6">
        <v>207.85300000000001</v>
      </c>
      <c r="T412" s="6">
        <v>5.4999999999999997E-3</v>
      </c>
      <c r="U412" s="6">
        <v>42.936399999999999</v>
      </c>
      <c r="V412">
        <f t="shared" si="12"/>
        <v>0.23133836206896552</v>
      </c>
      <c r="W412">
        <f t="shared" si="13"/>
        <v>1.3155100000000001E-4</v>
      </c>
    </row>
    <row r="413" spans="1:23" x14ac:dyDescent="0.3">
      <c r="A413" s="6">
        <v>406</v>
      </c>
      <c r="B413" s="6">
        <v>5.2769199999999996E-4</v>
      </c>
      <c r="C413" s="6">
        <v>1.9294700000000001E-2</v>
      </c>
      <c r="D413" s="6">
        <v>36.5837</v>
      </c>
      <c r="E413" s="6">
        <v>36.564399999999999</v>
      </c>
      <c r="F413" s="7">
        <v>-3.1564199999999998E-5</v>
      </c>
      <c r="G413" s="6">
        <v>-5.4288100000000005E-4</v>
      </c>
      <c r="H413" s="6">
        <v>17.198699999999999</v>
      </c>
      <c r="I413" s="6">
        <v>17.199200000000001</v>
      </c>
      <c r="J413" s="6">
        <v>-1.7033799999999999E-4</v>
      </c>
      <c r="K413" s="6">
        <v>-2.46605E-3</v>
      </c>
      <c r="L413" s="6">
        <v>14.4749</v>
      </c>
      <c r="M413" s="6">
        <v>14.477399999999999</v>
      </c>
      <c r="N413" s="6">
        <v>-2.5707799999999999E-4</v>
      </c>
      <c r="O413" s="6">
        <v>-3.52667E-3</v>
      </c>
      <c r="P413" s="6">
        <v>13.7148</v>
      </c>
      <c r="Q413" s="6">
        <v>13.718299999999999</v>
      </c>
      <c r="R413" s="6">
        <v>208.042</v>
      </c>
      <c r="S413" s="6">
        <v>208.042</v>
      </c>
      <c r="T413" s="6">
        <v>-4.7999999999999996E-3</v>
      </c>
      <c r="U413" s="6">
        <v>6.7680999999999996</v>
      </c>
      <c r="V413">
        <f t="shared" si="12"/>
        <v>3.6466056034482761E-2</v>
      </c>
      <c r="W413">
        <f t="shared" si="13"/>
        <v>1.5299339999999998E-4</v>
      </c>
    </row>
    <row r="414" spans="1:23" x14ac:dyDescent="0.3">
      <c r="A414" s="6">
        <v>407</v>
      </c>
      <c r="B414" s="6">
        <v>5.6221000000000005E-4</v>
      </c>
      <c r="C414" s="6">
        <v>2.05568E-2</v>
      </c>
      <c r="D414" s="6">
        <v>36.584899999999998</v>
      </c>
      <c r="E414" s="6">
        <v>36.564399999999999</v>
      </c>
      <c r="F414" s="7">
        <v>5.1799699999999998E-5</v>
      </c>
      <c r="G414" s="6">
        <v>8.9091500000000004E-4</v>
      </c>
      <c r="H414" s="6">
        <v>17.200099999999999</v>
      </c>
      <c r="I414" s="6">
        <v>17.199200000000001</v>
      </c>
      <c r="J414" s="6">
        <v>-1.25384E-4</v>
      </c>
      <c r="K414" s="6">
        <v>-1.8152299999999999E-3</v>
      </c>
      <c r="L414" s="6">
        <v>14.4756</v>
      </c>
      <c r="M414" s="6">
        <v>14.477399999999999</v>
      </c>
      <c r="N414" s="6">
        <v>-3.0160499999999998E-4</v>
      </c>
      <c r="O414" s="6">
        <v>-4.1374999999999997E-3</v>
      </c>
      <c r="P414" s="6">
        <v>13.7141</v>
      </c>
      <c r="Q414" s="6">
        <v>13.718299999999999</v>
      </c>
      <c r="R414" s="6">
        <v>208.477</v>
      </c>
      <c r="S414" s="6">
        <v>208.477</v>
      </c>
      <c r="T414" s="6">
        <v>-1.9E-3</v>
      </c>
      <c r="U414" s="6">
        <v>16.9404</v>
      </c>
      <c r="V414">
        <f t="shared" si="12"/>
        <v>9.1273706896551732E-2</v>
      </c>
      <c r="W414">
        <f t="shared" si="13"/>
        <v>1.250631E-4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L30NTX1</vt:lpstr>
      <vt:lpstr>L30CPTX-1</vt:lpstr>
      <vt:lpstr>L30CPTX-2</vt:lpstr>
      <vt:lpstr>L30CPTX-3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 User</dc:creator>
  <cp:lastModifiedBy>Alexey Khaziev</cp:lastModifiedBy>
  <dcterms:created xsi:type="dcterms:W3CDTF">2025-07-03T14:06:55Z</dcterms:created>
  <dcterms:modified xsi:type="dcterms:W3CDTF">2025-12-28T14:10:18Z</dcterms:modified>
</cp:coreProperties>
</file>