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2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4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5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2\OneDrive\Desktop\Новая папка\"/>
    </mc:Choice>
  </mc:AlternateContent>
  <xr:revisionPtr revIDLastSave="0" documentId="13_ncr:1_{93186335-274E-48DA-81E6-42109F136346}" xr6:coauthVersionLast="47" xr6:coauthVersionMax="47" xr10:uidLastSave="{00000000-0000-0000-0000-000000000000}"/>
  <bookViews>
    <workbookView xWindow="-98" yWindow="-98" windowWidth="23596" windowHeight="15076" firstSheet="2" activeTab="8" xr2:uid="{00000000-000D-0000-FFFF-FFFF00000000}"/>
  </bookViews>
  <sheets>
    <sheet name="Лист1" sheetId="1" r:id="rId1"/>
    <sheet name="isogrid" sheetId="2" r:id="rId2"/>
    <sheet name="anisogrid" sheetId="3" r:id="rId3"/>
    <sheet name="anisogrid120" sheetId="4" r:id="rId4"/>
    <sheet name="Лист2" sheetId="5" r:id="rId5"/>
    <sheet name="Сравнение КПО" sheetId="6" r:id="rId6"/>
    <sheet name="Лист3" sheetId="9" r:id="rId7"/>
    <sheet name="Лист4" sheetId="10" r:id="rId8"/>
    <sheet name="Лист6" sheetId="12" r:id="rId9"/>
    <sheet name="Лист5" sheetId="13" r:id="rId10"/>
    <sheet name="Лист7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3" l="1"/>
  <c r="E63" i="3"/>
  <c r="F63" i="3"/>
  <c r="G63" i="3"/>
  <c r="H63" i="3"/>
  <c r="C111" i="3" l="1"/>
  <c r="H89" i="3"/>
  <c r="H77" i="3"/>
  <c r="G89" i="3"/>
  <c r="G82" i="3"/>
  <c r="G77" i="3"/>
  <c r="F89" i="3"/>
  <c r="F77" i="3"/>
  <c r="E89" i="3"/>
  <c r="D89" i="3"/>
  <c r="E82" i="3"/>
  <c r="F82" i="3"/>
  <c r="H82" i="3"/>
  <c r="D82" i="3"/>
  <c r="D77" i="3"/>
  <c r="C89" i="3"/>
  <c r="C82" i="3"/>
  <c r="C63" i="3"/>
  <c r="D27" i="3"/>
  <c r="E27" i="3"/>
  <c r="F27" i="3"/>
  <c r="G27" i="3"/>
  <c r="H27" i="3"/>
  <c r="C3" i="10"/>
  <c r="K5" i="13"/>
  <c r="J5" i="13"/>
  <c r="I5" i="13"/>
  <c r="J3" i="13"/>
  <c r="K3" i="13"/>
  <c r="I3" i="13"/>
  <c r="J1" i="13"/>
  <c r="K1" i="13"/>
  <c r="I1" i="13"/>
  <c r="I145" i="6"/>
  <c r="G145" i="6"/>
  <c r="E6" i="12"/>
  <c r="C6" i="12"/>
  <c r="Y146" i="6"/>
  <c r="AA146" i="6" l="1"/>
  <c r="AA148" i="6" s="1"/>
  <c r="Y148" i="6"/>
  <c r="Y152" i="6" s="1"/>
  <c r="Y154" i="6" l="1"/>
  <c r="AA152" i="6"/>
  <c r="D4" i="12" l="1"/>
  <c r="E4" i="12"/>
  <c r="F4" i="12"/>
  <c r="B4" i="12"/>
  <c r="H3" i="10"/>
  <c r="H5" i="10" s="1"/>
  <c r="H9" i="10" s="1"/>
  <c r="H11" i="10" s="1"/>
  <c r="Q147" i="6"/>
  <c r="Q151" i="6" s="1"/>
  <c r="Q153" i="6" s="1"/>
  <c r="Q145" i="6"/>
  <c r="M145" i="6"/>
  <c r="B27" i="10"/>
  <c r="B31" i="10" s="1"/>
  <c r="C19" i="10"/>
  <c r="C5" i="10"/>
  <c r="C9" i="10" s="1"/>
  <c r="C11" i="10" s="1"/>
  <c r="C145" i="3"/>
  <c r="G227" i="6"/>
  <c r="G229" i="6" s="1"/>
  <c r="G233" i="6" s="1"/>
  <c r="I147" i="6" l="1"/>
  <c r="C21" i="10"/>
  <c r="G216" i="6" l="1"/>
  <c r="G218" i="6" s="1"/>
  <c r="G222" i="6" s="1"/>
  <c r="F237" i="6" s="1"/>
  <c r="C27" i="3"/>
  <c r="M147" i="6"/>
  <c r="M151" i="6" s="1"/>
  <c r="A2" i="12" s="1"/>
  <c r="A6" i="12" s="1"/>
  <c r="G195" i="6"/>
  <c r="G197" i="6" s="1"/>
  <c r="G201" i="6" s="1"/>
  <c r="G203" i="6" s="1"/>
  <c r="G179" i="6"/>
  <c r="G181" i="6" s="1"/>
  <c r="G185" i="6" s="1"/>
  <c r="G187" i="6" s="1"/>
  <c r="G163" i="6"/>
  <c r="G165" i="6" s="1"/>
  <c r="G169" i="6" s="1"/>
  <c r="G171" i="6" s="1"/>
  <c r="G147" i="6"/>
  <c r="G151" i="6" s="1"/>
  <c r="M33" i="6"/>
  <c r="M35" i="6" s="1"/>
  <c r="M39" i="6" s="1"/>
  <c r="M41" i="6" s="1"/>
  <c r="J59" i="6"/>
  <c r="B32" i="9"/>
  <c r="B21" i="9"/>
  <c r="B24" i="9"/>
  <c r="C3" i="9"/>
  <c r="B20" i="9" s="1"/>
  <c r="B28" i="9" s="1"/>
  <c r="B34" i="9" s="1"/>
  <c r="B8" i="9"/>
  <c r="B7" i="9"/>
  <c r="B10" i="9" s="1"/>
  <c r="C6" i="9"/>
  <c r="B9" i="9"/>
  <c r="D7" i="9"/>
  <c r="C10" i="9" s="1"/>
  <c r="G2" i="9"/>
  <c r="B39" i="1"/>
  <c r="B33" i="1"/>
  <c r="G115" i="6"/>
  <c r="G119" i="6" s="1"/>
  <c r="L113" i="6"/>
  <c r="L115" i="6" s="1"/>
  <c r="L119" i="6" s="1"/>
  <c r="K113" i="6"/>
  <c r="K115" i="6" s="1"/>
  <c r="K119" i="6" s="1"/>
  <c r="J113" i="6"/>
  <c r="J115" i="6" s="1"/>
  <c r="J119" i="6" s="1"/>
  <c r="I113" i="6"/>
  <c r="I115" i="6" s="1"/>
  <c r="I119" i="6" s="1"/>
  <c r="H113" i="6"/>
  <c r="H115" i="6" s="1"/>
  <c r="H119" i="6" s="1"/>
  <c r="L77" i="6"/>
  <c r="L79" i="6" s="1"/>
  <c r="L83" i="6" s="1"/>
  <c r="K77" i="6"/>
  <c r="K79" i="6" s="1"/>
  <c r="K83" i="6" s="1"/>
  <c r="J77" i="6"/>
  <c r="J79" i="6" s="1"/>
  <c r="J83" i="6" s="1"/>
  <c r="I77" i="6"/>
  <c r="I79" i="6" s="1"/>
  <c r="I83" i="6" s="1"/>
  <c r="H77" i="6"/>
  <c r="H79" i="6" s="1"/>
  <c r="H83" i="6" s="1"/>
  <c r="G79" i="6"/>
  <c r="G83" i="6" s="1"/>
  <c r="Y18" i="6"/>
  <c r="Y20" i="6" s="1"/>
  <c r="Y24" i="6" s="1"/>
  <c r="M18" i="6"/>
  <c r="S19" i="6"/>
  <c r="L3" i="6"/>
  <c r="L5" i="6" s="1"/>
  <c r="L9" i="6" s="1"/>
  <c r="L11" i="6" s="1"/>
  <c r="G3" i="6"/>
  <c r="G5" i="6" s="1"/>
  <c r="G9" i="6" s="1"/>
  <c r="G11" i="6" s="1"/>
  <c r="S21" i="6"/>
  <c r="S25" i="6" s="1"/>
  <c r="G18" i="6"/>
  <c r="G20" i="6" s="1"/>
  <c r="G24" i="6" s="1"/>
  <c r="G26" i="6" s="1"/>
  <c r="M20" i="6"/>
  <c r="M24" i="6" s="1"/>
  <c r="G62" i="6"/>
  <c r="G66" i="6" s="1"/>
  <c r="G47" i="6"/>
  <c r="G51" i="6" s="1"/>
  <c r="G53" i="6" s="1"/>
  <c r="G31" i="6"/>
  <c r="G33" i="6" s="1"/>
  <c r="G37" i="6" s="1"/>
  <c r="B6" i="5"/>
  <c r="B7" i="5"/>
  <c r="C4" i="5"/>
  <c r="B8" i="5"/>
  <c r="B10" i="5"/>
  <c r="C6" i="5"/>
  <c r="B5" i="5"/>
  <c r="C3" i="5"/>
  <c r="H51" i="2"/>
  <c r="G63" i="2"/>
  <c r="G56" i="2"/>
  <c r="F63" i="2"/>
  <c r="F56" i="2"/>
  <c r="E63" i="2"/>
  <c r="E56" i="2"/>
  <c r="D63" i="2"/>
  <c r="D56" i="2"/>
  <c r="C63" i="2"/>
  <c r="C56" i="2"/>
  <c r="B53" i="2"/>
  <c r="H27" i="2"/>
  <c r="H28" i="2" s="1"/>
  <c r="G27" i="2"/>
  <c r="F27" i="2"/>
  <c r="F28" i="2" s="1"/>
  <c r="E27" i="2"/>
  <c r="E28" i="2" s="1"/>
  <c r="D27" i="2"/>
  <c r="D28" i="2" s="1"/>
  <c r="G28" i="2"/>
  <c r="C27" i="2"/>
  <c r="B18" i="2"/>
  <c r="B25" i="2"/>
  <c r="G2" i="2"/>
  <c r="C152" i="2"/>
  <c r="H152" i="2"/>
  <c r="H145" i="2"/>
  <c r="H150" i="2" s="1"/>
  <c r="F77" i="2"/>
  <c r="H77" i="2"/>
  <c r="H131" i="4"/>
  <c r="D146" i="4"/>
  <c r="D152" i="4" s="1"/>
  <c r="E146" i="4"/>
  <c r="E152" i="4" s="1"/>
  <c r="C146" i="4"/>
  <c r="E129" i="4"/>
  <c r="E131" i="4" s="1"/>
  <c r="D129" i="4"/>
  <c r="D131" i="4" s="1"/>
  <c r="C129" i="4"/>
  <c r="C131" i="4" s="1"/>
  <c r="A4" i="12" l="1"/>
  <c r="G153" i="6"/>
  <c r="C4" i="12"/>
  <c r="I151" i="6"/>
  <c r="M153" i="6"/>
  <c r="P151" i="6"/>
  <c r="D8" i="9"/>
  <c r="D4" i="9"/>
  <c r="C9" i="9" s="1"/>
  <c r="D5" i="9"/>
  <c r="G55" i="6"/>
  <c r="G71" i="6"/>
  <c r="G69" i="6"/>
  <c r="D5" i="5"/>
  <c r="D4" i="5"/>
  <c r="D89" i="4"/>
  <c r="H89" i="4"/>
  <c r="G89" i="4"/>
  <c r="F89" i="4"/>
  <c r="E89" i="4"/>
  <c r="C89" i="4"/>
  <c r="H82" i="4"/>
  <c r="G82" i="4"/>
  <c r="F82" i="4"/>
  <c r="E82" i="4"/>
  <c r="D82" i="4"/>
  <c r="C82" i="4"/>
  <c r="H77" i="4"/>
  <c r="G77" i="4"/>
  <c r="H63" i="4"/>
  <c r="G63" i="4"/>
  <c r="F63" i="4"/>
  <c r="E63" i="4"/>
  <c r="D63" i="4"/>
  <c r="C63" i="4"/>
  <c r="G27" i="4"/>
  <c r="F27" i="4"/>
  <c r="E27" i="4"/>
  <c r="C27" i="4"/>
  <c r="C28" i="4" s="1"/>
  <c r="D27" i="4"/>
  <c r="H27" i="4"/>
  <c r="C9" i="5" l="1"/>
  <c r="D28" i="4"/>
  <c r="I152" i="4"/>
  <c r="H152" i="4"/>
  <c r="G146" i="4"/>
  <c r="B140" i="4"/>
  <c r="B120" i="4"/>
  <c r="B101" i="4"/>
  <c r="B93" i="4"/>
  <c r="B87" i="4"/>
  <c r="C83" i="4"/>
  <c r="B67" i="4"/>
  <c r="B61" i="4"/>
  <c r="B31" i="4"/>
  <c r="H28" i="4"/>
  <c r="B25" i="4"/>
  <c r="B8" i="4"/>
  <c r="P125" i="4" s="1"/>
  <c r="B7" i="4"/>
  <c r="C73" i="4" s="1"/>
  <c r="C6" i="4"/>
  <c r="B5" i="4"/>
  <c r="B4" i="4"/>
  <c r="C3" i="4"/>
  <c r="D7" i="4" s="1"/>
  <c r="C10" i="4" s="1"/>
  <c r="B4" i="5" l="1"/>
  <c r="B9" i="5" s="1"/>
  <c r="D7" i="5"/>
  <c r="C10" i="5" s="1"/>
  <c r="D8" i="5"/>
  <c r="B9" i="4"/>
  <c r="K12" i="4" s="1"/>
  <c r="K21" i="4" s="1"/>
  <c r="G2" i="4"/>
  <c r="H132" i="4"/>
  <c r="H134" i="4" s="1"/>
  <c r="E132" i="4"/>
  <c r="E134" i="4" s="1"/>
  <c r="I122" i="4"/>
  <c r="I129" i="4" s="1"/>
  <c r="I131" i="4" s="1"/>
  <c r="I132" i="4" s="1"/>
  <c r="I134" i="4" s="1"/>
  <c r="E122" i="4"/>
  <c r="H122" i="4"/>
  <c r="I153" i="4"/>
  <c r="I155" i="4" s="1"/>
  <c r="H153" i="4"/>
  <c r="H155" i="4" s="1"/>
  <c r="F28" i="4"/>
  <c r="G28" i="4"/>
  <c r="F83" i="4"/>
  <c r="G73" i="4"/>
  <c r="G90" i="4" s="1"/>
  <c r="I142" i="4"/>
  <c r="I143" i="4" s="1"/>
  <c r="I148" i="4" s="1"/>
  <c r="M12" i="4"/>
  <c r="M21" i="4" s="1"/>
  <c r="C12" i="4"/>
  <c r="C21" i="4" s="1"/>
  <c r="G49" i="4"/>
  <c r="G50" i="4" s="1"/>
  <c r="O12" i="4"/>
  <c r="O21" i="4" s="1"/>
  <c r="E12" i="4"/>
  <c r="E21" i="4" s="1"/>
  <c r="C64" i="4"/>
  <c r="G64" i="4"/>
  <c r="H83" i="4"/>
  <c r="D8" i="4"/>
  <c r="D4" i="4"/>
  <c r="C9" i="4" s="1"/>
  <c r="C90" i="4"/>
  <c r="C91" i="4" s="1"/>
  <c r="C93" i="4" s="1"/>
  <c r="D5" i="4"/>
  <c r="C132" i="4"/>
  <c r="C134" i="4" s="1"/>
  <c r="J152" i="4"/>
  <c r="J153" i="4" s="1"/>
  <c r="J155" i="4" s="1"/>
  <c r="P126" i="4"/>
  <c r="P128" i="4" s="1"/>
  <c r="E83" i="4"/>
  <c r="H145" i="4"/>
  <c r="H150" i="4" s="1"/>
  <c r="I47" i="4"/>
  <c r="J145" i="4"/>
  <c r="J150" i="4" s="1"/>
  <c r="O125" i="4"/>
  <c r="O126" i="4" s="1"/>
  <c r="O128" i="4" s="1"/>
  <c r="K47" i="4"/>
  <c r="I145" i="4"/>
  <c r="I150" i="4" s="1"/>
  <c r="J47" i="4"/>
  <c r="B10" i="4"/>
  <c r="D12" i="4"/>
  <c r="H12" i="4"/>
  <c r="N12" i="4"/>
  <c r="C49" i="4"/>
  <c r="C50" i="4" s="1"/>
  <c r="G83" i="4"/>
  <c r="C122" i="4"/>
  <c r="H73" i="4"/>
  <c r="D73" i="4"/>
  <c r="F73" i="4"/>
  <c r="F90" i="4" s="1"/>
  <c r="E73" i="4"/>
  <c r="J142" i="4"/>
  <c r="E142" i="4"/>
  <c r="E143" i="4" s="1"/>
  <c r="O122" i="4"/>
  <c r="D122" i="4"/>
  <c r="D103" i="4"/>
  <c r="D107" i="4" s="1"/>
  <c r="F75" i="4"/>
  <c r="F84" i="4" s="1"/>
  <c r="F85" i="4" s="1"/>
  <c r="F87" i="4" s="1"/>
  <c r="H49" i="4"/>
  <c r="H50" i="4" s="1"/>
  <c r="H142" i="4"/>
  <c r="C142" i="4"/>
  <c r="C143" i="4" s="1"/>
  <c r="H75" i="4"/>
  <c r="H84" i="4" s="1"/>
  <c r="D75" i="4"/>
  <c r="D84" i="4" s="1"/>
  <c r="J49" i="4"/>
  <c r="J50" i="4" s="1"/>
  <c r="F49" i="4"/>
  <c r="F50" i="4" s="1"/>
  <c r="P122" i="4"/>
  <c r="E103" i="4"/>
  <c r="E107" i="4" s="1"/>
  <c r="G75" i="4"/>
  <c r="C75" i="4"/>
  <c r="C84" i="4" s="1"/>
  <c r="C85" i="4" s="1"/>
  <c r="C87" i="4" s="1"/>
  <c r="I49" i="4"/>
  <c r="I50" i="4" s="1"/>
  <c r="E49" i="4"/>
  <c r="E50" i="4" s="1"/>
  <c r="B12" i="4"/>
  <c r="F12" i="4"/>
  <c r="L12" i="4"/>
  <c r="P12" i="4"/>
  <c r="E28" i="4"/>
  <c r="K49" i="4"/>
  <c r="K50" i="4" s="1"/>
  <c r="D64" i="4"/>
  <c r="H64" i="4"/>
  <c r="E75" i="4"/>
  <c r="E84" i="4" s="1"/>
  <c r="D83" i="4"/>
  <c r="C103" i="4"/>
  <c r="C107" i="4" s="1"/>
  <c r="E64" i="4"/>
  <c r="F64" i="4"/>
  <c r="D142" i="4"/>
  <c r="D143" i="4" s="1"/>
  <c r="G12" i="4" l="1"/>
  <c r="G21" i="4" s="1"/>
  <c r="E85" i="4"/>
  <c r="E87" i="4" s="1"/>
  <c r="D49" i="4"/>
  <c r="D50" i="4" s="1"/>
  <c r="G76" i="4"/>
  <c r="G78" i="4" s="1"/>
  <c r="G80" i="4" s="1"/>
  <c r="F91" i="4"/>
  <c r="F93" i="4" s="1"/>
  <c r="G58" i="4"/>
  <c r="I125" i="4"/>
  <c r="E125" i="4"/>
  <c r="E123" i="4" s="1"/>
  <c r="E127" i="4" s="1"/>
  <c r="H125" i="4"/>
  <c r="H123" i="4" s="1"/>
  <c r="H127" i="4" s="1"/>
  <c r="H58" i="4"/>
  <c r="E58" i="4"/>
  <c r="C152" i="4"/>
  <c r="C153" i="4" s="1"/>
  <c r="C155" i="4" s="1"/>
  <c r="G29" i="4"/>
  <c r="G31" i="4" s="1"/>
  <c r="E29" i="4"/>
  <c r="E31" i="4" s="1"/>
  <c r="H85" i="4"/>
  <c r="H87" i="4" s="1"/>
  <c r="D85" i="4"/>
  <c r="D87" i="4" s="1"/>
  <c r="C29" i="4"/>
  <c r="C31" i="4" s="1"/>
  <c r="I147" i="4"/>
  <c r="I149" i="4" s="1"/>
  <c r="G91" i="4"/>
  <c r="G93" i="4" s="1"/>
  <c r="C58" i="4"/>
  <c r="F58" i="4"/>
  <c r="C76" i="4"/>
  <c r="C78" i="4" s="1"/>
  <c r="C80" i="4" s="1"/>
  <c r="L21" i="4"/>
  <c r="E76" i="4"/>
  <c r="E78" i="4" s="1"/>
  <c r="E80" i="4" s="1"/>
  <c r="D21" i="4"/>
  <c r="D29" i="4" s="1"/>
  <c r="D31" i="4" s="1"/>
  <c r="P21" i="4"/>
  <c r="O129" i="4"/>
  <c r="O131" i="4"/>
  <c r="O132" i="4" s="1"/>
  <c r="O134" i="4" s="1"/>
  <c r="O123" i="4"/>
  <c r="O127" i="4" s="1"/>
  <c r="F76" i="4"/>
  <c r="F78" i="4" s="1"/>
  <c r="F80" i="4" s="1"/>
  <c r="C145" i="4"/>
  <c r="C147" i="4" s="1"/>
  <c r="E47" i="4"/>
  <c r="E145" i="4"/>
  <c r="E147" i="4" s="1"/>
  <c r="E149" i="4" s="1"/>
  <c r="D125" i="4"/>
  <c r="D123" i="4" s="1"/>
  <c r="D106" i="4"/>
  <c r="G47" i="4"/>
  <c r="C47" i="4"/>
  <c r="D145" i="4"/>
  <c r="D147" i="4" s="1"/>
  <c r="C125" i="4"/>
  <c r="C126" i="4" s="1"/>
  <c r="C128" i="4" s="1"/>
  <c r="C106" i="4"/>
  <c r="F47" i="4"/>
  <c r="H47" i="4"/>
  <c r="L14" i="4"/>
  <c r="B14" i="4"/>
  <c r="B15" i="4" s="1"/>
  <c r="D47" i="4"/>
  <c r="O14" i="4"/>
  <c r="K14" i="4"/>
  <c r="E14" i="4"/>
  <c r="E106" i="4"/>
  <c r="M14" i="4"/>
  <c r="G14" i="4"/>
  <c r="C14" i="4"/>
  <c r="P14" i="4"/>
  <c r="F14" i="4"/>
  <c r="D14" i="4"/>
  <c r="N14" i="4"/>
  <c r="H14" i="4"/>
  <c r="C150" i="4"/>
  <c r="D90" i="4"/>
  <c r="D91" i="4" s="1"/>
  <c r="D93" i="4" s="1"/>
  <c r="D76" i="4"/>
  <c r="D78" i="4" s="1"/>
  <c r="D80" i="4" s="1"/>
  <c r="N21" i="4"/>
  <c r="J52" i="4"/>
  <c r="J54" i="4" s="1"/>
  <c r="D58" i="4"/>
  <c r="F21" i="4"/>
  <c r="F29" i="4" s="1"/>
  <c r="F31" i="4" s="1"/>
  <c r="P123" i="4"/>
  <c r="P127" i="4" s="1"/>
  <c r="P131" i="4"/>
  <c r="P132" i="4" s="1"/>
  <c r="P134" i="4" s="1"/>
  <c r="P129" i="4"/>
  <c r="H147" i="4"/>
  <c r="H149" i="4" s="1"/>
  <c r="H143" i="4"/>
  <c r="H148" i="4" s="1"/>
  <c r="J147" i="4"/>
  <c r="J149" i="4" s="1"/>
  <c r="J143" i="4"/>
  <c r="J148" i="4" s="1"/>
  <c r="H90" i="4"/>
  <c r="H91" i="4" s="1"/>
  <c r="H93" i="4" s="1"/>
  <c r="H76" i="4"/>
  <c r="H78" i="4" s="1"/>
  <c r="H80" i="4" s="1"/>
  <c r="G84" i="4"/>
  <c r="G85" i="4" s="1"/>
  <c r="G87" i="4" s="1"/>
  <c r="H21" i="4"/>
  <c r="H29" i="4" s="1"/>
  <c r="H31" i="4" s="1"/>
  <c r="I52" i="4"/>
  <c r="I54" i="4" s="1"/>
  <c r="D132" i="4"/>
  <c r="D134" i="4" s="1"/>
  <c r="E90" i="4"/>
  <c r="E91" i="4" s="1"/>
  <c r="E93" i="4" s="1"/>
  <c r="K52" i="4"/>
  <c r="K54" i="4" s="1"/>
  <c r="N125" i="2"/>
  <c r="N129" i="2" s="1"/>
  <c r="B101" i="3"/>
  <c r="C111" i="2"/>
  <c r="I126" i="4" l="1"/>
  <c r="I128" i="4" s="1"/>
  <c r="I123" i="4"/>
  <c r="I127" i="4" s="1"/>
  <c r="D126" i="4"/>
  <c r="E112" i="4"/>
  <c r="E113" i="4" s="1"/>
  <c r="E115" i="4" s="1"/>
  <c r="E104" i="4"/>
  <c r="E108" i="4" s="1"/>
  <c r="D112" i="4"/>
  <c r="D113" i="4" s="1"/>
  <c r="D115" i="4" s="1"/>
  <c r="D104" i="4"/>
  <c r="D108" i="4" s="1"/>
  <c r="C112" i="4"/>
  <c r="C113" i="4" s="1"/>
  <c r="C115" i="4" s="1"/>
  <c r="C104" i="4"/>
  <c r="C108" i="4" s="1"/>
  <c r="E126" i="4"/>
  <c r="E128" i="4" s="1"/>
  <c r="C123" i="4"/>
  <c r="C127" i="4" s="1"/>
  <c r="H126" i="4"/>
  <c r="H128" i="4" s="1"/>
  <c r="N126" i="2"/>
  <c r="E148" i="4"/>
  <c r="C149" i="4"/>
  <c r="C148" i="4"/>
  <c r="D148" i="4"/>
  <c r="D149" i="4"/>
  <c r="D127" i="4"/>
  <c r="F22" i="4"/>
  <c r="F23" i="4" s="1"/>
  <c r="F25" i="4" s="1"/>
  <c r="F15" i="4"/>
  <c r="F17" i="4" s="1"/>
  <c r="F19" i="4" s="1"/>
  <c r="M22" i="4"/>
  <c r="M23" i="4" s="1"/>
  <c r="M25" i="4" s="1"/>
  <c r="M15" i="4"/>
  <c r="M17" i="4" s="1"/>
  <c r="M19" i="4" s="1"/>
  <c r="K22" i="4"/>
  <c r="K23" i="4" s="1"/>
  <c r="K25" i="4" s="1"/>
  <c r="K15" i="4"/>
  <c r="K17" i="4" s="1"/>
  <c r="K19" i="4" s="1"/>
  <c r="C110" i="4"/>
  <c r="C109" i="4"/>
  <c r="C57" i="4"/>
  <c r="C52" i="4"/>
  <c r="C54" i="4" s="1"/>
  <c r="D128" i="4"/>
  <c r="D150" i="4"/>
  <c r="D153" i="4"/>
  <c r="D155" i="4" s="1"/>
  <c r="N22" i="4"/>
  <c r="N23" i="4" s="1"/>
  <c r="N25" i="4" s="1"/>
  <c r="N15" i="4"/>
  <c r="N17" i="4" s="1"/>
  <c r="N19" i="4" s="1"/>
  <c r="C15" i="4"/>
  <c r="C17" i="4" s="1"/>
  <c r="C19" i="4" s="1"/>
  <c r="C22" i="4"/>
  <c r="C23" i="4" s="1"/>
  <c r="C25" i="4" s="1"/>
  <c r="D57" i="4"/>
  <c r="D65" i="4" s="1"/>
  <c r="D67" i="4" s="1"/>
  <c r="D52" i="4"/>
  <c r="D54" i="4" s="1"/>
  <c r="D110" i="4"/>
  <c r="D109" i="4"/>
  <c r="E153" i="4"/>
  <c r="E155" i="4" s="1"/>
  <c r="E150" i="4"/>
  <c r="D22" i="4"/>
  <c r="D23" i="4" s="1"/>
  <c r="D25" i="4" s="1"/>
  <c r="D15" i="4"/>
  <c r="D17" i="4" s="1"/>
  <c r="D19" i="4" s="1"/>
  <c r="G22" i="4"/>
  <c r="G23" i="4" s="1"/>
  <c r="G25" i="4" s="1"/>
  <c r="G15" i="4"/>
  <c r="G17" i="4" s="1"/>
  <c r="G19" i="4" s="1"/>
  <c r="E22" i="4"/>
  <c r="E23" i="4" s="1"/>
  <c r="E25" i="4" s="1"/>
  <c r="E15" i="4"/>
  <c r="E17" i="4" s="1"/>
  <c r="E19" i="4" s="1"/>
  <c r="F57" i="4"/>
  <c r="F52" i="4"/>
  <c r="F54" i="4" s="1"/>
  <c r="L22" i="4"/>
  <c r="L23" i="4" s="1"/>
  <c r="L25" i="4" s="1"/>
  <c r="L15" i="4"/>
  <c r="L17" i="4" s="1"/>
  <c r="L19" i="4" s="1"/>
  <c r="H22" i="4"/>
  <c r="H23" i="4" s="1"/>
  <c r="H25" i="4" s="1"/>
  <c r="H15" i="4"/>
  <c r="H17" i="4" s="1"/>
  <c r="H19" i="4" s="1"/>
  <c r="P22" i="4"/>
  <c r="P23" i="4" s="1"/>
  <c r="P25" i="4" s="1"/>
  <c r="P15" i="4"/>
  <c r="P17" i="4" s="1"/>
  <c r="P19" i="4" s="1"/>
  <c r="E110" i="4"/>
  <c r="E109" i="4"/>
  <c r="O22" i="4"/>
  <c r="O23" i="4" s="1"/>
  <c r="O25" i="4" s="1"/>
  <c r="O15" i="4"/>
  <c r="O17" i="4" s="1"/>
  <c r="O19" i="4" s="1"/>
  <c r="H57" i="4"/>
  <c r="H52" i="4"/>
  <c r="H54" i="4" s="1"/>
  <c r="G57" i="4"/>
  <c r="G52" i="4"/>
  <c r="G54" i="4" s="1"/>
  <c r="E57" i="4"/>
  <c r="E52" i="4"/>
  <c r="E54" i="4" s="1"/>
  <c r="C65" i="4" l="1"/>
  <c r="C67" i="4" s="1"/>
  <c r="C59" i="4"/>
  <c r="C61" i="4" s="1"/>
  <c r="G59" i="4"/>
  <c r="G61" i="4" s="1"/>
  <c r="G65" i="4"/>
  <c r="G67" i="4" s="1"/>
  <c r="E59" i="4"/>
  <c r="E61" i="4" s="1"/>
  <c r="E65" i="4"/>
  <c r="E67" i="4" s="1"/>
  <c r="H59" i="4"/>
  <c r="H61" i="4" s="1"/>
  <c r="H65" i="4"/>
  <c r="H67" i="4" s="1"/>
  <c r="F59" i="4"/>
  <c r="F61" i="4" s="1"/>
  <c r="F65" i="4"/>
  <c r="F67" i="4" s="1"/>
  <c r="D59" i="4"/>
  <c r="D61" i="4" s="1"/>
  <c r="B25" i="3"/>
  <c r="B6" i="3"/>
  <c r="B4" i="3"/>
  <c r="B5" i="3"/>
  <c r="B7" i="3"/>
  <c r="B8" i="3"/>
  <c r="J145" i="3" s="1"/>
  <c r="J150" i="3" s="1"/>
  <c r="I152" i="3"/>
  <c r="H152" i="3"/>
  <c r="G146" i="3"/>
  <c r="B140" i="3"/>
  <c r="B120" i="3"/>
  <c r="B93" i="3"/>
  <c r="B87" i="3"/>
  <c r="B67" i="3"/>
  <c r="B61" i="3"/>
  <c r="B31" i="3"/>
  <c r="C6" i="3"/>
  <c r="C3" i="3"/>
  <c r="D7" i="3" s="1"/>
  <c r="C10" i="3" s="1"/>
  <c r="C8" i="2"/>
  <c r="B10" i="3" l="1"/>
  <c r="H73" i="3"/>
  <c r="C64" i="3"/>
  <c r="C129" i="3"/>
  <c r="C131" i="3"/>
  <c r="B9" i="3"/>
  <c r="H75" i="3" s="1"/>
  <c r="G2" i="3"/>
  <c r="J47" i="3"/>
  <c r="I47" i="3"/>
  <c r="H145" i="3"/>
  <c r="H150" i="3" s="1"/>
  <c r="I145" i="3"/>
  <c r="I150" i="3" s="1"/>
  <c r="C28" i="3"/>
  <c r="C146" i="3"/>
  <c r="C150" i="3" s="1"/>
  <c r="C152" i="3" s="1"/>
  <c r="D122" i="3"/>
  <c r="D126" i="3" s="1"/>
  <c r="D128" i="3" s="1"/>
  <c r="D142" i="3"/>
  <c r="F122" i="3"/>
  <c r="G122" i="3"/>
  <c r="F142" i="3"/>
  <c r="E142" i="3"/>
  <c r="H64" i="3"/>
  <c r="F64" i="3"/>
  <c r="G83" i="3"/>
  <c r="E64" i="3"/>
  <c r="N14" i="3"/>
  <c r="N15" i="3" s="1"/>
  <c r="E145" i="3"/>
  <c r="D145" i="3"/>
  <c r="D125" i="3"/>
  <c r="D129" i="3" s="1"/>
  <c r="G125" i="3"/>
  <c r="F125" i="3"/>
  <c r="F145" i="3"/>
  <c r="E106" i="3"/>
  <c r="E110" i="3" s="1"/>
  <c r="C106" i="3"/>
  <c r="C110" i="3" s="1"/>
  <c r="E125" i="3"/>
  <c r="E129" i="3" s="1"/>
  <c r="D106" i="3"/>
  <c r="C125" i="3"/>
  <c r="C123" i="3" s="1"/>
  <c r="J152" i="3"/>
  <c r="J153" i="3" s="1"/>
  <c r="J155" i="3" s="1"/>
  <c r="G73" i="3"/>
  <c r="G90" i="3" s="1"/>
  <c r="H90" i="3"/>
  <c r="C73" i="3"/>
  <c r="C90" i="3" s="1"/>
  <c r="D73" i="3"/>
  <c r="D90" i="3" s="1"/>
  <c r="E73" i="3"/>
  <c r="E90" i="3" s="1"/>
  <c r="F73" i="3"/>
  <c r="F90" i="3" s="1"/>
  <c r="F28" i="3"/>
  <c r="D83" i="3"/>
  <c r="E83" i="3"/>
  <c r="G28" i="3"/>
  <c r="F83" i="3"/>
  <c r="E12" i="3"/>
  <c r="E21" i="3" s="1"/>
  <c r="N12" i="3"/>
  <c r="N21" i="3" s="1"/>
  <c r="J142" i="3"/>
  <c r="J143" i="3" s="1"/>
  <c r="J148" i="3" s="1"/>
  <c r="G12" i="3"/>
  <c r="G21" i="3" s="1"/>
  <c r="I49" i="3"/>
  <c r="I50" i="3" s="1"/>
  <c r="I52" i="3" s="1"/>
  <c r="I54" i="3" s="1"/>
  <c r="G49" i="3"/>
  <c r="G50" i="3" s="1"/>
  <c r="F49" i="3"/>
  <c r="F58" i="3" s="1"/>
  <c r="M12" i="3"/>
  <c r="M21" i="3" s="1"/>
  <c r="E49" i="3"/>
  <c r="G14" i="3"/>
  <c r="G15" i="3" s="1"/>
  <c r="M14" i="3"/>
  <c r="M15" i="3" s="1"/>
  <c r="B14" i="3"/>
  <c r="B15" i="3" s="1"/>
  <c r="O125" i="3"/>
  <c r="O126" i="3" s="1"/>
  <c r="O128" i="3" s="1"/>
  <c r="D64" i="3"/>
  <c r="K14" i="3"/>
  <c r="K22" i="3" s="1"/>
  <c r="D47" i="3"/>
  <c r="D57" i="3" s="1"/>
  <c r="H47" i="3"/>
  <c r="H57" i="3" s="1"/>
  <c r="E47" i="3"/>
  <c r="E57" i="3" s="1"/>
  <c r="F47" i="3"/>
  <c r="F57" i="3" s="1"/>
  <c r="C47" i="3"/>
  <c r="C57" i="3" s="1"/>
  <c r="G47" i="3"/>
  <c r="G57" i="3" s="1"/>
  <c r="C14" i="3"/>
  <c r="C22" i="3" s="1"/>
  <c r="L14" i="3"/>
  <c r="L22" i="3" s="1"/>
  <c r="P14" i="3"/>
  <c r="P22" i="3" s="1"/>
  <c r="K47" i="3"/>
  <c r="H49" i="3"/>
  <c r="H50" i="3" s="1"/>
  <c r="G64" i="3"/>
  <c r="C83" i="3"/>
  <c r="H83" i="3"/>
  <c r="P125" i="3"/>
  <c r="P126" i="3" s="1"/>
  <c r="P128" i="3" s="1"/>
  <c r="F12" i="3"/>
  <c r="F21" i="3" s="1"/>
  <c r="F14" i="3"/>
  <c r="F15" i="3" s="1"/>
  <c r="F17" i="3" s="1"/>
  <c r="F19" i="3" s="1"/>
  <c r="E28" i="3"/>
  <c r="D14" i="3"/>
  <c r="D22" i="3" s="1"/>
  <c r="H12" i="3"/>
  <c r="H21" i="3" s="1"/>
  <c r="H14" i="3"/>
  <c r="H15" i="3" s="1"/>
  <c r="H17" i="3" s="1"/>
  <c r="H19" i="3" s="1"/>
  <c r="O14" i="3"/>
  <c r="O15" i="3" s="1"/>
  <c r="H84" i="3"/>
  <c r="E14" i="3"/>
  <c r="E22" i="3" s="1"/>
  <c r="H28" i="3"/>
  <c r="D28" i="3"/>
  <c r="D8" i="3"/>
  <c r="D4" i="3"/>
  <c r="C9" i="3" s="1"/>
  <c r="M22" i="3"/>
  <c r="D5" i="3"/>
  <c r="C103" i="3"/>
  <c r="C104" i="3" s="1"/>
  <c r="C108" i="3" s="1"/>
  <c r="C142" i="3"/>
  <c r="C12" i="3"/>
  <c r="P122" i="3"/>
  <c r="H153" i="3"/>
  <c r="H155" i="3" s="1"/>
  <c r="B12" i="3"/>
  <c r="O122" i="3"/>
  <c r="C75" i="3"/>
  <c r="I153" i="3"/>
  <c r="I155" i="3" s="1"/>
  <c r="C6" i="2"/>
  <c r="C5" i="2"/>
  <c r="C4" i="2"/>
  <c r="C3" i="2"/>
  <c r="D5" i="2" s="1"/>
  <c r="I152" i="2"/>
  <c r="F146" i="2"/>
  <c r="G146" i="2"/>
  <c r="I145" i="2"/>
  <c r="I150" i="2" s="1"/>
  <c r="E145" i="2"/>
  <c r="D145" i="2"/>
  <c r="D146" i="2" s="1"/>
  <c r="D150" i="2" s="1"/>
  <c r="D152" i="2" s="1"/>
  <c r="J152" i="2"/>
  <c r="C65" i="3" l="1"/>
  <c r="C67" i="3" s="1"/>
  <c r="D12" i="3"/>
  <c r="D21" i="3" s="1"/>
  <c r="C122" i="3"/>
  <c r="I142" i="3"/>
  <c r="I143" i="3" s="1"/>
  <c r="I148" i="3" s="1"/>
  <c r="C143" i="3"/>
  <c r="P12" i="3"/>
  <c r="P21" i="3" s="1"/>
  <c r="P23" i="3" s="1"/>
  <c r="P25" i="3" s="1"/>
  <c r="E75" i="3"/>
  <c r="F75" i="3"/>
  <c r="F84" i="3" s="1"/>
  <c r="D49" i="3"/>
  <c r="D50" i="3" s="1"/>
  <c r="D52" i="3" s="1"/>
  <c r="D54" i="3" s="1"/>
  <c r="K49" i="3"/>
  <c r="K50" i="3" s="1"/>
  <c r="K52" i="3" s="1"/>
  <c r="K54" i="3" s="1"/>
  <c r="H142" i="3"/>
  <c r="H143" i="3" s="1"/>
  <c r="H148" i="3" s="1"/>
  <c r="O12" i="3"/>
  <c r="O21" i="3" s="1"/>
  <c r="L12" i="3"/>
  <c r="L21" i="3" s="1"/>
  <c r="L23" i="3" s="1"/>
  <c r="L25" i="3" s="1"/>
  <c r="E103" i="3"/>
  <c r="E112" i="3" s="1"/>
  <c r="E113" i="3" s="1"/>
  <c r="E115" i="3" s="1"/>
  <c r="H76" i="3"/>
  <c r="H78" i="3" s="1"/>
  <c r="H80" i="3" s="1"/>
  <c r="J49" i="3"/>
  <c r="J50" i="3" s="1"/>
  <c r="J52" i="3" s="1"/>
  <c r="J54" i="3" s="1"/>
  <c r="D75" i="3"/>
  <c r="D84" i="3" s="1"/>
  <c r="D85" i="3" s="1"/>
  <c r="D87" i="3" s="1"/>
  <c r="K12" i="3"/>
  <c r="K21" i="3" s="1"/>
  <c r="K23" i="3" s="1"/>
  <c r="K25" i="3" s="1"/>
  <c r="C49" i="3"/>
  <c r="C58" i="3" s="1"/>
  <c r="C59" i="3" s="1"/>
  <c r="C61" i="3" s="1"/>
  <c r="E122" i="3"/>
  <c r="E131" i="3" s="1"/>
  <c r="E132" i="3" s="1"/>
  <c r="E134" i="3" s="1"/>
  <c r="G75" i="3"/>
  <c r="G84" i="3" s="1"/>
  <c r="D103" i="3"/>
  <c r="D65" i="3"/>
  <c r="D67" i="3" s="1"/>
  <c r="E29" i="3"/>
  <c r="E31" i="3" s="1"/>
  <c r="J147" i="3"/>
  <c r="J149" i="3" s="1"/>
  <c r="F29" i="3"/>
  <c r="F31" i="3" s="1"/>
  <c r="N17" i="3"/>
  <c r="N19" i="3" s="1"/>
  <c r="C126" i="3"/>
  <c r="C128" i="3" s="1"/>
  <c r="F91" i="3"/>
  <c r="F93" i="3" s="1"/>
  <c r="C107" i="3"/>
  <c r="C109" i="3" s="1"/>
  <c r="C76" i="3"/>
  <c r="C78" i="3" s="1"/>
  <c r="C80" i="3" s="1"/>
  <c r="E91" i="3"/>
  <c r="E93" i="3" s="1"/>
  <c r="P15" i="3"/>
  <c r="P17" i="3" s="1"/>
  <c r="P19" i="3" s="1"/>
  <c r="F65" i="3"/>
  <c r="F67" i="3" s="1"/>
  <c r="D23" i="3"/>
  <c r="D25" i="3" s="1"/>
  <c r="M23" i="3"/>
  <c r="M25" i="3" s="1"/>
  <c r="D91" i="3"/>
  <c r="D93" i="3" s="1"/>
  <c r="O17" i="3"/>
  <c r="O19" i="3" s="1"/>
  <c r="G91" i="3"/>
  <c r="G93" i="3" s="1"/>
  <c r="M17" i="3"/>
  <c r="M19" i="3" s="1"/>
  <c r="H65" i="3"/>
  <c r="H67" i="3" s="1"/>
  <c r="E65" i="3"/>
  <c r="E67" i="3" s="1"/>
  <c r="D112" i="3"/>
  <c r="D113" i="3" s="1"/>
  <c r="D115" i="3" s="1"/>
  <c r="D104" i="3"/>
  <c r="D108" i="3" s="1"/>
  <c r="D146" i="3"/>
  <c r="D143" i="3" s="1"/>
  <c r="D148" i="3" s="1"/>
  <c r="D147" i="3"/>
  <c r="D149" i="3" s="1"/>
  <c r="E146" i="3"/>
  <c r="E143" i="3" s="1"/>
  <c r="E148" i="3" s="1"/>
  <c r="E147" i="3"/>
  <c r="E149" i="3" s="1"/>
  <c r="D107" i="3"/>
  <c r="D109" i="3" s="1"/>
  <c r="D110" i="3"/>
  <c r="D15" i="3"/>
  <c r="D17" i="3" s="1"/>
  <c r="D19" i="3" s="1"/>
  <c r="F126" i="3"/>
  <c r="F128" i="3" s="1"/>
  <c r="F131" i="3"/>
  <c r="F132" i="3" s="1"/>
  <c r="F134" i="3" s="1"/>
  <c r="E107" i="3"/>
  <c r="E109" i="3" s="1"/>
  <c r="G52" i="3"/>
  <c r="G54" i="3" s="1"/>
  <c r="C15" i="3"/>
  <c r="G131" i="3"/>
  <c r="G132" i="3" s="1"/>
  <c r="G134" i="3" s="1"/>
  <c r="G126" i="3"/>
  <c r="G128" i="3" s="1"/>
  <c r="F129" i="3"/>
  <c r="F123" i="3"/>
  <c r="F127" i="3" s="1"/>
  <c r="G76" i="3"/>
  <c r="G78" i="3" s="1"/>
  <c r="G80" i="3" s="1"/>
  <c r="N22" i="3"/>
  <c r="G29" i="3"/>
  <c r="G31" i="3" s="1"/>
  <c r="G129" i="3"/>
  <c r="G123" i="3"/>
  <c r="G127" i="3" s="1"/>
  <c r="G85" i="3"/>
  <c r="G87" i="3" s="1"/>
  <c r="F147" i="3"/>
  <c r="F149" i="3" s="1"/>
  <c r="F146" i="3"/>
  <c r="F143" i="3" s="1"/>
  <c r="F148" i="3" s="1"/>
  <c r="O22" i="3"/>
  <c r="O23" i="3" s="1"/>
  <c r="O25" i="3" s="1"/>
  <c r="E23" i="3"/>
  <c r="E25" i="3" s="1"/>
  <c r="D123" i="3"/>
  <c r="D127" i="3" s="1"/>
  <c r="H29" i="3"/>
  <c r="H31" i="3" s="1"/>
  <c r="E123" i="3"/>
  <c r="E127" i="3" s="1"/>
  <c r="E126" i="3"/>
  <c r="E128" i="3" s="1"/>
  <c r="F85" i="3"/>
  <c r="F87" i="3" s="1"/>
  <c r="C127" i="3"/>
  <c r="G58" i="3"/>
  <c r="G59" i="3" s="1"/>
  <c r="G61" i="3" s="1"/>
  <c r="C91" i="3"/>
  <c r="C93" i="3" s="1"/>
  <c r="F59" i="3"/>
  <c r="F61" i="3" s="1"/>
  <c r="H52" i="3"/>
  <c r="H54" i="3" s="1"/>
  <c r="K15" i="3"/>
  <c r="G17" i="3"/>
  <c r="G19" i="3" s="1"/>
  <c r="D29" i="3"/>
  <c r="D31" i="3" s="1"/>
  <c r="E50" i="3"/>
  <c r="E52" i="3" s="1"/>
  <c r="E54" i="3" s="1"/>
  <c r="E58" i="3"/>
  <c r="E59" i="3" s="1"/>
  <c r="E61" i="3" s="1"/>
  <c r="I147" i="3"/>
  <c r="I149" i="3" s="1"/>
  <c r="D4" i="2"/>
  <c r="C9" i="2" s="1"/>
  <c r="D7" i="2"/>
  <c r="C10" i="2" s="1"/>
  <c r="D131" i="3"/>
  <c r="D132" i="3" s="1"/>
  <c r="D134" i="3" s="1"/>
  <c r="H58" i="3"/>
  <c r="H59" i="3" s="1"/>
  <c r="H61" i="3" s="1"/>
  <c r="H22" i="3"/>
  <c r="H23" i="3" s="1"/>
  <c r="H25" i="3" s="1"/>
  <c r="D76" i="3"/>
  <c r="D78" i="3" s="1"/>
  <c r="D80" i="3" s="1"/>
  <c r="E15" i="3"/>
  <c r="E17" i="3" s="1"/>
  <c r="E19" i="3" s="1"/>
  <c r="F50" i="3"/>
  <c r="F52" i="3" s="1"/>
  <c r="F54" i="3" s="1"/>
  <c r="C132" i="3"/>
  <c r="C134" i="3" s="1"/>
  <c r="G22" i="3"/>
  <c r="G23" i="3" s="1"/>
  <c r="G25" i="3" s="1"/>
  <c r="D8" i="2"/>
  <c r="L15" i="3"/>
  <c r="N23" i="3"/>
  <c r="N25" i="3" s="1"/>
  <c r="C84" i="3"/>
  <c r="C85" i="3" s="1"/>
  <c r="C87" i="3" s="1"/>
  <c r="F22" i="3"/>
  <c r="F23" i="3" s="1"/>
  <c r="F25" i="3" s="1"/>
  <c r="G65" i="3"/>
  <c r="G67" i="3" s="1"/>
  <c r="H85" i="3"/>
  <c r="H87" i="3" s="1"/>
  <c r="H91" i="3"/>
  <c r="H93" i="3" s="1"/>
  <c r="C21" i="3"/>
  <c r="C29" i="3" s="1"/>
  <c r="P129" i="3"/>
  <c r="P131" i="3"/>
  <c r="P132" i="3" s="1"/>
  <c r="P134" i="3" s="1"/>
  <c r="P123" i="3"/>
  <c r="P127" i="3" s="1"/>
  <c r="O129" i="3"/>
  <c r="O131" i="3"/>
  <c r="O132" i="3" s="1"/>
  <c r="O134" i="3" s="1"/>
  <c r="O123" i="3"/>
  <c r="O127" i="3" s="1"/>
  <c r="C147" i="3"/>
  <c r="C149" i="3" s="1"/>
  <c r="C148" i="3"/>
  <c r="C153" i="3"/>
  <c r="C155" i="3" s="1"/>
  <c r="E84" i="3"/>
  <c r="E85" i="3" s="1"/>
  <c r="E87" i="3" s="1"/>
  <c r="E76" i="3"/>
  <c r="E78" i="3" s="1"/>
  <c r="E80" i="3" s="1"/>
  <c r="C112" i="3"/>
  <c r="C113" i="3" s="1"/>
  <c r="C115" i="3" s="1"/>
  <c r="E146" i="2"/>
  <c r="E150" i="2"/>
  <c r="E152" i="2" s="1"/>
  <c r="C50" i="3" l="1"/>
  <c r="C52" i="3" s="1"/>
  <c r="C54" i="3" s="1"/>
  <c r="H147" i="3"/>
  <c r="H149" i="3" s="1"/>
  <c r="E104" i="3"/>
  <c r="E108" i="3" s="1"/>
  <c r="K17" i="3"/>
  <c r="K19" i="3" s="1"/>
  <c r="D58" i="3"/>
  <c r="D59" i="3" s="1"/>
  <c r="D61" i="3" s="1"/>
  <c r="C17" i="3"/>
  <c r="C19" i="3" s="1"/>
  <c r="F76" i="3"/>
  <c r="F78" i="3" s="1"/>
  <c r="F80" i="3" s="1"/>
  <c r="L17" i="3"/>
  <c r="L19" i="3" s="1"/>
  <c r="F152" i="3"/>
  <c r="F153" i="3" s="1"/>
  <c r="F155" i="3" s="1"/>
  <c r="F150" i="3"/>
  <c r="E152" i="3"/>
  <c r="E153" i="3" s="1"/>
  <c r="E155" i="3" s="1"/>
  <c r="E150" i="3"/>
  <c r="D152" i="3"/>
  <c r="D153" i="3" s="1"/>
  <c r="D155" i="3" s="1"/>
  <c r="D150" i="3"/>
  <c r="C31" i="3"/>
  <c r="C23" i="3"/>
  <c r="C25" i="3" s="1"/>
  <c r="J145" i="2"/>
  <c r="C145" i="2"/>
  <c r="B140" i="2"/>
  <c r="J150" i="2" l="1"/>
  <c r="O125" i="2"/>
  <c r="O126" i="2" s="1"/>
  <c r="P125" i="2"/>
  <c r="P126" i="2" s="1"/>
  <c r="H125" i="2"/>
  <c r="H126" i="2" s="1"/>
  <c r="M125" i="2" l="1"/>
  <c r="M129" i="2" s="1"/>
  <c r="L125" i="2"/>
  <c r="L129" i="2" s="1"/>
  <c r="K125" i="2"/>
  <c r="K129" i="2" s="1"/>
  <c r="J125" i="2"/>
  <c r="J129" i="2" s="1"/>
  <c r="I125" i="2"/>
  <c r="I129" i="2" s="1"/>
  <c r="G125" i="2" l="1"/>
  <c r="F125" i="2"/>
  <c r="F126" i="2" s="1"/>
  <c r="E125" i="2"/>
  <c r="E126" i="2" s="1"/>
  <c r="D125" i="2"/>
  <c r="D129" i="2" s="1"/>
  <c r="C125" i="2"/>
  <c r="B120" i="2"/>
  <c r="G106" i="2"/>
  <c r="G110" i="2" s="1"/>
  <c r="F106" i="2"/>
  <c r="F110" i="2" s="1"/>
  <c r="E106" i="2"/>
  <c r="E107" i="2" s="1"/>
  <c r="D106" i="2"/>
  <c r="D110" i="2" s="1"/>
  <c r="C106" i="2"/>
  <c r="C107" i="2" s="1"/>
  <c r="B101" i="2"/>
  <c r="N128" i="2" l="1"/>
  <c r="H153" i="2"/>
  <c r="H155" i="2" s="1"/>
  <c r="I153" i="2"/>
  <c r="I155" i="2" s="1"/>
  <c r="D153" i="2"/>
  <c r="D155" i="2" s="1"/>
  <c r="P128" i="2"/>
  <c r="H128" i="2"/>
  <c r="O128" i="2"/>
  <c r="C109" i="2"/>
  <c r="D126" i="2"/>
  <c r="D128" i="2" s="1"/>
  <c r="D107" i="2"/>
  <c r="D109" i="2" s="1"/>
  <c r="E128" i="2"/>
  <c r="F128" i="2"/>
  <c r="E109" i="2"/>
  <c r="G126" i="2"/>
  <c r="G128" i="2" s="1"/>
  <c r="E129" i="2"/>
  <c r="G129" i="2"/>
  <c r="C126" i="2"/>
  <c r="C128" i="2" s="1"/>
  <c r="F129" i="2"/>
  <c r="E110" i="2"/>
  <c r="F107" i="2"/>
  <c r="F109" i="2" s="1"/>
  <c r="C110" i="2"/>
  <c r="G107" i="2"/>
  <c r="G109" i="2" s="1"/>
  <c r="D89" i="2" l="1"/>
  <c r="E83" i="2"/>
  <c r="F83" i="2"/>
  <c r="G83" i="2"/>
  <c r="H83" i="2"/>
  <c r="D82" i="2"/>
  <c r="D77" i="2"/>
  <c r="D83" i="2" s="1"/>
  <c r="B93" i="2"/>
  <c r="C89" i="2"/>
  <c r="C82" i="2"/>
  <c r="C77" i="2"/>
  <c r="C83" i="2" s="1"/>
  <c r="B87" i="2"/>
  <c r="H73" i="2"/>
  <c r="H90" i="2" s="1"/>
  <c r="G73" i="2"/>
  <c r="G90" i="2" s="1"/>
  <c r="F73" i="2"/>
  <c r="F90" i="2" s="1"/>
  <c r="E73" i="2"/>
  <c r="E90" i="2" s="1"/>
  <c r="D73" i="2"/>
  <c r="D90" i="2" s="1"/>
  <c r="C73" i="2"/>
  <c r="H63" i="2"/>
  <c r="H64" i="2" s="1"/>
  <c r="F64" i="2"/>
  <c r="E64" i="2"/>
  <c r="D64" i="2"/>
  <c r="B67" i="2"/>
  <c r="G64" i="2"/>
  <c r="C64" i="2"/>
  <c r="B31" i="2"/>
  <c r="C28" i="2"/>
  <c r="B61" i="2"/>
  <c r="H56" i="2"/>
  <c r="K47" i="2"/>
  <c r="J47" i="2"/>
  <c r="I47" i="2"/>
  <c r="G91" i="2" l="1"/>
  <c r="H91" i="2"/>
  <c r="H93" i="2" s="1"/>
  <c r="C90" i="2"/>
  <c r="C91" i="2" s="1"/>
  <c r="C93" i="2" s="1"/>
  <c r="F91" i="2"/>
  <c r="F93" i="2" s="1"/>
  <c r="G93" i="2"/>
  <c r="E91" i="2"/>
  <c r="E93" i="2" s="1"/>
  <c r="D91" i="2"/>
  <c r="D93" i="2" s="1"/>
  <c r="H47" i="2"/>
  <c r="H57" i="2" s="1"/>
  <c r="H65" i="2" s="1"/>
  <c r="H67" i="2" s="1"/>
  <c r="G47" i="2"/>
  <c r="G57" i="2" s="1"/>
  <c r="G65" i="2" s="1"/>
  <c r="G67" i="2" s="1"/>
  <c r="F47" i="2"/>
  <c r="F57" i="2" s="1"/>
  <c r="F65" i="2" s="1"/>
  <c r="F67" i="2" s="1"/>
  <c r="E47" i="2"/>
  <c r="E57" i="2" s="1"/>
  <c r="E65" i="2" s="1"/>
  <c r="E67" i="2" s="1"/>
  <c r="D47" i="2"/>
  <c r="D57" i="2" s="1"/>
  <c r="D65" i="2" s="1"/>
  <c r="D67" i="2" s="1"/>
  <c r="C47" i="2"/>
  <c r="D35" i="2"/>
  <c r="E35" i="2"/>
  <c r="F35" i="2"/>
  <c r="G35" i="2"/>
  <c r="H35" i="2"/>
  <c r="C35" i="2"/>
  <c r="B41" i="2"/>
  <c r="O28" i="1"/>
  <c r="H47" i="1"/>
  <c r="H45" i="1"/>
  <c r="H78" i="1"/>
  <c r="H21" i="1"/>
  <c r="H74" i="1"/>
  <c r="C57" i="2" l="1"/>
  <c r="C65" i="2" s="1"/>
  <c r="C67" i="2" s="1"/>
  <c r="B9" i="2"/>
  <c r="B61" i="1"/>
  <c r="B63" i="1" s="1"/>
  <c r="B47" i="1"/>
  <c r="B49" i="1" s="1"/>
  <c r="B45" i="1"/>
  <c r="B92" i="1"/>
  <c r="B94" i="1" s="1"/>
  <c r="B78" i="1"/>
  <c r="B80" i="1" s="1"/>
  <c r="B74" i="1"/>
  <c r="B76" i="1" s="1"/>
  <c r="I47" i="1"/>
  <c r="H49" i="1" s="1"/>
  <c r="O29" i="1"/>
  <c r="O35" i="1"/>
  <c r="O37" i="1" s="1"/>
  <c r="O40" i="1" s="1"/>
  <c r="N45" i="1" s="1"/>
  <c r="H92" i="1"/>
  <c r="H94" i="1" s="1"/>
  <c r="H80" i="1"/>
  <c r="H76" i="1"/>
  <c r="H61" i="1"/>
  <c r="H63" i="1" s="1"/>
  <c r="H39" i="1"/>
  <c r="I26" i="1"/>
  <c r="B21" i="1"/>
  <c r="C14" i="1"/>
  <c r="C15" i="1"/>
  <c r="C26" i="1"/>
  <c r="C16" i="1"/>
  <c r="C18" i="1"/>
  <c r="B17" i="1"/>
  <c r="C17" i="1" s="1"/>
  <c r="F12" i="2" l="1"/>
  <c r="F21" i="2" s="1"/>
  <c r="F29" i="2" s="1"/>
  <c r="F31" i="2" s="1"/>
  <c r="E12" i="2"/>
  <c r="E21" i="2" s="1"/>
  <c r="E29" i="2" s="1"/>
  <c r="E31" i="2" s="1"/>
  <c r="D12" i="2"/>
  <c r="D21" i="2" s="1"/>
  <c r="D29" i="2" s="1"/>
  <c r="D31" i="2" s="1"/>
  <c r="G12" i="2"/>
  <c r="G21" i="2" s="1"/>
  <c r="G29" i="2" s="1"/>
  <c r="G31" i="2" s="1"/>
  <c r="H12" i="2"/>
  <c r="H21" i="2" s="1"/>
  <c r="H29" i="2" s="1"/>
  <c r="H31" i="2" s="1"/>
  <c r="N122" i="2"/>
  <c r="N131" i="2" s="1"/>
  <c r="N132" i="2" s="1"/>
  <c r="N134" i="2" s="1"/>
  <c r="H142" i="2"/>
  <c r="N123" i="2"/>
  <c r="N127" i="2" s="1"/>
  <c r="I142" i="2"/>
  <c r="E142" i="2"/>
  <c r="D142" i="2"/>
  <c r="J142" i="2"/>
  <c r="C142" i="2"/>
  <c r="P122" i="2"/>
  <c r="H122" i="2"/>
  <c r="O122" i="2"/>
  <c r="I122" i="2"/>
  <c r="J122" i="2"/>
  <c r="M122" i="2"/>
  <c r="L122" i="2"/>
  <c r="K122" i="2"/>
  <c r="K131" i="2" s="1"/>
  <c r="D122" i="2"/>
  <c r="D103" i="2"/>
  <c r="G122" i="2"/>
  <c r="C122" i="2"/>
  <c r="G103" i="2"/>
  <c r="C103" i="2"/>
  <c r="E122" i="2"/>
  <c r="E103" i="2"/>
  <c r="F122" i="2"/>
  <c r="F103" i="2"/>
  <c r="F75" i="2"/>
  <c r="G75" i="2"/>
  <c r="D75" i="2"/>
  <c r="H75" i="2"/>
  <c r="E75" i="2"/>
  <c r="C75" i="2"/>
  <c r="K49" i="2"/>
  <c r="K50" i="2" s="1"/>
  <c r="K52" i="2" s="1"/>
  <c r="K54" i="2" s="1"/>
  <c r="J49" i="2"/>
  <c r="J50" i="2" s="1"/>
  <c r="J52" i="2" s="1"/>
  <c r="J54" i="2" s="1"/>
  <c r="I49" i="2"/>
  <c r="I50" i="2" s="1"/>
  <c r="I52" i="2" s="1"/>
  <c r="I54" i="2" s="1"/>
  <c r="C37" i="2"/>
  <c r="C38" i="2" s="1"/>
  <c r="C40" i="2" s="1"/>
  <c r="C42" i="2" s="1"/>
  <c r="D37" i="2"/>
  <c r="D38" i="2" s="1"/>
  <c r="D40" i="2" s="1"/>
  <c r="D42" i="2" s="1"/>
  <c r="F49" i="2"/>
  <c r="E37" i="2"/>
  <c r="E38" i="2" s="1"/>
  <c r="E40" i="2" s="1"/>
  <c r="E42" i="2" s="1"/>
  <c r="D49" i="2"/>
  <c r="G37" i="2"/>
  <c r="G38" i="2" s="1"/>
  <c r="G40" i="2" s="1"/>
  <c r="G42" i="2" s="1"/>
  <c r="H49" i="2"/>
  <c r="E49" i="2"/>
  <c r="H37" i="2"/>
  <c r="H38" i="2" s="1"/>
  <c r="H40" i="2" s="1"/>
  <c r="H42" i="2" s="1"/>
  <c r="G49" i="2"/>
  <c r="F37" i="2"/>
  <c r="F38" i="2" s="1"/>
  <c r="F40" i="2" s="1"/>
  <c r="F42" i="2" s="1"/>
  <c r="C49" i="2"/>
  <c r="L12" i="2"/>
  <c r="M12" i="2"/>
  <c r="P12" i="2"/>
  <c r="N12" i="2"/>
  <c r="K12" i="2"/>
  <c r="O12" i="2"/>
  <c r="C12" i="2"/>
  <c r="B12" i="2"/>
  <c r="B10" i="2"/>
  <c r="C74" i="1"/>
  <c r="C21" i="1"/>
  <c r="I21" i="1"/>
  <c r="B52" i="1"/>
  <c r="B56" i="1" s="1"/>
  <c r="H33" i="1"/>
  <c r="H36" i="1" s="1"/>
  <c r="H42" i="1" s="1"/>
  <c r="H52" i="1"/>
  <c r="B66" i="1"/>
  <c r="B70" i="1" s="1"/>
  <c r="H83" i="1"/>
  <c r="H87" i="1" s="1"/>
  <c r="H97" i="1"/>
  <c r="H101" i="1" s="1"/>
  <c r="H56" i="1"/>
  <c r="H66" i="1"/>
  <c r="H70" i="1" s="1"/>
  <c r="B97" i="1"/>
  <c r="B101" i="1" s="1"/>
  <c r="B83" i="1"/>
  <c r="B87" i="1" s="1"/>
  <c r="D14" i="2" l="1"/>
  <c r="H14" i="2"/>
  <c r="G14" i="2"/>
  <c r="F14" i="2"/>
  <c r="E14" i="2"/>
  <c r="H147" i="2"/>
  <c r="H149" i="2" s="1"/>
  <c r="H143" i="2"/>
  <c r="H148" i="2" s="1"/>
  <c r="C147" i="2"/>
  <c r="C143" i="2"/>
  <c r="C148" i="2" s="1"/>
  <c r="D147" i="2"/>
  <c r="D149" i="2" s="1"/>
  <c r="D143" i="2"/>
  <c r="D148" i="2" s="1"/>
  <c r="E153" i="2"/>
  <c r="E155" i="2" s="1"/>
  <c r="E147" i="2"/>
  <c r="E149" i="2" s="1"/>
  <c r="E143" i="2"/>
  <c r="E148" i="2" s="1"/>
  <c r="I143" i="2"/>
  <c r="I148" i="2" s="1"/>
  <c r="I147" i="2"/>
  <c r="I149" i="2" s="1"/>
  <c r="B36" i="1"/>
  <c r="B42" i="1" s="1"/>
  <c r="P129" i="2"/>
  <c r="P131" i="2"/>
  <c r="P132" i="2" s="1"/>
  <c r="P134" i="2" s="1"/>
  <c r="P123" i="2"/>
  <c r="P127" i="2" s="1"/>
  <c r="J153" i="2"/>
  <c r="J155" i="2" s="1"/>
  <c r="J143" i="2"/>
  <c r="J148" i="2" s="1"/>
  <c r="J147" i="2"/>
  <c r="J149" i="2" s="1"/>
  <c r="O123" i="2"/>
  <c r="O127" i="2" s="1"/>
  <c r="O131" i="2"/>
  <c r="O132" i="2" s="1"/>
  <c r="O134" i="2" s="1"/>
  <c r="O129" i="2"/>
  <c r="H129" i="2"/>
  <c r="H131" i="2"/>
  <c r="H132" i="2" s="1"/>
  <c r="H134" i="2" s="1"/>
  <c r="H123" i="2"/>
  <c r="H127" i="2" s="1"/>
  <c r="C149" i="2"/>
  <c r="C153" i="2"/>
  <c r="C155" i="2" s="1"/>
  <c r="E76" i="2"/>
  <c r="E84" i="2"/>
  <c r="E85" i="2" s="1"/>
  <c r="E87" i="2" s="1"/>
  <c r="F76" i="2"/>
  <c r="F84" i="2"/>
  <c r="F85" i="2" s="1"/>
  <c r="F87" i="2" s="1"/>
  <c r="E131" i="2"/>
  <c r="E132" i="2" s="1"/>
  <c r="E134" i="2" s="1"/>
  <c r="E123" i="2"/>
  <c r="E127" i="2" s="1"/>
  <c r="L131" i="2"/>
  <c r="L132" i="2" s="1"/>
  <c r="L134" i="2" s="1"/>
  <c r="L126" i="2"/>
  <c r="L128" i="2" s="1"/>
  <c r="L123" i="2"/>
  <c r="L127" i="2" s="1"/>
  <c r="F112" i="2"/>
  <c r="F113" i="2" s="1"/>
  <c r="F115" i="2" s="1"/>
  <c r="F104" i="2"/>
  <c r="F108" i="2" s="1"/>
  <c r="M123" i="2"/>
  <c r="M127" i="2" s="1"/>
  <c r="M126" i="2"/>
  <c r="M128" i="2" s="1"/>
  <c r="M131" i="2"/>
  <c r="M132" i="2" s="1"/>
  <c r="M134" i="2" s="1"/>
  <c r="D76" i="2"/>
  <c r="D84" i="2"/>
  <c r="D85" i="2" s="1"/>
  <c r="D87" i="2" s="1"/>
  <c r="F123" i="2"/>
  <c r="F127" i="2" s="1"/>
  <c r="F131" i="2"/>
  <c r="F132" i="2" s="1"/>
  <c r="F134" i="2" s="1"/>
  <c r="G104" i="2"/>
  <c r="G108" i="2" s="1"/>
  <c r="G112" i="2"/>
  <c r="G113" i="2" s="1"/>
  <c r="G115" i="2" s="1"/>
  <c r="D131" i="2"/>
  <c r="D132" i="2" s="1"/>
  <c r="D134" i="2" s="1"/>
  <c r="D123" i="2"/>
  <c r="D127" i="2" s="1"/>
  <c r="J131" i="2"/>
  <c r="J132" i="2" s="1"/>
  <c r="J134" i="2" s="1"/>
  <c r="J126" i="2"/>
  <c r="J128" i="2" s="1"/>
  <c r="J123" i="2"/>
  <c r="J127" i="2" s="1"/>
  <c r="G131" i="2"/>
  <c r="G132" i="2" s="1"/>
  <c r="G134" i="2" s="1"/>
  <c r="G123" i="2"/>
  <c r="G127" i="2" s="1"/>
  <c r="H76" i="2"/>
  <c r="H84" i="2"/>
  <c r="H85" i="2" s="1"/>
  <c r="H87" i="2" s="1"/>
  <c r="C112" i="2"/>
  <c r="C113" i="2" s="1"/>
  <c r="C115" i="2" s="1"/>
  <c r="C104" i="2"/>
  <c r="C108" i="2" s="1"/>
  <c r="D104" i="2"/>
  <c r="D108" i="2" s="1"/>
  <c r="D112" i="2"/>
  <c r="D113" i="2" s="1"/>
  <c r="D115" i="2" s="1"/>
  <c r="C76" i="2"/>
  <c r="C78" i="2" s="1"/>
  <c r="C80" i="2" s="1"/>
  <c r="C84" i="2"/>
  <c r="C85" i="2" s="1"/>
  <c r="C87" i="2" s="1"/>
  <c r="G76" i="2"/>
  <c r="G84" i="2"/>
  <c r="G85" i="2" s="1"/>
  <c r="G87" i="2" s="1"/>
  <c r="E112" i="2"/>
  <c r="E113" i="2" s="1"/>
  <c r="E115" i="2" s="1"/>
  <c r="E104" i="2"/>
  <c r="E108" i="2" s="1"/>
  <c r="C131" i="2"/>
  <c r="C132" i="2" s="1"/>
  <c r="C134" i="2" s="1"/>
  <c r="C129" i="2"/>
  <c r="C123" i="2"/>
  <c r="C127" i="2" s="1"/>
  <c r="K132" i="2"/>
  <c r="K134" i="2" s="1"/>
  <c r="K126" i="2"/>
  <c r="K128" i="2" s="1"/>
  <c r="K123" i="2"/>
  <c r="K127" i="2" s="1"/>
  <c r="I131" i="2"/>
  <c r="I132" i="2" s="1"/>
  <c r="I134" i="2" s="1"/>
  <c r="I126" i="2"/>
  <c r="I128" i="2" s="1"/>
  <c r="I123" i="2"/>
  <c r="I127" i="2" s="1"/>
  <c r="G50" i="2"/>
  <c r="G52" i="2" s="1"/>
  <c r="G54" i="2" s="1"/>
  <c r="G58" i="2"/>
  <c r="G59" i="2" s="1"/>
  <c r="G61" i="2" s="1"/>
  <c r="D50" i="2"/>
  <c r="D52" i="2" s="1"/>
  <c r="D54" i="2" s="1"/>
  <c r="D58" i="2"/>
  <c r="D59" i="2" s="1"/>
  <c r="D61" i="2" s="1"/>
  <c r="F50" i="2"/>
  <c r="F52" i="2" s="1"/>
  <c r="F54" i="2" s="1"/>
  <c r="F58" i="2"/>
  <c r="F59" i="2" s="1"/>
  <c r="F61" i="2" s="1"/>
  <c r="C50" i="2"/>
  <c r="C52" i="2" s="1"/>
  <c r="C58" i="2"/>
  <c r="C59" i="2" s="1"/>
  <c r="C61" i="2" s="1"/>
  <c r="E50" i="2"/>
  <c r="E52" i="2" s="1"/>
  <c r="E54" i="2" s="1"/>
  <c r="E58" i="2"/>
  <c r="E59" i="2" s="1"/>
  <c r="E61" i="2" s="1"/>
  <c r="H50" i="2"/>
  <c r="H52" i="2" s="1"/>
  <c r="H54" i="2" s="1"/>
  <c r="H58" i="2"/>
  <c r="H59" i="2" s="1"/>
  <c r="H61" i="2" s="1"/>
  <c r="N21" i="2"/>
  <c r="C14" i="2"/>
  <c r="K14" i="2"/>
  <c r="L14" i="2"/>
  <c r="M14" i="2"/>
  <c r="N14" i="2"/>
  <c r="O14" i="2"/>
  <c r="B14" i="2"/>
  <c r="B15" i="2" s="1"/>
  <c r="P14" i="2"/>
  <c r="P21" i="2"/>
  <c r="C21" i="2"/>
  <c r="C29" i="2" s="1"/>
  <c r="C31" i="2" s="1"/>
  <c r="O21" i="2"/>
  <c r="M21" i="2"/>
  <c r="K21" i="2"/>
  <c r="L21" i="2"/>
  <c r="E74" i="1"/>
  <c r="E75" i="1" s="1"/>
  <c r="E76" i="1" s="1"/>
  <c r="F22" i="2" l="1"/>
  <c r="F23" i="2" s="1"/>
  <c r="F25" i="2" s="1"/>
  <c r="F15" i="2"/>
  <c r="F17" i="2" s="1"/>
  <c r="F19" i="2" s="1"/>
  <c r="G15" i="2"/>
  <c r="G17" i="2" s="1"/>
  <c r="G19" i="2" s="1"/>
  <c r="G22" i="2"/>
  <c r="G23" i="2" s="1"/>
  <c r="G25" i="2" s="1"/>
  <c r="H15" i="2"/>
  <c r="H17" i="2" s="1"/>
  <c r="H19" i="2" s="1"/>
  <c r="H22" i="2"/>
  <c r="H23" i="2" s="1"/>
  <c r="H25" i="2" s="1"/>
  <c r="C54" i="2"/>
  <c r="J59" i="2"/>
  <c r="E15" i="2"/>
  <c r="E17" i="2" s="1"/>
  <c r="E19" i="2" s="1"/>
  <c r="E22" i="2"/>
  <c r="E23" i="2" s="1"/>
  <c r="E25" i="2" s="1"/>
  <c r="D22" i="2"/>
  <c r="D23" i="2" s="1"/>
  <c r="D25" i="2" s="1"/>
  <c r="D15" i="2"/>
  <c r="D17" i="2" s="1"/>
  <c r="D19" i="2" s="1"/>
  <c r="F78" i="2"/>
  <c r="F80" i="2" s="1"/>
  <c r="G78" i="2"/>
  <c r="G80" i="2" s="1"/>
  <c r="H78" i="2"/>
  <c r="H80" i="2" s="1"/>
  <c r="D78" i="2"/>
  <c r="D80" i="2" s="1"/>
  <c r="E78" i="2"/>
  <c r="E80" i="2" s="1"/>
  <c r="O22" i="2"/>
  <c r="O23" i="2" s="1"/>
  <c r="O25" i="2" s="1"/>
  <c r="O15" i="2"/>
  <c r="O17" i="2" s="1"/>
  <c r="O19" i="2" s="1"/>
  <c r="N15" i="2"/>
  <c r="N17" i="2" s="1"/>
  <c r="N19" i="2" s="1"/>
  <c r="N22" i="2"/>
  <c r="N23" i="2" s="1"/>
  <c r="N25" i="2" s="1"/>
  <c r="L15" i="2"/>
  <c r="L17" i="2" s="1"/>
  <c r="L19" i="2" s="1"/>
  <c r="L22" i="2"/>
  <c r="L23" i="2" s="1"/>
  <c r="L25" i="2" s="1"/>
  <c r="C15" i="2"/>
  <c r="C17" i="2" s="1"/>
  <c r="C19" i="2" s="1"/>
  <c r="C22" i="2"/>
  <c r="C23" i="2" s="1"/>
  <c r="C25" i="2" s="1"/>
  <c r="K15" i="2"/>
  <c r="K17" i="2" s="1"/>
  <c r="K19" i="2" s="1"/>
  <c r="K22" i="2"/>
  <c r="K23" i="2" s="1"/>
  <c r="K25" i="2" s="1"/>
  <c r="M22" i="2"/>
  <c r="M23" i="2" s="1"/>
  <c r="M25" i="2" s="1"/>
  <c r="M15" i="2"/>
  <c r="M17" i="2" s="1"/>
  <c r="M19" i="2" s="1"/>
  <c r="P22" i="2"/>
  <c r="P23" i="2" s="1"/>
  <c r="P25" i="2" s="1"/>
  <c r="P15" i="2"/>
  <c r="P17" i="2" s="1"/>
  <c r="P19" i="2" s="1"/>
</calcChain>
</file>

<file path=xl/sharedStrings.xml><?xml version="1.0" encoding="utf-8"?>
<sst xmlns="http://schemas.openxmlformats.org/spreadsheetml/2006/main" count="895" uniqueCount="211">
  <si>
    <t>t=</t>
  </si>
  <si>
    <t>v=</t>
  </si>
  <si>
    <t>a90=</t>
  </si>
  <si>
    <t>phi=</t>
  </si>
  <si>
    <t>a_phi</t>
  </si>
  <si>
    <t>Основание треугольника</t>
  </si>
  <si>
    <t>Сторона треугольника</t>
  </si>
  <si>
    <t>Длина КЭМ Х</t>
  </si>
  <si>
    <t>Ширина КЭМ Y max</t>
  </si>
  <si>
    <t>Ширина КЭМ Y min</t>
  </si>
  <si>
    <t>Ширина КЭМ Y среднее</t>
  </si>
  <si>
    <t>Высота КЭМ</t>
  </si>
  <si>
    <t>Эквивалентная площадь в направлении Х</t>
  </si>
  <si>
    <t>мм</t>
  </si>
  <si>
    <t>м</t>
  </si>
  <si>
    <t>мм^2</t>
  </si>
  <si>
    <t>м^2</t>
  </si>
  <si>
    <t>Сила</t>
  </si>
  <si>
    <t>Н</t>
  </si>
  <si>
    <t>Па</t>
  </si>
  <si>
    <t>МПа</t>
  </si>
  <si>
    <t>Погрешность</t>
  </si>
  <si>
    <t>%</t>
  </si>
  <si>
    <t>Ех=</t>
  </si>
  <si>
    <t xml:space="preserve">Ех в расчете </t>
  </si>
  <si>
    <t>Средние перемещения переднего торца Х</t>
  </si>
  <si>
    <t>НАПРАВЛЕНИЕ Х</t>
  </si>
  <si>
    <t>Еy=</t>
  </si>
  <si>
    <t>НАПРАВЛЕНИЕ Y</t>
  </si>
  <si>
    <t>Эквивалентная площадь в направлении Y</t>
  </si>
  <si>
    <t>Деформация по Х при растяжении по Х</t>
  </si>
  <si>
    <t>Деформация по Y при растяжении по Х</t>
  </si>
  <si>
    <t>перемещения по Y при растяжении по Х</t>
  </si>
  <si>
    <t xml:space="preserve">Пуассон </t>
  </si>
  <si>
    <t>Пуассон програм</t>
  </si>
  <si>
    <t>перемещения по Z при растяжении по Х</t>
  </si>
  <si>
    <t>Деформация по Z при растяжении по Х</t>
  </si>
  <si>
    <t>Пуассон yx</t>
  </si>
  <si>
    <t>С учетом RBE по Z</t>
  </si>
  <si>
    <t>Перемещения по Х</t>
  </si>
  <si>
    <t>Погрешность Ех</t>
  </si>
  <si>
    <t>Пуассоны без RBE</t>
  </si>
  <si>
    <t>Средние перемещения переднего торца Y</t>
  </si>
  <si>
    <t>Деформация по Y при растяжении по Y</t>
  </si>
  <si>
    <t>перемещения по Х при растяжении по Y</t>
  </si>
  <si>
    <t>Деформация по X при растяжении по Y</t>
  </si>
  <si>
    <t>Перемещения по Y</t>
  </si>
  <si>
    <t>перемещения по X при растяжении по Y</t>
  </si>
  <si>
    <t>Направление XY</t>
  </si>
  <si>
    <t>TAU =</t>
  </si>
  <si>
    <t>T1=</t>
  </si>
  <si>
    <t>T2=</t>
  </si>
  <si>
    <t>катет по y</t>
  </si>
  <si>
    <t>катет по х</t>
  </si>
  <si>
    <t>Тангенс угла</t>
  </si>
  <si>
    <t>G</t>
  </si>
  <si>
    <t xml:space="preserve">G расчетное </t>
  </si>
  <si>
    <t>угол</t>
  </si>
  <si>
    <t>Ex=</t>
  </si>
  <si>
    <t xml:space="preserve">Еy в расчете </t>
  </si>
  <si>
    <t>Погрешность Еy</t>
  </si>
  <si>
    <t>Длина ячейки Х</t>
  </si>
  <si>
    <t>Ширина ячейки Y</t>
  </si>
  <si>
    <t>Количество ячеек по Х</t>
  </si>
  <si>
    <t>Длина модели по Х</t>
  </si>
  <si>
    <t>Длина модели по Y мм</t>
  </si>
  <si>
    <t>Ex</t>
  </si>
  <si>
    <t>Площадь в направлении X м^2</t>
  </si>
  <si>
    <t>Ех аналитическое</t>
  </si>
  <si>
    <t>Погрешность %</t>
  </si>
  <si>
    <t>Деформация Х</t>
  </si>
  <si>
    <t>Деформация Y</t>
  </si>
  <si>
    <t>Перемещения по Y мм</t>
  </si>
  <si>
    <t>Перемещения по Х мм</t>
  </si>
  <si>
    <t>Пуассон YX</t>
  </si>
  <si>
    <t>Пуассон YX аналитический</t>
  </si>
  <si>
    <t>Погрешность yx %</t>
  </si>
  <si>
    <t>Количество ячеек по Y</t>
  </si>
  <si>
    <t>Перемезщения по Y</t>
  </si>
  <si>
    <t>Растяжение по Y</t>
  </si>
  <si>
    <t>Ey</t>
  </si>
  <si>
    <t>Ey аналитическое</t>
  </si>
  <si>
    <t>Длина модели по Y</t>
  </si>
  <si>
    <t>Площадь в направлении Y м^2</t>
  </si>
  <si>
    <t>no rbe</t>
  </si>
  <si>
    <t>rbe</t>
  </si>
  <si>
    <t>Деформация X</t>
  </si>
  <si>
    <t>Пуассон XY</t>
  </si>
  <si>
    <t>Пуассон XY аналитический</t>
  </si>
  <si>
    <t>Погрешность XY %</t>
  </si>
  <si>
    <t>Перемещения по Z</t>
  </si>
  <si>
    <t>Деформация по Z</t>
  </si>
  <si>
    <t>Пуассон ZX</t>
  </si>
  <si>
    <t>Пуассон ZX аналитический</t>
  </si>
  <si>
    <t>Погрешность ZX %</t>
  </si>
  <si>
    <t>Ez</t>
  </si>
  <si>
    <t>Ez аналитическое</t>
  </si>
  <si>
    <t>При увеличении ячеек по Y</t>
  </si>
  <si>
    <t>При увеличении ячеек по X</t>
  </si>
  <si>
    <t>Пуассон ZY</t>
  </si>
  <si>
    <t>Пуассон ZY аналитический</t>
  </si>
  <si>
    <t>Погрешность ZY %</t>
  </si>
  <si>
    <t>Растяжение по Z</t>
  </si>
  <si>
    <t>Площадь в направлении Z м^2</t>
  </si>
  <si>
    <t>Перемезщения по Z</t>
  </si>
  <si>
    <t>Деформация Z</t>
  </si>
  <si>
    <t>Пуассон XZ</t>
  </si>
  <si>
    <t>Пуассон XZ аналитический</t>
  </si>
  <si>
    <t>Погрешность XZ %</t>
  </si>
  <si>
    <t>Деформация по Y</t>
  </si>
  <si>
    <t>Пуассон YZ</t>
  </si>
  <si>
    <t>ПуассонYZ аналитический</t>
  </si>
  <si>
    <t>Погрешность YZ %</t>
  </si>
  <si>
    <t>Gxy</t>
  </si>
  <si>
    <t>tau</t>
  </si>
  <si>
    <t>Площадь боковой грани м</t>
  </si>
  <si>
    <t>Площадь верхней грани</t>
  </si>
  <si>
    <t>Сила на боковой грани</t>
  </si>
  <si>
    <t>Сила на верхней грани</t>
  </si>
  <si>
    <t>Катет 1</t>
  </si>
  <si>
    <t>Катет 2</t>
  </si>
  <si>
    <t>Тангенс=углу</t>
  </si>
  <si>
    <t>Gxy расчетное</t>
  </si>
  <si>
    <t>Gyz</t>
  </si>
  <si>
    <t>Длина модели по Z</t>
  </si>
  <si>
    <t>Gxz</t>
  </si>
  <si>
    <t>Gxz расчетное</t>
  </si>
  <si>
    <t>Gyz расчетное</t>
  </si>
  <si>
    <t>z=x кроме 2х2</t>
  </si>
  <si>
    <t>v_теоретическое=</t>
  </si>
  <si>
    <t>v_факт</t>
  </si>
  <si>
    <t>t_теоретическое=</t>
  </si>
  <si>
    <t>t_факт</t>
  </si>
  <si>
    <t>Длина рабочей части</t>
  </si>
  <si>
    <t>Ширина</t>
  </si>
  <si>
    <t>Высота</t>
  </si>
  <si>
    <t>Перемещения модели</t>
  </si>
  <si>
    <t xml:space="preserve">Нагрузка </t>
  </si>
  <si>
    <t>N</t>
  </si>
  <si>
    <t>Площалдь сечения</t>
  </si>
  <si>
    <t>КПО1</t>
  </si>
  <si>
    <t>КПО2</t>
  </si>
  <si>
    <t>КПО_Z</t>
  </si>
  <si>
    <t>Ez=</t>
  </si>
  <si>
    <t>Ez_experiment=</t>
  </si>
  <si>
    <t>Ez_theory</t>
  </si>
  <si>
    <t>КПО_Z_no_perimetr</t>
  </si>
  <si>
    <t>КПО_идеал RBE/размеры только по габаритам КЭМ</t>
  </si>
  <si>
    <t>Треугольники без пластика</t>
  </si>
  <si>
    <t>Габариты модели только по КЭМ</t>
  </si>
  <si>
    <t>Габариты с учетом толщины</t>
  </si>
  <si>
    <t>Габариты по КЭМ</t>
  </si>
  <si>
    <t>Габариты с учетом толщины периметров</t>
  </si>
  <si>
    <t>КПО_без периметров</t>
  </si>
  <si>
    <t>КПО_массив</t>
  </si>
  <si>
    <t>кол-во ячеек по У</t>
  </si>
  <si>
    <t>КПО_массив_треугольник</t>
  </si>
  <si>
    <t>sin phi =</t>
  </si>
  <si>
    <t>vfr</t>
  </si>
  <si>
    <t>=</t>
  </si>
  <si>
    <t>E3r</t>
  </si>
  <si>
    <t>дробь=</t>
  </si>
  <si>
    <t>итого:</t>
  </si>
  <si>
    <t>соотношение</t>
  </si>
  <si>
    <t>rebro_old</t>
  </si>
  <si>
    <t>для спиральных задано Е1 на растяжение, для перпендикулярных задано Е1 на сжатие</t>
  </si>
  <si>
    <t>поменял сдвиг на 238</t>
  </si>
  <si>
    <t>Модуль КЭМ</t>
  </si>
  <si>
    <t>Модуль испытаний</t>
  </si>
  <si>
    <t>погрешность</t>
  </si>
  <si>
    <t>Треугольники короткий образец, идеальные ГУ</t>
  </si>
  <si>
    <t>Model with intersections at nodes</t>
  </si>
  <si>
    <t>Model with central intersections</t>
  </si>
  <si>
    <t>Треугольники короткий образец, реальные ГУ</t>
  </si>
  <si>
    <t>длина диагонали</t>
  </si>
  <si>
    <t>ширина образца</t>
  </si>
  <si>
    <t>эквиалентная площадь</t>
  </si>
  <si>
    <t>деформация</t>
  </si>
  <si>
    <t>нагрузка</t>
  </si>
  <si>
    <t>напряжегия</t>
  </si>
  <si>
    <t>G=</t>
  </si>
  <si>
    <t>разница</t>
  </si>
  <si>
    <t>Перемещения</t>
  </si>
  <si>
    <t>Короткая сторона</t>
  </si>
  <si>
    <t>gamma</t>
  </si>
  <si>
    <t>Е=</t>
  </si>
  <si>
    <t>мю</t>
  </si>
  <si>
    <t>stress ZX</t>
  </si>
  <si>
    <t>Деформация ZX</t>
  </si>
  <si>
    <t>проверка stress</t>
  </si>
  <si>
    <t>0.387</t>
  </si>
  <si>
    <t>ГЛАВНЫЙ РЕЗУЛЬТАТ ПО КПО С 2 периметрами!!!!!</t>
  </si>
  <si>
    <t>КПО с продольными ребрами</t>
  </si>
  <si>
    <t>на мм меньше</t>
  </si>
  <si>
    <t>Model with plastic layers</t>
  </si>
  <si>
    <t>Model without plastik layers</t>
  </si>
  <si>
    <t>Continuum model</t>
  </si>
  <si>
    <t>аналитика</t>
  </si>
  <si>
    <t>FEM with stiff plates</t>
  </si>
  <si>
    <t>FEM with RBE</t>
  </si>
  <si>
    <t>Test result</t>
  </si>
  <si>
    <t>FEM result</t>
  </si>
  <si>
    <t>погрешность с CM</t>
  </si>
  <si>
    <t>погрешность с test</t>
  </si>
  <si>
    <t>Pairwise central intersection
FEM</t>
  </si>
  <si>
    <t>Pairwise central intersection
test results</t>
  </si>
  <si>
    <t>Pairwise central intersection and longitudinal ribs
FEM</t>
  </si>
  <si>
    <t>Pairwise central intersection and longitudinal ribs
test results</t>
  </si>
  <si>
    <t>Near-multiple-nodal intersections
FEM</t>
  </si>
  <si>
    <t>near-multiple-nodal intersections
test results</t>
  </si>
  <si>
    <t>Continuum model
with longitudinal ribs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</si>
</sst>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"/>
    <numFmt numFmtId="166" formatCode="0.00000"/>
    <numFmt numFmtId="167" formatCode="0.0"/>
    <numFmt numFmtId="168" formatCode="#,##0.000"/>
  </numFmts>
  <fonts count="13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name val="Inherit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 applyAlignment="1">
      <alignment horizontal="justify"/>
    </xf>
    <xf numFmtId="0" fontId="5" fillId="3" borderId="0" xfId="0" applyFont="1" applyFill="1" applyAlignment="1">
      <alignment horizontal="justify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6" borderId="0" xfId="0" applyFont="1" applyFill="1" applyAlignment="1">
      <alignment horizontal="justify"/>
    </xf>
    <xf numFmtId="0" fontId="6" fillId="0" borderId="0" xfId="0" applyFont="1"/>
    <xf numFmtId="164" fontId="5" fillId="3" borderId="0" xfId="0" applyNumberFormat="1" applyFont="1" applyFill="1"/>
    <xf numFmtId="165" fontId="5" fillId="3" borderId="0" xfId="0" applyNumberFormat="1" applyFont="1" applyFill="1"/>
    <xf numFmtId="166" fontId="5" fillId="3" borderId="0" xfId="0" applyNumberFormat="1" applyFont="1" applyFill="1"/>
    <xf numFmtId="1" fontId="5" fillId="3" borderId="0" xfId="0" applyNumberFormat="1" applyFont="1" applyFill="1"/>
    <xf numFmtId="11" fontId="5" fillId="2" borderId="0" xfId="0" applyNumberFormat="1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0" fontId="8" fillId="0" borderId="0" xfId="0" applyFont="1"/>
    <xf numFmtId="0" fontId="9" fillId="5" borderId="0" xfId="0" applyFont="1" applyFill="1"/>
    <xf numFmtId="0" fontId="9" fillId="5" borderId="0" xfId="0" applyFont="1" applyFill="1" applyAlignment="1">
      <alignment horizontal="justify"/>
    </xf>
    <xf numFmtId="0" fontId="10" fillId="0" borderId="0" xfId="0" applyFont="1" applyAlignment="1">
      <alignment horizontal="left" vertical="center"/>
    </xf>
    <xf numFmtId="167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3" fontId="11" fillId="0" borderId="0" xfId="0" applyNumberFormat="1" applyFont="1"/>
    <xf numFmtId="3" fontId="12" fillId="0" borderId="1" xfId="0" applyNumberFormat="1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 wrapText="1"/>
    </xf>
    <xf numFmtId="168" fontId="11" fillId="0" borderId="0" xfId="0" applyNumberFormat="1" applyFont="1"/>
    <xf numFmtId="0" fontId="7" fillId="0" borderId="0" xfId="0" applyFont="1" applyAlignment="1">
      <alignment horizontal="center" textRotation="90" wrapText="1"/>
    </xf>
    <xf numFmtId="0" fontId="7" fillId="0" borderId="0" xfId="0" applyFont="1" applyAlignment="1">
      <alignment horizontal="center" textRotation="90"/>
    </xf>
    <xf numFmtId="0" fontId="7" fillId="2" borderId="0" xfId="0" applyFont="1" applyFill="1" applyAlignment="1">
      <alignment horizontal="center" textRotation="90"/>
    </xf>
    <xf numFmtId="0" fontId="7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Ех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isogrid!$C$19:$J$19</c:f>
              <c:numCache>
                <c:formatCode>General</c:formatCode>
                <c:ptCount val="8"/>
                <c:pt idx="0">
                  <c:v>3.8368195023999965</c:v>
                </c:pt>
                <c:pt idx="1">
                  <c:v>2.3199924440000181</c:v>
                </c:pt>
                <c:pt idx="2">
                  <c:v>1.9240335733333482</c:v>
                </c:pt>
                <c:pt idx="3">
                  <c:v>1.3148660800000169</c:v>
                </c:pt>
                <c:pt idx="4">
                  <c:v>1.3148660800000338</c:v>
                </c:pt>
                <c:pt idx="5">
                  <c:v>0.79272251428572327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4-4B8C-88CA-4BCD5A1757FD}"/>
            </c:ext>
          </c:extLst>
        </c:ser>
        <c:ser>
          <c:idx val="1"/>
          <c:order val="1"/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anisogrid!$C$19:$H$19</c:f>
              <c:numCache>
                <c:formatCode>General</c:formatCode>
                <c:ptCount val="6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E-4CC7-AEB4-9B225E849373}"/>
            </c:ext>
          </c:extLst>
        </c:ser>
        <c:ser>
          <c:idx val="2"/>
          <c:order val="2"/>
          <c:xVal>
            <c:numRef>
              <c:f>anisogrid120!$C$11:$H$11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anisogrid120!$C$19:$H$19</c:f>
              <c:numCache>
                <c:formatCode>General</c:formatCode>
                <c:ptCount val="6"/>
                <c:pt idx="0">
                  <c:v>13.098390650676302</c:v>
                </c:pt>
                <c:pt idx="1">
                  <c:v>7.8647153417270088</c:v>
                </c:pt>
                <c:pt idx="2">
                  <c:v>5.5951354785515326</c:v>
                </c:pt>
                <c:pt idx="3">
                  <c:v>4.3879121470752045</c:v>
                </c:pt>
                <c:pt idx="4">
                  <c:v>3.5187113484122299</c:v>
                </c:pt>
                <c:pt idx="5">
                  <c:v>2.9996053158774512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E-4CC7-AEB4-9B225E84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isogrid!$C$25:$J$25</c:f>
              <c:numCache>
                <c:formatCode>General</c:formatCode>
                <c:ptCount val="8"/>
                <c:pt idx="0">
                  <c:v>44.584481604584525</c:v>
                </c:pt>
                <c:pt idx="1">
                  <c:v>22.329148289578367</c:v>
                </c:pt>
                <c:pt idx="2">
                  <c:v>14.618453848057403</c:v>
                </c:pt>
                <c:pt idx="3">
                  <c:v>11.182685990338175</c:v>
                </c:pt>
                <c:pt idx="4">
                  <c:v>8.7314141732283481</c:v>
                </c:pt>
                <c:pt idx="5">
                  <c:v>6.4566910117830503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1-443F-BF7C-3EFE85C6C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2B1-443F-BF7C-3EFE85C6CA5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y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</a:p>
        </c:rich>
      </c:tx>
      <c:layout>
        <c:manualLayout>
          <c:xMode val="edge"/>
          <c:yMode val="edge"/>
          <c:x val="0.16189514802839636"/>
          <c:y val="2.93938818876206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BD1-417E-81C4-EA987C053A29}"/>
            </c:ext>
          </c:extLst>
        </c:ser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isogrid!$C$54:$H$54</c:f>
              <c:numCache>
                <c:formatCode>General</c:formatCode>
                <c:ptCount val="6"/>
                <c:pt idx="0">
                  <c:v>46.100264014535632</c:v>
                </c:pt>
                <c:pt idx="1">
                  <c:v>35.323866793879453</c:v>
                </c:pt>
                <c:pt idx="2">
                  <c:v>30.708897426169969</c:v>
                </c:pt>
                <c:pt idx="3">
                  <c:v>28.157351862292163</c:v>
                </c:pt>
                <c:pt idx="4">
                  <c:v>26.50439408395393</c:v>
                </c:pt>
                <c:pt idx="5">
                  <c:v>24.557453881951499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1-417E-81C4-EA987C053A29}"/>
            </c:ext>
          </c:extLst>
        </c:ser>
        <c:ser>
          <c:idx val="2"/>
          <c:order val="2"/>
          <c:xVal>
            <c:numRef>
              <c:f>anisogrid120!$C$48:$H$48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anisogrid120!$C$54:$H$54</c:f>
              <c:numCache>
                <c:formatCode>General</c:formatCode>
                <c:ptCount val="6"/>
                <c:pt idx="0">
                  <c:v>33.26024917747992</c:v>
                </c:pt>
                <c:pt idx="1">
                  <c:v>19.829649166756038</c:v>
                </c:pt>
                <c:pt idx="2">
                  <c:v>14.250784546916877</c:v>
                </c:pt>
                <c:pt idx="3">
                  <c:v>11.013665569973197</c:v>
                </c:pt>
                <c:pt idx="4">
                  <c:v>9.0851691581769582</c:v>
                </c:pt>
                <c:pt idx="5">
                  <c:v>7.4321722337801459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D-45F3-A4E5-BF8B6862F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0.24399154649014035</c:v>
                </c:pt>
                <c:pt idx="1">
                  <c:v>0.24399154649014035</c:v>
                </c:pt>
                <c:pt idx="2">
                  <c:v>0.13975329314271887</c:v>
                </c:pt>
                <c:pt idx="3">
                  <c:v>3.5296968135511565E-2</c:v>
                </c:pt>
                <c:pt idx="4">
                  <c:v>0.45181656410160176</c:v>
                </c:pt>
                <c:pt idx="5">
                  <c:v>0.45181656410166021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6E9-462B-A3C2-1EDEC24AFE6C}"/>
            </c:ext>
          </c:extLst>
        </c:ser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isogrid!$C$61:$H$61</c:f>
              <c:numCache>
                <c:formatCode>General</c:formatCode>
                <c:ptCount val="6"/>
                <c:pt idx="0">
                  <c:v>0.13104002196973555</c:v>
                </c:pt>
                <c:pt idx="1">
                  <c:v>7.7751657691514917E-2</c:v>
                </c:pt>
                <c:pt idx="2">
                  <c:v>5.4965615146807305E-2</c:v>
                </c:pt>
                <c:pt idx="3">
                  <c:v>8.5163987162130417E-3</c:v>
                </c:pt>
                <c:pt idx="4">
                  <c:v>5.3872451855745206E-2</c:v>
                </c:pt>
                <c:pt idx="5">
                  <c:v>18.749253115097485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9-462B-A3C2-1EDEC24AFE6C}"/>
            </c:ext>
          </c:extLst>
        </c:ser>
        <c:ser>
          <c:idx val="2"/>
          <c:order val="2"/>
          <c:xVal>
            <c:numRef>
              <c:f>anisogrid120!$C$48:$H$48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anisogrid120!$C$61:$H$61</c:f>
              <c:numCache>
                <c:formatCode>General</c:formatCode>
                <c:ptCount val="6"/>
                <c:pt idx="0">
                  <c:v>2.00670538479645E-3</c:v>
                </c:pt>
                <c:pt idx="1">
                  <c:v>0.14488033632215139</c:v>
                </c:pt>
                <c:pt idx="2">
                  <c:v>5.355493243777696E-2</c:v>
                </c:pt>
                <c:pt idx="3">
                  <c:v>9.1610642028690709E-2</c:v>
                </c:pt>
                <c:pt idx="4">
                  <c:v>6.9404916849640119E-2</c:v>
                </c:pt>
                <c:pt idx="5">
                  <c:v>0.25321774204720038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25-427F-AE5B-72FC61D5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isogrid!$C$31:$J$31</c:f>
              <c:numCache>
                <c:formatCode>General</c:formatCode>
                <c:ptCount val="8"/>
                <c:pt idx="0">
                  <c:v>12.338859868271642</c:v>
                </c:pt>
                <c:pt idx="1">
                  <c:v>5.9643572709058246</c:v>
                </c:pt>
                <c:pt idx="2">
                  <c:v>3.6610842837083464</c:v>
                </c:pt>
                <c:pt idx="3">
                  <c:v>2.940580004055966</c:v>
                </c:pt>
                <c:pt idx="4">
                  <c:v>2.1122510561255416</c:v>
                </c:pt>
                <c:pt idx="5">
                  <c:v>1.751887195556199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C-41AC-8A31-DFE8B0E2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53C-41AC-8A31-DFE8B0E2845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isogrid!$C$67:$H$67</c:f>
              <c:numCache>
                <c:formatCode>General</c:formatCode>
                <c:ptCount val="6"/>
                <c:pt idx="0">
                  <c:v>22.215795676728863</c:v>
                </c:pt>
                <c:pt idx="1">
                  <c:v>13.312664114650898</c:v>
                </c:pt>
                <c:pt idx="2">
                  <c:v>9.5071694642106284</c:v>
                </c:pt>
                <c:pt idx="3">
                  <c:v>7.4107423153580934</c:v>
                </c:pt>
                <c:pt idx="4">
                  <c:v>6.0395224951919735</c:v>
                </c:pt>
                <c:pt idx="5">
                  <c:v>262.79186177087519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FC-4F3A-A1F9-A36A91C60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5FC-4F3A-A1F9-A36A91C600E5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81C-42BF-8BB9-21D0FC55319E}"/>
            </c:ext>
          </c:extLst>
        </c:ser>
        <c:ser>
          <c:idx val="0"/>
          <c:order val="1"/>
          <c:xVal>
            <c:numRef>
              <c:f>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isogrid!$C$80:$H$80</c:f>
              <c:numCache>
                <c:formatCode>General</c:formatCode>
                <c:ptCount val="6"/>
                <c:pt idx="0">
                  <c:v>14.286783999999999</c:v>
                </c:pt>
                <c:pt idx="1">
                  <c:v>7.6913279999999782</c:v>
                </c:pt>
                <c:pt idx="2">
                  <c:v>5.2665279999999965</c:v>
                </c:pt>
                <c:pt idx="3">
                  <c:v>2.4104373589228696</c:v>
                </c:pt>
                <c:pt idx="4">
                  <c:v>3.195021587826361</c:v>
                </c:pt>
                <c:pt idx="5">
                  <c:v>3.7140775901645515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C-42BF-8BB9-21D0FC55319E}"/>
            </c:ext>
          </c:extLst>
        </c:ser>
        <c:ser>
          <c:idx val="2"/>
          <c:order val="2"/>
          <c:xVal>
            <c:numRef>
              <c:f>anisogrid120!$C$74:$H$74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anisogrid120!$C$80:$H$80</c:f>
              <c:numCache>
                <c:formatCode>General</c:formatCode>
                <c:ptCount val="6"/>
                <c:pt idx="0">
                  <c:v>18.852358000000006</c:v>
                </c:pt>
                <c:pt idx="1">
                  <c:v>10.432285840000036</c:v>
                </c:pt>
                <c:pt idx="2">
                  <c:v>7.2124759561599863</c:v>
                </c:pt>
                <c:pt idx="3">
                  <c:v>5.5152208000000025</c:v>
                </c:pt>
                <c:pt idx="4">
                  <c:v>4.4707462000000042</c:v>
                </c:pt>
                <c:pt idx="5">
                  <c:v>3.760503472000007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0-44A1-99F1-84070E47C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86.156921539230396</c:v>
                </c:pt>
                <c:pt idx="1">
                  <c:v>86.156921539230396</c:v>
                </c:pt>
                <c:pt idx="2">
                  <c:v>86.156921539230396</c:v>
                </c:pt>
                <c:pt idx="3">
                  <c:v>85.729956122856024</c:v>
                </c:pt>
                <c:pt idx="4">
                  <c:v>86.156921539230396</c:v>
                </c:pt>
                <c:pt idx="5">
                  <c:v>86.156921539230396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D03-4D0C-80B0-465B28A469B2}"/>
            </c:ext>
          </c:extLst>
        </c:ser>
        <c:ser>
          <c:idx val="0"/>
          <c:order val="1"/>
          <c:xVal>
            <c:numRef>
              <c:f>isogrid!$C$74:$E$74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isogrid!$C$87:$E$87</c:f>
              <c:numCache>
                <c:formatCode>General</c:formatCode>
                <c:ptCount val="3"/>
                <c:pt idx="0">
                  <c:v>1.0775862068968493E-2</c:v>
                </c:pt>
                <c:pt idx="1">
                  <c:v>1.0008006405118276E-2</c:v>
                </c:pt>
                <c:pt idx="2">
                  <c:v>4.8751950077848211E-3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3-4D0C-80B0-465B28A469B2}"/>
            </c:ext>
          </c:extLst>
        </c:ser>
        <c:ser>
          <c:idx val="2"/>
          <c:order val="2"/>
          <c:xVal>
            <c:numRef>
              <c:f>anisogrid120!$C$74:$H$74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anisogrid120!$C$87:$H$87</c:f>
              <c:numCache>
                <c:formatCode>General</c:formatCode>
                <c:ptCount val="6"/>
                <c:pt idx="0">
                  <c:v>2.1144175698909844E-2</c:v>
                </c:pt>
                <c:pt idx="1">
                  <c:v>3.5569930116126823E-2</c:v>
                </c:pt>
                <c:pt idx="2">
                  <c:v>5.4073834010089552E-3</c:v>
                </c:pt>
                <c:pt idx="3">
                  <c:v>3.3055623982776915E-2</c:v>
                </c:pt>
                <c:pt idx="4">
                  <c:v>4.0112878316382147E-2</c:v>
                </c:pt>
                <c:pt idx="5">
                  <c:v>3.6717282690372041E-2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C-4DB7-8F74-CBC57E08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anisogrid!$C$93:$H$93</c:f>
              <c:numCache>
                <c:formatCode>General</c:formatCode>
                <c:ptCount val="6"/>
                <c:pt idx="0">
                  <c:v>85.87667026041855</c:v>
                </c:pt>
                <c:pt idx="1">
                  <c:v>85.853351144842009</c:v>
                </c:pt>
                <c:pt idx="2">
                  <c:v>85.87667026041855</c:v>
                </c:pt>
                <c:pt idx="3">
                  <c:v>86.059907164008365</c:v>
                </c:pt>
                <c:pt idx="4">
                  <c:v>85.853351144842051</c:v>
                </c:pt>
                <c:pt idx="5">
                  <c:v>85.80671291368904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E76-4100-B95F-1F34084D9585}"/>
            </c:ext>
          </c:extLst>
        </c:ser>
        <c:ser>
          <c:idx val="0"/>
          <c:order val="1"/>
          <c:xVal>
            <c:numRef>
              <c:f>isogrid!$C$74:$E$74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isogrid!$C$93:$E$93</c:f>
              <c:numCache>
                <c:formatCode>General</c:formatCode>
                <c:ptCount val="3"/>
                <c:pt idx="0">
                  <c:v>1.7245240761477546E-2</c:v>
                </c:pt>
                <c:pt idx="1">
                  <c:v>2.2399445214975437E-2</c:v>
                </c:pt>
                <c:pt idx="2">
                  <c:v>7.0936359952064121E-4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6-4100-B95F-1F34084D9585}"/>
            </c:ext>
          </c:extLst>
        </c:ser>
        <c:ser>
          <c:idx val="2"/>
          <c:order val="2"/>
          <c:xVal>
            <c:numRef>
              <c:f>anisogrid120!$C$74:$H$74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anisogrid120!$C$93:$H$93</c:f>
              <c:numCache>
                <c:formatCode>General</c:formatCode>
                <c:ptCount val="6"/>
                <c:pt idx="0">
                  <c:v>2.3889788442643667E-2</c:v>
                </c:pt>
                <c:pt idx="1">
                  <c:v>8.1124767647803679E-3</c:v>
                </c:pt>
                <c:pt idx="2">
                  <c:v>1.1247248967505286E-2</c:v>
                </c:pt>
                <c:pt idx="3">
                  <c:v>7.9030718632318777E-3</c:v>
                </c:pt>
                <c:pt idx="4">
                  <c:v>5.1860553735479566E-3</c:v>
                </c:pt>
                <c:pt idx="5">
                  <c:v>2.3097876445388188E-3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3-4258-BF61-6D51E4C4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isogrid!$C$134:$G$134</c:f>
              <c:numCache>
                <c:formatCode>General</c:formatCode>
                <c:ptCount val="5"/>
                <c:pt idx="0">
                  <c:v>1.724630730944483</c:v>
                </c:pt>
                <c:pt idx="1">
                  <c:v>1.9402857452671611</c:v>
                </c:pt>
                <c:pt idx="2">
                  <c:v>2.0681841983042517</c:v>
                </c:pt>
                <c:pt idx="3">
                  <c:v>2.0937221736820391</c:v>
                </c:pt>
                <c:pt idx="4">
                  <c:v>2.1396555618719617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C98-4CCD-B176-2C3D27ECD369}"/>
            </c:ext>
          </c:extLst>
        </c:ser>
        <c:ser>
          <c:idx val="0"/>
          <c:order val="1"/>
          <c:xVal>
            <c:numRef>
              <c:f>isogrid!$H$121:$M$121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isogrid!$H$134:$M$134</c:f>
              <c:numCache>
                <c:formatCode>General</c:formatCode>
                <c:ptCount val="6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  <c:pt idx="5">
                  <c:v>1.0356294708539195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8-4CCD-B176-2C3D27ECD369}"/>
            </c:ext>
          </c:extLst>
        </c:ser>
        <c:ser>
          <c:idx val="2"/>
          <c:order val="2"/>
          <c:tx>
            <c:v>3</c:v>
          </c:tx>
          <c:xVal>
            <c:numRef>
              <c:f>isogrid!$M$121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isogrid!$N$134</c:f>
              <c:numCache>
                <c:formatCode>General</c:formatCode>
                <c:ptCount val="1"/>
                <c:pt idx="0">
                  <c:v>0.66576218725241176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F-4773-B631-BFA2ED50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Gxy</a:t>
            </a: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/>
          </a:p>
        </c:rich>
      </c:tx>
      <c:layout>
        <c:manualLayout>
          <c:xMode val="edge"/>
          <c:yMode val="edge"/>
          <c:x val="0.21276008357967816"/>
          <c:y val="2.93940076132782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F-4B8A-ADBD-32C4ABA5B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F2F-4B8A-ADBD-32C4ABA5BA1A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6340219223456688"/>
              <c:y val="0.90260534306265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177825339167162"/>
          <c:y val="9.3659212890836771E-2"/>
          <c:w val="0.84982207571801049"/>
          <c:h val="0.72787149564592912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(isogrid!$C$141,isogrid!$I$141,isogrid!$J$141)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10</c:v>
                </c:pt>
              </c:numCache>
            </c:numRef>
          </c:xVal>
          <c:yVal>
            <c:numRef>
              <c:f>(isogrid!$C$155,isogrid!$I$155,isogrid!$J$155)</c:f>
              <c:numCache>
                <c:formatCode>General</c:formatCode>
                <c:ptCount val="3"/>
                <c:pt idx="0">
                  <c:v>33.71530378100266</c:v>
                </c:pt>
                <c:pt idx="1">
                  <c:v>11.794297569043422</c:v>
                </c:pt>
                <c:pt idx="2">
                  <c:v>7.4571685591842964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71F-4769-AC24-1560570C7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71F-4769-AC24-1560570C706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163466982089044"/>
              <c:y val="0.915456652846378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441501718500647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Gxy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A-4005-9567-835786D11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7DA-4005-9567-835786D11CB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isogrid!$H$121:$M$121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isogrid!$H$134:$M$134</c:f>
              <c:numCache>
                <c:formatCode>General</c:formatCode>
                <c:ptCount val="6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  <c:pt idx="5">
                  <c:v>1.0356294708539195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5-4DFE-8207-1AEB89118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CD5-4DFE-8207-1AEB8911827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isogrid!$M$121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isogrid!$N$134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0.66576218725241176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CD5-4DFE-8207-1AEB8911827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r>
              <a:rPr lang="en-US" sz="1600" b="1" i="1" baseline="0">
                <a:latin typeface="GOST Common" panose="020B0604020202020204" pitchFamily="34" charset="0"/>
              </a:rPr>
              <a:t>y</a:t>
            </a:r>
            <a:r>
              <a:rPr lang="ru-RU" sz="1600" b="1" i="1" baseline="0">
                <a:latin typeface="GOST Common" panose="020B0604020202020204" pitchFamily="34" charset="0"/>
              </a:rPr>
              <a:t>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isogrid!$C$102:$G$102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D-4B12-B690-19EAD6523691}"/>
            </c:ext>
          </c:extLst>
        </c:ser>
        <c:ser>
          <c:idx val="1"/>
          <c:order val="1"/>
          <c:xVal>
            <c:numRef>
              <c:f>anisogrid!$C$102:$E$102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2.4642676379478634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BD-4B12-B690-19EAD6523691}"/>
            </c:ext>
          </c:extLst>
        </c:ser>
        <c:ser>
          <c:idx val="2"/>
          <c:order val="2"/>
          <c:xVal>
            <c:numRef>
              <c:f>anisogrid120!$C$102:$E$102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anisogrid120!$C$115:$E$115</c:f>
              <c:numCache>
                <c:formatCode>General</c:formatCode>
                <c:ptCount val="3"/>
                <c:pt idx="0">
                  <c:v>0.27412896069539128</c:v>
                </c:pt>
                <c:pt idx="1">
                  <c:v>0.27412896069539128</c:v>
                </c:pt>
                <c:pt idx="2">
                  <c:v>0.27412896069539128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BD-4B12-B690-19EAD652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r>
              <a:rPr lang="en-US" sz="1600" b="1" i="1" baseline="0">
                <a:latin typeface="GOST Common" panose="020B0604020202020204" pitchFamily="34" charset="0"/>
              </a:rPr>
              <a:t>z</a:t>
            </a:r>
            <a:r>
              <a:rPr lang="ru-RU" sz="1600" b="1" i="1" baseline="0">
                <a:latin typeface="GOST Common" panose="020B0604020202020204" pitchFamily="34" charset="0"/>
              </a:rPr>
              <a:t>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isogrid!$H$121:$L$121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isogrid!$H$134:$L$134</c:f>
              <c:numCache>
                <c:formatCode>General</c:formatCode>
                <c:ptCount val="5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F-43EA-9A03-729A54838803}"/>
            </c:ext>
          </c:extLst>
        </c:ser>
        <c:ser>
          <c:idx val="1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4.1802083530240752</c:v>
                </c:pt>
                <c:pt idx="1">
                  <c:v>0.64261552266280786</c:v>
                </c:pt>
                <c:pt idx="2">
                  <c:v>0.24466807193185519</c:v>
                </c:pt>
                <c:pt idx="3">
                  <c:v>0.12030352474616358</c:v>
                </c:pt>
                <c:pt idx="4">
                  <c:v>3.9597917473637646E-2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F-43EA-9A03-729A54838803}"/>
            </c:ext>
          </c:extLst>
        </c:ser>
        <c:ser>
          <c:idx val="2"/>
          <c:order val="2"/>
          <c:xVal>
            <c:numRef>
              <c:f>anisogrid120!$C$121:$E$121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anisogrid120!$C$134:$E$134</c:f>
              <c:numCache>
                <c:formatCode>General</c:formatCode>
                <c:ptCount val="3"/>
                <c:pt idx="0">
                  <c:v>13.03982460676551</c:v>
                </c:pt>
                <c:pt idx="1">
                  <c:v>13.211317531762267</c:v>
                </c:pt>
                <c:pt idx="2">
                  <c:v>13.295270168596426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2F-43EA-9A03-729A54838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2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Gyz </a:t>
            </a:r>
            <a:r>
              <a:rPr lang="ru-RU" sz="1600" b="1" i="1" baseline="0">
                <a:latin typeface="GOST Common" panose="020B0604020202020204" pitchFamily="34" charset="0"/>
              </a:rPr>
              <a:t>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(isogrid!$C$141,isogrid!$H$141:$J$141)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</c:numCache>
            </c:numRef>
          </c:xVal>
          <c:yVal>
            <c:numRef>
              <c:f>(isogrid!$C$155,isogrid!$H$155:$J$155)</c:f>
              <c:numCache>
                <c:formatCode>General</c:formatCode>
                <c:ptCount val="4"/>
                <c:pt idx="0">
                  <c:v>33.71530378100266</c:v>
                </c:pt>
                <c:pt idx="1">
                  <c:v>16.531055722282289</c:v>
                </c:pt>
                <c:pt idx="2">
                  <c:v>11.794297569043422</c:v>
                </c:pt>
                <c:pt idx="3">
                  <c:v>7.4571685591842964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F-4EAB-81A0-32700E9ABC5D}"/>
            </c:ext>
          </c:extLst>
        </c:ser>
        <c:ser>
          <c:idx val="1"/>
          <c:order val="1"/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1.4083315329993398</c:v>
                </c:pt>
                <c:pt idx="1">
                  <c:v>4.5916676589343082</c:v>
                </c:pt>
                <c:pt idx="2">
                  <c:v>3.4530333134258933</c:v>
                </c:pt>
                <c:pt idx="3">
                  <c:v>2.4910693835135831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F-4EAB-81A0-32700E9ABC5D}"/>
            </c:ext>
          </c:extLst>
        </c:ser>
        <c:ser>
          <c:idx val="2"/>
          <c:order val="2"/>
          <c:xVal>
            <c:numRef>
              <c:f>anisogrid120!$C$141:$E$141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anisogrid120!$C$155:$E$155</c:f>
              <c:numCache>
                <c:formatCode>General</c:formatCode>
                <c:ptCount val="3"/>
                <c:pt idx="0">
                  <c:v>20.849927407667849</c:v>
                </c:pt>
                <c:pt idx="1">
                  <c:v>11.627066794028293</c:v>
                </c:pt>
                <c:pt idx="2">
                  <c:v>6.1884448319767538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6F-4EAB-81A0-32700E9A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Ех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E-422C-A8B7-54EB1A55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C0E-422C-A8B7-54EB1A55EC6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anisogrid!$C$25:$J$25</c:f>
              <c:numCache>
                <c:formatCode>General</c:formatCode>
                <c:ptCount val="8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3-4E1F-9FB4-3DB833571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153-4E1F-9FB4-3DB83357183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y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</a:p>
        </c:rich>
      </c:tx>
      <c:layout>
        <c:manualLayout>
          <c:xMode val="edge"/>
          <c:yMode val="edge"/>
          <c:x val="0.17045003299036157"/>
          <c:y val="3.280856196297508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96-4C7E-A48C-39252D6D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A96-4C7E-A48C-39252D6DDAA6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0.24399154649014035</c:v>
                </c:pt>
                <c:pt idx="1">
                  <c:v>0.24399154649014035</c:v>
                </c:pt>
                <c:pt idx="2">
                  <c:v>0.13975329314271887</c:v>
                </c:pt>
                <c:pt idx="3">
                  <c:v>3.5296968135511565E-2</c:v>
                </c:pt>
                <c:pt idx="4">
                  <c:v>0.45181656410160176</c:v>
                </c:pt>
                <c:pt idx="5">
                  <c:v>0.45181656410166021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A-4525-B944-FE2697F3E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68A-4525-B944-FE2697F3E19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anisogrid!$C$31:$J$31</c:f>
              <c:numCache>
                <c:formatCode>General</c:formatCode>
                <c:ptCount val="8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C-45FA-AECA-2EB5A5E5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98C-45FA-AECA-2EB5A5E55AB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anisogrid!$C$67:$H$67</c:f>
              <c:numCache>
                <c:formatCode>General</c:formatCode>
                <c:ptCount val="6"/>
                <c:pt idx="0">
                  <c:v>34.511148073934947</c:v>
                </c:pt>
                <c:pt idx="1">
                  <c:v>30.12308050816041</c:v>
                </c:pt>
                <c:pt idx="2">
                  <c:v>29.970945136595983</c:v>
                </c:pt>
                <c:pt idx="3">
                  <c:v>29.818847932460478</c:v>
                </c:pt>
                <c:pt idx="4">
                  <c:v>30.394736208594971</c:v>
                </c:pt>
                <c:pt idx="5">
                  <c:v>30.427465811056987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0-4CA3-908E-2839FB442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anisogrid!$C$11:$J$11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0.37652900000000944</c:v>
                      </c:pt>
                      <c:pt idx="1">
                        <c:v>0.37652900000000944</c:v>
                      </c:pt>
                      <c:pt idx="2">
                        <c:v>0.37652900000002137</c:v>
                      </c:pt>
                      <c:pt idx="3">
                        <c:v>0.1299362500000136</c:v>
                      </c:pt>
                      <c:pt idx="4">
                        <c:v>0.17925480000000391</c:v>
                      </c:pt>
                      <c:pt idx="5">
                        <c:v>0.21213383333337116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C30-4CA3-908E-2839FB442E9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C-4049-BB09-CE407D17E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52C-4049-BB09-CE407D17E564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1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9859855248263261"/>
          <c:y val="2.017805895743186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86.156921539230396</c:v>
                </c:pt>
                <c:pt idx="1">
                  <c:v>86.156921539230396</c:v>
                </c:pt>
                <c:pt idx="2">
                  <c:v>86.156921539230396</c:v>
                </c:pt>
                <c:pt idx="3">
                  <c:v>85.729956122856024</c:v>
                </c:pt>
                <c:pt idx="4">
                  <c:v>86.156921539230396</c:v>
                </c:pt>
                <c:pt idx="5">
                  <c:v>86.156921539230396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8-4B43-8F1D-83D850D4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0F8-4B43-8F1D-83D850D4832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anisogrid!$C$93:$H$93</c:f>
              <c:numCache>
                <c:formatCode>General</c:formatCode>
                <c:ptCount val="6"/>
                <c:pt idx="0">
                  <c:v>85.87667026041855</c:v>
                </c:pt>
                <c:pt idx="1">
                  <c:v>85.853351144842009</c:v>
                </c:pt>
                <c:pt idx="2">
                  <c:v>85.87667026041855</c:v>
                </c:pt>
                <c:pt idx="3">
                  <c:v>86.059907164008365</c:v>
                </c:pt>
                <c:pt idx="4">
                  <c:v>85.853351144842051</c:v>
                </c:pt>
                <c:pt idx="5">
                  <c:v>85.80671291368904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3-4EFE-8E72-66EF2479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E13-4EFE-8E72-66EF2479751D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4.1802083530240752</c:v>
                </c:pt>
                <c:pt idx="1">
                  <c:v>0.64261552266280786</c:v>
                </c:pt>
                <c:pt idx="2">
                  <c:v>0.24466807193185519</c:v>
                </c:pt>
                <c:pt idx="3">
                  <c:v>0.12030352474616358</c:v>
                </c:pt>
                <c:pt idx="4">
                  <c:v>3.9597917473637646E-2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0-40A1-BA6C-9433541AE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DA0-40A1-BA6C-9433541AEAD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69402315884E-2"/>
          <c:y val="9.138084662814544E-2"/>
          <c:w val="0.87908252527248909"/>
          <c:h val="0.76452126389784791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1.4083315329993398</c:v>
                </c:pt>
                <c:pt idx="1">
                  <c:v>4.5916676589343082</c:v>
                </c:pt>
                <c:pt idx="2">
                  <c:v>3.4530333134258933</c:v>
                </c:pt>
                <c:pt idx="3">
                  <c:v>2.4910693835135831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7EA-4930-9379-4B0CEBE2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7EA-4930-9379-4B0CEBE2F83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02029810130722"/>
          <c:y val="0.33819435908636092"/>
          <c:w val="0.19790646493764855"/>
          <c:h val="0.20773393335127968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4.1802083530240752</c:v>
                </c:pt>
                <c:pt idx="1">
                  <c:v>0.64261552266280786</c:v>
                </c:pt>
                <c:pt idx="2">
                  <c:v>0.24466807193185519</c:v>
                </c:pt>
                <c:pt idx="3">
                  <c:v>0.12030352474616358</c:v>
                </c:pt>
                <c:pt idx="4">
                  <c:v>3.9597917473637646E-2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4-46FF-BC08-65685A64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E4-46FF-BC08-65685A64351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73427459422E-2"/>
          <c:y val="9.5700085837781834E-2"/>
          <c:w val="0.87908252527248909"/>
          <c:h val="0.76452126389784791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1.4083315329993398</c:v>
                </c:pt>
                <c:pt idx="1">
                  <c:v>4.5916676589343082</c:v>
                </c:pt>
                <c:pt idx="2">
                  <c:v>3.4530333134258933</c:v>
                </c:pt>
                <c:pt idx="3">
                  <c:v>2.4910693835135831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427-43D4-A4EC-E4AEB914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427-43D4-A4EC-E4AEB9142E07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02029810130722"/>
          <c:y val="0.33819435908636092"/>
          <c:w val="0.19790646493764855"/>
          <c:h val="0.20773393335127968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Gxy</a:t>
            </a: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/>
          </a:p>
        </c:rich>
      </c:tx>
      <c:layout>
        <c:manualLayout>
          <c:xMode val="edge"/>
          <c:yMode val="edge"/>
          <c:x val="0.21276008357967816"/>
          <c:y val="2.93940076132782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anisogrid!$C$102:$E$102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2.4642676379478634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D-4AE0-8CE1-F088F2EB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anisogrid!$C$121:$G$121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4.1802083530240752</c:v>
                      </c:pt>
                      <c:pt idx="1">
                        <c:v>0.64261552266280786</c:v>
                      </c:pt>
                      <c:pt idx="2">
                        <c:v>0.24466807193185519</c:v>
                      </c:pt>
                      <c:pt idx="3">
                        <c:v>0.12030352474616358</c:v>
                      </c:pt>
                      <c:pt idx="4">
                        <c:v>3.9597917473637646E-2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8AD-4AE0-8CE1-F088F2EB568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6340219223456688"/>
              <c:y val="0.90260534306265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Ех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anisogrid120!$C$11:$J$11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anisogrid120!$C$19:$J$19</c:f>
              <c:numCache>
                <c:formatCode>General</c:formatCode>
                <c:ptCount val="8"/>
                <c:pt idx="0">
                  <c:v>13.098390650676302</c:v>
                </c:pt>
                <c:pt idx="1">
                  <c:v>7.8647153417270088</c:v>
                </c:pt>
                <c:pt idx="2">
                  <c:v>5.5951354785515326</c:v>
                </c:pt>
                <c:pt idx="3">
                  <c:v>4.3879121470752045</c:v>
                </c:pt>
                <c:pt idx="4">
                  <c:v>3.5187113484122299</c:v>
                </c:pt>
                <c:pt idx="5">
                  <c:v>2.9996053158774512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7-489A-89C2-17DB2D117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B17-489A-89C2-17DB2D117736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"/>
        <c:minorUnit val="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anisogrid!$C$25:$J$25</c:f>
              <c:numCache>
                <c:formatCode>General</c:formatCode>
                <c:ptCount val="8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0-4FC1-8571-0218B38D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800-4FC1-8571-0218B38D429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y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</a:p>
        </c:rich>
      </c:tx>
      <c:layout>
        <c:manualLayout>
          <c:xMode val="edge"/>
          <c:yMode val="edge"/>
          <c:x val="0.16189514802839636"/>
          <c:y val="2.93938818876206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anisogrid120!$C$54:$H$54</c:f>
              <c:numCache>
                <c:formatCode>General</c:formatCode>
                <c:ptCount val="6"/>
                <c:pt idx="0">
                  <c:v>33.26024917747992</c:v>
                </c:pt>
                <c:pt idx="1">
                  <c:v>19.829649166756038</c:v>
                </c:pt>
                <c:pt idx="2">
                  <c:v>14.250784546916877</c:v>
                </c:pt>
                <c:pt idx="3">
                  <c:v>11.013665569973197</c:v>
                </c:pt>
                <c:pt idx="4">
                  <c:v>9.0851691581769582</c:v>
                </c:pt>
                <c:pt idx="5">
                  <c:v>7.4321722337801459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8-4BA6-A3E5-58B3EDADE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2C8-4BA6-A3E5-58B3EDADE8C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anisogrid120!$C$61:$H$61</c:f>
              <c:numCache>
                <c:formatCode>General</c:formatCode>
                <c:ptCount val="6"/>
                <c:pt idx="0">
                  <c:v>2.00670538479645E-3</c:v>
                </c:pt>
                <c:pt idx="1">
                  <c:v>0.14488033632215139</c:v>
                </c:pt>
                <c:pt idx="2">
                  <c:v>5.355493243777696E-2</c:v>
                </c:pt>
                <c:pt idx="3">
                  <c:v>9.1610642028690709E-2</c:v>
                </c:pt>
                <c:pt idx="4">
                  <c:v>6.9404916849640119E-2</c:v>
                </c:pt>
                <c:pt idx="5">
                  <c:v>0.25321774204720038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4-4A83-BB84-CEB5653AB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154-4A83-BB84-CEB5653AB57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anisogrid120!$C$31:$J$31</c:f>
              <c:numCache>
                <c:formatCode>General</c:formatCode>
                <c:ptCount val="8"/>
                <c:pt idx="0">
                  <c:v>6.9513262426608007</c:v>
                </c:pt>
                <c:pt idx="1">
                  <c:v>2.7143329945354457</c:v>
                </c:pt>
                <c:pt idx="2">
                  <c:v>1.6029215261884764</c:v>
                </c:pt>
                <c:pt idx="3">
                  <c:v>1.0816810714026033</c:v>
                </c:pt>
                <c:pt idx="4">
                  <c:v>0.85357656222631251</c:v>
                </c:pt>
                <c:pt idx="5">
                  <c:v>0.68333060695356562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CC-411A-BD95-451FB9B47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ACC-411A-BD95-451FB9B47CB1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anisogrid120!$C$67:$H$67</c:f>
              <c:numCache>
                <c:formatCode>General</c:formatCode>
                <c:ptCount val="6"/>
                <c:pt idx="0">
                  <c:v>17.892765949692599</c:v>
                </c:pt>
                <c:pt idx="1">
                  <c:v>10.655770402639968</c:v>
                </c:pt>
                <c:pt idx="2">
                  <c:v>7.7516940273832793</c:v>
                </c:pt>
                <c:pt idx="3">
                  <c:v>5.9920092634126361</c:v>
                </c:pt>
                <c:pt idx="4">
                  <c:v>5.0172347759479212</c:v>
                </c:pt>
                <c:pt idx="5">
                  <c:v>3.9967925195657275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C-482B-A1A8-D1210653B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anisogrid!$C$11:$J$11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0.37652900000000944</c:v>
                      </c:pt>
                      <c:pt idx="1">
                        <c:v>0.37652900000000944</c:v>
                      </c:pt>
                      <c:pt idx="2">
                        <c:v>0.37652900000002137</c:v>
                      </c:pt>
                      <c:pt idx="3">
                        <c:v>0.1299362500000136</c:v>
                      </c:pt>
                      <c:pt idx="4">
                        <c:v>0.17925480000000391</c:v>
                      </c:pt>
                      <c:pt idx="5">
                        <c:v>0.21213383333337116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C4C-482B-A1A8-D1210653B88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anisogrid120!$C$80:$H$80</c:f>
              <c:numCache>
                <c:formatCode>General</c:formatCode>
                <c:ptCount val="6"/>
                <c:pt idx="0">
                  <c:v>18.852358000000006</c:v>
                </c:pt>
                <c:pt idx="1">
                  <c:v>10.432285840000036</c:v>
                </c:pt>
                <c:pt idx="2">
                  <c:v>7.2124759561599863</c:v>
                </c:pt>
                <c:pt idx="3">
                  <c:v>5.5152208000000025</c:v>
                </c:pt>
                <c:pt idx="4">
                  <c:v>4.4707462000000042</c:v>
                </c:pt>
                <c:pt idx="5">
                  <c:v>3.760503472000007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B-44CE-9A4D-0B5AB704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6BB-44CE-9A4D-0B5AB7046AAE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9859855248263261"/>
          <c:y val="2.017805895743186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anisogrid120!$C$87:$H$87</c:f>
              <c:numCache>
                <c:formatCode>General</c:formatCode>
                <c:ptCount val="6"/>
                <c:pt idx="0">
                  <c:v>2.1144175698909844E-2</c:v>
                </c:pt>
                <c:pt idx="1">
                  <c:v>3.5569930116126823E-2</c:v>
                </c:pt>
                <c:pt idx="2">
                  <c:v>5.4073834010089552E-3</c:v>
                </c:pt>
                <c:pt idx="3">
                  <c:v>3.3055623982776915E-2</c:v>
                </c:pt>
                <c:pt idx="4">
                  <c:v>4.0112878316382147E-2</c:v>
                </c:pt>
                <c:pt idx="5">
                  <c:v>3.6717282690372041E-2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3-4A74-8847-8EB1AC21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D43-4A74-8847-8EB1AC2199A3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anisogrid120!$C$93:$H$93</c:f>
              <c:numCache>
                <c:formatCode>General</c:formatCode>
                <c:ptCount val="6"/>
                <c:pt idx="0">
                  <c:v>2.3889788442643667E-2</c:v>
                </c:pt>
                <c:pt idx="1">
                  <c:v>8.1124767647803679E-3</c:v>
                </c:pt>
                <c:pt idx="2">
                  <c:v>1.1247248967505286E-2</c:v>
                </c:pt>
                <c:pt idx="3">
                  <c:v>7.9030718632318777E-3</c:v>
                </c:pt>
                <c:pt idx="4">
                  <c:v>5.1860553735479566E-3</c:v>
                </c:pt>
                <c:pt idx="5">
                  <c:v>2.3097876445388188E-3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7C-46C9-9842-84541611D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37C-46C9-9842-84541611DBB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anisogrid120!$C$134:$G$134</c:f>
              <c:numCache>
                <c:formatCode>General</c:formatCode>
                <c:ptCount val="5"/>
                <c:pt idx="0">
                  <c:v>13.03982460676551</c:v>
                </c:pt>
                <c:pt idx="1">
                  <c:v>13.211317531762267</c:v>
                </c:pt>
                <c:pt idx="2">
                  <c:v>13.295270168596426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C-4E31-8A23-A34935F9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6AC-4E31-8A23-A34935F9414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Gxy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anisogrid120!$C$115:$F$115</c:f>
              <c:numCache>
                <c:formatCode>General</c:formatCode>
                <c:ptCount val="4"/>
                <c:pt idx="0">
                  <c:v>0.27412896069539128</c:v>
                </c:pt>
                <c:pt idx="1">
                  <c:v>0.27412896069539128</c:v>
                </c:pt>
                <c:pt idx="2">
                  <c:v>0.27412896069539128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2-4CA5-AFCD-85BFAA378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F02-4CA5-AFCD-85BFAA378697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73427459422E-2"/>
          <c:y val="9.5700085837781834E-2"/>
          <c:w val="0.87908252527248909"/>
          <c:h val="0.68402277167524239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anisogrid120!$C$141:$F$141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anisogrid120!$C$155:$F$155</c:f>
              <c:numCache>
                <c:formatCode>General</c:formatCode>
                <c:ptCount val="4"/>
                <c:pt idx="0">
                  <c:v>20.849927407667849</c:v>
                </c:pt>
                <c:pt idx="1">
                  <c:v>11.627066794028293</c:v>
                </c:pt>
                <c:pt idx="2">
                  <c:v>6.1884448319767538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368-4D70-8E72-400EBD75F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368-4D70-8E72-400EBD75FDA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73427459422E-2"/>
          <c:y val="9.5700085837781834E-2"/>
          <c:w val="0.87908252527248909"/>
          <c:h val="0.76452126389784791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xVal>
            <c:numRef>
              <c:f>anisogrid120!$C$141:$F$141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anisogrid120!$C$155:$F$155</c:f>
              <c:numCache>
                <c:formatCode>General</c:formatCode>
                <c:ptCount val="4"/>
                <c:pt idx="0">
                  <c:v>20.849927407667849</c:v>
                </c:pt>
                <c:pt idx="1">
                  <c:v>11.627066794028293</c:v>
                </c:pt>
                <c:pt idx="2">
                  <c:v>6.1884448319767538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A0F-48FB-BD8B-2FAAFF24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A0F-48FB-BD8B-2FAAFF24C84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02029810130722"/>
          <c:y val="0.33819435908636092"/>
          <c:w val="0.19790646493764855"/>
          <c:h val="0.20773393335127968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Gxy</a:t>
            </a: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/>
          </a:p>
        </c:rich>
      </c:tx>
      <c:layout>
        <c:manualLayout>
          <c:xMode val="edge"/>
          <c:yMode val="edge"/>
          <c:x val="0.21276008357967816"/>
          <c:y val="2.93940076132782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anisogrid120!$C$102:$F$102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anisogrid120!$C$115:$F$115</c:f>
              <c:numCache>
                <c:formatCode>General</c:formatCode>
                <c:ptCount val="4"/>
                <c:pt idx="0">
                  <c:v>0.27412896069539128</c:v>
                </c:pt>
                <c:pt idx="1">
                  <c:v>0.27412896069539128</c:v>
                </c:pt>
                <c:pt idx="2">
                  <c:v>0.27412896069539128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E9-4AC4-9634-1D4941317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anisogrid!$C$121:$G$121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4.1802083530240752</c:v>
                      </c:pt>
                      <c:pt idx="1">
                        <c:v>0.64261552266280786</c:v>
                      </c:pt>
                      <c:pt idx="2">
                        <c:v>0.24466807193185519</c:v>
                      </c:pt>
                      <c:pt idx="3">
                        <c:v>0.12030352474616358</c:v>
                      </c:pt>
                      <c:pt idx="4">
                        <c:v>3.9597917473637646E-2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BE9-4AC4-9634-1D4941317AAA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6340219223456688"/>
              <c:y val="0.90260534306265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4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.000000000000001E-2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 Ех от количества ячеек</a:t>
            </a:r>
            <a:r>
              <a:rPr lang="ru-RU" baseline="0"/>
              <a:t> по </a:t>
            </a:r>
            <a:r>
              <a:rPr lang="en-US" baseline="0"/>
              <a:t>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'Сравнение КПО'!$G$75:$L$75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cat>
          <c:val>
            <c:numRef>
              <c:f>'Сравнение КПО'!$G$83:$L$83</c:f>
              <c:numCache>
                <c:formatCode>General</c:formatCode>
                <c:ptCount val="6"/>
                <c:pt idx="0">
                  <c:v>13011.399266352939</c:v>
                </c:pt>
                <c:pt idx="1">
                  <c:v>17325.339130063534</c:v>
                </c:pt>
                <c:pt idx="2">
                  <c:v>18781.671984474673</c:v>
                </c:pt>
                <c:pt idx="3">
                  <c:v>19481.89066339075</c:v>
                </c:pt>
                <c:pt idx="4">
                  <c:v>19916.01916288232</c:v>
                </c:pt>
                <c:pt idx="5">
                  <c:v>20208.572962337079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3-44E6-BE92-4BFEE73F9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320975"/>
        <c:axId val="985301295"/>
      </c:lineChart>
      <c:catAx>
        <c:axId val="9853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301295"/>
        <c:crosses val="autoZero"/>
        <c:auto val="1"/>
        <c:lblAlgn val="ctr"/>
        <c:lblOffset val="100"/>
        <c:noMultiLvlLbl val="0"/>
      </c:catAx>
      <c:valAx>
        <c:axId val="985301295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32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Effective Elastic Module</a:t>
            </a:r>
            <a:r>
              <a:rPr lang="en-US" baseline="0">
                <a:solidFill>
                  <a:sysClr val="windowText" lastClr="000000"/>
                </a:solidFill>
              </a:rPr>
              <a:t> for</a:t>
            </a:r>
            <a:r>
              <a:rPr lang="ru-RU" baseline="0">
                <a:solidFill>
                  <a:sysClr val="windowText" lastClr="000000"/>
                </a:solidFill>
              </a:rPr>
              <a:t> </a:t>
            </a:r>
            <a:r>
              <a:rPr lang="en-US" baseline="0">
                <a:solidFill>
                  <a:sysClr val="windowText" lastClr="000000"/>
                </a:solidFill>
              </a:rPr>
              <a:t>different types of intersections </a:t>
            </a:r>
            <a:endParaRPr lang="ru-R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'Сравнение КПО'!$P$218:$P$219</c:f>
              <c:strCache>
                <c:ptCount val="2"/>
                <c:pt idx="0">
                  <c:v>Model with intersections at nodes</c:v>
                </c:pt>
                <c:pt idx="1">
                  <c:v>Model with central intersections</c:v>
                </c:pt>
              </c:strCache>
            </c:strRef>
          </c:cat>
          <c:val>
            <c:numRef>
              <c:f>('Сравнение КПО'!$G$222,'Сравнение КПО'!$G$233)</c:f>
              <c:numCache>
                <c:formatCode>0</c:formatCode>
                <c:ptCount val="2"/>
                <c:pt idx="0">
                  <c:v>14985.376583357454</c:v>
                </c:pt>
                <c:pt idx="1">
                  <c:v>15214.788273867036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6-493E-8B8E-AB0D04BCC9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7878608"/>
        <c:axId val="1330811824"/>
      </c:barChart>
      <c:catAx>
        <c:axId val="1597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11824"/>
        <c:crosses val="autoZero"/>
        <c:auto val="1"/>
        <c:lblAlgn val="ctr"/>
        <c:lblOffset val="100"/>
        <c:noMultiLvlLbl val="0"/>
      </c:catAx>
      <c:valAx>
        <c:axId val="1330811824"/>
        <c:scaling>
          <c:orientation val="minMax"/>
          <c:min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Ex,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87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Effective Elastic Module for DRS</a:t>
            </a:r>
            <a:r>
              <a:rPr lang="en-US" baseline="0">
                <a:solidFill>
                  <a:sysClr val="windowText" lastClr="000000"/>
                </a:solidFill>
              </a:rPr>
              <a:t> with and without plastik layers </a:t>
            </a:r>
            <a:endParaRPr lang="ru-R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7211808622723834"/>
          <c:y val="0.27426742422140055"/>
          <c:w val="0.76046619668992554"/>
          <c:h val="0.611450720881782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'Сравнение КПО'!$P$158:$P$159</c:f>
              <c:strCache>
                <c:ptCount val="2"/>
                <c:pt idx="0">
                  <c:v>Model with plastic layers</c:v>
                </c:pt>
                <c:pt idx="1">
                  <c:v>Model without plastik layers</c:v>
                </c:pt>
              </c:strCache>
            </c:strRef>
          </c:cat>
          <c:val>
            <c:numRef>
              <c:f>('Сравнение КПО'!$Q$151,'Сравнение КПО'!$M$151)</c:f>
              <c:numCache>
                <c:formatCode>0</c:formatCode>
                <c:ptCount val="2"/>
                <c:pt idx="0">
                  <c:v>16105.041488282144</c:v>
                </c:pt>
                <c:pt idx="1">
                  <c:v>15636.87167757627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1-4387-987B-21A3481281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7878608"/>
        <c:axId val="1330811824"/>
      </c:barChart>
      <c:catAx>
        <c:axId val="1597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11824"/>
        <c:crosses val="autoZero"/>
        <c:auto val="1"/>
        <c:lblAlgn val="ctr"/>
        <c:lblOffset val="100"/>
        <c:noMultiLvlLbl val="0"/>
      </c:catAx>
      <c:valAx>
        <c:axId val="1330811824"/>
        <c:scaling>
          <c:orientation val="minMax"/>
          <c:min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Ex,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87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Effective Elastic Module  Ez</a:t>
            </a:r>
            <a:endParaRPr lang="ru-RU" sz="16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A0-424B-A983-7A69C70BBFD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0-424B-A983-7A69C70BBF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'Сравнение КПО'!$F$66:$F$68</c:f>
              <c:strCache>
                <c:ptCount val="3"/>
                <c:pt idx="0">
                  <c:v>FEM result</c:v>
                </c:pt>
                <c:pt idx="1">
                  <c:v>Test result</c:v>
                </c:pt>
                <c:pt idx="2">
                  <c:v>Continuum model</c:v>
                </c:pt>
              </c:strCache>
            </c:strRef>
          </c:cat>
          <c:val>
            <c:numRef>
              <c:f>'Сравнение КПО'!$G$66:$G$68</c:f>
              <c:numCache>
                <c:formatCode>0.00</c:formatCode>
                <c:ptCount val="3"/>
                <c:pt idx="0" formatCode="0">
                  <c:v>467.67618764085358</c:v>
                </c:pt>
                <c:pt idx="1">
                  <c:v>450</c:v>
                </c:pt>
                <c:pt idx="2" formatCode="0">
                  <c:v>402.63170000000002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D4-417D-B216-D65DCAB66F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1597878608"/>
        <c:axId val="1330811824"/>
      </c:barChart>
      <c:catAx>
        <c:axId val="1597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11824"/>
        <c:crosses val="autoZero"/>
        <c:auto val="1"/>
        <c:lblAlgn val="ctr"/>
        <c:lblOffset val="100"/>
        <c:noMultiLvlLbl val="0"/>
      </c:catAx>
      <c:valAx>
        <c:axId val="1330811824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87860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Effective Shear Modulus Gzx</a:t>
            </a:r>
            <a:endParaRPr lang="ru-R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AE5-4CB2-AC98-3CB289A96F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E5-4CB2-AC98-3CB289A96F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E5-4CB2-AC98-3CB289A96F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Лист4!$K$4:$K$7</c:f>
              <c:strCache>
                <c:ptCount val="4"/>
                <c:pt idx="0">
                  <c:v>FEM with stiff plates</c:v>
                </c:pt>
                <c:pt idx="1">
                  <c:v>FEM with RBE</c:v>
                </c:pt>
                <c:pt idx="2">
                  <c:v>Test result</c:v>
                </c:pt>
                <c:pt idx="3">
                  <c:v>Continuum model</c:v>
                </c:pt>
              </c:strCache>
            </c:strRef>
          </c:cat>
          <c:val>
            <c:numRef>
              <c:f>(Лист4!$C$9,Лист4!$H$9,Лист4!$C$10,Лист4!$H$10)</c:f>
              <c:numCache>
                <c:formatCode>0</c:formatCode>
                <c:ptCount val="4"/>
                <c:pt idx="0">
                  <c:v>209.21001791053345</c:v>
                </c:pt>
                <c:pt idx="1">
                  <c:v>213.96479104486374</c:v>
                </c:pt>
                <c:pt idx="2">
                  <c:v>200</c:v>
                </c:pt>
                <c:pt idx="3">
                  <c:v>209.39500000000001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E-4D63-95F9-CD44C50063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1597878608"/>
        <c:axId val="1330811824"/>
      </c:barChart>
      <c:catAx>
        <c:axId val="1597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11824"/>
        <c:crosses val="autoZero"/>
        <c:auto val="1"/>
        <c:lblAlgn val="ctr"/>
        <c:lblOffset val="100"/>
        <c:noMultiLvlLbl val="0"/>
      </c:catAx>
      <c:valAx>
        <c:axId val="1330811824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MPa</a:t>
                </a:r>
              </a:p>
            </c:rich>
          </c:tx>
          <c:layout>
            <c:manualLayout>
              <c:xMode val="edge"/>
              <c:yMode val="edge"/>
              <c:x val="2.1391084095088927E-2"/>
              <c:y val="0.40128635294970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87860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Effective Elastic Modulus Ex for different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SSMs</a:t>
            </a:r>
            <a:endParaRPr lang="ru-R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009-41C9-99E2-9E69B029FD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09-41C9-99E2-9E69B029FD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09-41C9-99E2-9E69B029FD7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09-41C9-99E2-9E69B029FD7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09-41C9-99E2-9E69B029FD7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09-41C9-99E2-9E69B029FD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Лист6!$A$1:$H$1</c:f>
              <c:strCache>
                <c:ptCount val="8"/>
                <c:pt idx="0">
                  <c:v>Pairwise central intersection
FEM</c:v>
                </c:pt>
                <c:pt idx="1">
                  <c:v>Pairwise central intersection
test results</c:v>
                </c:pt>
                <c:pt idx="2">
                  <c:v>Pairwise central intersection and longitudinal ribs
FEM</c:v>
                </c:pt>
                <c:pt idx="3">
                  <c:v>Pairwise central intersection and longitudinal ribs
test results</c:v>
                </c:pt>
                <c:pt idx="4">
                  <c:v>Near-multiple-nodal intersections
FEM</c:v>
                </c:pt>
                <c:pt idx="5">
                  <c:v>near-multiple-nodal intersections
test results</c:v>
                </c:pt>
                <c:pt idx="6">
                  <c:v>Continuum model</c:v>
                </c:pt>
                <c:pt idx="7">
                  <c:v>Continuum model
with longitudinal ribs</c:v>
                </c:pt>
              </c:strCache>
            </c:strRef>
          </c:cat>
          <c:val>
            <c:numRef>
              <c:f>Лист6!$A$2:$H$2</c:f>
              <c:numCache>
                <c:formatCode>0</c:formatCode>
                <c:ptCount val="8"/>
                <c:pt idx="0">
                  <c:v>15636.87167757627</c:v>
                </c:pt>
                <c:pt idx="1">
                  <c:v>14620</c:v>
                </c:pt>
                <c:pt idx="2">
                  <c:v>15969</c:v>
                </c:pt>
                <c:pt idx="3">
                  <c:v>16359</c:v>
                </c:pt>
                <c:pt idx="4">
                  <c:v>15177.84</c:v>
                </c:pt>
                <c:pt idx="5" formatCode="General">
                  <c:v>13552</c:v>
                </c:pt>
                <c:pt idx="6" formatCode="General">
                  <c:v>15141</c:v>
                </c:pt>
                <c:pt idx="7">
                  <c:v>20008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8-490A-A3EF-082FAD279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597878608"/>
        <c:axId val="1330811824"/>
      </c:barChart>
      <c:catAx>
        <c:axId val="1597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11824"/>
        <c:crosses val="autoZero"/>
        <c:auto val="1"/>
        <c:lblAlgn val="ctr"/>
        <c:lblOffset val="100"/>
        <c:noMultiLvlLbl val="0"/>
      </c:catAx>
      <c:valAx>
        <c:axId val="1330811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MPa</a:t>
                </a:r>
              </a:p>
            </c:rich>
          </c:tx>
          <c:layout>
            <c:manualLayout>
              <c:xMode val="edge"/>
              <c:yMode val="edge"/>
              <c:x val="1.2052015706097147E-2"/>
              <c:y val="0.41888641850575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87860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Difference of Effective Elastic Modulus for different</a:t>
            </a:r>
            <a:r>
              <a:rPr lang="en-US" baseline="0">
                <a:solidFill>
                  <a:sysClr val="windowText" lastClr="000000"/>
                </a:solidFill>
              </a:rPr>
              <a:t> SSMs</a:t>
            </a:r>
            <a:r>
              <a:rPr lang="en-US">
                <a:solidFill>
                  <a:sysClr val="windowText" lastClr="000000"/>
                </a:solidFill>
              </a:rPr>
              <a:t> vs continuum model</a:t>
            </a:r>
            <a:endParaRPr lang="ru-R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7E-4596-AA2F-32ADFB3D0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A7E-4596-AA2F-32ADFB3D0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7E-4596-AA2F-32ADFB3D0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7E-4596-AA2F-32ADFB3D0E9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7E-4596-AA2F-32ADFB3D0E9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A7E-4596-AA2F-32ADFB3D0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Лист6!$A$1:$F$1</c:f>
              <c:strCache>
                <c:ptCount val="6"/>
                <c:pt idx="0">
                  <c:v>Pairwise central intersection
FEM</c:v>
                </c:pt>
                <c:pt idx="1">
                  <c:v>Pairwise central intersection
test results</c:v>
                </c:pt>
                <c:pt idx="2">
                  <c:v>Pairwise central intersection and longitudinal ribs
FEM</c:v>
                </c:pt>
                <c:pt idx="3">
                  <c:v>Pairwise central intersection and longitudinal ribs
test results</c:v>
                </c:pt>
                <c:pt idx="4">
                  <c:v>Near-multiple-nodal intersections
FEM</c:v>
                </c:pt>
                <c:pt idx="5">
                  <c:v>near-multiple-nodal intersections
test results</c:v>
                </c:pt>
              </c:strCache>
            </c:strRef>
          </c:cat>
          <c:val>
            <c:numRef>
              <c:f>Лист6!$A$4:$F$4</c:f>
              <c:numCache>
                <c:formatCode>0.0</c:formatCode>
                <c:ptCount val="6"/>
                <c:pt idx="0">
                  <c:v>3.2750259400057429</c:v>
                </c:pt>
                <c:pt idx="1">
                  <c:v>3.4409880457037181</c:v>
                </c:pt>
                <c:pt idx="2">
                  <c:v>20.186925229908038</c:v>
                </c:pt>
                <c:pt idx="3">
                  <c:v>18.237704918032787</c:v>
                </c:pt>
                <c:pt idx="4">
                  <c:v>0.24331285912423317</c:v>
                </c:pt>
                <c:pt idx="5">
                  <c:v>10.494683310217292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95-4317-B61C-6E96082571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1597878608"/>
        <c:axId val="1330811824"/>
      </c:barChart>
      <c:catAx>
        <c:axId val="1597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11824"/>
        <c:crosses val="autoZero"/>
        <c:auto val="1"/>
        <c:lblAlgn val="ctr"/>
        <c:lblOffset val="100"/>
        <c:noMultiLvlLbl val="0"/>
      </c:catAx>
      <c:valAx>
        <c:axId val="1330811824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Difference,%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878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Difference of Effective Elastic Modulus for different</a:t>
            </a:r>
            <a:r>
              <a:rPr lang="en-US" baseline="0">
                <a:solidFill>
                  <a:sysClr val="windowText" lastClr="000000"/>
                </a:solidFill>
              </a:rPr>
              <a:t> FE models vs test results</a:t>
            </a:r>
            <a:endParaRPr lang="ru-R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(Лист6!$A$1,Лист6!$C$1,Лист6!$E$1)</c:f>
              <c:strCache>
                <c:ptCount val="3"/>
                <c:pt idx="0">
                  <c:v>Pairwise central intersection
FEM</c:v>
                </c:pt>
                <c:pt idx="1">
                  <c:v>Pairwise central intersection and longitudinal ribs
FEM</c:v>
                </c:pt>
                <c:pt idx="2">
                  <c:v>Near-multiple-nodal intersections
FEM</c:v>
                </c:pt>
              </c:strCache>
            </c:strRef>
          </c:cat>
          <c:val>
            <c:numRef>
              <c:f>(Лист6!$A$6,Лист6!$C$6,Лист6!$E$6)</c:f>
              <c:numCache>
                <c:formatCode>0.00</c:formatCode>
                <c:ptCount val="3"/>
                <c:pt idx="0">
                  <c:v>6.955346631848629</c:v>
                </c:pt>
                <c:pt idx="1">
                  <c:v>2.3840088024940398</c:v>
                </c:pt>
                <c:pt idx="2">
                  <c:v>11.997048406139315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DD9-B375-6663ABED3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1597878608"/>
        <c:axId val="1330811824"/>
      </c:barChart>
      <c:catAx>
        <c:axId val="1597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11824"/>
        <c:crosses val="autoZero"/>
        <c:auto val="1"/>
        <c:lblAlgn val="ctr"/>
        <c:lblOffset val="100"/>
        <c:noMultiLvlLbl val="0"/>
      </c:catAx>
      <c:valAx>
        <c:axId val="1330811824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Difference,%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878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13" Type="http://schemas.openxmlformats.org/officeDocument/2006/relationships/chart" Target="../charts/chart44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12" Type="http://schemas.openxmlformats.org/officeDocument/2006/relationships/chart" Target="../charts/chart43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5" Type="http://schemas.openxmlformats.org/officeDocument/2006/relationships/chart" Target="../charts/chart36.xml"/><Relationship Id="rId10" Type="http://schemas.openxmlformats.org/officeDocument/2006/relationships/chart" Target="../charts/chart41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Relationship Id="rId14" Type="http://schemas.openxmlformats.org/officeDocument/2006/relationships/chart" Target="../charts/chart4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133350</xdr:rowOff>
    </xdr:from>
    <xdr:to>
      <xdr:col>10</xdr:col>
      <xdr:colOff>121920</xdr:colOff>
      <xdr:row>16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33350"/>
          <a:ext cx="4884420" cy="2933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351065</xdr:colOff>
      <xdr:row>1</xdr:row>
      <xdr:rowOff>191860</xdr:rowOff>
    </xdr:from>
    <xdr:to>
      <xdr:col>27</xdr:col>
      <xdr:colOff>201386</xdr:colOff>
      <xdr:row>17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451139</xdr:colOff>
      <xdr:row>19</xdr:row>
      <xdr:rowOff>100446</xdr:rowOff>
    </xdr:from>
    <xdr:to>
      <xdr:col>27</xdr:col>
      <xdr:colOff>301460</xdr:colOff>
      <xdr:row>44</xdr:row>
      <xdr:rowOff>9279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2039</xdr:colOff>
      <xdr:row>1</xdr:row>
      <xdr:rowOff>159938</xdr:rowOff>
    </xdr:from>
    <xdr:to>
      <xdr:col>37</xdr:col>
      <xdr:colOff>484910</xdr:colOff>
      <xdr:row>17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312964</xdr:colOff>
      <xdr:row>19</xdr:row>
      <xdr:rowOff>122464</xdr:rowOff>
    </xdr:from>
    <xdr:to>
      <xdr:col>38</xdr:col>
      <xdr:colOff>163286</xdr:colOff>
      <xdr:row>44</xdr:row>
      <xdr:rowOff>31297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462643</xdr:colOff>
      <xdr:row>45</xdr:row>
      <xdr:rowOff>0</xdr:rowOff>
    </xdr:from>
    <xdr:to>
      <xdr:col>27</xdr:col>
      <xdr:colOff>312964</xdr:colOff>
      <xdr:row>70</xdr:row>
      <xdr:rowOff>153762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312964</xdr:colOff>
      <xdr:row>45</xdr:row>
      <xdr:rowOff>40820</xdr:rowOff>
    </xdr:from>
    <xdr:to>
      <xdr:col>38</xdr:col>
      <xdr:colOff>163286</xdr:colOff>
      <xdr:row>70</xdr:row>
      <xdr:rowOff>194582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191060</xdr:colOff>
      <xdr:row>1</xdr:row>
      <xdr:rowOff>143995</xdr:rowOff>
    </xdr:from>
    <xdr:to>
      <xdr:col>48</xdr:col>
      <xdr:colOff>64330</xdr:colOff>
      <xdr:row>17</xdr:row>
      <xdr:rowOff>31937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381000</xdr:colOff>
      <xdr:row>19</xdr:row>
      <xdr:rowOff>145677</xdr:rowOff>
    </xdr:from>
    <xdr:to>
      <xdr:col>48</xdr:col>
      <xdr:colOff>231323</xdr:colOff>
      <xdr:row>44</xdr:row>
      <xdr:rowOff>54510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432954</xdr:colOff>
      <xdr:row>45</xdr:row>
      <xdr:rowOff>121227</xdr:rowOff>
    </xdr:from>
    <xdr:to>
      <xdr:col>48</xdr:col>
      <xdr:colOff>283277</xdr:colOff>
      <xdr:row>70</xdr:row>
      <xdr:rowOff>30061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238371</xdr:colOff>
      <xdr:row>134</xdr:row>
      <xdr:rowOff>141637</xdr:rowOff>
    </xdr:from>
    <xdr:to>
      <xdr:col>19</xdr:col>
      <xdr:colOff>486271</xdr:colOff>
      <xdr:row>152</xdr:row>
      <xdr:rowOff>32780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247402</xdr:colOff>
      <xdr:row>100</xdr:row>
      <xdr:rowOff>105146</xdr:rowOff>
    </xdr:from>
    <xdr:to>
      <xdr:col>15</xdr:col>
      <xdr:colOff>46265</xdr:colOff>
      <xdr:row>117</xdr:row>
      <xdr:rowOff>241216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298958</xdr:colOff>
      <xdr:row>70</xdr:row>
      <xdr:rowOff>223823</xdr:rowOff>
    </xdr:from>
    <xdr:to>
      <xdr:col>53</xdr:col>
      <xdr:colOff>186751</xdr:colOff>
      <xdr:row>91</xdr:row>
      <xdr:rowOff>74520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666750</xdr:colOff>
      <xdr:row>72</xdr:row>
      <xdr:rowOff>166688</xdr:rowOff>
    </xdr:from>
    <xdr:to>
      <xdr:col>26</xdr:col>
      <xdr:colOff>537050</xdr:colOff>
      <xdr:row>90</xdr:row>
      <xdr:rowOff>64633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166688</xdr:colOff>
      <xdr:row>72</xdr:row>
      <xdr:rowOff>190500</xdr:rowOff>
    </xdr:from>
    <xdr:to>
      <xdr:col>39</xdr:col>
      <xdr:colOff>414588</xdr:colOff>
      <xdr:row>90</xdr:row>
      <xdr:rowOff>81643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149678</xdr:colOff>
      <xdr:row>98</xdr:row>
      <xdr:rowOff>136071</xdr:rowOff>
    </xdr:from>
    <xdr:to>
      <xdr:col>26</xdr:col>
      <xdr:colOff>0</xdr:colOff>
      <xdr:row>113</xdr:row>
      <xdr:rowOff>200345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3147D1B6-919C-4D37-8130-A91B81653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364191</xdr:colOff>
      <xdr:row>99</xdr:row>
      <xdr:rowOff>127267</xdr:rowOff>
    </xdr:from>
    <xdr:to>
      <xdr:col>36</xdr:col>
      <xdr:colOff>214512</xdr:colOff>
      <xdr:row>114</xdr:row>
      <xdr:rowOff>191541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325135DB-925B-44A2-BA97-10FDEAEEC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403411</xdr:colOff>
      <xdr:row>115</xdr:row>
      <xdr:rowOff>224117</xdr:rowOff>
    </xdr:from>
    <xdr:to>
      <xdr:col>36</xdr:col>
      <xdr:colOff>253732</xdr:colOff>
      <xdr:row>131</xdr:row>
      <xdr:rowOff>53068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9E20EF81-1B12-4108-85A1-9B3706F37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351065</xdr:colOff>
      <xdr:row>1</xdr:row>
      <xdr:rowOff>191860</xdr:rowOff>
    </xdr:from>
    <xdr:to>
      <xdr:col>27</xdr:col>
      <xdr:colOff>201386</xdr:colOff>
      <xdr:row>17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451139</xdr:colOff>
      <xdr:row>19</xdr:row>
      <xdr:rowOff>100446</xdr:rowOff>
    </xdr:from>
    <xdr:to>
      <xdr:col>27</xdr:col>
      <xdr:colOff>301460</xdr:colOff>
      <xdr:row>44</xdr:row>
      <xdr:rowOff>9279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53993</xdr:colOff>
      <xdr:row>1</xdr:row>
      <xdr:rowOff>142620</xdr:rowOff>
    </xdr:from>
    <xdr:to>
      <xdr:col>37</xdr:col>
      <xdr:colOff>536864</xdr:colOff>
      <xdr:row>16</xdr:row>
      <xdr:rowOff>225136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312964</xdr:colOff>
      <xdr:row>19</xdr:row>
      <xdr:rowOff>122464</xdr:rowOff>
    </xdr:from>
    <xdr:to>
      <xdr:col>38</xdr:col>
      <xdr:colOff>163286</xdr:colOff>
      <xdr:row>44</xdr:row>
      <xdr:rowOff>31297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462643</xdr:colOff>
      <xdr:row>45</xdr:row>
      <xdr:rowOff>0</xdr:rowOff>
    </xdr:from>
    <xdr:to>
      <xdr:col>27</xdr:col>
      <xdr:colOff>312964</xdr:colOff>
      <xdr:row>70</xdr:row>
      <xdr:rowOff>153762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312964</xdr:colOff>
      <xdr:row>45</xdr:row>
      <xdr:rowOff>40820</xdr:rowOff>
    </xdr:from>
    <xdr:to>
      <xdr:col>38</xdr:col>
      <xdr:colOff>163286</xdr:colOff>
      <xdr:row>70</xdr:row>
      <xdr:rowOff>194582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67235</xdr:colOff>
      <xdr:row>1</xdr:row>
      <xdr:rowOff>134470</xdr:rowOff>
    </xdr:from>
    <xdr:to>
      <xdr:col>47</xdr:col>
      <xdr:colOff>550105</xdr:colOff>
      <xdr:row>17</xdr:row>
      <xdr:rowOff>22412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381000</xdr:colOff>
      <xdr:row>19</xdr:row>
      <xdr:rowOff>145677</xdr:rowOff>
    </xdr:from>
    <xdr:to>
      <xdr:col>48</xdr:col>
      <xdr:colOff>231323</xdr:colOff>
      <xdr:row>44</xdr:row>
      <xdr:rowOff>54510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432954</xdr:colOff>
      <xdr:row>45</xdr:row>
      <xdr:rowOff>121227</xdr:rowOff>
    </xdr:from>
    <xdr:to>
      <xdr:col>48</xdr:col>
      <xdr:colOff>283277</xdr:colOff>
      <xdr:row>70</xdr:row>
      <xdr:rowOff>30061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49231</xdr:colOff>
      <xdr:row>135</xdr:row>
      <xdr:rowOff>141266</xdr:rowOff>
    </xdr:from>
    <xdr:to>
      <xdr:col>21</xdr:col>
      <xdr:colOff>230456</xdr:colOff>
      <xdr:row>152</xdr:row>
      <xdr:rowOff>99084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173566</xdr:colOff>
      <xdr:row>135</xdr:row>
      <xdr:rowOff>181329</xdr:rowOff>
    </xdr:from>
    <xdr:to>
      <xdr:col>39</xdr:col>
      <xdr:colOff>146166</xdr:colOff>
      <xdr:row>160</xdr:row>
      <xdr:rowOff>178980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450272</xdr:colOff>
      <xdr:row>72</xdr:row>
      <xdr:rowOff>0</xdr:rowOff>
    </xdr:from>
    <xdr:to>
      <xdr:col>38</xdr:col>
      <xdr:colOff>571500</xdr:colOff>
      <xdr:row>89</xdr:row>
      <xdr:rowOff>173181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259772</xdr:colOff>
      <xdr:row>71</xdr:row>
      <xdr:rowOff>69272</xdr:rowOff>
    </xdr:from>
    <xdr:to>
      <xdr:col>51</xdr:col>
      <xdr:colOff>450272</xdr:colOff>
      <xdr:row>89</xdr:row>
      <xdr:rowOff>105759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465118</xdr:colOff>
      <xdr:row>72</xdr:row>
      <xdr:rowOff>89065</xdr:rowOff>
    </xdr:from>
    <xdr:to>
      <xdr:col>26</xdr:col>
      <xdr:colOff>455720</xdr:colOff>
      <xdr:row>90</xdr:row>
      <xdr:rowOff>22265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F9052486-6A8E-4EED-922E-AE75E4F82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351065</xdr:colOff>
      <xdr:row>1</xdr:row>
      <xdr:rowOff>191860</xdr:rowOff>
    </xdr:from>
    <xdr:to>
      <xdr:col>27</xdr:col>
      <xdr:colOff>201386</xdr:colOff>
      <xdr:row>17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451139</xdr:colOff>
      <xdr:row>19</xdr:row>
      <xdr:rowOff>100446</xdr:rowOff>
    </xdr:from>
    <xdr:to>
      <xdr:col>27</xdr:col>
      <xdr:colOff>301460</xdr:colOff>
      <xdr:row>44</xdr:row>
      <xdr:rowOff>9279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53994</xdr:colOff>
      <xdr:row>1</xdr:row>
      <xdr:rowOff>159938</xdr:rowOff>
    </xdr:from>
    <xdr:to>
      <xdr:col>37</xdr:col>
      <xdr:colOff>536865</xdr:colOff>
      <xdr:row>17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312964</xdr:colOff>
      <xdr:row>19</xdr:row>
      <xdr:rowOff>122464</xdr:rowOff>
    </xdr:from>
    <xdr:to>
      <xdr:col>38</xdr:col>
      <xdr:colOff>163286</xdr:colOff>
      <xdr:row>44</xdr:row>
      <xdr:rowOff>31297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462643</xdr:colOff>
      <xdr:row>45</xdr:row>
      <xdr:rowOff>0</xdr:rowOff>
    </xdr:from>
    <xdr:to>
      <xdr:col>27</xdr:col>
      <xdr:colOff>312964</xdr:colOff>
      <xdr:row>70</xdr:row>
      <xdr:rowOff>153762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312964</xdr:colOff>
      <xdr:row>45</xdr:row>
      <xdr:rowOff>40820</xdr:rowOff>
    </xdr:from>
    <xdr:to>
      <xdr:col>38</xdr:col>
      <xdr:colOff>163286</xdr:colOff>
      <xdr:row>70</xdr:row>
      <xdr:rowOff>194582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67235</xdr:colOff>
      <xdr:row>1</xdr:row>
      <xdr:rowOff>134470</xdr:rowOff>
    </xdr:from>
    <xdr:to>
      <xdr:col>47</xdr:col>
      <xdr:colOff>550105</xdr:colOff>
      <xdr:row>17</xdr:row>
      <xdr:rowOff>22412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381000</xdr:colOff>
      <xdr:row>19</xdr:row>
      <xdr:rowOff>145677</xdr:rowOff>
    </xdr:from>
    <xdr:to>
      <xdr:col>48</xdr:col>
      <xdr:colOff>231323</xdr:colOff>
      <xdr:row>44</xdr:row>
      <xdr:rowOff>54510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432954</xdr:colOff>
      <xdr:row>45</xdr:row>
      <xdr:rowOff>121227</xdr:rowOff>
    </xdr:from>
    <xdr:to>
      <xdr:col>48</xdr:col>
      <xdr:colOff>283277</xdr:colOff>
      <xdr:row>70</xdr:row>
      <xdr:rowOff>30061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551458</xdr:colOff>
      <xdr:row>73</xdr:row>
      <xdr:rowOff>20040</xdr:rowOff>
    </xdr:from>
    <xdr:to>
      <xdr:col>38</xdr:col>
      <xdr:colOff>542183</xdr:colOff>
      <xdr:row>89</xdr:row>
      <xdr:rowOff>220312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486887</xdr:colOff>
      <xdr:row>72</xdr:row>
      <xdr:rowOff>225137</xdr:rowOff>
    </xdr:from>
    <xdr:to>
      <xdr:col>27</xdr:col>
      <xdr:colOff>218209</xdr:colOff>
      <xdr:row>89</xdr:row>
      <xdr:rowOff>199281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459242</xdr:colOff>
      <xdr:row>147</xdr:row>
      <xdr:rowOff>157097</xdr:rowOff>
    </xdr:from>
    <xdr:to>
      <xdr:col>19</xdr:col>
      <xdr:colOff>68036</xdr:colOff>
      <xdr:row>166</xdr:row>
      <xdr:rowOff>68035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190500</xdr:colOff>
      <xdr:row>72</xdr:row>
      <xdr:rowOff>69274</xdr:rowOff>
    </xdr:from>
    <xdr:to>
      <xdr:col>51</xdr:col>
      <xdr:colOff>467591</xdr:colOff>
      <xdr:row>90</xdr:row>
      <xdr:rowOff>156813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831273</xdr:colOff>
      <xdr:row>99</xdr:row>
      <xdr:rowOff>17318</xdr:rowOff>
    </xdr:from>
    <xdr:to>
      <xdr:col>15</xdr:col>
      <xdr:colOff>1311731</xdr:colOff>
      <xdr:row>116</xdr:row>
      <xdr:rowOff>195447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11567B10-E0D8-40ED-8DA3-9CF1D8857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28014</xdr:colOff>
      <xdr:row>85</xdr:row>
      <xdr:rowOff>190498</xdr:rowOff>
    </xdr:from>
    <xdr:to>
      <xdr:col>11</xdr:col>
      <xdr:colOff>1266265</xdr:colOff>
      <xdr:row>105</xdr:row>
      <xdr:rowOff>67233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080DAD-14B8-4C5F-41A5-49882F09B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137272</xdr:colOff>
      <xdr:row>216</xdr:row>
      <xdr:rowOff>65552</xdr:rowOff>
    </xdr:from>
    <xdr:to>
      <xdr:col>13</xdr:col>
      <xdr:colOff>170889</xdr:colOff>
      <xdr:row>231</xdr:row>
      <xdr:rowOff>119341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3691418-91F7-C2FB-34C8-1CA485B4B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447674</xdr:colOff>
      <xdr:row>154</xdr:row>
      <xdr:rowOff>161924</xdr:rowOff>
    </xdr:from>
    <xdr:to>
      <xdr:col>14</xdr:col>
      <xdr:colOff>352425</xdr:colOff>
      <xdr:row>171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C829A45-553A-4A77-8B2D-5B1B408C7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1683598</xdr:colOff>
      <xdr:row>49</xdr:row>
      <xdr:rowOff>101389</xdr:rowOff>
    </xdr:from>
    <xdr:to>
      <xdr:col>18</xdr:col>
      <xdr:colOff>212911</xdr:colOff>
      <xdr:row>66</xdr:row>
      <xdr:rowOff>123264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C7B45AD-1CAF-44B6-B48C-EF9CE5961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13</xdr:row>
      <xdr:rowOff>161925</xdr:rowOff>
    </xdr:from>
    <xdr:to>
      <xdr:col>0</xdr:col>
      <xdr:colOff>2590529</xdr:colOff>
      <xdr:row>16</xdr:row>
      <xdr:rowOff>114235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AEC372-48BD-1F07-789F-2A77A04A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114675"/>
          <a:ext cx="2171429" cy="5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2102070</xdr:colOff>
      <xdr:row>21</xdr:row>
      <xdr:rowOff>151086</xdr:rowOff>
    </xdr:from>
    <xdr:to>
      <xdr:col>0</xdr:col>
      <xdr:colOff>2778439</xdr:colOff>
      <xdr:row>25</xdr:row>
      <xdr:rowOff>122613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0B4DE4E-A09F-6CC2-3C3D-5F1D44A1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0" y="4611414"/>
          <a:ext cx="676369" cy="733527"/>
        </a:xfrm>
        <a:prstGeom prst="rect">
          <a:avLst/>
        </a:prstGeom>
      </xdr:spPr>
    </xdr:pic>
    <xdr:clientData/>
  </xdr:twoCellAnchor>
  <xdr:twoCellAnchor editAs="oneCell">
    <xdr:from>
      <xdr:col>0</xdr:col>
      <xdr:colOff>1635673</xdr:colOff>
      <xdr:row>25</xdr:row>
      <xdr:rowOff>164224</xdr:rowOff>
    </xdr:from>
    <xdr:to>
      <xdr:col>0</xdr:col>
      <xdr:colOff>2721675</xdr:colOff>
      <xdr:row>29</xdr:row>
      <xdr:rowOff>2383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56D9C05-91E7-79F3-0F69-2DC05DE4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5673" y="5386552"/>
          <a:ext cx="1086002" cy="60015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131989</xdr:colOff>
      <xdr:row>15</xdr:row>
      <xdr:rowOff>17688</xdr:rowOff>
    </xdr:from>
    <xdr:to>
      <xdr:col>14</xdr:col>
      <xdr:colOff>251989</xdr:colOff>
      <xdr:row>35</xdr:row>
      <xdr:rowOff>123748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2FBF7A-3D21-4FB6-B90C-AA7BA6600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163965</xdr:colOff>
      <xdr:row>11</xdr:row>
      <xdr:rowOff>176893</xdr:rowOff>
    </xdr:from>
    <xdr:to>
      <xdr:col>18</xdr:col>
      <xdr:colOff>175171</xdr:colOff>
      <xdr:row>35</xdr:row>
      <xdr:rowOff>140835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AC5980-B9FF-4AAA-8237-9B702843C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144915</xdr:colOff>
      <xdr:row>36</xdr:row>
      <xdr:rowOff>142193</xdr:rowOff>
    </xdr:from>
    <xdr:to>
      <xdr:col>9</xdr:col>
      <xdr:colOff>405086</xdr:colOff>
      <xdr:row>57</xdr:row>
      <xdr:rowOff>161243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018EA8-22B7-4EA3-808B-B09F13D93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613104</xdr:colOff>
      <xdr:row>36</xdr:row>
      <xdr:rowOff>168762</xdr:rowOff>
    </xdr:from>
    <xdr:to>
      <xdr:col>18</xdr:col>
      <xdr:colOff>202543</xdr:colOff>
      <xdr:row>58</xdr:row>
      <xdr:rowOff>7165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2758526-2E12-4041-B7EB-DE13FFCFF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zoomScale="10" zoomScaleNormal="10" workbookViewId="0">
      <selection activeCell="HR102" sqref="HR102"/>
    </sheetView>
  </sheetViews>
  <sheetFormatPr defaultRowHeight="14.25"/>
  <cols>
    <col min="1" max="1" width="29.59765625" customWidth="1"/>
    <col min="2" max="2" width="12.73046875" bestFit="1" customWidth="1"/>
    <col min="3" max="3" width="12" bestFit="1" customWidth="1"/>
    <col min="7" max="7" width="25.86328125" customWidth="1"/>
    <col min="8" max="8" width="12.73046875" bestFit="1" customWidth="1"/>
    <col min="14" max="14" width="25.86328125" customWidth="1"/>
  </cols>
  <sheetData>
    <row r="1" spans="1:3">
      <c r="A1" t="s">
        <v>0</v>
      </c>
      <c r="B1">
        <v>1</v>
      </c>
    </row>
    <row r="2" spans="1:3">
      <c r="A2" t="s">
        <v>1</v>
      </c>
      <c r="B2">
        <v>0.2</v>
      </c>
    </row>
    <row r="3" spans="1:3">
      <c r="A3" t="s">
        <v>3</v>
      </c>
      <c r="B3">
        <v>30</v>
      </c>
    </row>
    <row r="5" spans="1:3">
      <c r="A5" t="s">
        <v>2</v>
      </c>
      <c r="B5">
        <v>15</v>
      </c>
    </row>
    <row r="6" spans="1:3">
      <c r="A6" t="s">
        <v>4</v>
      </c>
      <c r="B6">
        <v>15</v>
      </c>
    </row>
    <row r="9" spans="1:3">
      <c r="A9" t="s">
        <v>5</v>
      </c>
      <c r="B9">
        <v>17.320508075688799</v>
      </c>
    </row>
    <row r="10" spans="1:3">
      <c r="A10" t="s">
        <v>6</v>
      </c>
      <c r="B10">
        <v>17.320508075688799</v>
      </c>
    </row>
    <row r="14" spans="1:3">
      <c r="A14" t="s">
        <v>7</v>
      </c>
      <c r="B14">
        <v>30</v>
      </c>
      <c r="C14">
        <f>B14/1000</f>
        <v>0.03</v>
      </c>
    </row>
    <row r="15" spans="1:3">
      <c r="A15" t="s">
        <v>8</v>
      </c>
      <c r="B15">
        <v>34.6</v>
      </c>
      <c r="C15">
        <f>B15/1000</f>
        <v>3.4599999999999999E-2</v>
      </c>
    </row>
    <row r="16" spans="1:3">
      <c r="A16" t="s">
        <v>9</v>
      </c>
      <c r="B16">
        <v>34.6</v>
      </c>
      <c r="C16">
        <f>B16/1000</f>
        <v>3.4599999999999999E-2</v>
      </c>
    </row>
    <row r="17" spans="1:15">
      <c r="A17" t="s">
        <v>10</v>
      </c>
      <c r="B17">
        <f>(B15+B16)/2</f>
        <v>34.6</v>
      </c>
      <c r="C17">
        <f>B17/1000</f>
        <v>3.4599999999999999E-2</v>
      </c>
    </row>
    <row r="18" spans="1:15">
      <c r="A18" t="s">
        <v>11</v>
      </c>
      <c r="B18">
        <v>30</v>
      </c>
      <c r="C18">
        <f>B18/1000</f>
        <v>0.03</v>
      </c>
    </row>
    <row r="19" spans="1:15">
      <c r="B19" t="s">
        <v>13</v>
      </c>
      <c r="C19" t="s">
        <v>14</v>
      </c>
    </row>
    <row r="21" spans="1:15" ht="28.5">
      <c r="A21" s="1" t="s">
        <v>12</v>
      </c>
      <c r="B21">
        <f>B15*B18</f>
        <v>1038</v>
      </c>
      <c r="C21">
        <f>C15*C18</f>
        <v>1.0379999999999999E-3</v>
      </c>
      <c r="G21" s="1" t="s">
        <v>29</v>
      </c>
      <c r="H21">
        <f>B14*B18</f>
        <v>900</v>
      </c>
      <c r="I21">
        <f>C14*C18</f>
        <v>8.9999999999999998E-4</v>
      </c>
    </row>
    <row r="22" spans="1:15">
      <c r="B22" t="s">
        <v>15</v>
      </c>
      <c r="C22" t="s">
        <v>16</v>
      </c>
    </row>
    <row r="25" spans="1:15" ht="23.25">
      <c r="A25" s="2" t="s">
        <v>26</v>
      </c>
      <c r="G25" s="2" t="s">
        <v>28</v>
      </c>
      <c r="N25" s="5" t="s">
        <v>48</v>
      </c>
    </row>
    <row r="26" spans="1:15" ht="28.5">
      <c r="A26" s="1" t="s">
        <v>25</v>
      </c>
      <c r="B26">
        <v>6.6059999999999999E-3</v>
      </c>
      <c r="C26">
        <f>B26/1000</f>
        <v>6.6059999999999999E-6</v>
      </c>
      <c r="G26" s="1" t="s">
        <v>42</v>
      </c>
      <c r="H26">
        <v>5.9979999999999999E-3</v>
      </c>
      <c r="I26">
        <f>H26/1000</f>
        <v>5.998E-6</v>
      </c>
      <c r="N26" t="s">
        <v>49</v>
      </c>
      <c r="O26">
        <v>10</v>
      </c>
    </row>
    <row r="27" spans="1:15">
      <c r="B27" t="s">
        <v>13</v>
      </c>
      <c r="C27" t="s">
        <v>14</v>
      </c>
      <c r="H27" t="s">
        <v>13</v>
      </c>
      <c r="I27" t="s">
        <v>14</v>
      </c>
    </row>
    <row r="28" spans="1:15">
      <c r="N28" t="s">
        <v>50</v>
      </c>
      <c r="O28">
        <f>O26*(B14*B18)</f>
        <v>9000</v>
      </c>
    </row>
    <row r="29" spans="1:15">
      <c r="A29" t="s">
        <v>17</v>
      </c>
      <c r="B29">
        <v>1000</v>
      </c>
      <c r="G29" t="s">
        <v>17</v>
      </c>
      <c r="H29">
        <v>1000</v>
      </c>
      <c r="N29" t="s">
        <v>51</v>
      </c>
      <c r="O29">
        <f>O26*(B15*B18)</f>
        <v>10380</v>
      </c>
    </row>
    <row r="30" spans="1:15">
      <c r="B30" t="s">
        <v>18</v>
      </c>
      <c r="H30" t="s">
        <v>18</v>
      </c>
    </row>
    <row r="32" spans="1:15">
      <c r="N32" t="s">
        <v>52</v>
      </c>
      <c r="O32">
        <v>0.73099999999999998</v>
      </c>
    </row>
    <row r="33" spans="1:15">
      <c r="A33" t="s">
        <v>23</v>
      </c>
      <c r="B33">
        <f>B29*C14/(C21*C26)</f>
        <v>4375073282.4774818</v>
      </c>
      <c r="G33" t="s">
        <v>27</v>
      </c>
      <c r="H33">
        <f>H29*C15/(I21*I26)</f>
        <v>6409543922.0480909</v>
      </c>
      <c r="N33" t="s">
        <v>53</v>
      </c>
      <c r="O33">
        <v>117.126</v>
      </c>
    </row>
    <row r="34" spans="1:15">
      <c r="B34" t="s">
        <v>19</v>
      </c>
      <c r="H34" t="s">
        <v>19</v>
      </c>
    </row>
    <row r="35" spans="1:15">
      <c r="N35" t="s">
        <v>54</v>
      </c>
      <c r="O35">
        <f>O32/O33</f>
        <v>6.2411420179977117E-3</v>
      </c>
    </row>
    <row r="36" spans="1:15">
      <c r="B36">
        <f>B33/10^6</f>
        <v>4375.0732824774823</v>
      </c>
      <c r="H36">
        <f>H33/10^6</f>
        <v>6409.5439220480912</v>
      </c>
    </row>
    <row r="37" spans="1:15">
      <c r="B37" t="s">
        <v>20</v>
      </c>
      <c r="H37" t="s">
        <v>20</v>
      </c>
      <c r="N37" t="s">
        <v>57</v>
      </c>
      <c r="O37">
        <f>ATAN(O35)</f>
        <v>6.2410609852079513E-3</v>
      </c>
    </row>
    <row r="39" spans="1:15">
      <c r="A39" t="s">
        <v>24</v>
      </c>
      <c r="B39">
        <f>4.2795051822133*1000</f>
        <v>4279.5051822133</v>
      </c>
      <c r="G39" t="s">
        <v>59</v>
      </c>
      <c r="H39">
        <f>4.2795051822133*1000</f>
        <v>4279.5051822133</v>
      </c>
    </row>
    <row r="40" spans="1:15">
      <c r="N40" t="s">
        <v>55</v>
      </c>
      <c r="O40">
        <f>O26/(O37)</f>
        <v>1602.2916654237438</v>
      </c>
    </row>
    <row r="42" spans="1:15">
      <c r="A42" s="3" t="s">
        <v>40</v>
      </c>
      <c r="B42">
        <f>(B36-B39)/B36*100</f>
        <v>2.1843771313943496</v>
      </c>
      <c r="C42" t="s">
        <v>22</v>
      </c>
      <c r="G42" s="3" t="s">
        <v>60</v>
      </c>
      <c r="H42">
        <f>(H36-H39)/H39*100</f>
        <v>49.773014615983357</v>
      </c>
      <c r="I42" t="s">
        <v>22</v>
      </c>
    </row>
    <row r="43" spans="1:15">
      <c r="N43" t="s">
        <v>56</v>
      </c>
      <c r="O43">
        <v>1607.2</v>
      </c>
    </row>
    <row r="44" spans="1:15" ht="18">
      <c r="A44" s="4" t="s">
        <v>41</v>
      </c>
      <c r="G44" s="4" t="s">
        <v>41</v>
      </c>
    </row>
    <row r="45" spans="1:15" ht="28.5">
      <c r="A45" s="1" t="s">
        <v>30</v>
      </c>
      <c r="B45">
        <f>0.006621/$B$14</f>
        <v>2.207E-4</v>
      </c>
      <c r="G45" s="1" t="s">
        <v>43</v>
      </c>
      <c r="H45">
        <f>0.006009/B15</f>
        <v>1.7367052023121386E-4</v>
      </c>
      <c r="N45">
        <f>(O43-O40)/O43*100</f>
        <v>0.30539662619812502</v>
      </c>
    </row>
    <row r="47" spans="1:15" ht="28.5">
      <c r="A47" s="1" t="s">
        <v>32</v>
      </c>
      <c r="B47">
        <f>-0.002122</f>
        <v>-2.1220000000000002E-3</v>
      </c>
      <c r="G47" s="1" t="s">
        <v>44</v>
      </c>
      <c r="H47">
        <f>-0.001741</f>
        <v>-1.7409999999999999E-3</v>
      </c>
      <c r="I47">
        <f>-2*0.0005289</f>
        <v>-1.0578E-3</v>
      </c>
    </row>
    <row r="49" spans="1:9" ht="28.5">
      <c r="A49" s="1" t="s">
        <v>31</v>
      </c>
      <c r="B49">
        <f>B47/$B$15</f>
        <v>-6.1329479768786136E-5</v>
      </c>
      <c r="G49" s="1" t="s">
        <v>45</v>
      </c>
      <c r="H49">
        <f>I47/B14</f>
        <v>-3.5259999999999998E-5</v>
      </c>
    </row>
    <row r="52" spans="1:9">
      <c r="A52" t="s">
        <v>37</v>
      </c>
      <c r="B52">
        <f>-B49/B45</f>
        <v>0.27788617928765807</v>
      </c>
      <c r="G52" t="s">
        <v>37</v>
      </c>
      <c r="H52">
        <f>-H49/H45</f>
        <v>0.20302812447994675</v>
      </c>
    </row>
    <row r="54" spans="1:9">
      <c r="A54" t="s">
        <v>34</v>
      </c>
      <c r="B54">
        <v>0.33179999999999998</v>
      </c>
      <c r="G54" t="s">
        <v>34</v>
      </c>
      <c r="H54">
        <v>0.33179999999999998</v>
      </c>
    </row>
    <row r="56" spans="1:9">
      <c r="A56" t="s">
        <v>21</v>
      </c>
      <c r="B56">
        <f>(B52-B54)/B52*100</f>
        <v>-19.40140414703108</v>
      </c>
      <c r="C56" t="s">
        <v>22</v>
      </c>
      <c r="G56" t="s">
        <v>21</v>
      </c>
      <c r="H56">
        <f>(H52-H54)/H52*100</f>
        <v>-63.425634182407144</v>
      </c>
      <c r="I56" t="s">
        <v>22</v>
      </c>
    </row>
    <row r="59" spans="1:9">
      <c r="A59" s="1"/>
      <c r="G59" s="1"/>
    </row>
    <row r="61" spans="1:9" ht="28.5">
      <c r="A61" s="1" t="s">
        <v>35</v>
      </c>
      <c r="B61">
        <f>-0.0005694</f>
        <v>-5.6939999999999996E-4</v>
      </c>
      <c r="G61" s="1" t="s">
        <v>35</v>
      </c>
      <c r="H61">
        <f>-2.964*10^(-5)</f>
        <v>-2.9640000000000001E-5</v>
      </c>
    </row>
    <row r="63" spans="1:9" ht="28.5">
      <c r="A63" s="1" t="s">
        <v>36</v>
      </c>
      <c r="B63">
        <f>B61/$B$18</f>
        <v>-1.8979999999999998E-5</v>
      </c>
      <c r="G63" s="1" t="s">
        <v>36</v>
      </c>
      <c r="H63">
        <f>H61/$B$18</f>
        <v>-9.8800000000000011E-7</v>
      </c>
    </row>
    <row r="66" spans="1:9">
      <c r="A66" t="s">
        <v>33</v>
      </c>
      <c r="B66">
        <f>-B63/B45</f>
        <v>8.599909379247847E-2</v>
      </c>
      <c r="G66" t="s">
        <v>33</v>
      </c>
      <c r="H66">
        <f>-H63/H45</f>
        <v>5.6889332667665179E-3</v>
      </c>
    </row>
    <row r="68" spans="1:9">
      <c r="A68" t="s">
        <v>34</v>
      </c>
      <c r="B68">
        <v>4.0099999999999997E-2</v>
      </c>
      <c r="G68" t="s">
        <v>34</v>
      </c>
      <c r="H68">
        <v>4.0099999999999997E-2</v>
      </c>
    </row>
    <row r="70" spans="1:9">
      <c r="A70" t="s">
        <v>21</v>
      </c>
      <c r="B70">
        <f>(B68-B66)/B68*100</f>
        <v>-114.46158052987153</v>
      </c>
      <c r="C70" t="s">
        <v>22</v>
      </c>
      <c r="G70" t="s">
        <v>21</v>
      </c>
      <c r="H70">
        <f>(H68-H66)/H68*100</f>
        <v>85.813133998088475</v>
      </c>
      <c r="I70" t="s">
        <v>22</v>
      </c>
    </row>
    <row r="73" spans="1:9" ht="23.25">
      <c r="A73" s="5" t="s">
        <v>38</v>
      </c>
      <c r="G73" s="5" t="s">
        <v>38</v>
      </c>
    </row>
    <row r="74" spans="1:9">
      <c r="A74" t="s">
        <v>39</v>
      </c>
      <c r="B74">
        <f>B26</f>
        <v>6.6059999999999999E-3</v>
      </c>
      <c r="C74">
        <f>B74/1000</f>
        <v>6.6059999999999999E-6</v>
      </c>
      <c r="D74" t="s">
        <v>58</v>
      </c>
      <c r="E74">
        <f>B29*C14/(C21*C74)</f>
        <v>4375073282.4774818</v>
      </c>
      <c r="G74" t="s">
        <v>46</v>
      </c>
      <c r="H74">
        <f>H26</f>
        <v>5.9979999999999999E-3</v>
      </c>
    </row>
    <row r="75" spans="1:9">
      <c r="E75">
        <f>E74/10^6</f>
        <v>4375.0732824774823</v>
      </c>
    </row>
    <row r="76" spans="1:9" ht="28.5">
      <c r="A76" s="1" t="s">
        <v>30</v>
      </c>
      <c r="B76">
        <f>B74/$B$14</f>
        <v>2.2019999999999999E-4</v>
      </c>
      <c r="E76">
        <f>(E75-B39)/B39*100</f>
        <v>2.2331577178919497</v>
      </c>
      <c r="G76" s="1" t="s">
        <v>43</v>
      </c>
      <c r="H76">
        <f>H74/B15</f>
        <v>1.7335260115606936E-4</v>
      </c>
    </row>
    <row r="78" spans="1:9" ht="28.5">
      <c r="A78" s="1" t="s">
        <v>32</v>
      </c>
      <c r="B78">
        <f>-0.002107</f>
        <v>-2.1069999999999999E-3</v>
      </c>
      <c r="G78" s="1" t="s">
        <v>47</v>
      </c>
      <c r="H78">
        <f>-0.001718</f>
        <v>-1.7179999999999999E-3</v>
      </c>
    </row>
    <row r="80" spans="1:9" ht="28.5">
      <c r="A80" s="1" t="s">
        <v>31</v>
      </c>
      <c r="B80">
        <f>B78/$B$15</f>
        <v>-6.0895953757225431E-5</v>
      </c>
      <c r="G80" s="1" t="s">
        <v>31</v>
      </c>
      <c r="H80">
        <f>H78/B14</f>
        <v>-5.7266666666666665E-5</v>
      </c>
    </row>
    <row r="83" spans="1:9">
      <c r="A83" t="s">
        <v>37</v>
      </c>
      <c r="B83">
        <f>-B80/B76</f>
        <v>0.27654838218540162</v>
      </c>
      <c r="G83" t="s">
        <v>37</v>
      </c>
      <c r="H83">
        <f>-H80/H76</f>
        <v>0.33034789374235857</v>
      </c>
    </row>
    <row r="85" spans="1:9">
      <c r="A85" t="s">
        <v>34</v>
      </c>
      <c r="B85">
        <v>0.33179999999999998</v>
      </c>
      <c r="G85" t="s">
        <v>34</v>
      </c>
      <c r="H85">
        <v>0.33179999999999998</v>
      </c>
    </row>
    <row r="87" spans="1:9">
      <c r="A87" t="s">
        <v>21</v>
      </c>
      <c r="B87">
        <f>(B83-B85)/B83*100</f>
        <v>-19.979005980066432</v>
      </c>
      <c r="C87" t="s">
        <v>22</v>
      </c>
      <c r="G87" t="s">
        <v>21</v>
      </c>
      <c r="H87">
        <f>(H83-H85)/H83*100</f>
        <v>-0.43956879554798312</v>
      </c>
      <c r="I87" t="s">
        <v>22</v>
      </c>
    </row>
    <row r="90" spans="1:9">
      <c r="A90" s="1"/>
      <c r="G90" s="1"/>
    </row>
    <row r="92" spans="1:9" ht="28.5">
      <c r="A92" s="1" t="s">
        <v>35</v>
      </c>
      <c r="B92">
        <f>-0.0002467</f>
        <v>-2.4669999999999998E-4</v>
      </c>
      <c r="G92" s="1" t="s">
        <v>35</v>
      </c>
      <c r="H92">
        <f>-7.5287*10^(-6)</f>
        <v>-7.5286999999999996E-6</v>
      </c>
    </row>
    <row r="94" spans="1:9" ht="28.5">
      <c r="A94" s="1" t="s">
        <v>36</v>
      </c>
      <c r="B94">
        <f>B92/$B$18</f>
        <v>-8.2233333333333331E-6</v>
      </c>
      <c r="G94" s="1" t="s">
        <v>36</v>
      </c>
      <c r="H94">
        <f>H92/$B$18</f>
        <v>-2.5095666666666665E-7</v>
      </c>
    </row>
    <row r="97" spans="1:9">
      <c r="A97" t="s">
        <v>33</v>
      </c>
      <c r="B97">
        <f>-B94/B76</f>
        <v>3.7344838026036935E-2</v>
      </c>
      <c r="G97" t="s">
        <v>33</v>
      </c>
      <c r="H97">
        <f>-H94/H76</f>
        <v>1.4476659997777037E-3</v>
      </c>
    </row>
    <row r="99" spans="1:9">
      <c r="A99" t="s">
        <v>34</v>
      </c>
      <c r="B99">
        <v>4.0099999999999997E-2</v>
      </c>
      <c r="G99" t="s">
        <v>34</v>
      </c>
      <c r="H99">
        <v>4.0099999999999997E-2</v>
      </c>
    </row>
    <row r="101" spans="1:9">
      <c r="A101" t="s">
        <v>21</v>
      </c>
      <c r="B101">
        <f>(B99-B97)/B99*100</f>
        <v>6.8707281146211026</v>
      </c>
      <c r="C101" t="s">
        <v>22</v>
      </c>
      <c r="G101" t="s">
        <v>21</v>
      </c>
      <c r="H101">
        <f>(H99-H97)/H99*100</f>
        <v>96.389860349681527</v>
      </c>
      <c r="I101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5"/>
  <sheetViews>
    <sheetView zoomScale="10" zoomScaleNormal="10" workbookViewId="0">
      <selection activeCell="B18" sqref="B18"/>
    </sheetView>
  </sheetViews>
  <sheetFormatPr defaultColWidth="9.1328125" defaultRowHeight="18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3" width="9.1328125" style="6"/>
    <col min="14" max="14" width="19.398437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6">
      <c r="A1" s="6" t="s">
        <v>131</v>
      </c>
      <c r="B1" s="7">
        <v>1</v>
      </c>
      <c r="C1" s="7">
        <v>1</v>
      </c>
      <c r="D1" s="6" t="s">
        <v>17</v>
      </c>
      <c r="E1" s="7">
        <v>1000</v>
      </c>
      <c r="F1" s="6" t="s">
        <v>132</v>
      </c>
      <c r="G1" s="6">
        <v>2</v>
      </c>
    </row>
    <row r="2" spans="1:16">
      <c r="A2" s="6" t="s">
        <v>129</v>
      </c>
      <c r="B2" s="7">
        <v>0.2</v>
      </c>
      <c r="C2" s="7">
        <v>0.2</v>
      </c>
      <c r="F2" s="8" t="s">
        <v>130</v>
      </c>
      <c r="G2" s="6">
        <f>(G1/B4)+(2*G1/B5)</f>
        <v>0.4</v>
      </c>
    </row>
    <row r="3" spans="1:16">
      <c r="A3" s="6" t="s">
        <v>3</v>
      </c>
      <c r="B3" s="7">
        <v>30</v>
      </c>
      <c r="C3" s="7">
        <f>D3*3.1415/180</f>
        <v>0.5235833333333334</v>
      </c>
      <c r="D3" s="6">
        <v>30</v>
      </c>
    </row>
    <row r="4" spans="1:16">
      <c r="A4" s="6" t="s">
        <v>2</v>
      </c>
      <c r="B4" s="7">
        <v>15</v>
      </c>
      <c r="C4" s="8">
        <f>3.75</f>
        <v>3.75</v>
      </c>
      <c r="D4" s="7">
        <f>C1*(1+SIN(C3))/(C2*SIN(C3))</f>
        <v>15.000267476221509</v>
      </c>
    </row>
    <row r="5" spans="1:16">
      <c r="A5" s="6" t="s">
        <v>4</v>
      </c>
      <c r="B5" s="7">
        <v>15</v>
      </c>
      <c r="C5" s="8">
        <f>3.75</f>
        <v>3.75</v>
      </c>
      <c r="D5" s="7">
        <f>2*C1*(1+SIN(C3))/C2</f>
        <v>14.999866265466325</v>
      </c>
    </row>
    <row r="6" spans="1:16">
      <c r="A6" s="6" t="s">
        <v>11</v>
      </c>
      <c r="B6" s="7">
        <v>30</v>
      </c>
      <c r="C6" s="8">
        <f>3.75*2</f>
        <v>7.5</v>
      </c>
    </row>
    <row r="7" spans="1:16">
      <c r="A7" s="6" t="s">
        <v>5</v>
      </c>
      <c r="B7" s="8">
        <v>17.32</v>
      </c>
      <c r="C7" s="8">
        <v>4.33</v>
      </c>
      <c r="D7" s="7">
        <f>2*TAN(C3)*C4</f>
        <v>4.3299725976492844</v>
      </c>
    </row>
    <row r="8" spans="1:16">
      <c r="A8" s="6" t="s">
        <v>6</v>
      </c>
      <c r="B8" s="8">
        <v>17.32</v>
      </c>
      <c r="C8" s="8">
        <f>C7</f>
        <v>4.33</v>
      </c>
      <c r="D8" s="7">
        <f>C4/COS(C3)</f>
        <v>4.33008841412025</v>
      </c>
    </row>
    <row r="9" spans="1:16">
      <c r="A9" s="6" t="s">
        <v>61</v>
      </c>
      <c r="B9" s="8">
        <f>B4</f>
        <v>15</v>
      </c>
      <c r="C9" s="8">
        <f>D4</f>
        <v>15.000267476221509</v>
      </c>
    </row>
    <row r="10" spans="1:16">
      <c r="A10" s="6" t="s">
        <v>62</v>
      </c>
      <c r="B10" s="8">
        <f>B7</f>
        <v>17.32</v>
      </c>
      <c r="C10" s="8">
        <f>D7</f>
        <v>4.3299725976492844</v>
      </c>
    </row>
    <row r="11" spans="1:16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14</v>
      </c>
      <c r="L11" s="6">
        <v>2</v>
      </c>
    </row>
    <row r="12" spans="1:16">
      <c r="A12" s="6" t="s">
        <v>64</v>
      </c>
      <c r="B12" s="8">
        <f>$B$9*B11</f>
        <v>15</v>
      </c>
      <c r="C12" s="8">
        <f t="shared" ref="C12:P12" si="0">$B$9*C11</f>
        <v>30</v>
      </c>
      <c r="D12" s="8">
        <f>$B$9*D11</f>
        <v>60</v>
      </c>
      <c r="E12" s="8">
        <f>$B$9*E11</f>
        <v>90</v>
      </c>
      <c r="F12" s="8">
        <f>$B$9*F11</f>
        <v>120</v>
      </c>
      <c r="G12" s="8">
        <f>$B$9*G11</f>
        <v>150</v>
      </c>
      <c r="H12" s="8">
        <f>$B$9*H11</f>
        <v>210</v>
      </c>
      <c r="I12" s="8"/>
      <c r="J12" s="8"/>
      <c r="K12" s="8">
        <f t="shared" si="0"/>
        <v>0</v>
      </c>
      <c r="L12" s="8">
        <f t="shared" si="0"/>
        <v>30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>
      <c r="A14" s="6" t="s">
        <v>65</v>
      </c>
      <c r="B14" s="8">
        <f>$B$10*B13</f>
        <v>34.64</v>
      </c>
      <c r="C14" s="8">
        <f t="shared" ref="C14:P14" si="1">$B$10*C13</f>
        <v>34.64</v>
      </c>
      <c r="D14" s="8">
        <f>$B$10*D13</f>
        <v>34.64</v>
      </c>
      <c r="E14" s="8">
        <f>$B$10*E13</f>
        <v>34.64</v>
      </c>
      <c r="F14" s="8">
        <f>$B$10*F13</f>
        <v>34.64</v>
      </c>
      <c r="G14" s="8">
        <f>$B$10*G13</f>
        <v>34.64</v>
      </c>
      <c r="H14" s="8">
        <f>$B$10*H13</f>
        <v>34.64</v>
      </c>
      <c r="I14" s="8"/>
      <c r="J14" s="8"/>
      <c r="K14" s="8">
        <f t="shared" si="1"/>
        <v>34.64</v>
      </c>
      <c r="L14" s="8">
        <f t="shared" si="1"/>
        <v>138.56</v>
      </c>
      <c r="M14" s="8">
        <f t="shared" si="1"/>
        <v>34.64</v>
      </c>
      <c r="N14" s="8">
        <f t="shared" si="1"/>
        <v>34.64</v>
      </c>
      <c r="O14" s="8">
        <f t="shared" si="1"/>
        <v>34.64</v>
      </c>
      <c r="P14" s="8">
        <f t="shared" si="1"/>
        <v>34.64</v>
      </c>
    </row>
    <row r="15" spans="1:16">
      <c r="A15" s="6" t="s">
        <v>67</v>
      </c>
      <c r="B15" s="8">
        <f>B14/1000*$B$6/1000</f>
        <v>1.0391999999999999E-3</v>
      </c>
      <c r="C15" s="8">
        <f t="shared" ref="C15:P15" si="2">C14/1000*$B$6/1000</f>
        <v>1.0391999999999999E-3</v>
      </c>
      <c r="D15" s="8">
        <f>D14/1000*$B$6/1000</f>
        <v>1.0391999999999999E-3</v>
      </c>
      <c r="E15" s="8">
        <f>E14/1000*$B$6/1000</f>
        <v>1.0391999999999999E-3</v>
      </c>
      <c r="F15" s="8">
        <f>F14/1000*$B$6/1000</f>
        <v>1.0391999999999999E-3</v>
      </c>
      <c r="G15" s="8">
        <f>G14/1000*$B$6/1000</f>
        <v>1.0391999999999999E-3</v>
      </c>
      <c r="H15" s="8">
        <f>H14/1000*$B$6/1000</f>
        <v>1.0391999999999999E-3</v>
      </c>
      <c r="I15" s="8"/>
      <c r="J15" s="8"/>
      <c r="K15" s="8">
        <f t="shared" si="2"/>
        <v>1.0391999999999999E-3</v>
      </c>
      <c r="L15" s="8">
        <f t="shared" si="2"/>
        <v>4.1567999999999996E-3</v>
      </c>
      <c r="M15" s="8">
        <f t="shared" si="2"/>
        <v>1.0391999999999999E-3</v>
      </c>
      <c r="N15" s="8">
        <f t="shared" si="2"/>
        <v>1.0391999999999999E-3</v>
      </c>
      <c r="O15" s="8">
        <f t="shared" si="2"/>
        <v>1.0391999999999999E-3</v>
      </c>
      <c r="P15" s="8">
        <f t="shared" si="2"/>
        <v>1.0391999999999999E-3</v>
      </c>
    </row>
    <row r="16" spans="1:16">
      <c r="A16" s="6" t="s">
        <v>73</v>
      </c>
      <c r="B16" s="7">
        <v>0</v>
      </c>
      <c r="C16" s="7">
        <v>5.2620000000000002E-3</v>
      </c>
      <c r="D16" s="7">
        <v>1.069E-2</v>
      </c>
      <c r="E16" s="7">
        <v>1.61E-2</v>
      </c>
      <c r="F16" s="7">
        <v>2.1600000000000001E-2</v>
      </c>
      <c r="G16" s="7">
        <v>2.7E-2</v>
      </c>
      <c r="H16" s="7">
        <v>3.7999999999999999E-2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>
      <c r="A17" s="9" t="s">
        <v>66</v>
      </c>
      <c r="C17" s="10">
        <f t="shared" ref="C17:P17" si="3">($E$1*(C12/1000)/(C15*C16/1000))/(10^6)</f>
        <v>5486.1954156473312</v>
      </c>
      <c r="D17" s="10">
        <f>($E$1*(D12/1000)/(D15*D16/1000))/(10^6)</f>
        <v>5401.0028582107134</v>
      </c>
      <c r="E17" s="10">
        <f>($E$1*(E12/1000)/(E15*E16/1000))/(10^6)</f>
        <v>5379.1975671682476</v>
      </c>
      <c r="F17" s="10">
        <f>($E$1*(F12/1000)/(F15*F16/1000))/(10^6)</f>
        <v>5345.9926439141227</v>
      </c>
      <c r="G17" s="10">
        <f>($E$1*(G12/1000)/(G15*G16/1000))/(10^6)</f>
        <v>5345.9926439141236</v>
      </c>
      <c r="H17" s="10">
        <f>($E$1*(H12/1000)/(H15*H16/1000))/(10^6)</f>
        <v>5317.8558405251006</v>
      </c>
      <c r="I17" s="10"/>
      <c r="J17" s="10"/>
      <c r="K17" s="9" t="e">
        <f t="shared" si="3"/>
        <v>#DIV/0!</v>
      </c>
      <c r="L17" s="9">
        <f t="shared" si="3"/>
        <v>4444.0209786231926</v>
      </c>
      <c r="M17" s="9" t="e">
        <f t="shared" si="3"/>
        <v>#DIV/0!</v>
      </c>
      <c r="N17" s="9" t="e">
        <f t="shared" si="3"/>
        <v>#DIV/0!</v>
      </c>
      <c r="O17" s="9" t="e">
        <f t="shared" si="3"/>
        <v>#DIV/0!</v>
      </c>
      <c r="P17" s="9" t="e">
        <f t="shared" si="3"/>
        <v>#DIV/0!</v>
      </c>
    </row>
    <row r="18" spans="1:16">
      <c r="A18" s="6" t="s">
        <v>68</v>
      </c>
      <c r="B18" s="7">
        <f>5275.7</f>
        <v>5275.7</v>
      </c>
    </row>
    <row r="19" spans="1:16" s="8" customFormat="1">
      <c r="A19" s="8" t="s">
        <v>69</v>
      </c>
      <c r="C19" s="8">
        <f t="shared" ref="C19:H19" si="4">ABS($B$18-C17)/C17*100</f>
        <v>3.8368195023999965</v>
      </c>
      <c r="D19" s="8">
        <f t="shared" si="4"/>
        <v>2.3199924440000181</v>
      </c>
      <c r="E19" s="8">
        <f t="shared" si="4"/>
        <v>1.9240335733333482</v>
      </c>
      <c r="F19" s="8">
        <f t="shared" si="4"/>
        <v>1.3148660800000169</v>
      </c>
      <c r="G19" s="8">
        <f t="shared" si="4"/>
        <v>1.3148660800000338</v>
      </c>
      <c r="H19" s="8">
        <f t="shared" si="4"/>
        <v>0.79272251428572327</v>
      </c>
      <c r="K19" s="8" t="e">
        <f t="shared" ref="K19:P19" si="5">ABS($B$18-K17)/$B$18*100</f>
        <v>#DIV/0!</v>
      </c>
      <c r="L19" s="8">
        <f t="shared" si="5"/>
        <v>15.764334995864193</v>
      </c>
      <c r="M19" s="8" t="e">
        <f t="shared" si="5"/>
        <v>#DIV/0!</v>
      </c>
      <c r="N19" s="8" t="e">
        <f t="shared" si="5"/>
        <v>#DIV/0!</v>
      </c>
      <c r="O19" s="8" t="e">
        <f>ABS($B$18-O17)/$B$18*100</f>
        <v>#DIV/0!</v>
      </c>
      <c r="P19" s="8" t="e">
        <f t="shared" si="5"/>
        <v>#DIV/0!</v>
      </c>
    </row>
    <row r="20" spans="1:16">
      <c r="A20" s="6" t="s">
        <v>72</v>
      </c>
      <c r="B20" s="7"/>
      <c r="C20" s="7">
        <v>1.3960000000000001E-3</v>
      </c>
      <c r="D20" s="7">
        <v>1.676E-3</v>
      </c>
      <c r="E20" s="7">
        <v>1.7960000000000001E-3</v>
      </c>
      <c r="F20" s="7">
        <v>1.8630000000000001E-3</v>
      </c>
      <c r="G20" s="7">
        <v>1.905E-3</v>
      </c>
      <c r="H20" s="7">
        <v>1.9559999999999998E-3</v>
      </c>
      <c r="I20" s="7"/>
      <c r="J20" s="7"/>
      <c r="K20" s="7"/>
      <c r="L20" s="7"/>
      <c r="M20" s="7"/>
      <c r="N20" s="7"/>
      <c r="O20" s="7"/>
    </row>
    <row r="21" spans="1:16">
      <c r="A21" s="6" t="s">
        <v>70</v>
      </c>
      <c r="B21" s="8"/>
      <c r="C21" s="8">
        <f t="shared" ref="C21:H21" si="6">C16/C12</f>
        <v>1.7540000000000001E-4</v>
      </c>
      <c r="D21" s="8">
        <f t="shared" si="6"/>
        <v>1.7816666666666667E-4</v>
      </c>
      <c r="E21" s="8">
        <f t="shared" si="6"/>
        <v>1.7888888888888889E-4</v>
      </c>
      <c r="F21" s="8">
        <f t="shared" si="6"/>
        <v>1.8000000000000001E-4</v>
      </c>
      <c r="G21" s="8">
        <f t="shared" si="6"/>
        <v>1.8000000000000001E-4</v>
      </c>
      <c r="H21" s="8">
        <f t="shared" si="6"/>
        <v>1.8095238095238095E-4</v>
      </c>
      <c r="I21" s="8"/>
      <c r="J21" s="8"/>
      <c r="K21" s="8" t="e">
        <f t="shared" ref="K21:P21" si="7">K16/K12</f>
        <v>#DIV/0!</v>
      </c>
      <c r="L21" s="8">
        <f t="shared" si="7"/>
        <v>5.4133333333333332E-5</v>
      </c>
      <c r="M21" s="8" t="e">
        <f t="shared" si="7"/>
        <v>#DIV/0!</v>
      </c>
      <c r="N21" s="8" t="e">
        <f t="shared" si="7"/>
        <v>#DIV/0!</v>
      </c>
      <c r="O21" s="8" t="e">
        <f t="shared" si="7"/>
        <v>#DIV/0!</v>
      </c>
      <c r="P21" s="8" t="e">
        <f t="shared" si="7"/>
        <v>#DIV/0!</v>
      </c>
    </row>
    <row r="22" spans="1:16">
      <c r="A22" s="6" t="s">
        <v>71</v>
      </c>
      <c r="B22" s="8"/>
      <c r="C22" s="8">
        <f t="shared" ref="C22:H22" si="8">C20/C14</f>
        <v>4.0300230946882221E-5</v>
      </c>
      <c r="D22" s="8">
        <f t="shared" si="8"/>
        <v>4.8383371824480365E-5</v>
      </c>
      <c r="E22" s="8">
        <f t="shared" si="8"/>
        <v>5.184757505773672E-5</v>
      </c>
      <c r="F22" s="8">
        <f t="shared" si="8"/>
        <v>5.378175519630485E-5</v>
      </c>
      <c r="G22" s="8">
        <f t="shared" si="8"/>
        <v>5.4994226327944574E-5</v>
      </c>
      <c r="H22" s="8">
        <f t="shared" si="8"/>
        <v>5.6466512702078517E-5</v>
      </c>
      <c r="I22" s="8"/>
      <c r="J22" s="8"/>
      <c r="K22" s="8">
        <f t="shared" ref="K22:P22" si="9">K20/K14</f>
        <v>0</v>
      </c>
      <c r="L22" s="8">
        <f t="shared" si="9"/>
        <v>0</v>
      </c>
      <c r="M22" s="8">
        <f t="shared" si="9"/>
        <v>0</v>
      </c>
      <c r="N22" s="8">
        <f t="shared" si="9"/>
        <v>0</v>
      </c>
      <c r="O22" s="8">
        <f t="shared" si="9"/>
        <v>0</v>
      </c>
      <c r="P22" s="8">
        <f t="shared" si="9"/>
        <v>0</v>
      </c>
    </row>
    <row r="23" spans="1:16">
      <c r="A23" s="6" t="s">
        <v>74</v>
      </c>
      <c r="B23" s="8"/>
      <c r="C23" s="8">
        <f t="shared" ref="C23:H23" si="10">C22/C21</f>
        <v>0.22976186400731025</v>
      </c>
      <c r="D23" s="8">
        <f t="shared" si="10"/>
        <v>0.27156242371083461</v>
      </c>
      <c r="E23" s="8">
        <f t="shared" si="10"/>
        <v>0.28983116491902516</v>
      </c>
      <c r="F23" s="8">
        <f t="shared" si="10"/>
        <v>0.29878752886836024</v>
      </c>
      <c r="G23" s="8">
        <f t="shared" si="10"/>
        <v>0.30552347959969206</v>
      </c>
      <c r="H23" s="8">
        <f t="shared" si="10"/>
        <v>0.31205178072201284</v>
      </c>
      <c r="I23" s="8"/>
      <c r="J23" s="8"/>
      <c r="K23" s="8" t="e">
        <f t="shared" ref="K23:P23" si="11">K22/K21</f>
        <v>#DIV/0!</v>
      </c>
      <c r="L23" s="8">
        <f t="shared" si="11"/>
        <v>0</v>
      </c>
      <c r="M23" s="8" t="e">
        <f t="shared" si="11"/>
        <v>#DIV/0!</v>
      </c>
      <c r="N23" s="8" t="e">
        <f t="shared" si="11"/>
        <v>#DIV/0!</v>
      </c>
      <c r="O23" s="8" t="e">
        <f t="shared" si="11"/>
        <v>#DIV/0!</v>
      </c>
      <c r="P23" s="8" t="e">
        <f t="shared" si="11"/>
        <v>#DIV/0!</v>
      </c>
    </row>
    <row r="24" spans="1:16">
      <c r="A24" s="6" t="s">
        <v>75</v>
      </c>
      <c r="B24" s="7">
        <v>0.3322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6" t="s">
        <v>76</v>
      </c>
      <c r="B25" s="7">
        <f>B24</f>
        <v>0.3322</v>
      </c>
      <c r="C25" s="8">
        <f t="shared" ref="C25:H25" si="12">(ABS(C23-$B$25)/C23)*100</f>
        <v>44.584481604584525</v>
      </c>
      <c r="D25" s="8">
        <f t="shared" si="12"/>
        <v>22.329148289578367</v>
      </c>
      <c r="E25" s="8">
        <f t="shared" si="12"/>
        <v>14.618453848057403</v>
      </c>
      <c r="F25" s="8">
        <f t="shared" si="12"/>
        <v>11.182685990338175</v>
      </c>
      <c r="G25" s="8">
        <f t="shared" si="12"/>
        <v>8.7314141732283481</v>
      </c>
      <c r="H25" s="8">
        <f t="shared" si="12"/>
        <v>6.4566910117830503</v>
      </c>
      <c r="I25" s="8"/>
      <c r="J25" s="8"/>
      <c r="K25" s="8" t="e">
        <f t="shared" ref="K25:P25" si="13">(ABS(K23-$B$25)/$B$25)*100</f>
        <v>#DIV/0!</v>
      </c>
      <c r="L25" s="8">
        <f t="shared" si="13"/>
        <v>100</v>
      </c>
      <c r="M25" s="8" t="e">
        <f t="shared" si="13"/>
        <v>#DIV/0!</v>
      </c>
      <c r="N25" s="8" t="e">
        <f t="shared" si="13"/>
        <v>#DIV/0!</v>
      </c>
      <c r="O25" s="8" t="e">
        <f t="shared" si="13"/>
        <v>#DIV/0!</v>
      </c>
      <c r="P25" s="8" t="e">
        <f t="shared" si="13"/>
        <v>#DIV/0!</v>
      </c>
    </row>
    <row r="27" spans="1:16">
      <c r="A27" s="6" t="s">
        <v>90</v>
      </c>
      <c r="C27" s="7">
        <f>8.806*10^(-4)</f>
        <v>8.8059999999999994E-4</v>
      </c>
      <c r="D27" s="7">
        <f>9.483*10^(-4)</f>
        <v>9.4830000000000012E-4</v>
      </c>
      <c r="E27" s="7">
        <f>9.733*10^(-4)</f>
        <v>9.7330000000000008E-4</v>
      </c>
      <c r="F27" s="7">
        <f>9.862*10^(-4)</f>
        <v>9.8620000000000001E-4</v>
      </c>
      <c r="G27" s="7">
        <f>9.942*10^(-4)</f>
        <v>9.9419999999999999E-4</v>
      </c>
      <c r="H27" s="7">
        <f>1.003*10^(-3)</f>
        <v>1.003E-3</v>
      </c>
      <c r="I27" s="7"/>
      <c r="J27" s="7"/>
    </row>
    <row r="28" spans="1:16">
      <c r="A28" s="6" t="s">
        <v>91</v>
      </c>
      <c r="C28" s="8">
        <f t="shared" ref="C28:H28" si="14">C27/$B$6</f>
        <v>2.9353333333333332E-5</v>
      </c>
      <c r="D28" s="8">
        <f t="shared" si="14"/>
        <v>3.1610000000000004E-5</v>
      </c>
      <c r="E28" s="8">
        <f t="shared" si="14"/>
        <v>3.2443333333333335E-5</v>
      </c>
      <c r="F28" s="8">
        <f t="shared" si="14"/>
        <v>3.2873333333333336E-5</v>
      </c>
      <c r="G28" s="8">
        <f t="shared" si="14"/>
        <v>3.3139999999999998E-5</v>
      </c>
      <c r="H28" s="8">
        <f t="shared" si="14"/>
        <v>3.3433333333333331E-5</v>
      </c>
      <c r="I28" s="8"/>
      <c r="J28" s="8"/>
    </row>
    <row r="29" spans="1:16">
      <c r="A29" s="6" t="s">
        <v>92</v>
      </c>
      <c r="C29" s="8">
        <f t="shared" ref="C29:H29" si="15">C28/C21</f>
        <v>0.16735081717977954</v>
      </c>
      <c r="D29" s="8">
        <f t="shared" si="15"/>
        <v>0.17741814780168383</v>
      </c>
      <c r="E29" s="8">
        <f t="shared" si="15"/>
        <v>0.18136024844720497</v>
      </c>
      <c r="F29" s="8">
        <f t="shared" si="15"/>
        <v>0.18262962962962964</v>
      </c>
      <c r="G29" s="8">
        <f t="shared" si="15"/>
        <v>0.18411111111111109</v>
      </c>
      <c r="H29" s="8">
        <f t="shared" si="15"/>
        <v>0.18476315789473682</v>
      </c>
      <c r="I29" s="8"/>
      <c r="J29" s="8"/>
    </row>
    <row r="30" spans="1:16">
      <c r="A30" s="6" t="s">
        <v>93</v>
      </c>
      <c r="B30" s="7">
        <v>0.188</v>
      </c>
    </row>
    <row r="31" spans="1:16">
      <c r="A31" s="6" t="s">
        <v>94</v>
      </c>
      <c r="B31" s="7">
        <f>B30</f>
        <v>0.188</v>
      </c>
      <c r="C31" s="8">
        <f t="shared" ref="C31:H31" si="16">ABS($B$31-C29)/C29*100</f>
        <v>12.338859868271642</v>
      </c>
      <c r="D31" s="8">
        <f t="shared" si="16"/>
        <v>5.9643572709058246</v>
      </c>
      <c r="E31" s="8">
        <f t="shared" si="16"/>
        <v>3.6610842837083464</v>
      </c>
      <c r="F31" s="8">
        <f t="shared" si="16"/>
        <v>2.940580004055966</v>
      </c>
      <c r="G31" s="8">
        <f t="shared" si="16"/>
        <v>2.1122510561255416</v>
      </c>
      <c r="H31" s="8">
        <f t="shared" si="16"/>
        <v>1.751887195556199</v>
      </c>
      <c r="I31" s="8"/>
      <c r="J31" s="8"/>
    </row>
    <row r="33" spans="1:11">
      <c r="A33" s="6" t="s">
        <v>79</v>
      </c>
      <c r="B33" s="15" t="s">
        <v>97</v>
      </c>
    </row>
    <row r="34" spans="1:11">
      <c r="A34" s="6" t="s">
        <v>77</v>
      </c>
      <c r="C34" s="6">
        <v>2</v>
      </c>
      <c r="D34" s="6">
        <v>4</v>
      </c>
      <c r="E34" s="6">
        <v>6</v>
      </c>
      <c r="F34" s="6">
        <v>8</v>
      </c>
      <c r="G34" s="6">
        <v>10</v>
      </c>
      <c r="H34" s="6">
        <v>14</v>
      </c>
    </row>
    <row r="35" spans="1:11">
      <c r="A35" s="6" t="s">
        <v>82</v>
      </c>
      <c r="C35" s="6">
        <f t="shared" ref="C35:H35" si="17">$B$8*C34</f>
        <v>34.64</v>
      </c>
      <c r="D35" s="6">
        <f t="shared" si="17"/>
        <v>69.28</v>
      </c>
      <c r="E35" s="6">
        <f t="shared" si="17"/>
        <v>103.92</v>
      </c>
      <c r="F35" s="6">
        <f t="shared" si="17"/>
        <v>138.56</v>
      </c>
      <c r="G35" s="6">
        <f t="shared" si="17"/>
        <v>173.2</v>
      </c>
      <c r="H35" s="6">
        <f t="shared" si="17"/>
        <v>242.48000000000002</v>
      </c>
    </row>
    <row r="36" spans="1:11">
      <c r="A36" s="6" t="s">
        <v>63</v>
      </c>
      <c r="C36" s="6">
        <v>2</v>
      </c>
      <c r="D36" s="6">
        <v>2</v>
      </c>
      <c r="E36" s="6">
        <v>2</v>
      </c>
      <c r="F36" s="6">
        <v>2</v>
      </c>
      <c r="G36" s="6">
        <v>2</v>
      </c>
      <c r="H36" s="6">
        <v>2</v>
      </c>
    </row>
    <row r="37" spans="1:11">
      <c r="A37" s="6" t="s">
        <v>64</v>
      </c>
      <c r="C37" s="6">
        <f t="shared" ref="C37:H37" si="18">$B$9*C36</f>
        <v>30</v>
      </c>
      <c r="D37" s="6">
        <f t="shared" si="18"/>
        <v>30</v>
      </c>
      <c r="E37" s="6">
        <f t="shared" si="18"/>
        <v>30</v>
      </c>
      <c r="F37" s="6">
        <f t="shared" si="18"/>
        <v>30</v>
      </c>
      <c r="G37" s="6">
        <f t="shared" si="18"/>
        <v>30</v>
      </c>
      <c r="H37" s="6">
        <f t="shared" si="18"/>
        <v>30</v>
      </c>
    </row>
    <row r="38" spans="1:11">
      <c r="A38" s="6" t="s">
        <v>83</v>
      </c>
      <c r="C38" s="6">
        <f t="shared" ref="C38:H38" si="19">C37*$B$6/1000000</f>
        <v>8.9999999999999998E-4</v>
      </c>
      <c r="D38" s="6">
        <f t="shared" si="19"/>
        <v>8.9999999999999998E-4</v>
      </c>
      <c r="E38" s="6">
        <f t="shared" si="19"/>
        <v>8.9999999999999998E-4</v>
      </c>
      <c r="F38" s="6">
        <f t="shared" si="19"/>
        <v>8.9999999999999998E-4</v>
      </c>
      <c r="G38" s="6">
        <f t="shared" si="19"/>
        <v>8.9999999999999998E-4</v>
      </c>
      <c r="H38" s="6">
        <f t="shared" si="19"/>
        <v>8.9999999999999998E-4</v>
      </c>
    </row>
    <row r="39" spans="1:11">
      <c r="A39" s="6" t="s">
        <v>78</v>
      </c>
      <c r="C39" s="6">
        <v>5.9979999999999999E-3</v>
      </c>
      <c r="D39" s="6">
        <v>1.21E-2</v>
      </c>
      <c r="E39" s="6">
        <v>1.7999999999999999E-2</v>
      </c>
      <c r="F39" s="6">
        <v>2.4E-2</v>
      </c>
      <c r="G39" s="6">
        <v>0.03</v>
      </c>
      <c r="H39" s="6">
        <v>4.2000000000000003E-2</v>
      </c>
    </row>
    <row r="40" spans="1:11">
      <c r="A40" s="6" t="s">
        <v>80</v>
      </c>
      <c r="C40" s="10">
        <f t="shared" ref="C40:H40" si="20">($E$1*(C35/1000)/(C38*C39/1000))/(10^6)</f>
        <v>6416.9537994146212</v>
      </c>
      <c r="D40" s="10">
        <f t="shared" si="20"/>
        <v>6361.7998163452721</v>
      </c>
      <c r="E40" s="10">
        <f t="shared" si="20"/>
        <v>6414.8148148148166</v>
      </c>
      <c r="F40" s="10">
        <f t="shared" si="20"/>
        <v>6414.8148148148148</v>
      </c>
      <c r="G40" s="10">
        <f t="shared" si="20"/>
        <v>6414.8148148148148</v>
      </c>
      <c r="H40" s="10">
        <f t="shared" si="20"/>
        <v>6414.8148148148157</v>
      </c>
    </row>
    <row r="41" spans="1:11">
      <c r="A41" s="6" t="s">
        <v>81</v>
      </c>
      <c r="B41" s="7">
        <f>4269.832769697</f>
        <v>4269.832769697</v>
      </c>
    </row>
    <row r="42" spans="1:11">
      <c r="A42" s="6" t="s">
        <v>21</v>
      </c>
      <c r="C42" s="6">
        <f t="shared" ref="C42:H42" si="21">ABS($B$41-C40)/$B$41*100</f>
        <v>50.28583425926508</v>
      </c>
      <c r="D42" s="6">
        <f t="shared" si="21"/>
        <v>48.994121303648249</v>
      </c>
      <c r="E42" s="6">
        <f t="shared" si="21"/>
        <v>50.23573898117867</v>
      </c>
      <c r="F42" s="6">
        <f t="shared" si="21"/>
        <v>50.235738981178621</v>
      </c>
      <c r="G42" s="6">
        <f t="shared" si="21"/>
        <v>50.235738981178621</v>
      </c>
      <c r="H42" s="6">
        <f t="shared" si="21"/>
        <v>50.235738981178649</v>
      </c>
    </row>
    <row r="45" spans="1:11">
      <c r="A45" s="6" t="s">
        <v>79</v>
      </c>
      <c r="B45" s="15" t="s">
        <v>98</v>
      </c>
      <c r="F45" s="12"/>
      <c r="G45" s="11"/>
      <c r="H45" s="11"/>
      <c r="I45" s="12"/>
      <c r="J45" s="13" t="s">
        <v>84</v>
      </c>
      <c r="K45" s="13" t="s">
        <v>85</v>
      </c>
    </row>
    <row r="46" spans="1:11">
      <c r="A46" s="6" t="s">
        <v>77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13">
        <v>8</v>
      </c>
      <c r="J46" s="13">
        <v>13</v>
      </c>
      <c r="K46" s="13">
        <v>13</v>
      </c>
    </row>
    <row r="47" spans="1:11">
      <c r="A47" s="6" t="s">
        <v>82</v>
      </c>
      <c r="C47" s="8">
        <f t="shared" ref="C47:K47" si="22">$B$8*C46</f>
        <v>34.64</v>
      </c>
      <c r="D47" s="8">
        <f t="shared" si="22"/>
        <v>34.64</v>
      </c>
      <c r="E47" s="8">
        <f t="shared" si="22"/>
        <v>34.64</v>
      </c>
      <c r="F47" s="8">
        <f t="shared" si="22"/>
        <v>34.64</v>
      </c>
      <c r="G47" s="8">
        <f t="shared" si="22"/>
        <v>34.64</v>
      </c>
      <c r="H47" s="8">
        <f t="shared" si="22"/>
        <v>34.64</v>
      </c>
      <c r="I47" s="13">
        <f t="shared" si="22"/>
        <v>138.56</v>
      </c>
      <c r="J47" s="13">
        <f t="shared" si="22"/>
        <v>225.16</v>
      </c>
      <c r="K47" s="13">
        <f t="shared" si="22"/>
        <v>225.16</v>
      </c>
    </row>
    <row r="48" spans="1:11">
      <c r="A48" s="6" t="s">
        <v>63</v>
      </c>
      <c r="C48" s="7">
        <v>2</v>
      </c>
      <c r="D48" s="7">
        <v>4</v>
      </c>
      <c r="E48" s="7">
        <v>6</v>
      </c>
      <c r="F48" s="7">
        <v>8</v>
      </c>
      <c r="G48" s="7">
        <v>10</v>
      </c>
      <c r="H48" s="7">
        <v>14</v>
      </c>
      <c r="I48" s="13">
        <v>8</v>
      </c>
      <c r="J48" s="13">
        <v>12</v>
      </c>
      <c r="K48" s="13">
        <v>12</v>
      </c>
    </row>
    <row r="49" spans="1:12">
      <c r="A49" s="6" t="s">
        <v>64</v>
      </c>
      <c r="C49" s="8">
        <f t="shared" ref="C49:K49" si="23">$B$9*C48</f>
        <v>30</v>
      </c>
      <c r="D49" s="8">
        <f t="shared" si="23"/>
        <v>60</v>
      </c>
      <c r="E49" s="8">
        <f t="shared" si="23"/>
        <v>90</v>
      </c>
      <c r="F49" s="8">
        <f t="shared" si="23"/>
        <v>120</v>
      </c>
      <c r="G49" s="8">
        <f t="shared" si="23"/>
        <v>150</v>
      </c>
      <c r="H49" s="8">
        <f t="shared" si="23"/>
        <v>210</v>
      </c>
      <c r="I49" s="13">
        <f t="shared" si="23"/>
        <v>120</v>
      </c>
      <c r="J49" s="13">
        <f t="shared" si="23"/>
        <v>180</v>
      </c>
      <c r="K49" s="13">
        <f t="shared" si="23"/>
        <v>180</v>
      </c>
    </row>
    <row r="50" spans="1:12">
      <c r="A50" s="6" t="s">
        <v>83</v>
      </c>
      <c r="C50" s="8">
        <f t="shared" ref="C50:I50" si="24">C49*$B$6/1000000</f>
        <v>8.9999999999999998E-4</v>
      </c>
      <c r="D50" s="8">
        <f t="shared" si="24"/>
        <v>1.8E-3</v>
      </c>
      <c r="E50" s="8">
        <f t="shared" si="24"/>
        <v>2.7000000000000001E-3</v>
      </c>
      <c r="F50" s="8">
        <f t="shared" si="24"/>
        <v>3.5999999999999999E-3</v>
      </c>
      <c r="G50" s="8">
        <f t="shared" si="24"/>
        <v>4.4999999999999997E-3</v>
      </c>
      <c r="H50" s="8">
        <f t="shared" si="24"/>
        <v>6.3E-3</v>
      </c>
      <c r="I50" s="13">
        <f t="shared" si="24"/>
        <v>3.5999999999999999E-3</v>
      </c>
      <c r="J50" s="13">
        <f>J49*7/1000000</f>
        <v>1.2600000000000001E-3</v>
      </c>
      <c r="K50" s="13">
        <f>K49*7/1000000</f>
        <v>1.2600000000000001E-3</v>
      </c>
    </row>
    <row r="51" spans="1:12">
      <c r="A51" s="6" t="s">
        <v>78</v>
      </c>
      <c r="C51" s="7">
        <v>4.8586000000000002E-3</v>
      </c>
      <c r="D51" s="7">
        <v>2.9150000000000001E-3</v>
      </c>
      <c r="E51" s="7">
        <v>2.0820000000000001E-3</v>
      </c>
      <c r="F51" s="7">
        <v>1.619E-3</v>
      </c>
      <c r="G51" s="7">
        <v>1.325E-3</v>
      </c>
      <c r="H51" s="7">
        <f>9.715*10^(-4)</f>
        <v>9.7150000000000003E-4</v>
      </c>
      <c r="I51" s="13">
        <v>7.9950000000000004E-3</v>
      </c>
      <c r="J51" s="13">
        <v>3.8699999999999998E-2</v>
      </c>
      <c r="K51" s="13">
        <v>3.85E-2</v>
      </c>
    </row>
    <row r="52" spans="1:12">
      <c r="A52" s="6" t="s">
        <v>80</v>
      </c>
      <c r="C52" s="10">
        <f t="shared" ref="C52:I52" si="25">($E$1*(C47/1000)/(C50*C51/1000))/(10^6)</f>
        <v>7921.8064645965696</v>
      </c>
      <c r="D52" s="10">
        <f t="shared" si="25"/>
        <v>6601.8677339432061</v>
      </c>
      <c r="E52" s="10">
        <f t="shared" si="25"/>
        <v>6162.1660084676396</v>
      </c>
      <c r="F52" s="10">
        <f t="shared" si="25"/>
        <v>5943.3120581977901</v>
      </c>
      <c r="G52" s="10">
        <f t="shared" si="25"/>
        <v>5809.6436058700219</v>
      </c>
      <c r="H52" s="10">
        <f t="shared" si="25"/>
        <v>5659.7145634716408</v>
      </c>
      <c r="I52" s="14">
        <f t="shared" si="25"/>
        <v>4814.1199360711553</v>
      </c>
      <c r="J52" s="14">
        <f>($E$1*(J47/1000)/(J50*J51/1000))/(10^6)</f>
        <v>4617.5300438866325</v>
      </c>
      <c r="K52" s="14">
        <f>($E$1*(K47/1000)/(K50*K51/1000))/(10^6)</f>
        <v>4641.5172129457833</v>
      </c>
    </row>
    <row r="53" spans="1:12">
      <c r="A53" s="6" t="s">
        <v>81</v>
      </c>
      <c r="B53" s="7">
        <f>5275.7</f>
        <v>5275.7</v>
      </c>
      <c r="I53" s="13"/>
      <c r="J53" s="13"/>
      <c r="K53" s="13"/>
    </row>
    <row r="54" spans="1:12">
      <c r="A54" s="6" t="s">
        <v>21</v>
      </c>
      <c r="C54" s="8">
        <f t="shared" ref="C54:H54" si="26">ABS($B$41-C52)/C52*100</f>
        <v>46.100264014535632</v>
      </c>
      <c r="D54" s="8">
        <f t="shared" si="26"/>
        <v>35.323866793879453</v>
      </c>
      <c r="E54" s="8">
        <f t="shared" si="26"/>
        <v>30.708897426169969</v>
      </c>
      <c r="F54" s="8">
        <f t="shared" si="26"/>
        <v>28.157351862292163</v>
      </c>
      <c r="G54" s="8">
        <f t="shared" si="26"/>
        <v>26.50439408395393</v>
      </c>
      <c r="H54" s="8">
        <f t="shared" si="26"/>
        <v>24.557453881951499</v>
      </c>
      <c r="I54" s="13">
        <f>ABS($B$41-I52)/$B$41*100</f>
        <v>12.747271280434234</v>
      </c>
      <c r="J54" s="13">
        <f>ABS($B$41-J52)/$B$41*100</f>
        <v>8.1431122234397506</v>
      </c>
      <c r="K54" s="13">
        <f>ABS($B$41-K52)/$B$41*100</f>
        <v>8.704894624600465</v>
      </c>
    </row>
    <row r="55" spans="1:12">
      <c r="C55" s="8"/>
      <c r="D55" s="8"/>
      <c r="E55" s="8"/>
      <c r="F55" s="8"/>
      <c r="G55" s="8"/>
      <c r="H55" s="8"/>
      <c r="I55" s="13"/>
      <c r="J55" s="13"/>
      <c r="K55" s="13"/>
    </row>
    <row r="56" spans="1:12">
      <c r="A56" s="6" t="s">
        <v>73</v>
      </c>
      <c r="C56" s="7">
        <f>1.396*10^(-3)</f>
        <v>1.3959999999999999E-3</v>
      </c>
      <c r="D56" s="7">
        <f>1.676*10^(-3)</f>
        <v>1.676E-3</v>
      </c>
      <c r="E56" s="7">
        <f>1.796*10^(-3)</f>
        <v>1.7960000000000001E-3</v>
      </c>
      <c r="F56" s="7">
        <f>1.863*10^(-3)</f>
        <v>1.8630000000000001E-3</v>
      </c>
      <c r="G56" s="7">
        <f>1.905*10^(-3)</f>
        <v>1.905E-3</v>
      </c>
      <c r="H56" s="7">
        <f>2.408*10^(-3)</f>
        <v>2.408E-3</v>
      </c>
    </row>
    <row r="57" spans="1:12">
      <c r="A57" s="6" t="s">
        <v>71</v>
      </c>
      <c r="C57" s="8">
        <f t="shared" ref="C57:H57" si="27">C51/C47</f>
        <v>1.4025981524249423E-4</v>
      </c>
      <c r="D57" s="8">
        <f t="shared" si="27"/>
        <v>8.4151270207852188E-5</v>
      </c>
      <c r="E57" s="8">
        <f t="shared" si="27"/>
        <v>6.010392609699769E-5</v>
      </c>
      <c r="F57" s="8">
        <f t="shared" si="27"/>
        <v>4.6737875288683604E-5</v>
      </c>
      <c r="G57" s="8">
        <f t="shared" si="27"/>
        <v>3.825057736720554E-5</v>
      </c>
      <c r="H57" s="8">
        <f t="shared" si="27"/>
        <v>2.8045612009237874E-5</v>
      </c>
    </row>
    <row r="58" spans="1:12">
      <c r="A58" s="6" t="s">
        <v>86</v>
      </c>
      <c r="C58" s="8">
        <f t="shared" ref="C58:H58" si="28">C56/C49</f>
        <v>4.6533333333333331E-5</v>
      </c>
      <c r="D58" s="8">
        <f t="shared" si="28"/>
        <v>2.7933333333333332E-5</v>
      </c>
      <c r="E58" s="8">
        <f t="shared" si="28"/>
        <v>1.9955555555555557E-5</v>
      </c>
      <c r="F58" s="8">
        <f t="shared" si="28"/>
        <v>1.5525000000000001E-5</v>
      </c>
      <c r="G58" s="8">
        <f t="shared" si="28"/>
        <v>1.27E-5</v>
      </c>
      <c r="H58" s="8">
        <f t="shared" si="28"/>
        <v>1.1466666666666666E-5</v>
      </c>
    </row>
    <row r="59" spans="1:12">
      <c r="A59" s="6" t="s">
        <v>87</v>
      </c>
      <c r="C59" s="8">
        <f t="shared" ref="C59:H59" si="29">C58/C57</f>
        <v>0.33176525473730428</v>
      </c>
      <c r="D59" s="8">
        <f t="shared" si="29"/>
        <v>0.3319419096626644</v>
      </c>
      <c r="E59" s="8">
        <f t="shared" si="29"/>
        <v>0.33201750453623657</v>
      </c>
      <c r="F59" s="8">
        <f t="shared" si="29"/>
        <v>0.3321717109326745</v>
      </c>
      <c r="G59" s="8">
        <f t="shared" si="29"/>
        <v>0.33202113207547174</v>
      </c>
      <c r="H59" s="8">
        <f t="shared" si="29"/>
        <v>0.4088577800651913</v>
      </c>
      <c r="J59" s="6">
        <f>C52/B53</f>
        <v>1.5015649988810149</v>
      </c>
    </row>
    <row r="60" spans="1:12">
      <c r="A60" s="6" t="s">
        <v>88</v>
      </c>
      <c r="B60" s="7">
        <v>0.3322</v>
      </c>
    </row>
    <row r="61" spans="1:12">
      <c r="A61" s="6" t="s">
        <v>89</v>
      </c>
      <c r="B61" s="6">
        <f>B60</f>
        <v>0.3322</v>
      </c>
      <c r="C61" s="8">
        <f t="shared" ref="C61:H61" si="30">(ABS(C59-$B$61)/C59)*100</f>
        <v>0.13104002196973555</v>
      </c>
      <c r="D61" s="8">
        <f t="shared" si="30"/>
        <v>7.7751657691514917E-2</v>
      </c>
      <c r="E61" s="8">
        <f t="shared" si="30"/>
        <v>5.4965615146807305E-2</v>
      </c>
      <c r="F61" s="8">
        <f t="shared" si="30"/>
        <v>8.5163987162130417E-3</v>
      </c>
      <c r="G61" s="8">
        <f t="shared" si="30"/>
        <v>5.3872451855745206E-2</v>
      </c>
      <c r="H61" s="8">
        <f t="shared" si="30"/>
        <v>18.749253115097485</v>
      </c>
    </row>
    <row r="62" spans="1:12">
      <c r="L62" s="7">
        <v>4.8586000000000002E-3</v>
      </c>
    </row>
    <row r="63" spans="1:12">
      <c r="A63" s="6" t="s">
        <v>90</v>
      </c>
      <c r="C63" s="7">
        <f>1.017*10^(-3)</f>
        <v>1.0169999999999999E-3</v>
      </c>
      <c r="D63" s="7">
        <f>5.475*10^(-4)</f>
        <v>5.4750000000000003E-4</v>
      </c>
      <c r="E63" s="7">
        <f>3.746*10^(-4)</f>
        <v>3.746E-4</v>
      </c>
      <c r="F63" s="7">
        <f>2.847*10^(-4)</f>
        <v>2.8470000000000004E-4</v>
      </c>
      <c r="G63" s="7">
        <f>2.296*10^(-4)</f>
        <v>2.296E-4</v>
      </c>
      <c r="H63" s="7">
        <f>4.36*10^(-5)</f>
        <v>4.3600000000000009E-5</v>
      </c>
      <c r="I63" s="12"/>
      <c r="J63" s="12"/>
    </row>
    <row r="64" spans="1:12">
      <c r="A64" s="6" t="s">
        <v>91</v>
      </c>
      <c r="C64" s="8">
        <f t="shared" ref="C64:H64" si="31">C63/$B$6</f>
        <v>3.3899999999999997E-5</v>
      </c>
      <c r="D64" s="8">
        <f t="shared" si="31"/>
        <v>1.825E-5</v>
      </c>
      <c r="E64" s="8">
        <f t="shared" si="31"/>
        <v>1.2486666666666667E-5</v>
      </c>
      <c r="F64" s="8">
        <f t="shared" si="31"/>
        <v>9.4900000000000006E-6</v>
      </c>
      <c r="G64" s="8">
        <f t="shared" si="31"/>
        <v>7.6533333333333335E-6</v>
      </c>
      <c r="H64" s="8">
        <f t="shared" si="31"/>
        <v>1.4533333333333337E-6</v>
      </c>
      <c r="I64" s="12"/>
      <c r="J64" s="12"/>
    </row>
    <row r="65" spans="1:10">
      <c r="A65" s="6" t="s">
        <v>99</v>
      </c>
      <c r="C65" s="8">
        <f t="shared" ref="C65:H65" si="32">C64/C57</f>
        <v>0.24169431523484131</v>
      </c>
      <c r="D65" s="8">
        <f t="shared" si="32"/>
        <v>0.21687135506003433</v>
      </c>
      <c r="E65" s="8">
        <f t="shared" si="32"/>
        <v>0.20775126480947806</v>
      </c>
      <c r="F65" s="8">
        <f t="shared" si="32"/>
        <v>0.20304731315626931</v>
      </c>
      <c r="G65" s="8">
        <f t="shared" si="32"/>
        <v>0.20008412578616355</v>
      </c>
      <c r="H65" s="8">
        <f t="shared" si="32"/>
        <v>5.1820346543146351E-2</v>
      </c>
      <c r="I65" s="12"/>
      <c r="J65" s="12"/>
    </row>
    <row r="66" spans="1:10">
      <c r="A66" s="6" t="s">
        <v>100</v>
      </c>
      <c r="B66" s="7">
        <v>0.188</v>
      </c>
      <c r="I66" s="12"/>
      <c r="J66" s="12"/>
    </row>
    <row r="67" spans="1:10">
      <c r="A67" s="6" t="s">
        <v>101</v>
      </c>
      <c r="B67" s="7">
        <f>B66</f>
        <v>0.188</v>
      </c>
      <c r="C67" s="8">
        <f t="shared" ref="C67:H67" si="33">ABS($B$67-C65)/C65*100</f>
        <v>22.215795676728863</v>
      </c>
      <c r="D67" s="8">
        <f t="shared" si="33"/>
        <v>13.312664114650898</v>
      </c>
      <c r="E67" s="8">
        <f t="shared" si="33"/>
        <v>9.5071694642106284</v>
      </c>
      <c r="F67" s="8">
        <f t="shared" si="33"/>
        <v>7.4107423153580934</v>
      </c>
      <c r="G67" s="8">
        <f t="shared" si="33"/>
        <v>6.0395224951919735</v>
      </c>
      <c r="H67" s="8">
        <f t="shared" si="33"/>
        <v>262.79186177087519</v>
      </c>
      <c r="I67" s="12"/>
      <c r="J67" s="12"/>
    </row>
    <row r="71" spans="1:10">
      <c r="A71" s="6" t="s">
        <v>102</v>
      </c>
      <c r="B71" s="15" t="s">
        <v>98</v>
      </c>
      <c r="F71" s="12"/>
      <c r="G71" s="11"/>
      <c r="H71" s="11"/>
    </row>
    <row r="72" spans="1:10">
      <c r="A72" s="6" t="s">
        <v>77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2</v>
      </c>
    </row>
    <row r="73" spans="1:10">
      <c r="A73" s="6" t="s">
        <v>82</v>
      </c>
      <c r="C73" s="8">
        <f t="shared" ref="C73:H73" si="34">$B$8*C72</f>
        <v>34.64</v>
      </c>
      <c r="D73" s="8">
        <f t="shared" si="34"/>
        <v>34.64</v>
      </c>
      <c r="E73" s="8">
        <f t="shared" si="34"/>
        <v>34.64</v>
      </c>
      <c r="F73" s="8">
        <f t="shared" si="34"/>
        <v>34.64</v>
      </c>
      <c r="G73" s="8">
        <f t="shared" si="34"/>
        <v>34.64</v>
      </c>
      <c r="H73" s="8">
        <f t="shared" si="34"/>
        <v>34.64</v>
      </c>
    </row>
    <row r="74" spans="1:10">
      <c r="A74" s="6" t="s">
        <v>63</v>
      </c>
      <c r="C74" s="7">
        <v>2</v>
      </c>
      <c r="D74" s="7">
        <v>4</v>
      </c>
      <c r="E74" s="7">
        <v>6</v>
      </c>
      <c r="F74" s="7">
        <v>8</v>
      </c>
      <c r="G74" s="7">
        <v>10</v>
      </c>
      <c r="H74" s="7">
        <v>12</v>
      </c>
    </row>
    <row r="75" spans="1:10">
      <c r="A75" s="6" t="s">
        <v>64</v>
      </c>
      <c r="C75" s="8">
        <f t="shared" ref="C75:H75" si="35">$B$9*C74</f>
        <v>30</v>
      </c>
      <c r="D75" s="8">
        <f t="shared" si="35"/>
        <v>60</v>
      </c>
      <c r="E75" s="8">
        <f t="shared" si="35"/>
        <v>90</v>
      </c>
      <c r="F75" s="8">
        <f t="shared" si="35"/>
        <v>120</v>
      </c>
      <c r="G75" s="8">
        <f t="shared" si="35"/>
        <v>150</v>
      </c>
      <c r="H75" s="8">
        <f t="shared" si="35"/>
        <v>180</v>
      </c>
    </row>
    <row r="76" spans="1:10">
      <c r="A76" s="6" t="s">
        <v>103</v>
      </c>
      <c r="C76" s="8">
        <f t="shared" ref="C76:H76" si="36">C73*C75/1000000</f>
        <v>1.0392000000000001E-3</v>
      </c>
      <c r="D76" s="8">
        <f t="shared" si="36"/>
        <v>2.0784000000000002E-3</v>
      </c>
      <c r="E76" s="8">
        <f t="shared" si="36"/>
        <v>3.1175999999999999E-3</v>
      </c>
      <c r="F76" s="8">
        <f t="shared" si="36"/>
        <v>4.1568000000000004E-3</v>
      </c>
      <c r="G76" s="8">
        <f t="shared" si="36"/>
        <v>5.1960000000000001E-3</v>
      </c>
      <c r="H76" s="8">
        <f t="shared" si="36"/>
        <v>6.2351999999999998E-3</v>
      </c>
    </row>
    <row r="77" spans="1:10">
      <c r="A77" s="6" t="s">
        <v>104</v>
      </c>
      <c r="C77" s="7">
        <f>6.186*10^(-3)</f>
        <v>6.1859999999999997E-3</v>
      </c>
      <c r="D77" s="7">
        <f>3.331*10^(-3)</f>
        <v>3.3310000000000002E-3</v>
      </c>
      <c r="E77" s="7">
        <v>2.2790000000000002E-3</v>
      </c>
      <c r="F77" s="7">
        <f>1.732*10^(-3)</f>
        <v>1.732E-3</v>
      </c>
      <c r="G77" s="7">
        <v>1.3968299999999999E-3</v>
      </c>
      <c r="H77" s="7">
        <f>1.1703*10^(-3)</f>
        <v>1.1703E-3</v>
      </c>
    </row>
    <row r="78" spans="1:10">
      <c r="A78" s="6" t="s">
        <v>95</v>
      </c>
      <c r="C78" s="10">
        <f t="shared" ref="C78:H78" si="37">($E$1*($B$6/1000)/(C76*C77/1000))/(10^6)</f>
        <v>4666.7249073935109</v>
      </c>
      <c r="D78" s="10">
        <f t="shared" si="37"/>
        <v>4333.287342710335</v>
      </c>
      <c r="E78" s="10">
        <f t="shared" si="37"/>
        <v>4222.3724260839927</v>
      </c>
      <c r="F78" s="10">
        <f t="shared" si="37"/>
        <v>4166.9111254526924</v>
      </c>
      <c r="G78" s="10">
        <f t="shared" si="37"/>
        <v>4133.4106909410966</v>
      </c>
      <c r="H78" s="10">
        <f t="shared" si="37"/>
        <v>4111.2478676601813</v>
      </c>
    </row>
    <row r="79" spans="1:10">
      <c r="A79" s="6" t="s">
        <v>96</v>
      </c>
      <c r="B79" s="7">
        <v>4000</v>
      </c>
    </row>
    <row r="80" spans="1:10">
      <c r="A80" s="6" t="s">
        <v>21</v>
      </c>
      <c r="C80" s="8">
        <f>ABS($B$79-C78)/C78*100</f>
        <v>14.286783999999999</v>
      </c>
      <c r="D80" s="8">
        <f>ABS($B$79-D78)/D78*100</f>
        <v>7.6913279999999782</v>
      </c>
      <c r="E80" s="8">
        <f>ABS($B$79-E78)/E78*100</f>
        <v>5.2665279999999965</v>
      </c>
      <c r="F80" s="8">
        <f>ABS($B$41-F78)/$B$41*100</f>
        <v>2.4104373589228696</v>
      </c>
      <c r="G80" s="8">
        <f>ABS($B$41-G78)/$B$41*100</f>
        <v>3.195021587826361</v>
      </c>
      <c r="H80" s="8">
        <f>ABS($B$41-H78)/$B$41*100</f>
        <v>3.7140775901645515</v>
      </c>
    </row>
    <row r="82" spans="1:8">
      <c r="A82" s="6" t="s">
        <v>73</v>
      </c>
      <c r="C82" s="7">
        <f>2.32*10^(-4)</f>
        <v>2.32E-4</v>
      </c>
      <c r="D82" s="7">
        <f>2.498*10^(-4)</f>
        <v>2.4980000000000005E-4</v>
      </c>
      <c r="E82" s="7">
        <v>2.564E-4</v>
      </c>
      <c r="F82" s="7"/>
      <c r="G82" s="7"/>
      <c r="H82" s="7"/>
    </row>
    <row r="83" spans="1:8">
      <c r="A83" s="6" t="s">
        <v>105</v>
      </c>
      <c r="C83" s="8">
        <f t="shared" ref="C83:H83" si="38">C77/$B$6</f>
        <v>2.062E-4</v>
      </c>
      <c r="D83" s="8">
        <f t="shared" si="38"/>
        <v>1.1103333333333334E-4</v>
      </c>
      <c r="E83" s="8">
        <f t="shared" si="38"/>
        <v>7.5966666666666679E-5</v>
      </c>
      <c r="F83" s="8">
        <f t="shared" si="38"/>
        <v>5.7733333333333332E-5</v>
      </c>
      <c r="G83" s="8">
        <f t="shared" si="38"/>
        <v>4.6560999999999997E-5</v>
      </c>
      <c r="H83" s="8">
        <f t="shared" si="38"/>
        <v>3.9010000000000001E-5</v>
      </c>
    </row>
    <row r="84" spans="1:8">
      <c r="A84" s="6" t="s">
        <v>86</v>
      </c>
      <c r="C84" s="8">
        <f t="shared" ref="C84:H84" si="39">C82/C75</f>
        <v>7.7333333333333327E-6</v>
      </c>
      <c r="D84" s="8">
        <f t="shared" si="39"/>
        <v>4.1633333333333338E-6</v>
      </c>
      <c r="E84" s="8">
        <f t="shared" si="39"/>
        <v>2.848888888888889E-6</v>
      </c>
      <c r="F84" s="8">
        <f t="shared" si="39"/>
        <v>0</v>
      </c>
      <c r="G84" s="8">
        <f t="shared" si="39"/>
        <v>0</v>
      </c>
      <c r="H84" s="8">
        <f t="shared" si="39"/>
        <v>0</v>
      </c>
    </row>
    <row r="85" spans="1:8">
      <c r="A85" s="6" t="s">
        <v>106</v>
      </c>
      <c r="C85" s="8">
        <f t="shared" ref="C85:H85" si="40">C84/C83</f>
        <v>3.7504041383769803E-2</v>
      </c>
      <c r="D85" s="8">
        <f t="shared" si="40"/>
        <v>3.7496247373161214E-2</v>
      </c>
      <c r="E85" s="8">
        <f t="shared" si="40"/>
        <v>3.7501828287260487E-2</v>
      </c>
      <c r="F85" s="8">
        <f t="shared" si="40"/>
        <v>0</v>
      </c>
      <c r="G85" s="8">
        <f t="shared" si="40"/>
        <v>0</v>
      </c>
      <c r="H85" s="8">
        <f t="shared" si="40"/>
        <v>0</v>
      </c>
    </row>
    <row r="86" spans="1:8">
      <c r="A86" s="6" t="s">
        <v>107</v>
      </c>
      <c r="B86" s="7">
        <v>3.7499999999999999E-2</v>
      </c>
    </row>
    <row r="87" spans="1:8">
      <c r="A87" s="6" t="s">
        <v>108</v>
      </c>
      <c r="B87" s="6">
        <f>B86</f>
        <v>3.7499999999999999E-2</v>
      </c>
      <c r="C87" s="8">
        <f>(ABS(C85-$B$87)/C85)*100</f>
        <v>1.0775862068968493E-2</v>
      </c>
      <c r="D87" s="8">
        <f>(ABS(D85-$B$87)/D85)*100</f>
        <v>1.0008006405118276E-2</v>
      </c>
      <c r="E87" s="8">
        <f>(ABS(E85-$B$87)/E85)*100</f>
        <v>4.8751950077848211E-3</v>
      </c>
      <c r="F87" s="8">
        <f>(ABS(F85-$B$87)/$B$87)*100</f>
        <v>100</v>
      </c>
      <c r="G87" s="8">
        <f>(ABS(G85-$B$87)/$B$87)*100</f>
        <v>100</v>
      </c>
      <c r="H87" s="8">
        <f>(ABS(H85-$B$87)/$B$87)*100</f>
        <v>100</v>
      </c>
    </row>
    <row r="89" spans="1:8">
      <c r="A89" s="6" t="s">
        <v>46</v>
      </c>
      <c r="C89" s="7">
        <f>2.679*10^(-4)</f>
        <v>2.6790000000000001E-4</v>
      </c>
      <c r="D89" s="7">
        <f>1.442*10^(-4)</f>
        <v>1.4420000000000001E-4</v>
      </c>
      <c r="E89" s="7">
        <v>9.8679999999999997E-5</v>
      </c>
      <c r="F89" s="7"/>
      <c r="G89" s="7"/>
      <c r="H89" s="7"/>
    </row>
    <row r="90" spans="1:8">
      <c r="A90" s="6" t="s">
        <v>109</v>
      </c>
      <c r="C90" s="8">
        <f t="shared" ref="C90:H90" si="41">C89/C73</f>
        <v>7.7338337182448036E-6</v>
      </c>
      <c r="D90" s="8">
        <f t="shared" si="41"/>
        <v>4.1628175519630485E-6</v>
      </c>
      <c r="E90" s="8">
        <f t="shared" si="41"/>
        <v>2.848729792147806E-6</v>
      </c>
      <c r="F90" s="8">
        <f t="shared" si="41"/>
        <v>0</v>
      </c>
      <c r="G90" s="8">
        <f t="shared" si="41"/>
        <v>0</v>
      </c>
      <c r="H90" s="8">
        <f t="shared" si="41"/>
        <v>0</v>
      </c>
    </row>
    <row r="91" spans="1:8">
      <c r="A91" s="6" t="s">
        <v>110</v>
      </c>
      <c r="C91" s="8">
        <f t="shared" ref="C91:H91" si="42">C90/C83</f>
        <v>3.7506468080721646E-2</v>
      </c>
      <c r="D91" s="8">
        <f t="shared" si="42"/>
        <v>3.7491602089129827E-2</v>
      </c>
      <c r="E91" s="8">
        <f t="shared" si="42"/>
        <v>3.7499733990537153E-2</v>
      </c>
      <c r="F91" s="8">
        <f t="shared" si="42"/>
        <v>0</v>
      </c>
      <c r="G91" s="8">
        <f t="shared" si="42"/>
        <v>0</v>
      </c>
      <c r="H91" s="8">
        <f t="shared" si="42"/>
        <v>0</v>
      </c>
    </row>
    <row r="92" spans="1:8">
      <c r="A92" s="6" t="s">
        <v>111</v>
      </c>
      <c r="B92" s="7">
        <v>3.7499999999999999E-2</v>
      </c>
    </row>
    <row r="93" spans="1:8">
      <c r="A93" s="6" t="s">
        <v>112</v>
      </c>
      <c r="B93" s="7">
        <f>B92</f>
        <v>3.7499999999999999E-2</v>
      </c>
      <c r="C93" s="8">
        <f>ABS($B$93-C91)/C91*100</f>
        <v>1.7245240761477546E-2</v>
      </c>
      <c r="D93" s="8">
        <f>ABS($B$93-D91)/D91*100</f>
        <v>2.2399445214975437E-2</v>
      </c>
      <c r="E93" s="8">
        <f>ABS($B$93-E91)/E91*100</f>
        <v>7.0936359952064121E-4</v>
      </c>
      <c r="F93" s="8">
        <f>ABS($B$93-F91)/$B$93*100</f>
        <v>100</v>
      </c>
      <c r="G93" s="8">
        <f>ABS($B$93-G91)/$B$93*100</f>
        <v>100</v>
      </c>
      <c r="H93" s="8">
        <f>ABS($B$93-H91)/$B$93*100</f>
        <v>100</v>
      </c>
    </row>
    <row r="100" spans="1:7">
      <c r="A100" s="6" t="s">
        <v>113</v>
      </c>
    </row>
    <row r="101" spans="1:7">
      <c r="A101" s="6" t="s">
        <v>114</v>
      </c>
      <c r="B101" s="6">
        <f>10*10^6</f>
        <v>10000000</v>
      </c>
    </row>
    <row r="102" spans="1:7">
      <c r="A102" s="6" t="s">
        <v>63</v>
      </c>
      <c r="C102" s="7">
        <v>2</v>
      </c>
      <c r="D102" s="7">
        <v>4</v>
      </c>
      <c r="E102" s="7">
        <v>6</v>
      </c>
      <c r="F102" s="7">
        <v>8</v>
      </c>
      <c r="G102" s="7">
        <v>10</v>
      </c>
    </row>
    <row r="103" spans="1:7">
      <c r="A103" s="6" t="s">
        <v>64</v>
      </c>
      <c r="C103" s="8">
        <f>$B$9*C102</f>
        <v>30</v>
      </c>
      <c r="D103" s="8">
        <f>$B$9*D102</f>
        <v>60</v>
      </c>
      <c r="E103" s="8">
        <f>$B$9*E102</f>
        <v>90</v>
      </c>
      <c r="F103" s="8">
        <f>$B$9*F102</f>
        <v>120</v>
      </c>
      <c r="G103" s="8">
        <f>$B$9*G102</f>
        <v>150</v>
      </c>
    </row>
    <row r="104" spans="1:7">
      <c r="A104" s="6" t="s">
        <v>115</v>
      </c>
      <c r="C104" s="8">
        <f>C103*$B$6/1000000</f>
        <v>8.9999999999999998E-4</v>
      </c>
      <c r="D104" s="8">
        <f>D103*$B$6/1000000</f>
        <v>1.8E-3</v>
      </c>
      <c r="E104" s="8">
        <f>E103*$B$6/1000000</f>
        <v>2.7000000000000001E-3</v>
      </c>
      <c r="F104" s="8">
        <f>F103*$B$6/1000000</f>
        <v>3.5999999999999999E-3</v>
      </c>
      <c r="G104" s="8">
        <f>G103*$B$6/1000000</f>
        <v>4.4999999999999997E-3</v>
      </c>
    </row>
    <row r="105" spans="1:7">
      <c r="A105" s="6" t="s">
        <v>77</v>
      </c>
      <c r="C105" s="7">
        <v>2</v>
      </c>
      <c r="D105" s="7">
        <v>2</v>
      </c>
      <c r="E105" s="7">
        <v>2</v>
      </c>
      <c r="F105" s="7">
        <v>2</v>
      </c>
      <c r="G105" s="7">
        <v>2</v>
      </c>
    </row>
    <row r="106" spans="1:7">
      <c r="A106" s="6" t="s">
        <v>82</v>
      </c>
      <c r="C106" s="8">
        <f>$B$8*C105</f>
        <v>34.64</v>
      </c>
      <c r="D106" s="8">
        <f>$B$8*D105</f>
        <v>34.64</v>
      </c>
      <c r="E106" s="8">
        <f>$B$8*E105</f>
        <v>34.64</v>
      </c>
      <c r="F106" s="8">
        <f>$B$8*F105</f>
        <v>34.64</v>
      </c>
      <c r="G106" s="8">
        <f>$B$8*G105</f>
        <v>34.64</v>
      </c>
    </row>
    <row r="107" spans="1:7">
      <c r="A107" s="6" t="s">
        <v>116</v>
      </c>
      <c r="C107" s="8">
        <f>$B$6*C106/1000000</f>
        <v>1.0392000000000001E-3</v>
      </c>
      <c r="D107" s="8">
        <f>$B$6*D106/1000000</f>
        <v>1.0392000000000001E-3</v>
      </c>
      <c r="E107" s="8">
        <f>$B$6*E106/1000000</f>
        <v>1.0392000000000001E-3</v>
      </c>
      <c r="F107" s="8">
        <f>$B$6*F106/1000000</f>
        <v>1.0392000000000001E-3</v>
      </c>
      <c r="G107" s="8">
        <f>$B$6*G106/1000000</f>
        <v>1.0392000000000001E-3</v>
      </c>
    </row>
    <row r="108" spans="1:7">
      <c r="A108" s="6" t="s">
        <v>117</v>
      </c>
      <c r="C108" s="8">
        <f>$B$101*C104</f>
        <v>9000</v>
      </c>
      <c r="D108" s="8">
        <f>$B$101*D104</f>
        <v>18000</v>
      </c>
      <c r="E108" s="8">
        <f>$B$101*E104</f>
        <v>27000</v>
      </c>
      <c r="F108" s="8">
        <f>$B$101*F104</f>
        <v>36000</v>
      </c>
      <c r="G108" s="8">
        <f>$B$101*G104</f>
        <v>45000</v>
      </c>
    </row>
    <row r="109" spans="1:7">
      <c r="A109" s="6" t="s">
        <v>118</v>
      </c>
      <c r="C109" s="8">
        <f>$B$101*C107</f>
        <v>10392.000000000002</v>
      </c>
      <c r="D109" s="8">
        <f>$B$101*D107</f>
        <v>10392.000000000002</v>
      </c>
      <c r="E109" s="8">
        <f>$B$101*E107</f>
        <v>10392.000000000002</v>
      </c>
      <c r="F109" s="8">
        <f>$B$101*F107</f>
        <v>10392.000000000002</v>
      </c>
      <c r="G109" s="8">
        <f>$B$101*G107</f>
        <v>10392.000000000002</v>
      </c>
    </row>
    <row r="110" spans="1:7">
      <c r="A110" s="6" t="s">
        <v>119</v>
      </c>
      <c r="C110" s="8">
        <f>C106</f>
        <v>34.64</v>
      </c>
      <c r="D110" s="8">
        <f>D106</f>
        <v>34.64</v>
      </c>
      <c r="E110" s="8">
        <f>E106</f>
        <v>34.64</v>
      </c>
      <c r="F110" s="8">
        <f>F106</f>
        <v>34.64</v>
      </c>
      <c r="G110" s="8">
        <f>G106</f>
        <v>34.64</v>
      </c>
    </row>
    <row r="111" spans="1:7">
      <c r="A111" s="6" t="s">
        <v>120</v>
      </c>
      <c r="C111" s="7">
        <f>0.18737865</f>
        <v>0.18737865000000001</v>
      </c>
      <c r="D111" s="7">
        <v>0.374749</v>
      </c>
      <c r="E111" s="6">
        <v>0.56200000000000006</v>
      </c>
      <c r="F111" s="6">
        <v>0.749</v>
      </c>
    </row>
    <row r="112" spans="1:7">
      <c r="A112" s="6" t="s">
        <v>121</v>
      </c>
      <c r="C112" s="8">
        <f>C111/C103</f>
        <v>6.2459550000000001E-3</v>
      </c>
      <c r="D112" s="8">
        <f>D111/D103</f>
        <v>6.2458166666666667E-3</v>
      </c>
      <c r="E112" s="8">
        <f>E111/E103</f>
        <v>6.2444444444444448E-3</v>
      </c>
      <c r="F112" s="8">
        <f>F111/F103</f>
        <v>6.2416666666666671E-3</v>
      </c>
      <c r="G112" s="8">
        <f>G111/G103</f>
        <v>0</v>
      </c>
    </row>
    <row r="113" spans="1:16">
      <c r="A113" s="6" t="s">
        <v>113</v>
      </c>
      <c r="C113" s="8">
        <f>($B$101/C112)/10^6</f>
        <v>1601.036190622571</v>
      </c>
      <c r="D113" s="8">
        <f>($B$101/D112)/10^6</f>
        <v>1601.0716506248182</v>
      </c>
      <c r="E113" s="8">
        <f>($B$101/E112)/10^6</f>
        <v>1601.4234875444838</v>
      </c>
      <c r="F113" s="8">
        <f>($B$101/F112)/10^6</f>
        <v>1602.1361815754337</v>
      </c>
      <c r="G113" s="8" t="e">
        <f>($B$101/G112)/10^6</f>
        <v>#DIV/0!</v>
      </c>
    </row>
    <row r="114" spans="1:16">
      <c r="A114" s="6" t="s">
        <v>122</v>
      </c>
      <c r="B114" s="7">
        <v>1607.2</v>
      </c>
    </row>
    <row r="115" spans="1:16">
      <c r="A115" s="6" t="s">
        <v>22</v>
      </c>
      <c r="C115" s="8">
        <f>ABS($B$114-C113)/$B$114*100</f>
        <v>0.38351228082560113</v>
      </c>
      <c r="D115" s="8">
        <f>ABS($B$114-D113)/$B$114*100</f>
        <v>0.38130595913276938</v>
      </c>
      <c r="E115" s="8">
        <f>ABS($B$114-E113)/$B$114*100</f>
        <v>0.35941466248856646</v>
      </c>
      <c r="F115" s="8">
        <f>ABS($B$114-F113)/$B$114*100</f>
        <v>0.31507083278784886</v>
      </c>
      <c r="G115" s="8" t="e">
        <f>ABS($B$114-G113)/$B$114*100</f>
        <v>#DIV/0!</v>
      </c>
    </row>
    <row r="119" spans="1:16">
      <c r="A119" s="6" t="s">
        <v>125</v>
      </c>
    </row>
    <row r="120" spans="1:16">
      <c r="A120" s="6" t="s">
        <v>114</v>
      </c>
      <c r="B120" s="6">
        <f>10*10^6</f>
        <v>10000000</v>
      </c>
      <c r="H120" s="11"/>
    </row>
    <row r="121" spans="1:16">
      <c r="A121" s="6" t="s">
        <v>63</v>
      </c>
      <c r="C121" s="7">
        <v>2</v>
      </c>
      <c r="D121" s="7">
        <v>4</v>
      </c>
      <c r="E121" s="7">
        <v>6</v>
      </c>
      <c r="F121" s="7">
        <v>8</v>
      </c>
      <c r="G121" s="7">
        <v>10</v>
      </c>
      <c r="H121" s="7">
        <v>2</v>
      </c>
      <c r="I121" s="7">
        <v>4</v>
      </c>
      <c r="J121" s="7">
        <v>6</v>
      </c>
      <c r="K121" s="7">
        <v>8</v>
      </c>
      <c r="L121" s="7">
        <v>10</v>
      </c>
      <c r="M121" s="7">
        <v>14</v>
      </c>
      <c r="N121" s="7">
        <v>14</v>
      </c>
      <c r="O121" s="7">
        <v>2</v>
      </c>
      <c r="P121" s="7">
        <v>2</v>
      </c>
    </row>
    <row r="122" spans="1:16">
      <c r="A122" s="6" t="s">
        <v>64</v>
      </c>
      <c r="C122" s="8">
        <f t="shared" ref="C122:P122" si="43">$B$9*C121</f>
        <v>30</v>
      </c>
      <c r="D122" s="8">
        <f t="shared" si="43"/>
        <v>60</v>
      </c>
      <c r="E122" s="8">
        <f t="shared" si="43"/>
        <v>90</v>
      </c>
      <c r="F122" s="8">
        <f t="shared" si="43"/>
        <v>120</v>
      </c>
      <c r="G122" s="8">
        <f t="shared" si="43"/>
        <v>150</v>
      </c>
      <c r="H122" s="8">
        <f t="shared" si="43"/>
        <v>30</v>
      </c>
      <c r="I122" s="8">
        <f t="shared" si="43"/>
        <v>60</v>
      </c>
      <c r="J122" s="8">
        <f t="shared" si="43"/>
        <v>90</v>
      </c>
      <c r="K122" s="8">
        <f t="shared" si="43"/>
        <v>120</v>
      </c>
      <c r="L122" s="8">
        <f t="shared" si="43"/>
        <v>150</v>
      </c>
      <c r="M122" s="8">
        <f t="shared" si="43"/>
        <v>210</v>
      </c>
      <c r="N122" s="8">
        <f t="shared" si="43"/>
        <v>210</v>
      </c>
      <c r="O122" s="8">
        <f t="shared" si="43"/>
        <v>30</v>
      </c>
      <c r="P122" s="8">
        <f t="shared" si="43"/>
        <v>30</v>
      </c>
    </row>
    <row r="123" spans="1:16">
      <c r="A123" s="6" t="s">
        <v>115</v>
      </c>
      <c r="C123" s="8">
        <f t="shared" ref="C123:P123" si="44">C122*C125/1000000</f>
        <v>1.0392000000000001E-3</v>
      </c>
      <c r="D123" s="8">
        <f t="shared" si="44"/>
        <v>2.0784000000000002E-3</v>
      </c>
      <c r="E123" s="8">
        <f t="shared" si="44"/>
        <v>3.1175999999999999E-3</v>
      </c>
      <c r="F123" s="8">
        <f t="shared" si="44"/>
        <v>4.1568000000000004E-3</v>
      </c>
      <c r="G123" s="8">
        <f t="shared" si="44"/>
        <v>5.1960000000000001E-3</v>
      </c>
      <c r="H123" s="8">
        <f t="shared" si="44"/>
        <v>1.0392000000000001E-3</v>
      </c>
      <c r="I123" s="8">
        <f t="shared" si="44"/>
        <v>2.0784000000000002E-3</v>
      </c>
      <c r="J123" s="8">
        <f t="shared" si="44"/>
        <v>3.1175999999999999E-3</v>
      </c>
      <c r="K123" s="8">
        <f t="shared" si="44"/>
        <v>4.1568000000000004E-3</v>
      </c>
      <c r="L123" s="8">
        <f t="shared" si="44"/>
        <v>5.1960000000000001E-3</v>
      </c>
      <c r="M123" s="8">
        <f t="shared" si="44"/>
        <v>7.2744000000000003E-3</v>
      </c>
      <c r="N123" s="8">
        <f t="shared" si="44"/>
        <v>7.2744000000000003E-3</v>
      </c>
      <c r="O123" s="8">
        <f t="shared" si="44"/>
        <v>3.1175999999999999E-3</v>
      </c>
      <c r="P123" s="8">
        <f t="shared" si="44"/>
        <v>5.1960000000000001E-3</v>
      </c>
    </row>
    <row r="124" spans="1:16">
      <c r="A124" s="6" t="s">
        <v>77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6</v>
      </c>
      <c r="P124" s="7">
        <v>10</v>
      </c>
    </row>
    <row r="125" spans="1:16">
      <c r="A125" s="6" t="s">
        <v>82</v>
      </c>
      <c r="C125" s="8">
        <f t="shared" ref="C125:P125" si="45">$B$8*C124</f>
        <v>34.64</v>
      </c>
      <c r="D125" s="8">
        <f t="shared" si="45"/>
        <v>34.64</v>
      </c>
      <c r="E125" s="8">
        <f t="shared" si="45"/>
        <v>34.64</v>
      </c>
      <c r="F125" s="8">
        <f t="shared" si="45"/>
        <v>34.64</v>
      </c>
      <c r="G125" s="8">
        <f t="shared" si="45"/>
        <v>34.64</v>
      </c>
      <c r="H125" s="8">
        <f t="shared" si="45"/>
        <v>34.64</v>
      </c>
      <c r="I125" s="8">
        <f t="shared" si="45"/>
        <v>34.64</v>
      </c>
      <c r="J125" s="8">
        <f t="shared" si="45"/>
        <v>34.64</v>
      </c>
      <c r="K125" s="8">
        <f t="shared" si="45"/>
        <v>34.64</v>
      </c>
      <c r="L125" s="8">
        <f t="shared" si="45"/>
        <v>34.64</v>
      </c>
      <c r="M125" s="8">
        <f t="shared" si="45"/>
        <v>34.64</v>
      </c>
      <c r="N125" s="8">
        <f t="shared" si="45"/>
        <v>34.64</v>
      </c>
      <c r="O125" s="8">
        <f t="shared" si="45"/>
        <v>103.92</v>
      </c>
      <c r="P125" s="8">
        <f t="shared" si="45"/>
        <v>173.2</v>
      </c>
    </row>
    <row r="126" spans="1:16">
      <c r="A126" s="6" t="s">
        <v>116</v>
      </c>
      <c r="C126" s="8">
        <f t="shared" ref="C126:H126" si="46">$B$6*C125/1000000</f>
        <v>1.0392000000000001E-3</v>
      </c>
      <c r="D126" s="8">
        <f t="shared" si="46"/>
        <v>1.0392000000000001E-3</v>
      </c>
      <c r="E126" s="8">
        <f t="shared" si="46"/>
        <v>1.0392000000000001E-3</v>
      </c>
      <c r="F126" s="8">
        <f t="shared" si="46"/>
        <v>1.0392000000000001E-3</v>
      </c>
      <c r="G126" s="8">
        <f t="shared" si="46"/>
        <v>1.0392000000000001E-3</v>
      </c>
      <c r="H126" s="8">
        <f t="shared" si="46"/>
        <v>1.0392000000000001E-3</v>
      </c>
      <c r="I126" s="8">
        <f>I122*I125/1000000</f>
        <v>2.0784000000000002E-3</v>
      </c>
      <c r="J126" s="8">
        <f>J122*J125/1000000</f>
        <v>3.1175999999999999E-3</v>
      </c>
      <c r="K126" s="8">
        <f>K122*K125/1000000</f>
        <v>4.1568000000000004E-3</v>
      </c>
      <c r="L126" s="8">
        <f>L122*L125/1000000</f>
        <v>5.1960000000000001E-3</v>
      </c>
      <c r="M126" s="8">
        <f>M122*M125/1000000</f>
        <v>7.2744000000000003E-3</v>
      </c>
      <c r="N126" s="8">
        <f>93*N125/1000000</f>
        <v>3.2215199999999999E-3</v>
      </c>
      <c r="O126" s="8">
        <f>$B$6*O125/1000000</f>
        <v>3.1175999999999999E-3</v>
      </c>
      <c r="P126" s="8">
        <f>$B$6*P125/1000000</f>
        <v>5.1960000000000001E-3</v>
      </c>
    </row>
    <row r="127" spans="1:16">
      <c r="A127" s="6" t="s">
        <v>117</v>
      </c>
      <c r="C127" s="8">
        <f t="shared" ref="C127:P127" si="47">$B$101*C123</f>
        <v>10392.000000000002</v>
      </c>
      <c r="D127" s="8">
        <f t="shared" si="47"/>
        <v>20784.000000000004</v>
      </c>
      <c r="E127" s="8">
        <f t="shared" si="47"/>
        <v>31176</v>
      </c>
      <c r="F127" s="8">
        <f t="shared" si="47"/>
        <v>41568.000000000007</v>
      </c>
      <c r="G127" s="8">
        <f t="shared" si="47"/>
        <v>51960</v>
      </c>
      <c r="H127" s="8">
        <f t="shared" si="47"/>
        <v>10392.000000000002</v>
      </c>
      <c r="I127" s="8">
        <f t="shared" si="47"/>
        <v>20784.000000000004</v>
      </c>
      <c r="J127" s="8">
        <f t="shared" si="47"/>
        <v>31176</v>
      </c>
      <c r="K127" s="8">
        <f t="shared" si="47"/>
        <v>41568.000000000007</v>
      </c>
      <c r="L127" s="8">
        <f t="shared" si="47"/>
        <v>51960</v>
      </c>
      <c r="M127" s="8">
        <f t="shared" si="47"/>
        <v>72744</v>
      </c>
      <c r="N127" s="8">
        <f t="shared" si="47"/>
        <v>72744</v>
      </c>
      <c r="O127" s="8">
        <f t="shared" si="47"/>
        <v>31176</v>
      </c>
      <c r="P127" s="8">
        <f t="shared" si="47"/>
        <v>51960</v>
      </c>
    </row>
    <row r="128" spans="1:16">
      <c r="A128" s="6" t="s">
        <v>118</v>
      </c>
      <c r="C128" s="8">
        <f t="shared" ref="C128:P128" si="48">$B$101*C126</f>
        <v>10392.000000000002</v>
      </c>
      <c r="D128" s="8">
        <f t="shared" si="48"/>
        <v>10392.000000000002</v>
      </c>
      <c r="E128" s="8">
        <f t="shared" si="48"/>
        <v>10392.000000000002</v>
      </c>
      <c r="F128" s="8">
        <f t="shared" si="48"/>
        <v>10392.000000000002</v>
      </c>
      <c r="G128" s="8">
        <f t="shared" si="48"/>
        <v>10392.000000000002</v>
      </c>
      <c r="H128" s="8">
        <f t="shared" si="48"/>
        <v>10392.000000000002</v>
      </c>
      <c r="I128" s="8">
        <f t="shared" si="48"/>
        <v>20784.000000000004</v>
      </c>
      <c r="J128" s="8">
        <f t="shared" si="48"/>
        <v>31176</v>
      </c>
      <c r="K128" s="8">
        <f t="shared" si="48"/>
        <v>41568.000000000007</v>
      </c>
      <c r="L128" s="8">
        <f t="shared" si="48"/>
        <v>51960</v>
      </c>
      <c r="M128" s="8">
        <f t="shared" si="48"/>
        <v>72744</v>
      </c>
      <c r="N128" s="16">
        <f t="shared" si="48"/>
        <v>32215.199999999997</v>
      </c>
      <c r="O128" s="8">
        <f t="shared" si="48"/>
        <v>31176</v>
      </c>
      <c r="P128" s="8">
        <f t="shared" si="48"/>
        <v>51960</v>
      </c>
    </row>
    <row r="129" spans="1:16">
      <c r="A129" s="6" t="s">
        <v>119</v>
      </c>
      <c r="C129" s="8">
        <f>C122</f>
        <v>30</v>
      </c>
      <c r="D129" s="8">
        <f>D125</f>
        <v>34.64</v>
      </c>
      <c r="E129" s="8">
        <f>E125</f>
        <v>34.64</v>
      </c>
      <c r="F129" s="8">
        <f>F125</f>
        <v>34.64</v>
      </c>
      <c r="G129" s="8">
        <f>G125</f>
        <v>34.64</v>
      </c>
      <c r="H129" s="8">
        <f>H122</f>
        <v>30</v>
      </c>
      <c r="I129" s="8">
        <f t="shared" ref="I129:N129" si="49">I125</f>
        <v>34.64</v>
      </c>
      <c r="J129" s="8">
        <f t="shared" si="49"/>
        <v>34.64</v>
      </c>
      <c r="K129" s="8">
        <f t="shared" si="49"/>
        <v>34.64</v>
      </c>
      <c r="L129" s="8">
        <f t="shared" si="49"/>
        <v>34.64</v>
      </c>
      <c r="M129" s="8">
        <f t="shared" si="49"/>
        <v>34.64</v>
      </c>
      <c r="N129" s="8">
        <f t="shared" si="49"/>
        <v>34.64</v>
      </c>
      <c r="O129" s="8">
        <f>O122</f>
        <v>30</v>
      </c>
      <c r="P129" s="8">
        <f>P122</f>
        <v>30</v>
      </c>
    </row>
    <row r="130" spans="1:16">
      <c r="A130" s="6" t="s">
        <v>120</v>
      </c>
      <c r="C130" s="7">
        <v>6.1909999999999998</v>
      </c>
      <c r="D130" s="7">
        <v>12.41</v>
      </c>
      <c r="E130" s="7">
        <v>18.64</v>
      </c>
      <c r="F130" s="7">
        <v>24.86</v>
      </c>
      <c r="G130" s="7">
        <v>31.09</v>
      </c>
      <c r="H130" s="7">
        <v>6.1906689999999998</v>
      </c>
      <c r="I130" s="7">
        <v>12.014612</v>
      </c>
      <c r="J130" s="7">
        <v>18.164899999999999</v>
      </c>
      <c r="K130" s="7">
        <v>24.147855750000002</v>
      </c>
      <c r="L130" s="7">
        <v>30.129856109618999</v>
      </c>
      <c r="M130" s="6">
        <v>42.121096999999999</v>
      </c>
      <c r="N130" s="6">
        <v>42.28</v>
      </c>
      <c r="O130" s="7">
        <v>6.1840000000000002</v>
      </c>
      <c r="P130" s="7">
        <v>6.1820000000000004</v>
      </c>
    </row>
    <row r="131" spans="1:16">
      <c r="A131" s="6" t="s">
        <v>121</v>
      </c>
      <c r="C131" s="8">
        <f t="shared" ref="C131:J131" si="50">ATAN(C130/C122)</f>
        <v>0.20350979242056641</v>
      </c>
      <c r="D131" s="8">
        <f t="shared" si="50"/>
        <v>0.20395735549509522</v>
      </c>
      <c r="E131" s="8">
        <f t="shared" si="50"/>
        <v>0.20422372276338094</v>
      </c>
      <c r="F131" s="8">
        <f t="shared" si="50"/>
        <v>0.20427699269171731</v>
      </c>
      <c r="G131" s="8">
        <f t="shared" si="50"/>
        <v>0.20437287559972722</v>
      </c>
      <c r="H131" s="8">
        <f t="shared" si="50"/>
        <v>0.20349920974947952</v>
      </c>
      <c r="I131" s="8">
        <f t="shared" si="50"/>
        <v>0.19762971554597597</v>
      </c>
      <c r="J131" s="8">
        <f t="shared" si="50"/>
        <v>0.19915668963039779</v>
      </c>
      <c r="K131" s="8">
        <f t="shared" ref="K131:P131" si="51">ATAN(K130/K122)</f>
        <v>0.19858002022648305</v>
      </c>
      <c r="L131" s="8">
        <f t="shared" si="51"/>
        <v>0.19822783205827813</v>
      </c>
      <c r="M131" s="8">
        <f t="shared" si="51"/>
        <v>0.19794997175495863</v>
      </c>
      <c r="N131" s="8">
        <f t="shared" si="51"/>
        <v>0.19867728178322636</v>
      </c>
      <c r="O131" s="8">
        <f t="shared" si="51"/>
        <v>0.20328597986439792</v>
      </c>
      <c r="P131" s="8">
        <f t="shared" si="51"/>
        <v>0.20322202962547919</v>
      </c>
    </row>
    <row r="132" spans="1:16">
      <c r="A132" s="6" t="s">
        <v>125</v>
      </c>
      <c r="C132" s="8">
        <f t="shared" ref="C132:P132" si="52">($B$101/C131)/10^6</f>
        <v>49.137684634527758</v>
      </c>
      <c r="D132" s="8">
        <f t="shared" si="52"/>
        <v>49.029857127366419</v>
      </c>
      <c r="E132" s="8">
        <f t="shared" si="52"/>
        <v>48.965907900847874</v>
      </c>
      <c r="F132" s="8">
        <f t="shared" si="52"/>
        <v>48.95313891315898</v>
      </c>
      <c r="G132" s="8">
        <f t="shared" si="52"/>
        <v>48.930172219064019</v>
      </c>
      <c r="H132" s="8">
        <f t="shared" si="52"/>
        <v>49.140239966094398</v>
      </c>
      <c r="I132" s="8">
        <f t="shared" si="52"/>
        <v>50.599678152517662</v>
      </c>
      <c r="J132" s="8">
        <f t="shared" si="52"/>
        <v>50.21172032211603</v>
      </c>
      <c r="K132" s="8">
        <f t="shared" si="52"/>
        <v>50.357533394320697</v>
      </c>
      <c r="L132" s="8">
        <f t="shared" si="52"/>
        <v>50.447002805640551</v>
      </c>
      <c r="M132" s="8">
        <f t="shared" si="52"/>
        <v>50.51781473542696</v>
      </c>
      <c r="N132" s="8">
        <f t="shared" si="52"/>
        <v>50.332881093626206</v>
      </c>
      <c r="O132" s="8">
        <f t="shared" si="52"/>
        <v>49.191783942357993</v>
      </c>
      <c r="P132" s="8">
        <f t="shared" si="52"/>
        <v>49.207263692962542</v>
      </c>
    </row>
    <row r="133" spans="1:16">
      <c r="A133" s="6" t="s">
        <v>126</v>
      </c>
      <c r="B133" s="7">
        <v>50</v>
      </c>
    </row>
    <row r="134" spans="1:16">
      <c r="A134" s="6" t="s">
        <v>22</v>
      </c>
      <c r="C134" s="8">
        <f t="shared" ref="C134:P134" si="53">ABS($B$133-C132)/$B$133*100</f>
        <v>1.724630730944483</v>
      </c>
      <c r="D134" s="8">
        <f t="shared" si="53"/>
        <v>1.9402857452671611</v>
      </c>
      <c r="E134" s="8">
        <f t="shared" si="53"/>
        <v>2.0681841983042517</v>
      </c>
      <c r="F134" s="8">
        <f t="shared" si="53"/>
        <v>2.0937221736820391</v>
      </c>
      <c r="G134" s="8">
        <f t="shared" si="53"/>
        <v>2.1396555618719617</v>
      </c>
      <c r="H134" s="8">
        <f t="shared" si="53"/>
        <v>1.7195200678112028</v>
      </c>
      <c r="I134" s="8">
        <f t="shared" si="53"/>
        <v>1.1993563050353231</v>
      </c>
      <c r="J134" s="8">
        <f t="shared" si="53"/>
        <v>0.42344064423205902</v>
      </c>
      <c r="K134" s="8">
        <f t="shared" si="53"/>
        <v>0.71506678864139417</v>
      </c>
      <c r="L134" s="8">
        <f t="shared" si="53"/>
        <v>0.89400561128110212</v>
      </c>
      <c r="M134" s="8">
        <f t="shared" si="53"/>
        <v>1.0356294708539195</v>
      </c>
      <c r="N134" s="8">
        <f t="shared" si="53"/>
        <v>0.66576218725241176</v>
      </c>
      <c r="O134" s="8">
        <f t="shared" si="53"/>
        <v>1.6164321152840131</v>
      </c>
      <c r="P134" s="8">
        <f t="shared" si="53"/>
        <v>1.5854726140749165</v>
      </c>
    </row>
    <row r="139" spans="1:16">
      <c r="A139" s="6" t="s">
        <v>123</v>
      </c>
    </row>
    <row r="140" spans="1:16">
      <c r="A140" s="6" t="s">
        <v>114</v>
      </c>
      <c r="B140" s="6">
        <f>10*10^6</f>
        <v>10000000</v>
      </c>
    </row>
    <row r="141" spans="1:16">
      <c r="A141" s="6" t="s">
        <v>63</v>
      </c>
      <c r="C141" s="7">
        <v>2</v>
      </c>
      <c r="D141" s="7">
        <v>2</v>
      </c>
      <c r="E141" s="7">
        <v>2</v>
      </c>
      <c r="F141" s="7"/>
      <c r="G141" s="7"/>
      <c r="H141" s="7">
        <v>4</v>
      </c>
      <c r="I141" s="7">
        <v>6</v>
      </c>
      <c r="J141" s="7">
        <v>10</v>
      </c>
    </row>
    <row r="142" spans="1:16">
      <c r="A142" s="6" t="s">
        <v>64</v>
      </c>
      <c r="C142" s="8">
        <f>$B$9*C141</f>
        <v>30</v>
      </c>
      <c r="D142" s="8">
        <f>$B$9*D141</f>
        <v>30</v>
      </c>
      <c r="E142" s="8">
        <f>$B$9*E141</f>
        <v>30</v>
      </c>
      <c r="F142" s="8"/>
      <c r="G142" s="8"/>
      <c r="H142" s="8">
        <f>$B$9*H141</f>
        <v>60</v>
      </c>
      <c r="I142" s="8">
        <f>$B$9*I141</f>
        <v>90</v>
      </c>
      <c r="J142" s="8">
        <f>$B$9*J141</f>
        <v>150</v>
      </c>
    </row>
    <row r="143" spans="1:16">
      <c r="A143" s="6" t="s">
        <v>115</v>
      </c>
      <c r="C143" s="8">
        <f>C142*C146/1000000</f>
        <v>9.8999999999999999E-4</v>
      </c>
      <c r="D143" s="8">
        <f>D142*D146/1000000</f>
        <v>3.1175999999999999E-3</v>
      </c>
      <c r="E143" s="8">
        <f>E142*E146/1000000</f>
        <v>5.1960000000000001E-3</v>
      </c>
      <c r="F143" s="8"/>
      <c r="G143" s="8"/>
      <c r="H143" s="8">
        <f>H142*H146/1000000</f>
        <v>1.8E-3</v>
      </c>
      <c r="I143" s="8">
        <f>I142*I146/1000000</f>
        <v>2.7000000000000001E-3</v>
      </c>
      <c r="J143" s="8">
        <f>J142*B6/1000000</f>
        <v>4.4999999999999997E-3</v>
      </c>
    </row>
    <row r="144" spans="1:16">
      <c r="A144" s="6" t="s">
        <v>77</v>
      </c>
      <c r="C144" s="7">
        <v>2</v>
      </c>
      <c r="D144" s="7">
        <v>6</v>
      </c>
      <c r="E144" s="7">
        <v>10</v>
      </c>
      <c r="F144" s="7"/>
      <c r="G144" s="7"/>
      <c r="H144" s="7">
        <v>2</v>
      </c>
      <c r="I144" s="7">
        <v>2</v>
      </c>
      <c r="J144" s="7">
        <v>2</v>
      </c>
    </row>
    <row r="145" spans="1:10">
      <c r="A145" s="6" t="s">
        <v>82</v>
      </c>
      <c r="C145" s="8">
        <f>$B$8*C144</f>
        <v>34.64</v>
      </c>
      <c r="D145" s="8">
        <f>$B$8*D144</f>
        <v>103.92</v>
      </c>
      <c r="E145" s="8">
        <f>$B$8*E144</f>
        <v>173.2</v>
      </c>
      <c r="F145" s="8"/>
      <c r="G145" s="8"/>
      <c r="H145" s="8">
        <f>$B$8*H144</f>
        <v>34.64</v>
      </c>
      <c r="I145" s="8">
        <f>$B$8*I144</f>
        <v>34.64</v>
      </c>
      <c r="J145" s="8">
        <f>$B$8*J144</f>
        <v>34.64</v>
      </c>
    </row>
    <row r="146" spans="1:10">
      <c r="A146" s="6" t="s">
        <v>124</v>
      </c>
      <c r="C146" s="8">
        <v>33</v>
      </c>
      <c r="D146" s="8">
        <f>D145</f>
        <v>103.92</v>
      </c>
      <c r="E146" s="8">
        <f>E145</f>
        <v>173.2</v>
      </c>
      <c r="F146" s="8">
        <f>F145</f>
        <v>0</v>
      </c>
      <c r="G146" s="8">
        <f>G145</f>
        <v>0</v>
      </c>
      <c r="H146" s="8">
        <v>30</v>
      </c>
      <c r="I146" s="8">
        <v>30</v>
      </c>
      <c r="J146" s="8">
        <v>30</v>
      </c>
    </row>
    <row r="147" spans="1:10">
      <c r="A147" s="6" t="s">
        <v>116</v>
      </c>
      <c r="C147" s="8">
        <f>C142*C145/1000000</f>
        <v>1.0392000000000001E-3</v>
      </c>
      <c r="D147" s="8">
        <f>D142*D145/1000000</f>
        <v>3.1175999999999999E-3</v>
      </c>
      <c r="E147" s="8">
        <f>E142*E145/1000000</f>
        <v>5.1960000000000001E-3</v>
      </c>
      <c r="F147" s="8"/>
      <c r="G147" s="8"/>
      <c r="H147" s="8">
        <f>H142*H145/1000000</f>
        <v>2.0784000000000002E-3</v>
      </c>
      <c r="I147" s="8">
        <f>I142*I145/1000000</f>
        <v>3.1175999999999999E-3</v>
      </c>
      <c r="J147" s="8">
        <f>J142*J145/1000000</f>
        <v>5.1960000000000001E-3</v>
      </c>
    </row>
    <row r="148" spans="1:10">
      <c r="A148" s="6" t="s">
        <v>117</v>
      </c>
      <c r="C148" s="8">
        <f>$B$101*C143</f>
        <v>9900</v>
      </c>
      <c r="D148" s="8">
        <f>$B$101*D143</f>
        <v>31176</v>
      </c>
      <c r="E148" s="8">
        <f>$B$101*E143</f>
        <v>51960</v>
      </c>
      <c r="F148" s="8"/>
      <c r="G148" s="8"/>
      <c r="H148" s="8">
        <f>$B$101*H143</f>
        <v>18000</v>
      </c>
      <c r="I148" s="8">
        <f>$B$101*I143</f>
        <v>27000</v>
      </c>
      <c r="J148" s="8">
        <f>$B$101*J143</f>
        <v>45000</v>
      </c>
    </row>
    <row r="149" spans="1:10">
      <c r="A149" s="6" t="s">
        <v>118</v>
      </c>
      <c r="C149" s="19">
        <f>$B$101*C147</f>
        <v>10392.000000000002</v>
      </c>
      <c r="D149" s="8">
        <f>$B$101*D147</f>
        <v>31176</v>
      </c>
      <c r="E149" s="8">
        <f>$B$101*E147</f>
        <v>51960</v>
      </c>
      <c r="F149" s="8"/>
      <c r="G149" s="8"/>
      <c r="H149" s="8">
        <f>$B$101*H147</f>
        <v>20784.000000000004</v>
      </c>
      <c r="I149" s="8">
        <f>$B$101*I147</f>
        <v>31176</v>
      </c>
      <c r="J149" s="8">
        <f>$B$101*J147</f>
        <v>51960</v>
      </c>
    </row>
    <row r="150" spans="1:10">
      <c r="A150" s="6" t="s">
        <v>119</v>
      </c>
      <c r="C150" s="8">
        <v>33</v>
      </c>
      <c r="D150" s="8">
        <f>D146</f>
        <v>103.92</v>
      </c>
      <c r="E150" s="8">
        <f>E145</f>
        <v>173.2</v>
      </c>
      <c r="F150" s="8"/>
      <c r="G150" s="8"/>
      <c r="H150" s="8">
        <f>H145</f>
        <v>34.64</v>
      </c>
      <c r="I150" s="8">
        <f>I145</f>
        <v>34.64</v>
      </c>
      <c r="J150" s="8">
        <f>J145</f>
        <v>34.64</v>
      </c>
    </row>
    <row r="151" spans="1:10">
      <c r="A151" s="6" t="s">
        <v>120</v>
      </c>
      <c r="C151" s="7">
        <v>4.9729999999999999</v>
      </c>
      <c r="D151" s="7">
        <v>15.59</v>
      </c>
      <c r="E151" s="7">
        <v>26</v>
      </c>
      <c r="F151" s="7"/>
      <c r="G151" s="7"/>
      <c r="H151" s="7">
        <v>5.2</v>
      </c>
      <c r="I151" s="7">
        <v>5.4249999999999998</v>
      </c>
      <c r="J151" s="7">
        <v>5.649</v>
      </c>
    </row>
    <row r="152" spans="1:10">
      <c r="A152" s="6" t="s">
        <v>121</v>
      </c>
      <c r="C152" s="8">
        <f>ATAN(C151/C150)</f>
        <v>0.14957151077303585</v>
      </c>
      <c r="D152" s="8">
        <f>ATAN(D151/D150)</f>
        <v>0.14890876963314489</v>
      </c>
      <c r="E152" s="8">
        <f>ATAN(E151/E150)</f>
        <v>0.14900287815673036</v>
      </c>
      <c r="F152" s="8"/>
      <c r="G152" s="8"/>
      <c r="H152" s="8">
        <f>ATAN(H151/H146)</f>
        <v>0.17162806838087999</v>
      </c>
      <c r="I152" s="8">
        <f>ATAN(I151/I146)</f>
        <v>0.17890000147501378</v>
      </c>
      <c r="J152" s="8">
        <f>ATAN(J151/B6)</f>
        <v>0.18612066805933547</v>
      </c>
    </row>
    <row r="153" spans="1:10">
      <c r="A153" s="6" t="s">
        <v>123</v>
      </c>
      <c r="C153" s="8">
        <f>($B$101/C152)/10^6</f>
        <v>66.85765189050133</v>
      </c>
      <c r="D153" s="8">
        <f>($B$101/D152)/10^6</f>
        <v>67.155212044503699</v>
      </c>
      <c r="E153" s="8">
        <f>($B$101/E152)/10^6</f>
        <v>67.112797576174245</v>
      </c>
      <c r="F153" s="8"/>
      <c r="G153" s="8"/>
      <c r="H153" s="8">
        <f>($B$101/H152)/10^6</f>
        <v>58.265527861141145</v>
      </c>
      <c r="I153" s="8">
        <f>($B$101/I152)/10^6</f>
        <v>55.897148784521711</v>
      </c>
      <c r="J153" s="8">
        <f>($B$101/J152)/10^6</f>
        <v>53.728584279592148</v>
      </c>
    </row>
    <row r="154" spans="1:10">
      <c r="A154" s="6" t="s">
        <v>127</v>
      </c>
      <c r="B154" s="7">
        <v>50</v>
      </c>
    </row>
    <row r="155" spans="1:10">
      <c r="A155" s="6" t="s">
        <v>22</v>
      </c>
      <c r="C155" s="8">
        <f>ABS($B$133-C153)/$B$133*100</f>
        <v>33.71530378100266</v>
      </c>
      <c r="D155" s="8">
        <f>ABS($B$133-D153)/$B$133*100</f>
        <v>34.310424089007398</v>
      </c>
      <c r="E155" s="8">
        <f>ABS($B$133-E153)/$B$133*100</f>
        <v>34.22559515234849</v>
      </c>
      <c r="F155" s="8"/>
      <c r="G155" s="8"/>
      <c r="H155" s="8">
        <f>ABS($B$133-H153)/$B$133*100</f>
        <v>16.531055722282289</v>
      </c>
      <c r="I155" s="8">
        <f>ABS($B$133-I153)/$B$133*100</f>
        <v>11.794297569043422</v>
      </c>
      <c r="J155" s="8">
        <f>ABS($B$133-J153)/$B$133*100</f>
        <v>7.4571685591842964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8"/>
  <sheetViews>
    <sheetView topLeftCell="A127" zoomScale="85" zoomScaleNormal="85" workbookViewId="0">
      <selection activeCell="G139" sqref="G139"/>
    </sheetView>
  </sheetViews>
  <sheetFormatPr defaultColWidth="9.1328125" defaultRowHeight="18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9.1328125" style="6"/>
    <col min="15" max="15" width="19.3984375" style="6" customWidth="1"/>
    <col min="16" max="16" width="23.1328125" style="6" customWidth="1"/>
    <col min="17" max="16384" width="9.1328125" style="6"/>
  </cols>
  <sheetData>
    <row r="1" spans="1:16">
      <c r="A1" s="6" t="s">
        <v>0</v>
      </c>
      <c r="B1" s="7">
        <v>2</v>
      </c>
      <c r="C1" s="7">
        <v>2</v>
      </c>
      <c r="D1" s="6" t="s">
        <v>17</v>
      </c>
      <c r="E1" s="7">
        <v>10000</v>
      </c>
      <c r="F1" s="6" t="s">
        <v>132</v>
      </c>
      <c r="G1" s="6">
        <v>2</v>
      </c>
    </row>
    <row r="2" spans="1:16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16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16">
      <c r="A4" s="6" t="s">
        <v>2</v>
      </c>
      <c r="B4" s="7">
        <f>C4</f>
        <v>24.32</v>
      </c>
      <c r="C4" s="8">
        <v>24.32</v>
      </c>
      <c r="D4" s="7">
        <f>C1*(1+SIN(C3))/(C2*SIN(C3))</f>
        <v>48.638146436355626</v>
      </c>
    </row>
    <row r="5" spans="1:16">
      <c r="A5" s="6" t="s">
        <v>4</v>
      </c>
      <c r="B5" s="7">
        <f>C5</f>
        <v>12.59</v>
      </c>
      <c r="C5" s="8">
        <v>12.59</v>
      </c>
      <c r="D5" s="7">
        <f>2*C1*(1+SIN(C3))/C2</f>
        <v>25.176231741070652</v>
      </c>
    </row>
    <row r="6" spans="1:16">
      <c r="A6" s="6" t="s">
        <v>11</v>
      </c>
      <c r="B6" s="7">
        <f>C4</f>
        <v>24.32</v>
      </c>
      <c r="C6" s="8">
        <f>3.75*2</f>
        <v>7.5</v>
      </c>
    </row>
    <row r="7" spans="1:16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16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16">
      <c r="A9" s="6" t="s">
        <v>61</v>
      </c>
      <c r="B9" s="8">
        <f>B4</f>
        <v>24.32</v>
      </c>
      <c r="C9" s="8">
        <f>D4</f>
        <v>48.638146436355626</v>
      </c>
    </row>
    <row r="10" spans="1:16">
      <c r="A10" s="6" t="s">
        <v>62</v>
      </c>
      <c r="B10" s="8">
        <f>B7</f>
        <v>13.03</v>
      </c>
      <c r="C10" s="8">
        <f>D7</f>
        <v>13.032646201099279</v>
      </c>
    </row>
    <row r="11" spans="1:16">
      <c r="A11" s="6" t="s">
        <v>63</v>
      </c>
      <c r="B11" s="25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12</v>
      </c>
      <c r="L11" s="6">
        <v>2</v>
      </c>
    </row>
    <row r="12" spans="1:16">
      <c r="A12" s="6" t="s">
        <v>64</v>
      </c>
      <c r="B12" s="25">
        <f>$B$9*B11</f>
        <v>24.32</v>
      </c>
      <c r="C12" s="8">
        <f t="shared" ref="C12:P12" si="0">$B$9*C11</f>
        <v>48.64</v>
      </c>
      <c r="D12" s="8">
        <f>$B$9*D11</f>
        <v>97.28</v>
      </c>
      <c r="E12" s="8">
        <f>$B$9*E11</f>
        <v>145.92000000000002</v>
      </c>
      <c r="F12" s="8">
        <f>$B$9*F11</f>
        <v>194.56</v>
      </c>
      <c r="G12" s="8">
        <f>$B$9*G11</f>
        <v>243.2</v>
      </c>
      <c r="H12" s="8">
        <f>$B$9*H11</f>
        <v>291.84000000000003</v>
      </c>
      <c r="I12" s="8"/>
      <c r="J12" s="8"/>
      <c r="K12" s="8">
        <f t="shared" si="0"/>
        <v>0</v>
      </c>
      <c r="L12" s="8">
        <f t="shared" si="0"/>
        <v>48.64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>
      <c r="A13" s="6" t="s">
        <v>77</v>
      </c>
      <c r="B13" s="25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>
      <c r="A14" s="6" t="s">
        <v>65</v>
      </c>
      <c r="B14" s="25">
        <f>$B$10*B13</f>
        <v>26.06</v>
      </c>
      <c r="C14" s="8">
        <f t="shared" ref="C14:P14" si="1">$B$10*C13</f>
        <v>26.06</v>
      </c>
      <c r="D14" s="8">
        <f>$B$10*D13</f>
        <v>26.06</v>
      </c>
      <c r="E14" s="8">
        <f>$B$10*E13</f>
        <v>26.06</v>
      </c>
      <c r="F14" s="8">
        <f>$B$10*F13</f>
        <v>26.06</v>
      </c>
      <c r="G14" s="8">
        <f>$B$10*G13</f>
        <v>26.06</v>
      </c>
      <c r="H14" s="8">
        <f>$B$10*H13</f>
        <v>26.06</v>
      </c>
      <c r="I14" s="8"/>
      <c r="J14" s="8"/>
      <c r="K14" s="8">
        <f t="shared" si="1"/>
        <v>26.06</v>
      </c>
      <c r="L14" s="8">
        <f t="shared" si="1"/>
        <v>104.24</v>
      </c>
      <c r="M14" s="8">
        <f t="shared" si="1"/>
        <v>26.06</v>
      </c>
      <c r="N14" s="8">
        <f t="shared" si="1"/>
        <v>26.06</v>
      </c>
      <c r="O14" s="8">
        <f t="shared" si="1"/>
        <v>26.06</v>
      </c>
      <c r="P14" s="8">
        <f t="shared" si="1"/>
        <v>26.06</v>
      </c>
    </row>
    <row r="15" spans="1:16">
      <c r="A15" s="6" t="s">
        <v>67</v>
      </c>
      <c r="B15" s="25">
        <f>B14/1000*$B$6/1000</f>
        <v>6.3377919999999996E-4</v>
      </c>
      <c r="C15" s="8">
        <f t="shared" ref="C15:P15" si="2">C14/1000*$B$6/1000</f>
        <v>6.3377919999999996E-4</v>
      </c>
      <c r="D15" s="8">
        <f>D14/1000*$B$6/1000</f>
        <v>6.3377919999999996E-4</v>
      </c>
      <c r="E15" s="8">
        <f>E14/1000*$B$6/1000</f>
        <v>6.3377919999999996E-4</v>
      </c>
      <c r="F15" s="8">
        <f>F14/1000*$B$6/1000</f>
        <v>6.3377919999999996E-4</v>
      </c>
      <c r="G15" s="8">
        <f>G14/1000*$B$6/1000</f>
        <v>6.3377919999999996E-4</v>
      </c>
      <c r="H15" s="8">
        <f>H14/1000*$B$6/1000</f>
        <v>6.3377919999999996E-4</v>
      </c>
      <c r="I15" s="8"/>
      <c r="J15" s="8"/>
      <c r="K15" s="8">
        <f t="shared" si="2"/>
        <v>6.3377919999999996E-4</v>
      </c>
      <c r="L15" s="8">
        <f t="shared" si="2"/>
        <v>2.5351167999999999E-3</v>
      </c>
      <c r="M15" s="8">
        <f t="shared" si="2"/>
        <v>6.3377919999999996E-4</v>
      </c>
      <c r="N15" s="8">
        <f t="shared" si="2"/>
        <v>6.3377919999999996E-4</v>
      </c>
      <c r="O15" s="8">
        <f t="shared" si="2"/>
        <v>6.3377919999999996E-4</v>
      </c>
      <c r="P15" s="8">
        <f t="shared" si="2"/>
        <v>6.3377919999999996E-4</v>
      </c>
    </row>
    <row r="16" spans="1:16">
      <c r="A16" s="6" t="s">
        <v>73</v>
      </c>
      <c r="B16" s="25">
        <v>0</v>
      </c>
      <c r="C16" s="7">
        <v>0.10100000000000001</v>
      </c>
      <c r="D16" s="7">
        <v>0.20200000000000001</v>
      </c>
      <c r="E16" s="7">
        <v>0.30299999999999999</v>
      </c>
      <c r="F16" s="7">
        <v>0.40500000000000003</v>
      </c>
      <c r="G16" s="7">
        <v>0.50600000000000001</v>
      </c>
      <c r="H16" s="7">
        <v>0.60699999999999998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>
      <c r="A17" s="9" t="s">
        <v>66</v>
      </c>
      <c r="B17" s="26"/>
      <c r="C17" s="10">
        <f t="shared" ref="C17:H17" si="3">($E$1*(C12/1000)/(C15*C16/1000))/(10^6)</f>
        <v>7598.6109739139692</v>
      </c>
      <c r="D17" s="10">
        <f t="shared" si="3"/>
        <v>7598.6109739139692</v>
      </c>
      <c r="E17" s="10">
        <f t="shared" si="3"/>
        <v>7598.6109739139702</v>
      </c>
      <c r="F17" s="10">
        <f t="shared" si="3"/>
        <v>7579.8489715092437</v>
      </c>
      <c r="G17" s="10">
        <f t="shared" si="3"/>
        <v>7583.593956178961</v>
      </c>
      <c r="H17" s="10">
        <f t="shared" si="3"/>
        <v>7586.092669179352</v>
      </c>
      <c r="I17" s="10"/>
      <c r="J17" s="10"/>
      <c r="K17" s="9" t="e">
        <f t="shared" ref="K17:P17" si="4">($E$1*(K12/1000)/(K15*K16/1000))/(10^6)</f>
        <v>#DIV/0!</v>
      </c>
      <c r="L17" s="9">
        <f t="shared" si="4"/>
        <v>118143.42801190131</v>
      </c>
      <c r="M17" s="9" t="e">
        <f t="shared" si="4"/>
        <v>#DIV/0!</v>
      </c>
      <c r="N17" s="9" t="e">
        <f t="shared" si="4"/>
        <v>#DIV/0!</v>
      </c>
      <c r="O17" s="9" t="e">
        <f t="shared" si="4"/>
        <v>#DIV/0!</v>
      </c>
      <c r="P17" s="9" t="e">
        <f t="shared" si="4"/>
        <v>#DIV/0!</v>
      </c>
    </row>
    <row r="18" spans="1:16">
      <c r="A18" s="6" t="s">
        <v>68</v>
      </c>
      <c r="B18" s="7">
        <v>7570</v>
      </c>
    </row>
    <row r="19" spans="1:16" s="8" customFormat="1">
      <c r="A19" s="8" t="s">
        <v>69</v>
      </c>
      <c r="C19" s="8">
        <f t="shared" ref="C19:H19" si="5">ABS($B$18-C17)/C17*100</f>
        <v>0.37652900000000944</v>
      </c>
      <c r="D19" s="8">
        <f t="shared" si="5"/>
        <v>0.37652900000000944</v>
      </c>
      <c r="E19" s="8">
        <f t="shared" si="5"/>
        <v>0.37652900000002137</v>
      </c>
      <c r="F19" s="8">
        <f t="shared" si="5"/>
        <v>0.1299362500000136</v>
      </c>
      <c r="G19" s="8">
        <f t="shared" si="5"/>
        <v>0.17925480000000391</v>
      </c>
      <c r="H19" s="8">
        <f t="shared" si="5"/>
        <v>0.21213383333337116</v>
      </c>
      <c r="K19" s="8" t="e">
        <f t="shared" ref="K19:P19" si="6">ABS($B$18-K17)/$B$18*100</f>
        <v>#DIV/0!</v>
      </c>
      <c r="L19" s="8">
        <f t="shared" si="6"/>
        <v>1460.6793660753146</v>
      </c>
      <c r="M19" s="8" t="e">
        <f t="shared" si="6"/>
        <v>#DIV/0!</v>
      </c>
      <c r="N19" s="8" t="e">
        <f t="shared" si="6"/>
        <v>#DIV/0!</v>
      </c>
      <c r="O19" s="8" t="e">
        <f>ABS($B$18-O17)/$B$18*100</f>
        <v>#DIV/0!</v>
      </c>
      <c r="P19" s="8" t="e">
        <f t="shared" si="6"/>
        <v>#DIV/0!</v>
      </c>
    </row>
    <row r="20" spans="1:16">
      <c r="A20" s="6" t="s">
        <v>72</v>
      </c>
      <c r="B20" s="7"/>
      <c r="C20" s="7">
        <v>1.26E-2</v>
      </c>
      <c r="D20" s="7">
        <v>1.26E-2</v>
      </c>
      <c r="E20" s="7">
        <v>1.26E-2</v>
      </c>
      <c r="F20" s="7">
        <v>1.26E-2</v>
      </c>
      <c r="G20" s="7">
        <v>1.26E-2</v>
      </c>
      <c r="H20" s="7">
        <v>1.26E-2</v>
      </c>
      <c r="I20" s="7"/>
      <c r="J20" s="7"/>
      <c r="K20" s="7"/>
      <c r="L20" s="7"/>
      <c r="M20" s="7"/>
      <c r="N20" s="7"/>
      <c r="O20" s="7"/>
    </row>
    <row r="21" spans="1:16">
      <c r="A21" s="6" t="s">
        <v>70</v>
      </c>
      <c r="B21" s="8"/>
      <c r="C21" s="8">
        <f t="shared" ref="C21:H21" si="7">C16/C12</f>
        <v>2.0764802631578947E-3</v>
      </c>
      <c r="D21" s="8">
        <f t="shared" si="7"/>
        <v>2.0764802631578947E-3</v>
      </c>
      <c r="E21" s="8">
        <f t="shared" si="7"/>
        <v>2.0764802631578943E-3</v>
      </c>
      <c r="F21" s="8">
        <f t="shared" si="7"/>
        <v>2.0816200657894739E-3</v>
      </c>
      <c r="G21" s="8">
        <f t="shared" si="7"/>
        <v>2.080592105263158E-3</v>
      </c>
      <c r="H21" s="8">
        <f t="shared" si="7"/>
        <v>2.0799067982456136E-3</v>
      </c>
      <c r="I21" s="8"/>
      <c r="J21" s="8"/>
      <c r="K21" s="8" t="e">
        <f t="shared" ref="K21:P21" si="8">K16/K12</f>
        <v>#DIV/0!</v>
      </c>
      <c r="L21" s="8">
        <f t="shared" si="8"/>
        <v>3.3388157894736842E-5</v>
      </c>
      <c r="M21" s="8" t="e">
        <f t="shared" si="8"/>
        <v>#DIV/0!</v>
      </c>
      <c r="N21" s="8" t="e">
        <f t="shared" si="8"/>
        <v>#DIV/0!</v>
      </c>
      <c r="O21" s="8" t="e">
        <f t="shared" si="8"/>
        <v>#DIV/0!</v>
      </c>
      <c r="P21" s="8" t="e">
        <f t="shared" si="8"/>
        <v>#DIV/0!</v>
      </c>
    </row>
    <row r="22" spans="1:16">
      <c r="A22" s="6" t="s">
        <v>71</v>
      </c>
      <c r="B22" s="8"/>
      <c r="C22" s="8">
        <f t="shared" ref="C22:H22" si="9">C20/C14</f>
        <v>4.8349961627014584E-4</v>
      </c>
      <c r="D22" s="8">
        <f t="shared" si="9"/>
        <v>4.8349961627014584E-4</v>
      </c>
      <c r="E22" s="8">
        <f t="shared" si="9"/>
        <v>4.8349961627014584E-4</v>
      </c>
      <c r="F22" s="8">
        <f t="shared" si="9"/>
        <v>4.8349961627014584E-4</v>
      </c>
      <c r="G22" s="8">
        <f t="shared" si="9"/>
        <v>4.8349961627014584E-4</v>
      </c>
      <c r="H22" s="8">
        <f t="shared" si="9"/>
        <v>4.8349961627014584E-4</v>
      </c>
      <c r="I22" s="8"/>
      <c r="J22" s="8"/>
      <c r="K22" s="8">
        <f t="shared" ref="K22:P22" si="10">K20/K14</f>
        <v>0</v>
      </c>
      <c r="L22" s="8">
        <f t="shared" si="10"/>
        <v>0</v>
      </c>
      <c r="M22" s="8">
        <f t="shared" si="10"/>
        <v>0</v>
      </c>
      <c r="N22" s="8">
        <f t="shared" si="10"/>
        <v>0</v>
      </c>
      <c r="O22" s="8">
        <f t="shared" si="10"/>
        <v>0</v>
      </c>
      <c r="P22" s="8">
        <f t="shared" si="10"/>
        <v>0</v>
      </c>
    </row>
    <row r="23" spans="1:16">
      <c r="A23" s="6" t="s">
        <v>74</v>
      </c>
      <c r="B23" s="8"/>
      <c r="C23" s="8">
        <f t="shared" ref="C23:H23" si="11">C22/C21</f>
        <v>0.23284575579584055</v>
      </c>
      <c r="D23" s="8">
        <f t="shared" si="11"/>
        <v>0.23284575579584055</v>
      </c>
      <c r="E23" s="8">
        <f t="shared" si="11"/>
        <v>0.23284575579584058</v>
      </c>
      <c r="F23" s="8">
        <f t="shared" si="11"/>
        <v>0.23227082800375201</v>
      </c>
      <c r="G23" s="8">
        <f t="shared" si="11"/>
        <v>0.23238558631798312</v>
      </c>
      <c r="H23" s="8">
        <f t="shared" si="11"/>
        <v>0.2324621548801967</v>
      </c>
      <c r="I23" s="8"/>
      <c r="J23" s="8"/>
      <c r="K23" s="8" t="e">
        <f t="shared" ref="K23:P23" si="12">K22/K21</f>
        <v>#DIV/0!</v>
      </c>
      <c r="L23" s="8">
        <f t="shared" si="12"/>
        <v>0</v>
      </c>
      <c r="M23" s="8" t="e">
        <f t="shared" si="12"/>
        <v>#DIV/0!</v>
      </c>
      <c r="N23" s="8" t="e">
        <f t="shared" si="12"/>
        <v>#DIV/0!</v>
      </c>
      <c r="O23" s="8" t="e">
        <f t="shared" si="12"/>
        <v>#DIV/0!</v>
      </c>
      <c r="P23" s="8" t="e">
        <f t="shared" si="12"/>
        <v>#DIV/0!</v>
      </c>
    </row>
    <row r="24" spans="1:16">
      <c r="A24" s="6" t="s">
        <v>75</v>
      </c>
      <c r="B24" s="7">
        <v>0.23449999999999999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6" t="s">
        <v>76</v>
      </c>
      <c r="B25" s="7">
        <f>B24</f>
        <v>0.23449999999999999</v>
      </c>
      <c r="C25" s="8">
        <f t="shared" ref="C25:H25" si="13">(ABS(C23-$B$25)/$B$25)*100</f>
        <v>0.70543462863941941</v>
      </c>
      <c r="D25" s="8">
        <f t="shared" si="13"/>
        <v>0.70543462863941941</v>
      </c>
      <c r="E25" s="8">
        <f t="shared" si="13"/>
        <v>0.70543462863940765</v>
      </c>
      <c r="F25" s="8">
        <f t="shared" si="13"/>
        <v>0.95060639498847566</v>
      </c>
      <c r="G25" s="8">
        <f t="shared" si="13"/>
        <v>0.90166894755516813</v>
      </c>
      <c r="H25" s="8">
        <f t="shared" si="13"/>
        <v>0.86901710865811888</v>
      </c>
      <c r="I25" s="8"/>
      <c r="J25" s="8"/>
      <c r="K25" s="8" t="e">
        <f t="shared" ref="K25:P25" si="14">(ABS(K23-$B$25)/$B$25)*100</f>
        <v>#DIV/0!</v>
      </c>
      <c r="L25" s="8">
        <f t="shared" si="14"/>
        <v>100</v>
      </c>
      <c r="M25" s="8" t="e">
        <f t="shared" si="14"/>
        <v>#DIV/0!</v>
      </c>
      <c r="N25" s="8" t="e">
        <f t="shared" si="14"/>
        <v>#DIV/0!</v>
      </c>
      <c r="O25" s="8" t="e">
        <f t="shared" si="14"/>
        <v>#DIV/0!</v>
      </c>
      <c r="P25" s="8" t="e">
        <f t="shared" si="14"/>
        <v>#DIV/0!</v>
      </c>
    </row>
    <row r="27" spans="1:16">
      <c r="A27" s="6" t="s">
        <v>90</v>
      </c>
      <c r="C27" s="7">
        <f>0.0149</f>
        <v>1.49E-2</v>
      </c>
      <c r="D27" s="7">
        <f t="shared" ref="D27:H27" si="15">0.0149</f>
        <v>1.49E-2</v>
      </c>
      <c r="E27" s="7">
        <f t="shared" si="15"/>
        <v>1.49E-2</v>
      </c>
      <c r="F27" s="7">
        <f t="shared" si="15"/>
        <v>1.49E-2</v>
      </c>
      <c r="G27" s="7">
        <f t="shared" si="15"/>
        <v>1.49E-2</v>
      </c>
      <c r="H27" s="7">
        <f t="shared" si="15"/>
        <v>1.49E-2</v>
      </c>
      <c r="I27" s="7"/>
      <c r="J27" s="7"/>
    </row>
    <row r="28" spans="1:16">
      <c r="A28" s="6" t="s">
        <v>91</v>
      </c>
      <c r="C28" s="8">
        <f t="shared" ref="C28:H28" si="16">C27/$B$6</f>
        <v>6.1266447368421052E-4</v>
      </c>
      <c r="D28" s="8">
        <f t="shared" si="16"/>
        <v>6.1266447368421052E-4</v>
      </c>
      <c r="E28" s="8">
        <f t="shared" si="16"/>
        <v>6.1266447368421052E-4</v>
      </c>
      <c r="F28" s="8">
        <f t="shared" si="16"/>
        <v>6.1266447368421052E-4</v>
      </c>
      <c r="G28" s="8">
        <f t="shared" si="16"/>
        <v>6.1266447368421052E-4</v>
      </c>
      <c r="H28" s="8">
        <f t="shared" si="16"/>
        <v>6.1266447368421052E-4</v>
      </c>
      <c r="I28" s="8"/>
      <c r="J28" s="8"/>
    </row>
    <row r="29" spans="1:16">
      <c r="A29" s="6" t="s">
        <v>92</v>
      </c>
      <c r="C29" s="8">
        <f t="shared" ref="C29:H29" si="17">C28/C21</f>
        <v>0.29504950495049503</v>
      </c>
      <c r="D29" s="8">
        <f t="shared" si="17"/>
        <v>0.29504950495049503</v>
      </c>
      <c r="E29" s="8">
        <f t="shared" si="17"/>
        <v>0.29504950495049509</v>
      </c>
      <c r="F29" s="8">
        <f t="shared" si="17"/>
        <v>0.29432098765432096</v>
      </c>
      <c r="G29" s="8">
        <f t="shared" si="17"/>
        <v>0.2944664031620553</v>
      </c>
      <c r="H29" s="8">
        <f t="shared" si="17"/>
        <v>0.29456342668863267</v>
      </c>
      <c r="I29" s="8"/>
      <c r="J29" s="8"/>
    </row>
    <row r="30" spans="1:16">
      <c r="A30" s="6" t="s">
        <v>93</v>
      </c>
      <c r="B30" s="7">
        <v>0.29399999999999998</v>
      </c>
    </row>
    <row r="31" spans="1:16">
      <c r="A31" s="6" t="s">
        <v>94</v>
      </c>
      <c r="B31" s="7">
        <f>B30</f>
        <v>0.29399999999999998</v>
      </c>
      <c r="C31" s="8">
        <f t="shared" ref="C31:H31" si="18">ABS($B$31-C29)/$B$31*100</f>
        <v>0.35697447295750018</v>
      </c>
      <c r="D31" s="8">
        <f t="shared" si="18"/>
        <v>0.35697447295750018</v>
      </c>
      <c r="E31" s="8">
        <f t="shared" si="18"/>
        <v>0.35697447295751905</v>
      </c>
      <c r="F31" s="8">
        <f t="shared" si="18"/>
        <v>0.10917947425883712</v>
      </c>
      <c r="G31" s="8">
        <f t="shared" si="18"/>
        <v>0.15864053131133257</v>
      </c>
      <c r="H31" s="8">
        <f t="shared" si="18"/>
        <v>0.19164173082744368</v>
      </c>
      <c r="I31" s="8"/>
      <c r="J31" s="8"/>
    </row>
    <row r="33" spans="1:11">
      <c r="A33" s="6" t="s">
        <v>79</v>
      </c>
      <c r="B33" s="15" t="s">
        <v>97</v>
      </c>
    </row>
    <row r="34" spans="1:11">
      <c r="A34" s="6" t="s">
        <v>77</v>
      </c>
    </row>
    <row r="35" spans="1:11">
      <c r="A35" s="6" t="s">
        <v>82</v>
      </c>
    </row>
    <row r="36" spans="1:11">
      <c r="A36" s="6" t="s">
        <v>63</v>
      </c>
    </row>
    <row r="37" spans="1:11">
      <c r="A37" s="6" t="s">
        <v>64</v>
      </c>
    </row>
    <row r="38" spans="1:11">
      <c r="A38" s="6" t="s">
        <v>83</v>
      </c>
    </row>
    <row r="39" spans="1:11">
      <c r="A39" s="6" t="s">
        <v>78</v>
      </c>
    </row>
    <row r="40" spans="1:11">
      <c r="A40" s="6" t="s">
        <v>80</v>
      </c>
      <c r="C40" s="10"/>
      <c r="D40" s="10"/>
      <c r="E40" s="10"/>
      <c r="F40" s="10"/>
      <c r="G40" s="10"/>
      <c r="H40" s="10"/>
    </row>
    <row r="41" spans="1:11">
      <c r="A41" s="6" t="s">
        <v>81</v>
      </c>
      <c r="B41" s="7"/>
    </row>
    <row r="42" spans="1:11">
      <c r="A42" s="6" t="s">
        <v>21</v>
      </c>
    </row>
    <row r="45" spans="1:11">
      <c r="A45" s="6" t="s">
        <v>79</v>
      </c>
      <c r="B45" s="15" t="s">
        <v>98</v>
      </c>
      <c r="F45" s="12"/>
      <c r="G45" s="11"/>
      <c r="H45" s="11"/>
      <c r="I45" s="12"/>
      <c r="J45" s="13" t="s">
        <v>84</v>
      </c>
      <c r="K45" s="13" t="s">
        <v>85</v>
      </c>
    </row>
    <row r="46" spans="1:11">
      <c r="A46" s="6" t="s">
        <v>77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13">
        <v>8</v>
      </c>
      <c r="J46" s="13">
        <v>13</v>
      </c>
      <c r="K46" s="13">
        <v>13</v>
      </c>
    </row>
    <row r="47" spans="1:11">
      <c r="A47" s="6" t="s">
        <v>82</v>
      </c>
      <c r="C47" s="8">
        <f t="shared" ref="C47:H47" si="19">$B$10*C46</f>
        <v>26.06</v>
      </c>
      <c r="D47" s="8">
        <f t="shared" si="19"/>
        <v>26.06</v>
      </c>
      <c r="E47" s="8">
        <f t="shared" si="19"/>
        <v>26.06</v>
      </c>
      <c r="F47" s="8">
        <f t="shared" si="19"/>
        <v>26.06</v>
      </c>
      <c r="G47" s="8">
        <f t="shared" si="19"/>
        <v>26.06</v>
      </c>
      <c r="H47" s="8">
        <f t="shared" si="19"/>
        <v>26.06</v>
      </c>
      <c r="I47" s="13">
        <f>$B$8*I46</f>
        <v>201.36</v>
      </c>
      <c r="J47" s="13">
        <f>$B$8*J46</f>
        <v>327.21000000000004</v>
      </c>
      <c r="K47" s="13">
        <f>$B$8*K46</f>
        <v>327.21000000000004</v>
      </c>
    </row>
    <row r="48" spans="1:11">
      <c r="A48" s="6" t="s">
        <v>63</v>
      </c>
      <c r="C48" s="7">
        <v>2</v>
      </c>
      <c r="D48" s="7">
        <v>4</v>
      </c>
      <c r="E48" s="7">
        <v>6</v>
      </c>
      <c r="F48" s="7">
        <v>8</v>
      </c>
      <c r="G48" s="7">
        <v>10</v>
      </c>
      <c r="H48" s="7">
        <v>12</v>
      </c>
      <c r="I48" s="13">
        <v>8</v>
      </c>
      <c r="J48" s="13">
        <v>12</v>
      </c>
      <c r="K48" s="13">
        <v>12</v>
      </c>
    </row>
    <row r="49" spans="1:11">
      <c r="A49" s="6" t="s">
        <v>64</v>
      </c>
      <c r="C49" s="8">
        <f>$B$9*C48</f>
        <v>48.64</v>
      </c>
      <c r="D49" s="8">
        <f t="shared" ref="D49:K49" si="20">$B$9*D48</f>
        <v>97.28</v>
      </c>
      <c r="E49" s="8">
        <f t="shared" si="20"/>
        <v>145.92000000000002</v>
      </c>
      <c r="F49" s="8">
        <f t="shared" si="20"/>
        <v>194.56</v>
      </c>
      <c r="G49" s="8">
        <f t="shared" si="20"/>
        <v>243.2</v>
      </c>
      <c r="H49" s="8">
        <f t="shared" si="20"/>
        <v>291.84000000000003</v>
      </c>
      <c r="I49" s="13">
        <f t="shared" si="20"/>
        <v>194.56</v>
      </c>
      <c r="J49" s="13">
        <f t="shared" si="20"/>
        <v>291.84000000000003</v>
      </c>
      <c r="K49" s="13">
        <f t="shared" si="20"/>
        <v>291.84000000000003</v>
      </c>
    </row>
    <row r="50" spans="1:11">
      <c r="A50" s="6" t="s">
        <v>83</v>
      </c>
      <c r="C50" s="8">
        <f>C49*$B$6/1000000</f>
        <v>1.1829248E-3</v>
      </c>
      <c r="D50" s="8">
        <f t="shared" ref="D50:I50" si="21">D49*$B$6/1000000</f>
        <v>2.3658495999999999E-3</v>
      </c>
      <c r="E50" s="8">
        <f t="shared" si="21"/>
        <v>3.5487744000000003E-3</v>
      </c>
      <c r="F50" s="8">
        <f t="shared" si="21"/>
        <v>4.7316991999999999E-3</v>
      </c>
      <c r="G50" s="8">
        <f t="shared" si="21"/>
        <v>5.9146239999999994E-3</v>
      </c>
      <c r="H50" s="8">
        <f t="shared" si="21"/>
        <v>7.0975488000000007E-3</v>
      </c>
      <c r="I50" s="13">
        <f t="shared" si="21"/>
        <v>4.7316991999999999E-3</v>
      </c>
      <c r="J50" s="13">
        <f>J49*7/1000000</f>
        <v>2.04288E-3</v>
      </c>
      <c r="K50" s="13">
        <f>K49*7/1000000</f>
        <v>2.04288E-3</v>
      </c>
    </row>
    <row r="51" spans="1:11">
      <c r="A51" s="6" t="s">
        <v>78</v>
      </c>
      <c r="C51" s="7">
        <v>9.5799999999999996E-2</v>
      </c>
      <c r="D51" s="7">
        <v>4.7899999999999998E-2</v>
      </c>
      <c r="E51" s="7">
        <v>3.1899999999999998E-2</v>
      </c>
      <c r="F51" s="7">
        <v>2.3900000000000001E-2</v>
      </c>
      <c r="G51" s="7">
        <v>1.9199999999999998E-2</v>
      </c>
      <c r="H51" s="7">
        <v>1.6E-2</v>
      </c>
      <c r="I51" s="13">
        <v>7.9950000000000004E-3</v>
      </c>
      <c r="J51" s="13">
        <v>3.8699999999999998E-2</v>
      </c>
      <c r="K51" s="13">
        <v>3.85E-2</v>
      </c>
    </row>
    <row r="52" spans="1:11">
      <c r="A52" s="6" t="s">
        <v>80</v>
      </c>
      <c r="C52" s="10">
        <f t="shared" ref="C52:I52" si="22">($E$1*(C47/1000)/(C50*C51/1000))/(10^6)</f>
        <v>2299.5971695924104</v>
      </c>
      <c r="D52" s="10">
        <f t="shared" si="22"/>
        <v>2299.5971695924104</v>
      </c>
      <c r="E52" s="10">
        <f t="shared" si="22"/>
        <v>2302.000092444649</v>
      </c>
      <c r="F52" s="10">
        <f t="shared" si="22"/>
        <v>2304.4080423321439</v>
      </c>
      <c r="G52" s="10">
        <f t="shared" si="22"/>
        <v>2294.8063421557604</v>
      </c>
      <c r="H52" s="10">
        <f t="shared" si="22"/>
        <v>2294.8063421557595</v>
      </c>
      <c r="I52" s="14">
        <f t="shared" si="22"/>
        <v>53227.688455301875</v>
      </c>
      <c r="J52" s="14">
        <f>($E$1*(J47/1000)/(J50*J51/1000))/(10^6)</f>
        <v>41387.838540148827</v>
      </c>
      <c r="K52" s="14">
        <f>($E$1*(K47/1000)/(K50*K51/1000))/(10^6)</f>
        <v>41602.840298798947</v>
      </c>
    </row>
    <row r="53" spans="1:11">
      <c r="A53" s="6" t="s">
        <v>81</v>
      </c>
      <c r="B53" s="7">
        <v>2293.9</v>
      </c>
      <c r="I53" s="13"/>
      <c r="J53" s="13"/>
      <c r="K53" s="13"/>
    </row>
    <row r="54" spans="1:11">
      <c r="A54" s="6" t="s">
        <v>21</v>
      </c>
      <c r="C54" s="8">
        <f t="shared" ref="C54:H54" si="23">ABS($B$53-C52)/C52*100</f>
        <v>0.24774641697006905</v>
      </c>
      <c r="D54" s="8">
        <f t="shared" si="23"/>
        <v>0.24774641697006905</v>
      </c>
      <c r="E54" s="8">
        <f t="shared" si="23"/>
        <v>0.3518719426308482</v>
      </c>
      <c r="F54" s="8">
        <f t="shared" si="23"/>
        <v>0.45599746829165044</v>
      </c>
      <c r="G54" s="8">
        <f t="shared" si="23"/>
        <v>3.9495365648539199E-2</v>
      </c>
      <c r="H54" s="8">
        <f t="shared" si="23"/>
        <v>3.9495365648499585E-2</v>
      </c>
      <c r="I54" s="13" t="e">
        <f>ABS($B$41-I52)/$B$41*100</f>
        <v>#DIV/0!</v>
      </c>
      <c r="J54" s="13" t="e">
        <f>ABS($B$41-J52)/$B$41*100</f>
        <v>#DIV/0!</v>
      </c>
      <c r="K54" s="13" t="e">
        <f>ABS($B$41-K52)/$B$41*100</f>
        <v>#DIV/0!</v>
      </c>
    </row>
    <row r="55" spans="1:11">
      <c r="C55" s="8"/>
      <c r="D55" s="8"/>
      <c r="E55" s="8"/>
      <c r="F55" s="8"/>
      <c r="G55" s="8"/>
      <c r="H55" s="8"/>
      <c r="I55" s="13"/>
      <c r="J55" s="13"/>
      <c r="K55" s="13"/>
    </row>
    <row r="56" spans="1:11">
      <c r="A56" s="6" t="s">
        <v>73</v>
      </c>
      <c r="C56" s="7">
        <v>1.2699999999999999E-2</v>
      </c>
      <c r="D56" s="7">
        <v>1.2699999999999999E-2</v>
      </c>
      <c r="E56" s="7">
        <v>1.2699999999999999E-2</v>
      </c>
      <c r="F56" s="7">
        <v>1.2699999999999999E-2</v>
      </c>
      <c r="G56" s="7">
        <v>1.2699999999999999E-2</v>
      </c>
      <c r="H56" s="7">
        <v>1.2699999999999999E-2</v>
      </c>
    </row>
    <row r="57" spans="1:11">
      <c r="A57" s="6" t="s">
        <v>71</v>
      </c>
      <c r="C57" s="8">
        <f t="shared" ref="C57:H57" si="24">C51/C47</f>
        <v>3.676132003069839E-3</v>
      </c>
      <c r="D57" s="8">
        <f t="shared" si="24"/>
        <v>1.8380660015349195E-3</v>
      </c>
      <c r="E57" s="8">
        <f t="shared" si="24"/>
        <v>1.2240982348426708E-3</v>
      </c>
      <c r="F57" s="8">
        <f t="shared" si="24"/>
        <v>9.1711435149654651E-4</v>
      </c>
      <c r="G57" s="8">
        <f t="shared" si="24"/>
        <v>7.367613200306984E-4</v>
      </c>
      <c r="H57" s="8">
        <f t="shared" si="24"/>
        <v>6.1396776669224874E-4</v>
      </c>
    </row>
    <row r="58" spans="1:11">
      <c r="A58" s="6" t="s">
        <v>86</v>
      </c>
      <c r="C58" s="8">
        <f t="shared" ref="C58:H58" si="25">C56/C49</f>
        <v>2.6110197368421054E-4</v>
      </c>
      <c r="D58" s="8">
        <f t="shared" si="25"/>
        <v>1.3055098684210527E-4</v>
      </c>
      <c r="E58" s="8">
        <f t="shared" si="25"/>
        <v>8.7033991228070156E-5</v>
      </c>
      <c r="F58" s="8">
        <f t="shared" si="25"/>
        <v>6.5275493421052634E-5</v>
      </c>
      <c r="G58" s="8">
        <f t="shared" si="25"/>
        <v>5.2220394736842108E-5</v>
      </c>
      <c r="H58" s="8">
        <f t="shared" si="25"/>
        <v>4.3516995614035078E-5</v>
      </c>
    </row>
    <row r="59" spans="1:11">
      <c r="A59" s="6" t="s">
        <v>87</v>
      </c>
      <c r="C59" s="8">
        <f t="shared" ref="C59:H59" si="26">C58/C57</f>
        <v>7.1026278018899019E-2</v>
      </c>
      <c r="D59" s="8">
        <f t="shared" si="26"/>
        <v>7.1026278018899019E-2</v>
      </c>
      <c r="E59" s="8">
        <f t="shared" si="26"/>
        <v>7.1100495655282384E-2</v>
      </c>
      <c r="F59" s="8">
        <f t="shared" si="26"/>
        <v>7.1174868558687515E-2</v>
      </c>
      <c r="G59" s="8">
        <f t="shared" si="26"/>
        <v>7.0878306606359659E-2</v>
      </c>
      <c r="H59" s="8">
        <f t="shared" si="26"/>
        <v>7.0878306606359617E-2</v>
      </c>
    </row>
    <row r="60" spans="1:11">
      <c r="A60" s="6" t="s">
        <v>88</v>
      </c>
      <c r="B60" s="7">
        <v>7.1199999999999999E-2</v>
      </c>
    </row>
    <row r="61" spans="1:11">
      <c r="A61" s="6" t="s">
        <v>89</v>
      </c>
      <c r="B61" s="6">
        <f>B60</f>
        <v>7.1199999999999999E-2</v>
      </c>
      <c r="C61" s="8">
        <f t="shared" ref="C61:H61" si="27">(ABS(C59-$B$61)/$B$61)*100</f>
        <v>0.24399154649014035</v>
      </c>
      <c r="D61" s="8">
        <f t="shared" si="27"/>
        <v>0.24399154649014035</v>
      </c>
      <c r="E61" s="8">
        <f t="shared" si="27"/>
        <v>0.13975329314271887</v>
      </c>
      <c r="F61" s="8">
        <f t="shared" si="27"/>
        <v>3.5296968135511565E-2</v>
      </c>
      <c r="G61" s="8">
        <f t="shared" si="27"/>
        <v>0.45181656410160176</v>
      </c>
      <c r="H61" s="8">
        <f t="shared" si="27"/>
        <v>0.45181656410166021</v>
      </c>
    </row>
    <row r="63" spans="1:11">
      <c r="A63" s="6" t="s">
        <v>90</v>
      </c>
      <c r="C63" s="7">
        <f>7.71*10^(-3)</f>
        <v>7.7099999999999998E-3</v>
      </c>
      <c r="D63" s="7">
        <f>3.985*10^(-3)</f>
        <v>3.9849999999999998E-3</v>
      </c>
      <c r="E63" s="7">
        <f>2.657*10^(-3)</f>
        <v>2.6570000000000001E-3</v>
      </c>
      <c r="F63" s="7">
        <f>1.993*10^(-3)</f>
        <v>1.993E-3</v>
      </c>
      <c r="G63" s="7">
        <f>1.594*10^(-3)</f>
        <v>1.5940000000000001E-3</v>
      </c>
      <c r="H63" s="7">
        <f>0.001328</f>
        <v>1.328E-3</v>
      </c>
      <c r="I63" s="12"/>
      <c r="J63" s="12"/>
    </row>
    <row r="64" spans="1:11">
      <c r="A64" s="6" t="s">
        <v>91</v>
      </c>
      <c r="C64" s="8">
        <f t="shared" ref="C64:H64" si="28">C63/$B$6</f>
        <v>3.1702302631578949E-4</v>
      </c>
      <c r="D64" s="8">
        <f t="shared" si="28"/>
        <v>1.6385690789473683E-4</v>
      </c>
      <c r="E64" s="8">
        <f t="shared" si="28"/>
        <v>1.0925164473684211E-4</v>
      </c>
      <c r="F64" s="8">
        <f t="shared" si="28"/>
        <v>8.1949013157894734E-5</v>
      </c>
      <c r="G64" s="8">
        <f t="shared" si="28"/>
        <v>6.5542763157894738E-5</v>
      </c>
      <c r="H64" s="8">
        <f t="shared" si="28"/>
        <v>5.4605263157894737E-5</v>
      </c>
      <c r="I64" s="12"/>
      <c r="J64" s="12"/>
    </row>
    <row r="65" spans="1:10">
      <c r="A65" s="6" t="s">
        <v>99</v>
      </c>
      <c r="C65" s="8">
        <f t="shared" ref="C65:H65" si="29">C64/C57</f>
        <v>8.6238205279639601E-2</v>
      </c>
      <c r="D65" s="8">
        <f t="shared" si="29"/>
        <v>8.9146367844192942E-2</v>
      </c>
      <c r="E65" s="8">
        <f t="shared" si="29"/>
        <v>8.9250716672166316E-2</v>
      </c>
      <c r="F65" s="8">
        <f t="shared" si="29"/>
        <v>8.9355283803127059E-2</v>
      </c>
      <c r="G65" s="8">
        <f t="shared" si="29"/>
        <v>8.8960646244517549E-2</v>
      </c>
      <c r="H65" s="8">
        <f t="shared" si="29"/>
        <v>8.8938322368421044E-2</v>
      </c>
      <c r="I65" s="12"/>
      <c r="J65" s="12"/>
    </row>
    <row r="66" spans="1:10">
      <c r="A66" s="6" t="s">
        <v>100</v>
      </c>
      <c r="B66" s="7">
        <v>0.11600000000000001</v>
      </c>
      <c r="I66" s="12"/>
      <c r="J66" s="12"/>
    </row>
    <row r="67" spans="1:10">
      <c r="A67" s="6" t="s">
        <v>101</v>
      </c>
      <c r="B67" s="7">
        <f>B66</f>
        <v>0.11600000000000001</v>
      </c>
      <c r="C67" s="8">
        <f t="shared" ref="C67:H67" si="30">ABS($B$67-C65)/C65*100</f>
        <v>34.511148073934947</v>
      </c>
      <c r="D67" s="8">
        <f t="shared" si="30"/>
        <v>30.12308050816041</v>
      </c>
      <c r="E67" s="8">
        <f t="shared" si="30"/>
        <v>29.970945136595983</v>
      </c>
      <c r="F67" s="8">
        <f t="shared" si="30"/>
        <v>29.818847932460478</v>
      </c>
      <c r="G67" s="8">
        <f t="shared" si="30"/>
        <v>30.394736208594971</v>
      </c>
      <c r="H67" s="8">
        <f t="shared" si="30"/>
        <v>30.427465811056987</v>
      </c>
      <c r="I67" s="12"/>
      <c r="J67" s="12"/>
    </row>
    <row r="71" spans="1:10">
      <c r="A71" s="6" t="s">
        <v>102</v>
      </c>
      <c r="B71" s="15" t="s">
        <v>98</v>
      </c>
      <c r="F71" s="12"/>
      <c r="G71" s="11"/>
      <c r="H71" s="11"/>
    </row>
    <row r="72" spans="1:10">
      <c r="A72" s="6" t="s">
        <v>77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2</v>
      </c>
    </row>
    <row r="73" spans="1:10">
      <c r="A73" s="6" t="s">
        <v>82</v>
      </c>
      <c r="C73" s="8">
        <f t="shared" ref="C73:H73" si="31">$B$7*C72</f>
        <v>26.06</v>
      </c>
      <c r="D73" s="8">
        <f t="shared" si="31"/>
        <v>26.06</v>
      </c>
      <c r="E73" s="8">
        <f t="shared" si="31"/>
        <v>26.06</v>
      </c>
      <c r="F73" s="8">
        <f t="shared" si="31"/>
        <v>26.06</v>
      </c>
      <c r="G73" s="8">
        <f t="shared" si="31"/>
        <v>26.06</v>
      </c>
      <c r="H73" s="8">
        <f t="shared" si="31"/>
        <v>26.06</v>
      </c>
    </row>
    <row r="74" spans="1:10">
      <c r="A74" s="6" t="s">
        <v>63</v>
      </c>
      <c r="C74" s="7">
        <v>2</v>
      </c>
      <c r="D74" s="7">
        <v>4</v>
      </c>
      <c r="E74" s="7">
        <v>6</v>
      </c>
      <c r="F74" s="7">
        <v>8</v>
      </c>
      <c r="G74" s="7">
        <v>10</v>
      </c>
      <c r="H74" s="7">
        <v>12</v>
      </c>
    </row>
    <row r="75" spans="1:10">
      <c r="A75" s="6" t="s">
        <v>64</v>
      </c>
      <c r="C75" s="8">
        <f t="shared" ref="C75:H75" si="32">$B$9*C74</f>
        <v>48.64</v>
      </c>
      <c r="D75" s="8">
        <f t="shared" si="32"/>
        <v>97.28</v>
      </c>
      <c r="E75" s="8">
        <f t="shared" si="32"/>
        <v>145.92000000000002</v>
      </c>
      <c r="F75" s="8">
        <f t="shared" si="32"/>
        <v>194.56</v>
      </c>
      <c r="G75" s="8">
        <f t="shared" si="32"/>
        <v>243.2</v>
      </c>
      <c r="H75" s="8">
        <f t="shared" si="32"/>
        <v>291.84000000000003</v>
      </c>
    </row>
    <row r="76" spans="1:10">
      <c r="A76" s="6" t="s">
        <v>103</v>
      </c>
      <c r="C76" s="8">
        <f t="shared" ref="C76:H76" si="33">C73*C75/1000000</f>
        <v>1.2675583999999999E-3</v>
      </c>
      <c r="D76" s="8">
        <f t="shared" si="33"/>
        <v>2.5351167999999999E-3</v>
      </c>
      <c r="E76" s="8">
        <f t="shared" si="33"/>
        <v>3.8026752000000002E-3</v>
      </c>
      <c r="F76" s="8">
        <f t="shared" si="33"/>
        <v>5.0702335999999997E-3</v>
      </c>
      <c r="G76" s="8">
        <f t="shared" si="33"/>
        <v>6.3377919999999992E-3</v>
      </c>
      <c r="H76" s="8">
        <f t="shared" si="33"/>
        <v>7.6053504000000004E-3</v>
      </c>
    </row>
    <row r="77" spans="1:10">
      <c r="A77" s="6" t="s">
        <v>104</v>
      </c>
      <c r="C77" s="7">
        <v>0.87</v>
      </c>
      <c r="D77" s="7">
        <f>0.435</f>
        <v>0.435</v>
      </c>
      <c r="E77" s="7">
        <v>0.28999999999999998</v>
      </c>
      <c r="F77" s="7">
        <f>0.218</f>
        <v>0.218</v>
      </c>
      <c r="G77" s="7">
        <f>0.174</f>
        <v>0.17399999999999999</v>
      </c>
      <c r="H77" s="7">
        <f>0.145</f>
        <v>0.14499999999999999</v>
      </c>
    </row>
    <row r="78" spans="1:10">
      <c r="A78" s="6" t="s">
        <v>95</v>
      </c>
      <c r="C78" s="10">
        <f t="shared" ref="C78:H78" si="34">($E$1*($B$6/1000)/(C76*C77/1000))/(10^6)</f>
        <v>220.53439895554911</v>
      </c>
      <c r="D78" s="10">
        <f t="shared" si="34"/>
        <v>220.53439895554911</v>
      </c>
      <c r="E78" s="10">
        <f t="shared" si="34"/>
        <v>220.53439895554905</v>
      </c>
      <c r="F78" s="10">
        <f t="shared" si="34"/>
        <v>220.02858611390792</v>
      </c>
      <c r="G78" s="10">
        <f t="shared" si="34"/>
        <v>220.53439895554911</v>
      </c>
      <c r="H78" s="10">
        <f t="shared" si="34"/>
        <v>220.53439895554905</v>
      </c>
    </row>
    <row r="79" spans="1:10">
      <c r="A79" s="6" t="s">
        <v>96</v>
      </c>
      <c r="B79" s="7">
        <v>220.06</v>
      </c>
    </row>
    <row r="80" spans="1:10">
      <c r="A80" s="6" t="s">
        <v>21</v>
      </c>
      <c r="C80" s="8">
        <f t="shared" ref="C80:H80" si="35">ABS($B$79-C78)/C78*100</f>
        <v>0.21511336000000855</v>
      </c>
      <c r="D80" s="8">
        <f t="shared" si="35"/>
        <v>0.21511336000000855</v>
      </c>
      <c r="E80" s="8">
        <f t="shared" si="35"/>
        <v>0.21511335999998285</v>
      </c>
      <c r="F80" s="8">
        <f t="shared" si="35"/>
        <v>1.4277184000000446E-2</v>
      </c>
      <c r="G80" s="8">
        <f t="shared" si="35"/>
        <v>0.21511336000000855</v>
      </c>
      <c r="H80" s="8">
        <f t="shared" si="35"/>
        <v>0.21511335999998285</v>
      </c>
    </row>
    <row r="82" spans="1:8">
      <c r="A82" s="6" t="s">
        <v>73</v>
      </c>
      <c r="C82" s="7">
        <f>0.0149</f>
        <v>1.49E-2</v>
      </c>
      <c r="D82" s="7">
        <f>0.0149</f>
        <v>1.49E-2</v>
      </c>
      <c r="E82" s="7">
        <f t="shared" ref="E82:H82" si="36">0.0149</f>
        <v>1.49E-2</v>
      </c>
      <c r="F82" s="7">
        <f t="shared" si="36"/>
        <v>1.49E-2</v>
      </c>
      <c r="G82" s="7">
        <f>0.0149</f>
        <v>1.49E-2</v>
      </c>
      <c r="H82" s="7">
        <f t="shared" si="36"/>
        <v>1.49E-2</v>
      </c>
    </row>
    <row r="83" spans="1:8">
      <c r="A83" s="6" t="s">
        <v>105</v>
      </c>
      <c r="C83" s="8">
        <f t="shared" ref="C83:H83" si="37">C77/$B$6</f>
        <v>3.577302631578947E-2</v>
      </c>
      <c r="D83" s="8">
        <f t="shared" si="37"/>
        <v>1.7886513157894735E-2</v>
      </c>
      <c r="E83" s="8">
        <f t="shared" si="37"/>
        <v>1.1924342105263157E-2</v>
      </c>
      <c r="F83" s="8">
        <f t="shared" si="37"/>
        <v>8.9638157894736843E-3</v>
      </c>
      <c r="G83" s="8">
        <f t="shared" si="37"/>
        <v>7.1546052631578944E-3</v>
      </c>
      <c r="H83" s="8">
        <f t="shared" si="37"/>
        <v>5.9621710526315784E-3</v>
      </c>
    </row>
    <row r="84" spans="1:8">
      <c r="A84" s="6" t="s">
        <v>86</v>
      </c>
      <c r="C84" s="8">
        <f t="shared" ref="C84:H84" si="38">C82/C75</f>
        <v>3.0633223684210526E-4</v>
      </c>
      <c r="D84" s="8">
        <f t="shared" si="38"/>
        <v>1.5316611842105263E-4</v>
      </c>
      <c r="E84" s="8">
        <f t="shared" si="38"/>
        <v>1.0211074561403508E-4</v>
      </c>
      <c r="F84" s="8">
        <f t="shared" si="38"/>
        <v>7.6583059210526315E-5</v>
      </c>
      <c r="G84" s="8">
        <f t="shared" si="38"/>
        <v>6.1266447368421055E-5</v>
      </c>
      <c r="H84" s="8">
        <f t="shared" si="38"/>
        <v>5.1055372807017541E-5</v>
      </c>
    </row>
    <row r="85" spans="1:8">
      <c r="A85" s="6" t="s">
        <v>106</v>
      </c>
      <c r="C85" s="8">
        <f t="shared" ref="C85:H85" si="39">C84/C83</f>
        <v>8.5632183908045979E-3</v>
      </c>
      <c r="D85" s="8">
        <f t="shared" si="39"/>
        <v>8.5632183908045979E-3</v>
      </c>
      <c r="E85" s="8">
        <f t="shared" si="39"/>
        <v>8.5632183908045979E-3</v>
      </c>
      <c r="F85" s="8">
        <f t="shared" si="39"/>
        <v>8.5435779816513766E-3</v>
      </c>
      <c r="G85" s="8">
        <f t="shared" si="39"/>
        <v>8.5632183908045979E-3</v>
      </c>
      <c r="H85" s="8">
        <f t="shared" si="39"/>
        <v>8.5632183908045979E-3</v>
      </c>
    </row>
    <row r="86" spans="1:8">
      <c r="A86" s="6" t="s">
        <v>107</v>
      </c>
      <c r="B86" s="7">
        <v>4.5999999999999999E-3</v>
      </c>
    </row>
    <row r="87" spans="1:8">
      <c r="A87" s="6" t="s">
        <v>108</v>
      </c>
      <c r="B87" s="6">
        <f>B86</f>
        <v>4.5999999999999999E-3</v>
      </c>
      <c r="C87" s="8">
        <f t="shared" ref="C87:H87" si="40">(ABS(C85-$B$87)/$B$87)*100</f>
        <v>86.156921539230396</v>
      </c>
      <c r="D87" s="8">
        <f t="shared" si="40"/>
        <v>86.156921539230396</v>
      </c>
      <c r="E87" s="8">
        <f t="shared" si="40"/>
        <v>86.156921539230396</v>
      </c>
      <c r="F87" s="8">
        <f t="shared" si="40"/>
        <v>85.729956122856024</v>
      </c>
      <c r="G87" s="8">
        <f t="shared" si="40"/>
        <v>86.156921539230396</v>
      </c>
      <c r="H87" s="8">
        <f t="shared" si="40"/>
        <v>86.156921539230396</v>
      </c>
    </row>
    <row r="89" spans="1:8">
      <c r="A89" s="6" t="s">
        <v>46</v>
      </c>
      <c r="C89" s="7">
        <f>7.971*10^(-3)</f>
        <v>7.9710000000000007E-3</v>
      </c>
      <c r="D89" s="7">
        <f>3.985*10^(-3)</f>
        <v>3.9849999999999998E-3</v>
      </c>
      <c r="E89" s="7">
        <f>2.657*10^(-3)</f>
        <v>2.6570000000000001E-3</v>
      </c>
      <c r="F89" s="7">
        <f>1.9993*10^(-3)</f>
        <v>1.9993000000000003E-3</v>
      </c>
      <c r="G89" s="7">
        <f>1.594*10^(-3)</f>
        <v>1.5940000000000001E-3</v>
      </c>
      <c r="H89" s="7">
        <f>1.328*10^(-3)</f>
        <v>1.3280000000000002E-3</v>
      </c>
    </row>
    <row r="90" spans="1:8">
      <c r="A90" s="6" t="s">
        <v>109</v>
      </c>
      <c r="C90" s="8">
        <f t="shared" ref="C90:H90" si="41">C89/C73</f>
        <v>3.0587106676899467E-4</v>
      </c>
      <c r="D90" s="8">
        <f t="shared" si="41"/>
        <v>1.5291634689178817E-4</v>
      </c>
      <c r="E90" s="8">
        <f t="shared" si="41"/>
        <v>1.0195702225633156E-4</v>
      </c>
      <c r="F90" s="8">
        <f t="shared" si="41"/>
        <v>7.6719109746738317E-5</v>
      </c>
      <c r="G90" s="8">
        <f t="shared" si="41"/>
        <v>6.1166538756715283E-5</v>
      </c>
      <c r="H90" s="8">
        <f t="shared" si="41"/>
        <v>5.0959324635456651E-5</v>
      </c>
    </row>
    <row r="91" spans="1:8">
      <c r="A91" s="6" t="s">
        <v>110</v>
      </c>
      <c r="C91" s="8">
        <f t="shared" ref="C91:H91" si="42">C90/C83</f>
        <v>8.5503268319792533E-3</v>
      </c>
      <c r="D91" s="8">
        <f t="shared" si="42"/>
        <v>8.5492541526627323E-3</v>
      </c>
      <c r="E91" s="8">
        <f t="shared" si="42"/>
        <v>8.5503268319792533E-3</v>
      </c>
      <c r="F91" s="8">
        <f t="shared" si="42"/>
        <v>8.5587557295443845E-3</v>
      </c>
      <c r="G91" s="8">
        <f t="shared" si="42"/>
        <v>8.5492541526627341E-3</v>
      </c>
      <c r="H91" s="8">
        <f t="shared" si="42"/>
        <v>8.5471087940296956E-3</v>
      </c>
    </row>
    <row r="92" spans="1:8">
      <c r="A92" s="6" t="s">
        <v>111</v>
      </c>
      <c r="B92" s="7">
        <v>4.5999999999999999E-3</v>
      </c>
    </row>
    <row r="93" spans="1:8">
      <c r="A93" s="6" t="s">
        <v>112</v>
      </c>
      <c r="B93" s="7">
        <f>B92</f>
        <v>4.5999999999999999E-3</v>
      </c>
      <c r="C93" s="8">
        <f t="shared" ref="C93:H93" si="43">ABS($B$93-C91)/$B$93*100</f>
        <v>85.87667026041855</v>
      </c>
      <c r="D93" s="8">
        <f t="shared" si="43"/>
        <v>85.853351144842009</v>
      </c>
      <c r="E93" s="8">
        <f t="shared" si="43"/>
        <v>85.87667026041855</v>
      </c>
      <c r="F93" s="8">
        <f t="shared" si="43"/>
        <v>86.059907164008365</v>
      </c>
      <c r="G93" s="8">
        <f t="shared" si="43"/>
        <v>85.853351144842051</v>
      </c>
      <c r="H93" s="8">
        <f t="shared" si="43"/>
        <v>85.80671291368904</v>
      </c>
    </row>
    <row r="100" spans="1:7">
      <c r="A100" s="6" t="s">
        <v>113</v>
      </c>
    </row>
    <row r="101" spans="1:7">
      <c r="A101" s="6" t="s">
        <v>114</v>
      </c>
      <c r="B101" s="6">
        <f>10*10^6</f>
        <v>10000000</v>
      </c>
    </row>
    <row r="102" spans="1:7">
      <c r="A102" s="6" t="s">
        <v>63</v>
      </c>
      <c r="C102" s="7">
        <v>2</v>
      </c>
      <c r="D102" s="7">
        <v>4</v>
      </c>
      <c r="E102" s="7">
        <v>8</v>
      </c>
      <c r="F102" s="7"/>
      <c r="G102" s="7"/>
    </row>
    <row r="103" spans="1:7">
      <c r="A103" s="6" t="s">
        <v>64</v>
      </c>
      <c r="C103" s="8">
        <f>$B$9*C102</f>
        <v>48.64</v>
      </c>
      <c r="D103" s="8">
        <f>$B$9*D102</f>
        <v>97.28</v>
      </c>
      <c r="E103" s="8">
        <f>$B$9*E102</f>
        <v>194.56</v>
      </c>
      <c r="F103" s="8"/>
      <c r="G103" s="8"/>
    </row>
    <row r="104" spans="1:7">
      <c r="A104" s="6" t="s">
        <v>115</v>
      </c>
      <c r="C104" s="8">
        <f>C103*$B$6/1000000</f>
        <v>1.1829248E-3</v>
      </c>
      <c r="D104" s="8">
        <f>D103*$B$6/1000000</f>
        <v>2.3658495999999999E-3</v>
      </c>
      <c r="E104" s="8">
        <f>E103*$B$6/1000000</f>
        <v>4.7316991999999999E-3</v>
      </c>
      <c r="F104" s="8"/>
      <c r="G104" s="8"/>
    </row>
    <row r="105" spans="1:7">
      <c r="A105" s="6" t="s">
        <v>77</v>
      </c>
      <c r="C105" s="7">
        <v>2</v>
      </c>
      <c r="D105" s="7">
        <v>8</v>
      </c>
      <c r="E105" s="7">
        <v>8</v>
      </c>
      <c r="F105" s="7"/>
      <c r="G105" s="7"/>
    </row>
    <row r="106" spans="1:7">
      <c r="A106" s="6" t="s">
        <v>82</v>
      </c>
      <c r="C106" s="8">
        <f>$B$10*C105</f>
        <v>26.06</v>
      </c>
      <c r="D106" s="8">
        <f>$B$10*D105</f>
        <v>104.24</v>
      </c>
      <c r="E106" s="8">
        <f>$B$10*E105</f>
        <v>104.24</v>
      </c>
      <c r="F106" s="8"/>
      <c r="G106" s="8"/>
    </row>
    <row r="107" spans="1:7">
      <c r="A107" s="6" t="s">
        <v>116</v>
      </c>
      <c r="C107" s="8">
        <f>$B$6*C106/1000000</f>
        <v>6.3377919999999996E-4</v>
      </c>
      <c r="D107" s="8">
        <f>$B$6*D106/1000000</f>
        <v>2.5351167999999999E-3</v>
      </c>
      <c r="E107" s="8">
        <f>$B$6*E106/1000000</f>
        <v>2.5351167999999999E-3</v>
      </c>
      <c r="F107" s="8"/>
      <c r="G107" s="8"/>
    </row>
    <row r="108" spans="1:7">
      <c r="A108" s="6" t="s">
        <v>117</v>
      </c>
      <c r="C108" s="8">
        <f>$B$101*C104</f>
        <v>11829.248</v>
      </c>
      <c r="D108" s="8">
        <f>$B$101*D104</f>
        <v>23658.495999999999</v>
      </c>
      <c r="E108" s="8">
        <f>$B$101*E104</f>
        <v>47316.991999999998</v>
      </c>
      <c r="F108" s="8"/>
      <c r="G108" s="8"/>
    </row>
    <row r="109" spans="1:7">
      <c r="A109" s="6" t="s">
        <v>118</v>
      </c>
      <c r="C109" s="8">
        <f>$B$101*C107</f>
        <v>6337.7919999999995</v>
      </c>
      <c r="D109" s="8">
        <f>$B$101*D107</f>
        <v>25351.167999999998</v>
      </c>
      <c r="E109" s="8">
        <f>$B$101*E107</f>
        <v>25351.167999999998</v>
      </c>
      <c r="F109" s="8"/>
      <c r="G109" s="8"/>
    </row>
    <row r="110" spans="1:7">
      <c r="A110" s="6" t="s">
        <v>119</v>
      </c>
      <c r="C110" s="8">
        <f>C106</f>
        <v>26.06</v>
      </c>
      <c r="D110" s="8">
        <f>D106</f>
        <v>104.24</v>
      </c>
      <c r="E110" s="8">
        <f>E106</f>
        <v>104.24</v>
      </c>
      <c r="F110" s="8"/>
      <c r="G110" s="8"/>
    </row>
    <row r="111" spans="1:7">
      <c r="A111" s="6" t="s">
        <v>120</v>
      </c>
      <c r="C111" s="7">
        <f>0.855</f>
        <v>0.85499999999999998</v>
      </c>
      <c r="D111" s="6">
        <v>1.718</v>
      </c>
      <c r="E111" s="6">
        <v>3.4390000000000001</v>
      </c>
    </row>
    <row r="112" spans="1:7">
      <c r="A112" s="6" t="s">
        <v>121</v>
      </c>
      <c r="C112" s="8">
        <f>C111/C103</f>
        <v>1.7578125E-2</v>
      </c>
      <c r="D112" s="8">
        <f>D111/D103</f>
        <v>1.7660361842105263E-2</v>
      </c>
      <c r="E112" s="8">
        <f>E111/E103</f>
        <v>1.7675781250000001E-2</v>
      </c>
      <c r="F112" s="8"/>
      <c r="G112" s="8"/>
    </row>
    <row r="113" spans="1:16">
      <c r="A113" s="6" t="s">
        <v>113</v>
      </c>
      <c r="C113" s="8">
        <f>($B$101/C112)/10^6</f>
        <v>568.8888888888888</v>
      </c>
      <c r="D113" s="8">
        <f>($B$101/D112)/10^6</f>
        <v>566.23981373690333</v>
      </c>
      <c r="E113" s="8">
        <f>($B$101/E112)/10^6</f>
        <v>565.74585635359108</v>
      </c>
      <c r="F113" s="8"/>
      <c r="G113" s="8"/>
    </row>
    <row r="114" spans="1:16">
      <c r="A114" s="6" t="s">
        <v>122</v>
      </c>
      <c r="B114" s="7">
        <v>555.20709999999997</v>
      </c>
    </row>
    <row r="115" spans="1:16">
      <c r="A115" s="6" t="s">
        <v>22</v>
      </c>
      <c r="C115" s="8">
        <f>ABS($B$114-C113)/$B$114*100</f>
        <v>2.4642676379478634</v>
      </c>
      <c r="D115" s="8">
        <f>ABS($B$114-D113)/$B$114*100</f>
        <v>1.9871348433590568</v>
      </c>
      <c r="E115" s="8">
        <f>ABS($B$114-E113)/$B$114*100</f>
        <v>1.8981667117713572</v>
      </c>
      <c r="F115" s="8"/>
      <c r="G115" s="8"/>
    </row>
    <row r="119" spans="1:16">
      <c r="A119" s="6" t="s">
        <v>125</v>
      </c>
    </row>
    <row r="120" spans="1:16">
      <c r="A120" s="6" t="s">
        <v>114</v>
      </c>
      <c r="B120" s="6">
        <f>10*10^6</f>
        <v>10000000</v>
      </c>
      <c r="H120" s="11"/>
    </row>
    <row r="121" spans="1:16">
      <c r="A121" s="6" t="s">
        <v>63</v>
      </c>
      <c r="C121" s="7">
        <v>2</v>
      </c>
      <c r="D121" s="7">
        <v>4</v>
      </c>
      <c r="E121" s="7">
        <v>6</v>
      </c>
      <c r="F121" s="7">
        <v>8</v>
      </c>
      <c r="G121" s="7">
        <v>12</v>
      </c>
      <c r="H121" s="7"/>
      <c r="I121" s="7"/>
      <c r="J121" s="7"/>
      <c r="K121" s="7"/>
      <c r="L121" s="7"/>
      <c r="M121" s="7"/>
      <c r="O121" s="7">
        <v>2</v>
      </c>
      <c r="P121" s="7">
        <v>2</v>
      </c>
    </row>
    <row r="122" spans="1:16">
      <c r="A122" s="6" t="s">
        <v>64</v>
      </c>
      <c r="C122" s="8">
        <f>$B$9*C121</f>
        <v>48.64</v>
      </c>
      <c r="D122" s="8">
        <f>$B$9*D121</f>
        <v>97.28</v>
      </c>
      <c r="E122" s="8">
        <f>$B$9*E121</f>
        <v>145.92000000000002</v>
      </c>
      <c r="F122" s="8">
        <f>$B$9*F121</f>
        <v>194.56</v>
      </c>
      <c r="G122" s="8">
        <f>$B$9*G121</f>
        <v>291.84000000000003</v>
      </c>
      <c r="H122" s="8"/>
      <c r="I122" s="8"/>
      <c r="J122" s="8"/>
      <c r="K122" s="8"/>
      <c r="L122" s="8"/>
      <c r="M122" s="8"/>
      <c r="O122" s="8">
        <f>$B$9*O121</f>
        <v>48.64</v>
      </c>
      <c r="P122" s="8">
        <f>$B$9*P121</f>
        <v>48.64</v>
      </c>
    </row>
    <row r="123" spans="1:16">
      <c r="A123" s="6" t="s">
        <v>115</v>
      </c>
      <c r="B123" s="4" t="s">
        <v>128</v>
      </c>
      <c r="C123" s="8">
        <f>C125*B6/1000000</f>
        <v>6.3377919999999996E-4</v>
      </c>
      <c r="D123" s="8">
        <f>D125*D122/1000000</f>
        <v>2.5351167999999999E-3</v>
      </c>
      <c r="E123" s="8">
        <f>E125*E122/1000000</f>
        <v>3.8026752000000002E-3</v>
      </c>
      <c r="F123" s="8">
        <f>F125*F122/1000000</f>
        <v>5.0702335999999997E-3</v>
      </c>
      <c r="G123" s="8">
        <f>G125*G122/1000000</f>
        <v>7.6053504000000004E-3</v>
      </c>
      <c r="H123" s="8"/>
      <c r="I123" s="8"/>
      <c r="J123" s="8"/>
      <c r="K123" s="8"/>
      <c r="L123" s="8"/>
      <c r="M123" s="8"/>
      <c r="O123" s="8">
        <f>O122*O125/1000000</f>
        <v>7.3456128000000008E-3</v>
      </c>
      <c r="P123" s="8">
        <f>P122*P125/1000000</f>
        <v>1.2242688E-2</v>
      </c>
    </row>
    <row r="124" spans="1:16">
      <c r="A124" s="6" t="s">
        <v>77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/>
      <c r="I124" s="7"/>
      <c r="J124" s="7"/>
      <c r="K124" s="7"/>
      <c r="L124" s="7"/>
      <c r="M124" s="7"/>
      <c r="O124" s="7">
        <v>6</v>
      </c>
      <c r="P124" s="7">
        <v>10</v>
      </c>
    </row>
    <row r="125" spans="1:16">
      <c r="A125" s="6" t="s">
        <v>82</v>
      </c>
      <c r="C125" s="8">
        <f>$B$10*C124</f>
        <v>26.06</v>
      </c>
      <c r="D125" s="8">
        <f>$B$10*D124</f>
        <v>26.06</v>
      </c>
      <c r="E125" s="8">
        <f>$B$10*E124</f>
        <v>26.06</v>
      </c>
      <c r="F125" s="8">
        <f>$B$10*F124</f>
        <v>26.06</v>
      </c>
      <c r="G125" s="8">
        <f>$B$10*G124</f>
        <v>26.06</v>
      </c>
      <c r="H125" s="8"/>
      <c r="I125" s="8"/>
      <c r="J125" s="8"/>
      <c r="K125" s="8"/>
      <c r="L125" s="8"/>
      <c r="M125" s="8"/>
      <c r="O125" s="8">
        <f>$B$8*O124</f>
        <v>151.02000000000001</v>
      </c>
      <c r="P125" s="8">
        <f>$B$8*P124</f>
        <v>251.70000000000002</v>
      </c>
    </row>
    <row r="126" spans="1:16">
      <c r="A126" s="6" t="s">
        <v>116</v>
      </c>
      <c r="C126" s="8">
        <f>C122*C125/1000000</f>
        <v>1.2675583999999999E-3</v>
      </c>
      <c r="D126" s="8">
        <f>D122*D125/1000000</f>
        <v>2.5351167999999999E-3</v>
      </c>
      <c r="E126" s="8">
        <f>E122*E125/1000000</f>
        <v>3.8026752000000002E-3</v>
      </c>
      <c r="F126" s="8">
        <f>F122*F125/1000000</f>
        <v>5.0702335999999997E-3</v>
      </c>
      <c r="G126" s="8">
        <f>G122*G125/1000000</f>
        <v>7.6053504000000004E-3</v>
      </c>
      <c r="H126" s="8"/>
      <c r="I126" s="8"/>
      <c r="J126" s="8"/>
      <c r="K126" s="8"/>
      <c r="L126" s="8"/>
      <c r="M126" s="8"/>
      <c r="O126" s="8">
        <f>$B$6*O125/1000000</f>
        <v>3.6728064000000004E-3</v>
      </c>
      <c r="P126" s="8">
        <f>$B$6*P125/1000000</f>
        <v>6.1213439999999999E-3</v>
      </c>
    </row>
    <row r="127" spans="1:16">
      <c r="A127" s="6" t="s">
        <v>117</v>
      </c>
      <c r="C127" s="8">
        <f>$B$101*C123</f>
        <v>6337.7919999999995</v>
      </c>
      <c r="D127" s="8">
        <f>$B$101*D123</f>
        <v>25351.167999999998</v>
      </c>
      <c r="E127" s="8">
        <f>$B$101*E123</f>
        <v>38026.752</v>
      </c>
      <c r="F127" s="8">
        <f>$B$101*F123</f>
        <v>50702.335999999996</v>
      </c>
      <c r="G127" s="8">
        <f>$B$101*G123</f>
        <v>76053.504000000001</v>
      </c>
      <c r="H127" s="8"/>
      <c r="I127" s="8"/>
      <c r="J127" s="8"/>
      <c r="K127" s="8"/>
      <c r="L127" s="8"/>
      <c r="M127" s="8"/>
      <c r="O127" s="8">
        <f>$B$101*O123</f>
        <v>73456.128000000012</v>
      </c>
      <c r="P127" s="8">
        <f>$B$101*P123</f>
        <v>122426.88</v>
      </c>
    </row>
    <row r="128" spans="1:16">
      <c r="A128" s="6" t="s">
        <v>118</v>
      </c>
      <c r="C128" s="8">
        <f>$B$101*C126</f>
        <v>12675.583999999999</v>
      </c>
      <c r="D128" s="8">
        <f>$B$101*D126</f>
        <v>25351.167999999998</v>
      </c>
      <c r="E128" s="8">
        <f>$B$101*E126</f>
        <v>38026.752</v>
      </c>
      <c r="F128" s="8">
        <f>$B$101*F126</f>
        <v>50702.335999999996</v>
      </c>
      <c r="G128" s="8">
        <f>$B$101*G126</f>
        <v>76053.504000000001</v>
      </c>
      <c r="H128" s="8"/>
      <c r="I128" s="8"/>
      <c r="J128" s="8"/>
      <c r="K128" s="8"/>
      <c r="L128" s="8"/>
      <c r="M128" s="8"/>
      <c r="O128" s="8">
        <f>$B$101*O126</f>
        <v>36728.064000000006</v>
      </c>
      <c r="P128" s="8">
        <f>$B$101*P126</f>
        <v>61213.440000000002</v>
      </c>
    </row>
    <row r="129" spans="1:16">
      <c r="A129" s="6" t="s">
        <v>119</v>
      </c>
      <c r="C129" s="8">
        <f>B6</f>
        <v>24.32</v>
      </c>
      <c r="D129" s="8">
        <f>D125</f>
        <v>26.06</v>
      </c>
      <c r="E129" s="8">
        <f>E125</f>
        <v>26.06</v>
      </c>
      <c r="F129" s="8">
        <f>F125</f>
        <v>26.06</v>
      </c>
      <c r="G129" s="8">
        <f>G125</f>
        <v>26.06</v>
      </c>
      <c r="H129" s="8"/>
      <c r="I129" s="8"/>
      <c r="J129" s="8"/>
      <c r="K129" s="8"/>
      <c r="L129" s="8"/>
      <c r="M129" s="8"/>
      <c r="O129" s="8">
        <f>O122</f>
        <v>48.64</v>
      </c>
      <c r="P129" s="8">
        <f>P122</f>
        <v>48.64</v>
      </c>
    </row>
    <row r="130" spans="1:16">
      <c r="A130" s="6" t="s">
        <v>120</v>
      </c>
      <c r="C130" s="7">
        <v>2.4289999999999998</v>
      </c>
      <c r="D130" s="7">
        <v>9.3840000000000003</v>
      </c>
      <c r="E130" s="7">
        <v>14.02</v>
      </c>
      <c r="F130" s="7">
        <v>18.670000000000002</v>
      </c>
      <c r="G130" s="7">
        <v>27.96</v>
      </c>
      <c r="H130" s="7"/>
      <c r="I130" s="7"/>
      <c r="J130" s="7"/>
      <c r="K130" s="7"/>
      <c r="L130" s="7"/>
      <c r="O130" s="7">
        <v>6.1840000000000002</v>
      </c>
      <c r="P130" s="7">
        <v>6.1820000000000004</v>
      </c>
    </row>
    <row r="131" spans="1:16">
      <c r="A131" s="6" t="s">
        <v>121</v>
      </c>
      <c r="B131" s="12"/>
      <c r="C131" s="8">
        <f>ATAN(C130/B6)</f>
        <v>9.9546517076162855E-2</v>
      </c>
      <c r="D131" s="8">
        <f>ATAN(D130/D122)</f>
        <v>9.6166268076249548E-2</v>
      </c>
      <c r="E131" s="8">
        <f>ATAN(E130/E122)</f>
        <v>9.5786020394603835E-2</v>
      </c>
      <c r="F131" s="8">
        <f>ATAN(F130/F122)</f>
        <v>9.5667187290736949E-2</v>
      </c>
      <c r="G131" s="8">
        <f>ATAN(G130/G122)</f>
        <v>9.5514397889562994E-2</v>
      </c>
      <c r="H131" s="8"/>
      <c r="I131" s="8"/>
      <c r="J131" s="8"/>
      <c r="K131" s="8"/>
      <c r="L131" s="8"/>
      <c r="M131" s="8"/>
      <c r="O131" s="8">
        <f>ATAN(O130/O122)</f>
        <v>0.12645970072598486</v>
      </c>
      <c r="P131" s="8">
        <f>ATAN(P130/P122)</f>
        <v>0.12641923616704734</v>
      </c>
    </row>
    <row r="132" spans="1:16">
      <c r="A132" s="6" t="s">
        <v>125</v>
      </c>
      <c r="B132" s="12"/>
      <c r="C132" s="8">
        <f>($B$101/C131)/10^6</f>
        <v>100.45554875967201</v>
      </c>
      <c r="D132" s="8">
        <f>($B$101/D131)/10^6</f>
        <v>103.98656618421619</v>
      </c>
      <c r="E132" s="8">
        <f>($B$101/E131)/10^6</f>
        <v>104.39936807901204</v>
      </c>
      <c r="F132" s="8">
        <f>($B$101/F131)/10^6</f>
        <v>104.52904787102754</v>
      </c>
      <c r="G132" s="8">
        <f>($B$101/G131)/10^6</f>
        <v>104.69625753765774</v>
      </c>
      <c r="H132" s="8"/>
      <c r="I132" s="8"/>
      <c r="J132" s="8"/>
      <c r="K132" s="8"/>
      <c r="L132" s="8"/>
      <c r="M132" s="8"/>
      <c r="O132" s="8">
        <f>($B$101/O131)/10^6</f>
        <v>79.076574929337994</v>
      </c>
      <c r="P132" s="8">
        <f>($B$101/P131)/10^6</f>
        <v>79.101885940730099</v>
      </c>
    </row>
    <row r="133" spans="1:16">
      <c r="A133" s="6" t="s">
        <v>126</v>
      </c>
      <c r="B133" s="20">
        <v>104.65479999999999</v>
      </c>
    </row>
    <row r="134" spans="1:16">
      <c r="A134" s="6" t="s">
        <v>22</v>
      </c>
      <c r="C134" s="8">
        <f>ABS($B$133-C132)/C132*100</f>
        <v>4.1802083530240752</v>
      </c>
      <c r="D134" s="8">
        <f>ABS($B$133-D132)/D132*100</f>
        <v>0.64261552266280786</v>
      </c>
      <c r="E134" s="8">
        <f>ABS($B$133-E132)/E132*100</f>
        <v>0.24466807193185519</v>
      </c>
      <c r="F134" s="8">
        <f>ABS($B$133-F132)/F132*100</f>
        <v>0.12030352474616358</v>
      </c>
      <c r="G134" s="8">
        <f>ABS($B$133-G132)/G132*100</f>
        <v>3.9597917473637646E-2</v>
      </c>
      <c r="H134" s="8"/>
      <c r="I134" s="8"/>
      <c r="J134" s="8"/>
      <c r="K134" s="8"/>
      <c r="L134" s="8"/>
      <c r="M134" s="8"/>
      <c r="O134" s="8">
        <f>ABS($B$133-O132)/$B$133*100</f>
        <v>24.440565622085181</v>
      </c>
      <c r="P134" s="8">
        <f>ABS($B$133-P132)/$B$133*100</f>
        <v>24.416380385104073</v>
      </c>
    </row>
    <row r="136" spans="1:16">
      <c r="D136" s="6">
        <v>8.7213115000000005</v>
      </c>
    </row>
    <row r="139" spans="1:16">
      <c r="A139" s="6" t="s">
        <v>123</v>
      </c>
    </row>
    <row r="140" spans="1:16">
      <c r="A140" s="6" t="s">
        <v>114</v>
      </c>
      <c r="B140" s="6">
        <f>10*10^6</f>
        <v>10000000</v>
      </c>
    </row>
    <row r="141" spans="1:16">
      <c r="A141" s="6" t="s">
        <v>63</v>
      </c>
      <c r="C141" s="7">
        <v>2</v>
      </c>
      <c r="D141" s="7">
        <v>4</v>
      </c>
      <c r="E141" s="7">
        <v>8</v>
      </c>
      <c r="F141" s="7">
        <v>12</v>
      </c>
      <c r="H141" s="6">
        <v>6</v>
      </c>
      <c r="I141" s="6">
        <v>6</v>
      </c>
      <c r="J141" s="6">
        <v>10</v>
      </c>
    </row>
    <row r="142" spans="1:16">
      <c r="A142" s="6" t="s">
        <v>64</v>
      </c>
      <c r="C142" s="8">
        <f>$B$9*C141</f>
        <v>48.64</v>
      </c>
      <c r="D142" s="8">
        <f>$B$9*D141</f>
        <v>97.28</v>
      </c>
      <c r="E142" s="8">
        <f>$B$9*E141</f>
        <v>194.56</v>
      </c>
      <c r="F142" s="8">
        <f>$B$9*F141</f>
        <v>291.84000000000003</v>
      </c>
      <c r="H142" s="6">
        <f>$B$9*H141</f>
        <v>145.92000000000002</v>
      </c>
      <c r="I142" s="6">
        <f>$B$9*I141</f>
        <v>145.92000000000002</v>
      </c>
      <c r="J142" s="6">
        <f>$B$9*J141</f>
        <v>243.2</v>
      </c>
    </row>
    <row r="143" spans="1:16">
      <c r="A143" s="6" t="s">
        <v>115</v>
      </c>
      <c r="C143" s="8">
        <f>C142*C146/1000000</f>
        <v>1.1829248E-3</v>
      </c>
      <c r="D143" s="8">
        <f>D142*D146/1000000</f>
        <v>9.4633983999999997E-3</v>
      </c>
      <c r="E143" s="8">
        <f>E142*E146/1000000</f>
        <v>3.7853593599999999E-2</v>
      </c>
      <c r="F143" s="8">
        <f>F142*F146/1000000</f>
        <v>8.5170585600000015E-2</v>
      </c>
      <c r="H143" s="6">
        <f>H142*H146/1000000</f>
        <v>1.3132800000000002E-2</v>
      </c>
      <c r="I143" s="6">
        <f>I142*I146/1000000</f>
        <v>4.3776000000000006E-3</v>
      </c>
      <c r="J143" s="6">
        <f>J142*B6/1000000</f>
        <v>5.9146239999999994E-3</v>
      </c>
    </row>
    <row r="144" spans="1:16">
      <c r="A144" s="6" t="s">
        <v>77</v>
      </c>
      <c r="C144" s="7">
        <v>2</v>
      </c>
      <c r="D144" s="7">
        <v>2</v>
      </c>
      <c r="E144" s="7">
        <v>2</v>
      </c>
      <c r="F144" s="7">
        <v>2</v>
      </c>
      <c r="H144" s="6">
        <v>2</v>
      </c>
      <c r="I144" s="6">
        <v>2</v>
      </c>
      <c r="J144" s="6">
        <v>2</v>
      </c>
    </row>
    <row r="145" spans="1:10">
      <c r="A145" s="6" t="s">
        <v>82</v>
      </c>
      <c r="C145" s="8">
        <f>B10*C144</f>
        <v>26.06</v>
      </c>
      <c r="D145" s="8">
        <f>$B$10*D144</f>
        <v>26.06</v>
      </c>
      <c r="E145" s="8">
        <f>$B$10*E144</f>
        <v>26.06</v>
      </c>
      <c r="F145" s="8">
        <f>$B$10*F144</f>
        <v>26.06</v>
      </c>
      <c r="H145" s="6">
        <f>$B$8*H144</f>
        <v>50.34</v>
      </c>
      <c r="I145" s="6">
        <f>$B$8*I144</f>
        <v>50.34</v>
      </c>
      <c r="J145" s="6">
        <f>$B$8*J144</f>
        <v>50.34</v>
      </c>
    </row>
    <row r="146" spans="1:10">
      <c r="A146" s="6" t="s">
        <v>124</v>
      </c>
      <c r="C146" s="7">
        <f>B6</f>
        <v>24.32</v>
      </c>
      <c r="D146" s="7">
        <f>D142</f>
        <v>97.28</v>
      </c>
      <c r="E146" s="7">
        <f>E142</f>
        <v>194.56</v>
      </c>
      <c r="F146" s="7">
        <f>F142</f>
        <v>291.84000000000003</v>
      </c>
      <c r="G146" s="6">
        <f>G145</f>
        <v>0</v>
      </c>
      <c r="H146" s="6">
        <v>90</v>
      </c>
      <c r="I146" s="6">
        <v>30</v>
      </c>
      <c r="J146" s="6">
        <v>30</v>
      </c>
    </row>
    <row r="147" spans="1:10">
      <c r="A147" s="6" t="s">
        <v>116</v>
      </c>
      <c r="C147" s="8">
        <f>C142*C145/1000000</f>
        <v>1.2675583999999999E-3</v>
      </c>
      <c r="D147" s="8">
        <f>D142*D145/1000000</f>
        <v>2.5351167999999999E-3</v>
      </c>
      <c r="E147" s="8">
        <f>E142*E145/1000000</f>
        <v>5.0702335999999997E-3</v>
      </c>
      <c r="F147" s="8">
        <f>F142*F145/1000000</f>
        <v>7.6053504000000004E-3</v>
      </c>
      <c r="H147" s="6">
        <f>H142*H145/1000000</f>
        <v>7.3456128000000016E-3</v>
      </c>
      <c r="I147" s="6">
        <f>I142*I145/1000000</f>
        <v>7.3456128000000016E-3</v>
      </c>
      <c r="J147" s="6">
        <f>J142*J145/1000000</f>
        <v>1.2242688E-2</v>
      </c>
    </row>
    <row r="148" spans="1:10">
      <c r="A148" s="6" t="s">
        <v>117</v>
      </c>
      <c r="C148" s="8">
        <f>$B$101*C143</f>
        <v>11829.248</v>
      </c>
      <c r="D148" s="8">
        <f>$B$101*D143</f>
        <v>94633.983999999997</v>
      </c>
      <c r="E148" s="8">
        <f>$B$101*E143</f>
        <v>378535.93599999999</v>
      </c>
      <c r="F148" s="8">
        <f>$B$101*F143</f>
        <v>851705.85600000015</v>
      </c>
      <c r="H148" s="6">
        <f>$B$101*H143</f>
        <v>131328.00000000003</v>
      </c>
      <c r="I148" s="6">
        <f>$B$101*I143</f>
        <v>43776.000000000007</v>
      </c>
      <c r="J148" s="6">
        <f>$B$101*J143</f>
        <v>59146.239999999991</v>
      </c>
    </row>
    <row r="149" spans="1:10">
      <c r="A149" s="6" t="s">
        <v>118</v>
      </c>
      <c r="C149" s="18">
        <f>$B$101*C147</f>
        <v>12675.583999999999</v>
      </c>
      <c r="D149" s="8">
        <f>$B$101*D147</f>
        <v>25351.167999999998</v>
      </c>
      <c r="E149" s="8">
        <f>$B$101*E147</f>
        <v>50702.335999999996</v>
      </c>
      <c r="F149" s="8">
        <f>$B$101*F147</f>
        <v>76053.504000000001</v>
      </c>
      <c r="H149" s="6">
        <f>$B$101*H147</f>
        <v>73456.128000000012</v>
      </c>
      <c r="I149" s="6">
        <f>$B$101*I147</f>
        <v>73456.128000000012</v>
      </c>
      <c r="J149" s="6">
        <f>$B$101*J147</f>
        <v>122426.88</v>
      </c>
    </row>
    <row r="150" spans="1:10">
      <c r="A150" s="6" t="s">
        <v>119</v>
      </c>
      <c r="C150" s="8">
        <f>C146</f>
        <v>24.32</v>
      </c>
      <c r="D150" s="8">
        <f>D146</f>
        <v>97.28</v>
      </c>
      <c r="E150" s="8">
        <f>E146</f>
        <v>194.56</v>
      </c>
      <c r="F150" s="8">
        <f>F146</f>
        <v>291.84000000000003</v>
      </c>
      <c r="H150" s="6">
        <f>H145</f>
        <v>50.34</v>
      </c>
      <c r="I150" s="6">
        <f>I145</f>
        <v>50.34</v>
      </c>
      <c r="J150" s="6">
        <f>J145</f>
        <v>50.34</v>
      </c>
    </row>
    <row r="151" spans="1:10">
      <c r="A151" s="6" t="s">
        <v>120</v>
      </c>
      <c r="C151" s="7">
        <v>6.7249999999999996</v>
      </c>
      <c r="D151" s="7">
        <v>25.99</v>
      </c>
      <c r="E151" s="7">
        <v>52.63</v>
      </c>
      <c r="F151" s="7">
        <v>79.77</v>
      </c>
      <c r="H151" s="6">
        <v>16.22</v>
      </c>
      <c r="I151" s="6">
        <v>5.4249999999999998</v>
      </c>
      <c r="J151" s="6">
        <v>5.649</v>
      </c>
    </row>
    <row r="152" spans="1:10">
      <c r="A152" s="6" t="s">
        <v>121</v>
      </c>
      <c r="C152" s="8">
        <f>ATAN(C151/C150)</f>
        <v>0.26978007636297152</v>
      </c>
      <c r="D152" s="8">
        <f>ATAN(D151/D146)</f>
        <v>0.26106939445143462</v>
      </c>
      <c r="E152" s="8">
        <f>ATAN(E151/E146)</f>
        <v>0.2641850822722932</v>
      </c>
      <c r="F152" s="8">
        <f>ATAN(F151/F146)</f>
        <v>0.26681734021564096</v>
      </c>
      <c r="H152" s="6">
        <f>ATAN(H151/H146)</f>
        <v>0.17830817806962931</v>
      </c>
      <c r="I152" s="6">
        <f>ATAN(I151/I146)</f>
        <v>0.17890000147501378</v>
      </c>
      <c r="J152" s="6">
        <f>ATAN(J151/B6)</f>
        <v>0.22823081938431061</v>
      </c>
    </row>
    <row r="153" spans="1:10">
      <c r="A153" s="6" t="s">
        <v>123</v>
      </c>
      <c r="C153" s="8">
        <f>($B$101/C152)/10^6</f>
        <v>37.067229481192868</v>
      </c>
      <c r="D153" s="8">
        <f>($B$101/D152)/10^6</f>
        <v>38.303992013358148</v>
      </c>
      <c r="E153" s="8">
        <f>($B$101/E152)/10^6</f>
        <v>37.852250831078678</v>
      </c>
      <c r="F153" s="8">
        <f>($B$101/F152)/10^6</f>
        <v>37.478823497445973</v>
      </c>
      <c r="H153" s="6">
        <f>($B$101/H152)/10^6</f>
        <v>56.082677240384349</v>
      </c>
      <c r="I153" s="6">
        <f>($B$101/I152)/10^6</f>
        <v>55.897148784521711</v>
      </c>
      <c r="J153" s="6">
        <f>($B$101/J152)/10^6</f>
        <v>43.815292023122069</v>
      </c>
    </row>
    <row r="154" spans="1:10">
      <c r="A154" s="6" t="s">
        <v>127</v>
      </c>
      <c r="B154" s="7">
        <v>36.545200000000001</v>
      </c>
    </row>
    <row r="155" spans="1:10">
      <c r="A155" s="6" t="s">
        <v>22</v>
      </c>
      <c r="C155" s="8">
        <f>ABS(B154-C153)/C153*100</f>
        <v>1.4083315329993398</v>
      </c>
      <c r="D155" s="8">
        <f>ABS($B$154-D153)/D153*100</f>
        <v>4.5916676589343082</v>
      </c>
      <c r="E155" s="8">
        <f>ABS($B$154-E153)/E153*100</f>
        <v>3.4530333134258933</v>
      </c>
      <c r="F155" s="8">
        <f>ABS($B$154-F153)/F153*100</f>
        <v>2.4910693835135831</v>
      </c>
      <c r="H155" s="6">
        <f>ABS($B$133-H153)/$B$133*100</f>
        <v>46.411748681967431</v>
      </c>
      <c r="I155" s="6">
        <f>ABS($B$133-I153)/$B$133*100</f>
        <v>46.589025267334407</v>
      </c>
      <c r="J155" s="6">
        <f>ABS($B$133-J153)/$B$133*100</f>
        <v>58.133509382157264</v>
      </c>
    </row>
    <row r="158" spans="1:10">
      <c r="C158" s="7">
        <v>6.7606081959999997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5"/>
  <sheetViews>
    <sheetView zoomScale="10" zoomScaleNormal="10" workbookViewId="0">
      <selection activeCell="L36" sqref="L36"/>
    </sheetView>
  </sheetViews>
  <sheetFormatPr defaultColWidth="9.1328125" defaultRowHeight="18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9.1328125" style="6"/>
    <col min="15" max="15" width="19.3984375" style="6" customWidth="1"/>
    <col min="16" max="16" width="23.1328125" style="6" customWidth="1"/>
    <col min="17" max="16384" width="9.1328125" style="6"/>
  </cols>
  <sheetData>
    <row r="1" spans="1:16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1.5</v>
      </c>
    </row>
    <row r="2" spans="1:16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0.30004747019677741</v>
      </c>
    </row>
    <row r="3" spans="1:16">
      <c r="A3" s="6" t="s">
        <v>3</v>
      </c>
      <c r="B3" s="7">
        <v>60</v>
      </c>
      <c r="C3" s="7">
        <f>D3*3.1415/180</f>
        <v>1.0471666666666668</v>
      </c>
      <c r="D3" s="6">
        <v>60</v>
      </c>
    </row>
    <row r="4" spans="1:16">
      <c r="A4" s="6" t="s">
        <v>2</v>
      </c>
      <c r="B4" s="7">
        <f>C4</f>
        <v>10.77</v>
      </c>
      <c r="C4" s="8">
        <v>10.77</v>
      </c>
      <c r="D4" s="7">
        <f>C1*(1+SIN(C3))/(C2*SIN(C3))</f>
        <v>10.773605644918707</v>
      </c>
    </row>
    <row r="5" spans="1:16">
      <c r="A5" s="6" t="s">
        <v>4</v>
      </c>
      <c r="B5" s="7">
        <f>C5</f>
        <v>18.66</v>
      </c>
      <c r="C5" s="8">
        <v>18.66</v>
      </c>
      <c r="D5" s="7">
        <f>2*C1*(1+SIN(C3))/C2</f>
        <v>18.660099611064446</v>
      </c>
    </row>
    <row r="6" spans="1:16">
      <c r="A6" s="6" t="s">
        <v>11</v>
      </c>
      <c r="B6" s="7">
        <v>40</v>
      </c>
      <c r="C6" s="8">
        <f>3.75*2</f>
        <v>7.5</v>
      </c>
    </row>
    <row r="7" spans="1:16">
      <c r="A7" s="6" t="s">
        <v>5</v>
      </c>
      <c r="B7" s="8">
        <f>C7</f>
        <v>37.299999999999997</v>
      </c>
      <c r="C7" s="8">
        <v>37.299999999999997</v>
      </c>
      <c r="D7" s="7">
        <f>2*TAN(C3)*C4</f>
        <v>37.305713526273301</v>
      </c>
    </row>
    <row r="8" spans="1:16">
      <c r="A8" s="6" t="s">
        <v>6</v>
      </c>
      <c r="B8" s="8">
        <f>C8</f>
        <v>21.54</v>
      </c>
      <c r="C8" s="8">
        <v>21.54</v>
      </c>
      <c r="D8" s="7">
        <f>C4/COS(C3)</f>
        <v>21.538847820301175</v>
      </c>
    </row>
    <row r="9" spans="1:16">
      <c r="A9" s="6" t="s">
        <v>61</v>
      </c>
      <c r="B9" s="8">
        <f>B4</f>
        <v>10.77</v>
      </c>
      <c r="C9" s="8">
        <f>D4</f>
        <v>10.773605644918707</v>
      </c>
    </row>
    <row r="10" spans="1:16">
      <c r="A10" s="6" t="s">
        <v>62</v>
      </c>
      <c r="B10" s="8">
        <f>B7</f>
        <v>37.299999999999997</v>
      </c>
      <c r="C10" s="8">
        <f>D7</f>
        <v>37.305713526273301</v>
      </c>
    </row>
    <row r="11" spans="1:16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12</v>
      </c>
      <c r="L11" s="6">
        <v>2</v>
      </c>
    </row>
    <row r="12" spans="1:16">
      <c r="A12" s="6" t="s">
        <v>64</v>
      </c>
      <c r="B12" s="8">
        <f>$B$9*B11</f>
        <v>10.77</v>
      </c>
      <c r="C12" s="8">
        <f t="shared" ref="C12:P12" si="0">$B$9*C11</f>
        <v>21.54</v>
      </c>
      <c r="D12" s="8">
        <f t="shared" si="0"/>
        <v>43.08</v>
      </c>
      <c r="E12" s="8">
        <f t="shared" si="0"/>
        <v>64.62</v>
      </c>
      <c r="F12" s="8">
        <f t="shared" si="0"/>
        <v>86.16</v>
      </c>
      <c r="G12" s="8">
        <f t="shared" si="0"/>
        <v>107.69999999999999</v>
      </c>
      <c r="H12" s="8">
        <f t="shared" si="0"/>
        <v>129.24</v>
      </c>
      <c r="I12" s="8"/>
      <c r="J12" s="8"/>
      <c r="K12" s="8">
        <f t="shared" si="0"/>
        <v>0</v>
      </c>
      <c r="L12" s="8">
        <f t="shared" si="0"/>
        <v>21.54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>
      <c r="A14" s="6" t="s">
        <v>65</v>
      </c>
      <c r="B14" s="8">
        <f>$B$10*B13</f>
        <v>74.599999999999994</v>
      </c>
      <c r="C14" s="8">
        <f t="shared" ref="C14:P14" si="1">$B$10*C13</f>
        <v>74.599999999999994</v>
      </c>
      <c r="D14" s="8">
        <f t="shared" si="1"/>
        <v>74.599999999999994</v>
      </c>
      <c r="E14" s="8">
        <f t="shared" si="1"/>
        <v>74.599999999999994</v>
      </c>
      <c r="F14" s="8">
        <f t="shared" si="1"/>
        <v>74.599999999999994</v>
      </c>
      <c r="G14" s="8">
        <f t="shared" si="1"/>
        <v>74.599999999999994</v>
      </c>
      <c r="H14" s="8">
        <f t="shared" si="1"/>
        <v>74.599999999999994</v>
      </c>
      <c r="I14" s="8"/>
      <c r="J14" s="8"/>
      <c r="K14" s="8">
        <f t="shared" si="1"/>
        <v>74.599999999999994</v>
      </c>
      <c r="L14" s="8">
        <f t="shared" si="1"/>
        <v>298.39999999999998</v>
      </c>
      <c r="M14" s="8">
        <f t="shared" si="1"/>
        <v>74.599999999999994</v>
      </c>
      <c r="N14" s="8">
        <f t="shared" si="1"/>
        <v>74.599999999999994</v>
      </c>
      <c r="O14" s="8">
        <f t="shared" si="1"/>
        <v>74.599999999999994</v>
      </c>
      <c r="P14" s="8">
        <f t="shared" si="1"/>
        <v>74.599999999999994</v>
      </c>
    </row>
    <row r="15" spans="1:16">
      <c r="A15" s="6" t="s">
        <v>67</v>
      </c>
      <c r="B15" s="8">
        <f>B14/1000*$B$6/1000</f>
        <v>2.9840000000000001E-3</v>
      </c>
      <c r="C15" s="8">
        <f t="shared" ref="C15:P15" si="2">C14/1000*$B$6/1000</f>
        <v>2.9840000000000001E-3</v>
      </c>
      <c r="D15" s="8">
        <f t="shared" si="2"/>
        <v>2.9840000000000001E-3</v>
      </c>
      <c r="E15" s="8">
        <f t="shared" si="2"/>
        <v>2.9840000000000001E-3</v>
      </c>
      <c r="F15" s="8">
        <f t="shared" si="2"/>
        <v>2.9840000000000001E-3</v>
      </c>
      <c r="G15" s="8">
        <f t="shared" si="2"/>
        <v>2.9840000000000001E-3</v>
      </c>
      <c r="H15" s="8">
        <f t="shared" si="2"/>
        <v>2.9840000000000001E-3</v>
      </c>
      <c r="I15" s="8"/>
      <c r="J15" s="8"/>
      <c r="K15" s="8">
        <f t="shared" si="2"/>
        <v>2.9840000000000001E-3</v>
      </c>
      <c r="L15" s="8">
        <f t="shared" si="2"/>
        <v>1.1936E-2</v>
      </c>
      <c r="M15" s="8">
        <f t="shared" si="2"/>
        <v>2.9840000000000001E-3</v>
      </c>
      <c r="N15" s="8">
        <f t="shared" si="2"/>
        <v>2.9840000000000001E-3</v>
      </c>
      <c r="O15" s="8">
        <f t="shared" si="2"/>
        <v>2.9840000000000001E-3</v>
      </c>
      <c r="P15" s="8">
        <f t="shared" si="2"/>
        <v>2.9840000000000001E-3</v>
      </c>
    </row>
    <row r="16" spans="1:16">
      <c r="A16" s="6" t="s">
        <v>73</v>
      </c>
      <c r="B16" s="7">
        <v>0</v>
      </c>
      <c r="C16" s="7">
        <v>0.239949</v>
      </c>
      <c r="D16" s="7">
        <v>0.50880000000000003</v>
      </c>
      <c r="E16" s="7">
        <v>0.78200000000000003</v>
      </c>
      <c r="F16" s="7">
        <v>1.056</v>
      </c>
      <c r="G16" s="7">
        <v>1.3320000000000001</v>
      </c>
      <c r="H16" s="7">
        <v>1.607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>
      <c r="A17" s="9" t="s">
        <v>66</v>
      </c>
      <c r="C17" s="10">
        <f t="shared" ref="C17:P17" si="3">($E$1*(C12/1000)/(C15*C16/1000))/(10^6)</f>
        <v>300.83470485467433</v>
      </c>
      <c r="D17" s="10">
        <f t="shared" si="3"/>
        <v>283.74601649046485</v>
      </c>
      <c r="E17" s="10">
        <f t="shared" si="3"/>
        <v>276.92450100450486</v>
      </c>
      <c r="F17" s="10">
        <f t="shared" si="3"/>
        <v>273.42797952717524</v>
      </c>
      <c r="G17" s="10">
        <f t="shared" si="3"/>
        <v>270.96466439629972</v>
      </c>
      <c r="H17" s="10">
        <f t="shared" si="3"/>
        <v>269.51457347295934</v>
      </c>
      <c r="I17" s="10"/>
      <c r="J17" s="10"/>
      <c r="K17" s="9" t="e">
        <f t="shared" si="3"/>
        <v>#DIV/0!</v>
      </c>
      <c r="L17" s="9">
        <f t="shared" si="3"/>
        <v>11112.220842853179</v>
      </c>
      <c r="M17" s="9" t="e">
        <f t="shared" si="3"/>
        <v>#DIV/0!</v>
      </c>
      <c r="N17" s="9" t="e">
        <f t="shared" si="3"/>
        <v>#DIV/0!</v>
      </c>
      <c r="O17" s="9" t="e">
        <f t="shared" si="3"/>
        <v>#DIV/0!</v>
      </c>
      <c r="P17" s="9" t="e">
        <f t="shared" si="3"/>
        <v>#DIV/0!</v>
      </c>
    </row>
    <row r="18" spans="1:16">
      <c r="A18" s="6" t="s">
        <v>68</v>
      </c>
      <c r="B18" s="7">
        <v>261.43020000000001</v>
      </c>
    </row>
    <row r="19" spans="1:16" s="8" customFormat="1">
      <c r="A19" s="8" t="s">
        <v>69</v>
      </c>
      <c r="C19" s="8">
        <f t="shared" ref="C19:H19" si="4">ABS($B$18-C17)/C17*100</f>
        <v>13.098390650676302</v>
      </c>
      <c r="D19" s="8">
        <f t="shared" si="4"/>
        <v>7.8647153417270088</v>
      </c>
      <c r="E19" s="8">
        <f t="shared" si="4"/>
        <v>5.5951354785515326</v>
      </c>
      <c r="F19" s="8">
        <f t="shared" si="4"/>
        <v>4.3879121470752045</v>
      </c>
      <c r="G19" s="8">
        <f t="shared" si="4"/>
        <v>3.5187113484122299</v>
      </c>
      <c r="H19" s="8">
        <f t="shared" si="4"/>
        <v>2.9996053158774512</v>
      </c>
      <c r="K19" s="8" t="e">
        <f t="shared" ref="K19:P19" si="5">ABS($B$18-K17)/$B$18*100</f>
        <v>#DIV/0!</v>
      </c>
      <c r="L19" s="8">
        <f t="shared" si="5"/>
        <v>4150.5497998521896</v>
      </c>
      <c r="M19" s="8" t="e">
        <f t="shared" si="5"/>
        <v>#DIV/0!</v>
      </c>
      <c r="N19" s="8" t="e">
        <f t="shared" si="5"/>
        <v>#DIV/0!</v>
      </c>
      <c r="O19" s="8" t="e">
        <f>ABS($B$18-O17)/$B$18*100</f>
        <v>#DIV/0!</v>
      </c>
      <c r="P19" s="8" t="e">
        <f t="shared" si="5"/>
        <v>#DIV/0!</v>
      </c>
    </row>
    <row r="20" spans="1:16">
      <c r="A20" s="6" t="s">
        <v>72</v>
      </c>
      <c r="B20" s="7"/>
      <c r="C20" s="7">
        <v>8.3699999999999997E-2</v>
      </c>
      <c r="D20" s="7">
        <v>0.1004</v>
      </c>
      <c r="E20" s="7">
        <v>0.1076</v>
      </c>
      <c r="F20" s="7">
        <v>0.1115</v>
      </c>
      <c r="G20" s="7">
        <v>0.11409999999999999</v>
      </c>
      <c r="H20" s="7">
        <v>0.1158</v>
      </c>
      <c r="I20" s="7"/>
      <c r="J20" s="7"/>
      <c r="K20" s="7"/>
      <c r="L20" s="7"/>
      <c r="M20" s="7"/>
      <c r="N20" s="7"/>
      <c r="O20" s="7"/>
    </row>
    <row r="21" spans="1:16">
      <c r="A21" s="6" t="s">
        <v>70</v>
      </c>
      <c r="B21" s="8"/>
      <c r="C21" s="8">
        <f t="shared" ref="C21:H21" si="6">C16/C12</f>
        <v>1.1139693593314763E-2</v>
      </c>
      <c r="D21" s="8">
        <f t="shared" si="6"/>
        <v>1.1810584958217272E-2</v>
      </c>
      <c r="E21" s="8">
        <f t="shared" si="6"/>
        <v>1.2101516558341071E-2</v>
      </c>
      <c r="F21" s="8">
        <f t="shared" si="6"/>
        <v>1.2256267409470754E-2</v>
      </c>
      <c r="G21" s="8">
        <f t="shared" si="6"/>
        <v>1.2367688022284124E-2</v>
      </c>
      <c r="H21" s="8">
        <f t="shared" si="6"/>
        <v>1.2434230888269884E-2</v>
      </c>
      <c r="I21" s="8"/>
      <c r="J21" s="8"/>
      <c r="K21" s="8" t="e">
        <f t="shared" ref="K21:P21" si="7">K16/K12</f>
        <v>#DIV/0!</v>
      </c>
      <c r="L21" s="8">
        <f t="shared" si="7"/>
        <v>7.5394614670380692E-5</v>
      </c>
      <c r="M21" s="8" t="e">
        <f t="shared" si="7"/>
        <v>#DIV/0!</v>
      </c>
      <c r="N21" s="8" t="e">
        <f t="shared" si="7"/>
        <v>#DIV/0!</v>
      </c>
      <c r="O21" s="8" t="e">
        <f t="shared" si="7"/>
        <v>#DIV/0!</v>
      </c>
      <c r="P21" s="8" t="e">
        <f t="shared" si="7"/>
        <v>#DIV/0!</v>
      </c>
    </row>
    <row r="22" spans="1:16">
      <c r="A22" s="6" t="s">
        <v>71</v>
      </c>
      <c r="B22" s="8"/>
      <c r="C22" s="8">
        <f t="shared" ref="C22:H22" si="8">C20/C14</f>
        <v>1.1219839142091153E-3</v>
      </c>
      <c r="D22" s="8">
        <f t="shared" si="8"/>
        <v>1.345844504021448E-3</v>
      </c>
      <c r="E22" s="8">
        <f t="shared" si="8"/>
        <v>1.4423592493297589E-3</v>
      </c>
      <c r="F22" s="8">
        <f t="shared" si="8"/>
        <v>1.4946380697050939E-3</v>
      </c>
      <c r="G22" s="8">
        <f t="shared" si="8"/>
        <v>1.529490616621984E-3</v>
      </c>
      <c r="H22" s="8">
        <f t="shared" si="8"/>
        <v>1.5522788203753352E-3</v>
      </c>
      <c r="I22" s="8"/>
      <c r="J22" s="8"/>
      <c r="K22" s="8">
        <f t="shared" ref="K22:P22" si="9">K20/K14</f>
        <v>0</v>
      </c>
      <c r="L22" s="8">
        <f t="shared" si="9"/>
        <v>0</v>
      </c>
      <c r="M22" s="8">
        <f t="shared" si="9"/>
        <v>0</v>
      </c>
      <c r="N22" s="8">
        <f t="shared" si="9"/>
        <v>0</v>
      </c>
      <c r="O22" s="8">
        <f t="shared" si="9"/>
        <v>0</v>
      </c>
      <c r="P22" s="8">
        <f t="shared" si="9"/>
        <v>0</v>
      </c>
    </row>
    <row r="23" spans="1:16">
      <c r="A23" s="6" t="s">
        <v>74</v>
      </c>
      <c r="B23" s="8"/>
      <c r="C23" s="8">
        <f t="shared" ref="C23:H23" si="10">C22/C21</f>
        <v>0.10071945918534499</v>
      </c>
      <c r="D23" s="8">
        <f t="shared" si="10"/>
        <v>0.11395240022257069</v>
      </c>
      <c r="E23" s="8">
        <f t="shared" si="10"/>
        <v>0.11918830523233891</v>
      </c>
      <c r="F23" s="8">
        <f t="shared" si="10"/>
        <v>0.12194887886912015</v>
      </c>
      <c r="G23" s="8">
        <f t="shared" si="10"/>
        <v>0.12366827283047122</v>
      </c>
      <c r="H23" s="8">
        <f t="shared" si="10"/>
        <v>0.12483915043267477</v>
      </c>
      <c r="I23" s="8"/>
      <c r="J23" s="8"/>
      <c r="K23" s="8" t="e">
        <f t="shared" ref="K23:P23" si="11">K22/K21</f>
        <v>#DIV/0!</v>
      </c>
      <c r="L23" s="8">
        <f t="shared" si="11"/>
        <v>0</v>
      </c>
      <c r="M23" s="8" t="e">
        <f t="shared" si="11"/>
        <v>#DIV/0!</v>
      </c>
      <c r="N23" s="8" t="e">
        <f t="shared" si="11"/>
        <v>#DIV/0!</v>
      </c>
      <c r="O23" s="8" t="e">
        <f t="shared" si="11"/>
        <v>#DIV/0!</v>
      </c>
      <c r="P23" s="8" t="e">
        <f t="shared" si="11"/>
        <v>#DIV/0!</v>
      </c>
    </row>
    <row r="24" spans="1:16">
      <c r="A24" s="6" t="s">
        <v>75</v>
      </c>
      <c r="B24" s="7">
        <v>0.13120000000000001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6" t="s">
        <v>76</v>
      </c>
      <c r="B25" s="7">
        <f>B24</f>
        <v>0.13120000000000001</v>
      </c>
      <c r="C25" s="8">
        <f>(ABS(C23-$B$25)/C23)*100</f>
        <v>30.26281223230599</v>
      </c>
      <c r="D25" s="8">
        <f>(ABS(D23-$B$25)/$B$25)*100</f>
        <v>13.146036415723565</v>
      </c>
      <c r="E25" s="8">
        <f>(ABS(E23-$B$25)/$B$25)*100</f>
        <v>9.1552551582782797</v>
      </c>
      <c r="F25" s="8">
        <f>(ABS(F23-$B$25)/$B$25)*100</f>
        <v>7.0511593985364804</v>
      </c>
      <c r="G25" s="8">
        <f>(ABS(G23-$B$25)/$B$25)*100</f>
        <v>5.7406457084823135</v>
      </c>
      <c r="H25" s="8">
        <f>(ABS(H23-$B$25)/$B$25)*100</f>
        <v>4.8482085116808262</v>
      </c>
      <c r="I25" s="8"/>
      <c r="J25" s="8"/>
      <c r="K25" s="8" t="e">
        <f t="shared" ref="K25:P25" si="12">(ABS(K23-$B$25)/$B$25)*100</f>
        <v>#DIV/0!</v>
      </c>
      <c r="L25" s="8">
        <f t="shared" si="12"/>
        <v>100</v>
      </c>
      <c r="M25" s="8" t="e">
        <f t="shared" si="12"/>
        <v>#DIV/0!</v>
      </c>
      <c r="N25" s="8" t="e">
        <f t="shared" si="12"/>
        <v>#DIV/0!</v>
      </c>
      <c r="O25" s="8" t="e">
        <f t="shared" si="12"/>
        <v>#DIV/0!</v>
      </c>
      <c r="P25" s="8" t="e">
        <f t="shared" si="12"/>
        <v>#DIV/0!</v>
      </c>
    </row>
    <row r="27" spans="1:16">
      <c r="A27" s="6" t="s">
        <v>90</v>
      </c>
      <c r="C27" s="7">
        <f>1.0196521*10^(-3)</f>
        <v>1.0196521E-3</v>
      </c>
      <c r="D27" s="7">
        <f>1.125655*10^(-3)</f>
        <v>1.1256550000000001E-3</v>
      </c>
      <c r="E27" s="7">
        <f>1.166*10^(-3)</f>
        <v>1.1659999999999999E-3</v>
      </c>
      <c r="F27" s="7">
        <f>1.187*10^(-3)</f>
        <v>1.1870000000000001E-3</v>
      </c>
      <c r="G27" s="7">
        <f>1.2005*10^(-3)</f>
        <v>1.2005E-3</v>
      </c>
      <c r="H27" s="7">
        <f>1.209*10^(-3)</f>
        <v>1.209E-3</v>
      </c>
      <c r="I27" s="7"/>
      <c r="J27" s="7"/>
    </row>
    <row r="28" spans="1:16">
      <c r="A28" s="6" t="s">
        <v>91</v>
      </c>
      <c r="C28" s="8">
        <f t="shared" ref="C28:H28" si="13">C27/$B$6</f>
        <v>2.5491302500000001E-5</v>
      </c>
      <c r="D28" s="8">
        <f t="shared" si="13"/>
        <v>2.8141375000000003E-5</v>
      </c>
      <c r="E28" s="8">
        <f t="shared" si="13"/>
        <v>2.9149999999999997E-5</v>
      </c>
      <c r="F28" s="8">
        <f t="shared" si="13"/>
        <v>2.9675000000000003E-5</v>
      </c>
      <c r="G28" s="8">
        <f t="shared" si="13"/>
        <v>3.0012499999999998E-5</v>
      </c>
      <c r="H28" s="8">
        <f t="shared" si="13"/>
        <v>3.0224999999999999E-5</v>
      </c>
      <c r="I28" s="8"/>
      <c r="J28" s="8"/>
    </row>
    <row r="29" spans="1:16">
      <c r="A29" s="6" t="s">
        <v>92</v>
      </c>
      <c r="C29" s="8">
        <f t="shared" ref="C29:H29" si="14">C28/C21</f>
        <v>2.2883306696422994E-3</v>
      </c>
      <c r="D29" s="8">
        <f t="shared" si="14"/>
        <v>2.3827249115566038E-3</v>
      </c>
      <c r="E29" s="8">
        <f t="shared" si="14"/>
        <v>2.4087890025575446E-3</v>
      </c>
      <c r="F29" s="8">
        <f t="shared" si="14"/>
        <v>2.4212102272727271E-3</v>
      </c>
      <c r="G29" s="8">
        <f t="shared" si="14"/>
        <v>2.4266863738738732E-3</v>
      </c>
      <c r="H29" s="8">
        <f t="shared" si="14"/>
        <v>2.4307896701929064E-3</v>
      </c>
      <c r="I29" s="8"/>
      <c r="J29" s="8"/>
    </row>
    <row r="30" spans="1:16">
      <c r="A30" s="6" t="s">
        <v>93</v>
      </c>
      <c r="B30" s="7">
        <v>2.4474000000000002E-3</v>
      </c>
    </row>
    <row r="31" spans="1:16">
      <c r="A31" s="6" t="s">
        <v>94</v>
      </c>
      <c r="B31" s="7">
        <f>B30</f>
        <v>2.4474000000000002E-3</v>
      </c>
      <c r="C31" s="8">
        <f t="shared" ref="C31:H31" si="15">ABS($B$31-C29)/C29*100</f>
        <v>6.9513262426608007</v>
      </c>
      <c r="D31" s="8">
        <f t="shared" si="15"/>
        <v>2.7143329945354457</v>
      </c>
      <c r="E31" s="8">
        <f t="shared" si="15"/>
        <v>1.6029215261884764</v>
      </c>
      <c r="F31" s="8">
        <f t="shared" si="15"/>
        <v>1.0816810714026033</v>
      </c>
      <c r="G31" s="8">
        <f t="shared" si="15"/>
        <v>0.85357656222631251</v>
      </c>
      <c r="H31" s="8">
        <f t="shared" si="15"/>
        <v>0.68333060695356562</v>
      </c>
      <c r="I31" s="8"/>
      <c r="J31" s="8"/>
    </row>
    <row r="32" spans="1:16">
      <c r="D32" s="11"/>
      <c r="E32" s="11"/>
      <c r="F32" s="11"/>
    </row>
    <row r="33" spans="1:11">
      <c r="A33" s="6" t="s">
        <v>79</v>
      </c>
      <c r="B33" s="15" t="s">
        <v>97</v>
      </c>
    </row>
    <row r="34" spans="1:11">
      <c r="A34" s="6" t="s">
        <v>77</v>
      </c>
    </row>
    <row r="35" spans="1:11">
      <c r="A35" s="6" t="s">
        <v>82</v>
      </c>
    </row>
    <row r="36" spans="1:11">
      <c r="A36" s="6" t="s">
        <v>63</v>
      </c>
    </row>
    <row r="37" spans="1:11">
      <c r="A37" s="6" t="s">
        <v>64</v>
      </c>
    </row>
    <row r="38" spans="1:11">
      <c r="A38" s="6" t="s">
        <v>83</v>
      </c>
    </row>
    <row r="39" spans="1:11">
      <c r="A39" s="6" t="s">
        <v>78</v>
      </c>
    </row>
    <row r="40" spans="1:11">
      <c r="A40" s="6" t="s">
        <v>80</v>
      </c>
      <c r="C40" s="10"/>
      <c r="D40" s="10"/>
      <c r="E40" s="10"/>
      <c r="F40" s="10"/>
      <c r="G40" s="10"/>
      <c r="H40" s="10"/>
    </row>
    <row r="41" spans="1:11">
      <c r="A41" s="6" t="s">
        <v>81</v>
      </c>
      <c r="B41" s="7"/>
    </row>
    <row r="42" spans="1:11">
      <c r="A42" s="6" t="s">
        <v>21</v>
      </c>
    </row>
    <row r="45" spans="1:11">
      <c r="A45" s="6" t="s">
        <v>79</v>
      </c>
      <c r="B45" s="15" t="s">
        <v>98</v>
      </c>
      <c r="F45" s="12"/>
      <c r="G45" s="11"/>
      <c r="H45" s="11"/>
      <c r="I45" s="12"/>
      <c r="J45" s="13" t="s">
        <v>84</v>
      </c>
      <c r="K45" s="13" t="s">
        <v>85</v>
      </c>
    </row>
    <row r="46" spans="1:11">
      <c r="A46" s="6" t="s">
        <v>77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13">
        <v>8</v>
      </c>
      <c r="J46" s="13">
        <v>13</v>
      </c>
      <c r="K46" s="13">
        <v>13</v>
      </c>
    </row>
    <row r="47" spans="1:11">
      <c r="A47" s="6" t="s">
        <v>82</v>
      </c>
      <c r="C47" s="8">
        <f t="shared" ref="C47:H47" si="16">$B$10*C46</f>
        <v>74.599999999999994</v>
      </c>
      <c r="D47" s="8">
        <f t="shared" si="16"/>
        <v>74.599999999999994</v>
      </c>
      <c r="E47" s="8">
        <f t="shared" si="16"/>
        <v>74.599999999999994</v>
      </c>
      <c r="F47" s="8">
        <f t="shared" si="16"/>
        <v>74.599999999999994</v>
      </c>
      <c r="G47" s="8">
        <f t="shared" si="16"/>
        <v>74.599999999999994</v>
      </c>
      <c r="H47" s="8">
        <f t="shared" si="16"/>
        <v>74.599999999999994</v>
      </c>
      <c r="I47" s="13">
        <f>$B$8*I46</f>
        <v>172.32</v>
      </c>
      <c r="J47" s="13">
        <f>$B$8*J46</f>
        <v>280.02</v>
      </c>
      <c r="K47" s="13">
        <f>$B$8*K46</f>
        <v>280.02</v>
      </c>
    </row>
    <row r="48" spans="1:11">
      <c r="A48" s="6" t="s">
        <v>63</v>
      </c>
      <c r="C48" s="7">
        <v>2</v>
      </c>
      <c r="D48" s="7">
        <v>4</v>
      </c>
      <c r="E48" s="7">
        <v>6</v>
      </c>
      <c r="F48" s="7">
        <v>8</v>
      </c>
      <c r="G48" s="7">
        <v>10</v>
      </c>
      <c r="H48" s="7">
        <v>12</v>
      </c>
      <c r="I48" s="13">
        <v>8</v>
      </c>
      <c r="J48" s="13">
        <v>12</v>
      </c>
      <c r="K48" s="13">
        <v>12</v>
      </c>
    </row>
    <row r="49" spans="1:11">
      <c r="A49" s="6" t="s">
        <v>64</v>
      </c>
      <c r="C49" s="8">
        <f>$B$9*C48</f>
        <v>21.54</v>
      </c>
      <c r="D49" s="8">
        <f t="shared" ref="D49:K49" si="17">$B$9*D48</f>
        <v>43.08</v>
      </c>
      <c r="E49" s="8">
        <f t="shared" si="17"/>
        <v>64.62</v>
      </c>
      <c r="F49" s="8">
        <f t="shared" si="17"/>
        <v>86.16</v>
      </c>
      <c r="G49" s="8">
        <f t="shared" si="17"/>
        <v>107.69999999999999</v>
      </c>
      <c r="H49" s="8">
        <f t="shared" si="17"/>
        <v>129.24</v>
      </c>
      <c r="I49" s="13">
        <f t="shared" si="17"/>
        <v>86.16</v>
      </c>
      <c r="J49" s="13">
        <f t="shared" si="17"/>
        <v>129.24</v>
      </c>
      <c r="K49" s="13">
        <f t="shared" si="17"/>
        <v>129.24</v>
      </c>
    </row>
    <row r="50" spans="1:11">
      <c r="A50" s="6" t="s">
        <v>83</v>
      </c>
      <c r="C50" s="8">
        <f>C49*$B$6/1000000</f>
        <v>8.6159999999999991E-4</v>
      </c>
      <c r="D50" s="8">
        <f t="shared" ref="D50:I50" si="18">D49*$B$6/1000000</f>
        <v>1.7231999999999998E-3</v>
      </c>
      <c r="E50" s="8">
        <f t="shared" si="18"/>
        <v>2.5848000000000004E-3</v>
      </c>
      <c r="F50" s="8">
        <f t="shared" si="18"/>
        <v>3.4463999999999996E-3</v>
      </c>
      <c r="G50" s="8">
        <f t="shared" si="18"/>
        <v>4.3080000000000002E-3</v>
      </c>
      <c r="H50" s="8">
        <f t="shared" si="18"/>
        <v>5.1696000000000008E-3</v>
      </c>
      <c r="I50" s="13">
        <f t="shared" si="18"/>
        <v>3.4463999999999996E-3</v>
      </c>
      <c r="J50" s="13">
        <f>J49*7/1000000</f>
        <v>9.0468000000000005E-4</v>
      </c>
      <c r="K50" s="13">
        <f>K49*7/1000000</f>
        <v>9.0468000000000005E-4</v>
      </c>
    </row>
    <row r="51" spans="1:11">
      <c r="A51" s="6" t="s">
        <v>78</v>
      </c>
      <c r="C51" s="7">
        <v>9.69E-2</v>
      </c>
      <c r="D51" s="7">
        <v>5.8200000000000002E-2</v>
      </c>
      <c r="E51" s="7">
        <v>4.1500000000000002E-2</v>
      </c>
      <c r="F51" s="7">
        <v>3.2300000000000002E-2</v>
      </c>
      <c r="G51" s="7">
        <v>2.64E-2</v>
      </c>
      <c r="H51" s="7">
        <v>2.24E-2</v>
      </c>
      <c r="I51" s="13">
        <v>7.9950000000000004E-3</v>
      </c>
      <c r="J51" s="13">
        <v>3.8699999999999998E-2</v>
      </c>
      <c r="K51" s="13">
        <v>3.85E-2</v>
      </c>
    </row>
    <row r="52" spans="1:11">
      <c r="A52" s="6" t="s">
        <v>80</v>
      </c>
      <c r="C52" s="10">
        <f t="shared" ref="C52:I52" si="19">($E$1*(C47/1000)/(C50*C51/1000))/(10^6)</f>
        <v>8935.3045621317506</v>
      </c>
      <c r="D52" s="10">
        <f t="shared" si="19"/>
        <v>7438.4107566199864</v>
      </c>
      <c r="E52" s="10">
        <f t="shared" si="19"/>
        <v>6954.4659604061544</v>
      </c>
      <c r="F52" s="10">
        <f t="shared" si="19"/>
        <v>6701.4784215988111</v>
      </c>
      <c r="G52" s="10">
        <f t="shared" si="19"/>
        <v>6559.325849019443</v>
      </c>
      <c r="H52" s="10">
        <f t="shared" si="19"/>
        <v>6442.1950302869509</v>
      </c>
      <c r="I52" s="14">
        <f t="shared" si="19"/>
        <v>62539.086929330835</v>
      </c>
      <c r="J52" s="14">
        <f>($E$1*(J47/1000)/(J50*J51/1000))/(10^6)</f>
        <v>79980.312538452068</v>
      </c>
      <c r="K52" s="14">
        <f>($E$1*(K47/1000)/(K50*K51/1000))/(10^6)</f>
        <v>80395.794681508938</v>
      </c>
    </row>
    <row r="53" spans="1:11">
      <c r="A53" s="6" t="s">
        <v>81</v>
      </c>
      <c r="B53" s="7">
        <v>5963.4</v>
      </c>
      <c r="I53" s="13"/>
      <c r="J53" s="13"/>
      <c r="K53" s="13"/>
    </row>
    <row r="54" spans="1:11">
      <c r="A54" s="6" t="s">
        <v>21</v>
      </c>
      <c r="C54" s="8">
        <f t="shared" ref="C54:H54" si="20">ABS($B$53-C52)/C52*100</f>
        <v>33.26024917747992</v>
      </c>
      <c r="D54" s="8">
        <f t="shared" si="20"/>
        <v>19.829649166756038</v>
      </c>
      <c r="E54" s="8">
        <f t="shared" si="20"/>
        <v>14.250784546916877</v>
      </c>
      <c r="F54" s="8">
        <f t="shared" si="20"/>
        <v>11.013665569973197</v>
      </c>
      <c r="G54" s="8">
        <f t="shared" si="20"/>
        <v>9.0851691581769582</v>
      </c>
      <c r="H54" s="8">
        <f t="shared" si="20"/>
        <v>7.4321722337801459</v>
      </c>
      <c r="I54" s="13" t="e">
        <f>ABS($B$41-I52)/$B$41*100</f>
        <v>#DIV/0!</v>
      </c>
      <c r="J54" s="13" t="e">
        <f>ABS($B$41-J52)/$B$41*100</f>
        <v>#DIV/0!</v>
      </c>
      <c r="K54" s="13" t="e">
        <f>ABS($B$41-K52)/$B$41*100</f>
        <v>#DIV/0!</v>
      </c>
    </row>
    <row r="55" spans="1:11">
      <c r="C55" s="8"/>
      <c r="D55" s="8"/>
      <c r="E55" s="8"/>
      <c r="F55" s="8"/>
      <c r="G55" s="8"/>
      <c r="H55" s="8"/>
      <c r="I55" s="13"/>
      <c r="J55" s="13"/>
      <c r="K55" s="13"/>
    </row>
    <row r="56" spans="1:11">
      <c r="A56" s="6" t="s">
        <v>73</v>
      </c>
      <c r="C56" s="7">
        <v>8.3699999999999997E-2</v>
      </c>
      <c r="D56" s="7">
        <v>0.1004</v>
      </c>
      <c r="E56" s="7">
        <v>0.1076</v>
      </c>
      <c r="F56" s="7">
        <v>0.1115</v>
      </c>
      <c r="G56" s="7">
        <v>0.11409999999999999</v>
      </c>
      <c r="H56" s="7">
        <v>0.1158</v>
      </c>
    </row>
    <row r="57" spans="1:11">
      <c r="A57" s="6" t="s">
        <v>71</v>
      </c>
      <c r="C57" s="8">
        <f t="shared" ref="C57:H57" si="21">C51/C47</f>
        <v>1.298927613941019E-3</v>
      </c>
      <c r="D57" s="8">
        <f t="shared" si="21"/>
        <v>7.8016085790884727E-4</v>
      </c>
      <c r="E57" s="8">
        <f t="shared" si="21"/>
        <v>5.5630026809651485E-4</v>
      </c>
      <c r="F57" s="8">
        <f t="shared" si="21"/>
        <v>4.3297587131367301E-4</v>
      </c>
      <c r="G57" s="8">
        <f t="shared" si="21"/>
        <v>3.5388739946380697E-4</v>
      </c>
      <c r="H57" s="8">
        <f t="shared" si="21"/>
        <v>3.0026809651474533E-4</v>
      </c>
    </row>
    <row r="58" spans="1:11">
      <c r="A58" s="6" t="s">
        <v>86</v>
      </c>
      <c r="C58" s="8">
        <f t="shared" ref="C58:H58" si="22">C56/C49</f>
        <v>3.8857938718662951E-3</v>
      </c>
      <c r="D58" s="8">
        <f t="shared" si="22"/>
        <v>2.3305478180129994E-3</v>
      </c>
      <c r="E58" s="8">
        <f t="shared" si="22"/>
        <v>1.6651191581553697E-3</v>
      </c>
      <c r="F58" s="8">
        <f t="shared" si="22"/>
        <v>1.2941039925719593E-3</v>
      </c>
      <c r="G58" s="8">
        <f t="shared" si="22"/>
        <v>1.0594243268337977E-3</v>
      </c>
      <c r="H58" s="8">
        <f t="shared" si="22"/>
        <v>8.9600742804085416E-4</v>
      </c>
    </row>
    <row r="59" spans="1:11">
      <c r="A59" s="6" t="s">
        <v>87</v>
      </c>
      <c r="C59" s="8">
        <f t="shared" ref="C59:H59" si="23">C58/C57</f>
        <v>2.9915399674017085</v>
      </c>
      <c r="D59" s="8">
        <f t="shared" si="23"/>
        <v>2.9872657598585866</v>
      </c>
      <c r="E59" s="8">
        <f t="shared" si="23"/>
        <v>2.9932021493588086</v>
      </c>
      <c r="F59" s="8">
        <f t="shared" si="23"/>
        <v>2.9888593760330697</v>
      </c>
      <c r="G59" s="8">
        <f t="shared" si="23"/>
        <v>2.9936763174924739</v>
      </c>
      <c r="H59" s="8">
        <f t="shared" si="23"/>
        <v>2.984024738028916</v>
      </c>
    </row>
    <row r="60" spans="1:11">
      <c r="A60" s="6" t="s">
        <v>88</v>
      </c>
      <c r="B60" s="7">
        <v>2.9916</v>
      </c>
    </row>
    <row r="61" spans="1:11">
      <c r="A61" s="6" t="s">
        <v>89</v>
      </c>
      <c r="B61" s="6">
        <f>B60</f>
        <v>2.9916</v>
      </c>
      <c r="C61" s="8">
        <f t="shared" ref="C61:H61" si="24">(ABS(C59-$B$61)/$B$61)*100</f>
        <v>2.00670538479645E-3</v>
      </c>
      <c r="D61" s="8">
        <f t="shared" si="24"/>
        <v>0.14488033632215139</v>
      </c>
      <c r="E61" s="8">
        <f t="shared" si="24"/>
        <v>5.355493243777696E-2</v>
      </c>
      <c r="F61" s="8">
        <f t="shared" si="24"/>
        <v>9.1610642028690709E-2</v>
      </c>
      <c r="G61" s="8">
        <f t="shared" si="24"/>
        <v>6.9404916849640119E-2</v>
      </c>
      <c r="H61" s="8">
        <f t="shared" si="24"/>
        <v>0.25321774204720038</v>
      </c>
    </row>
    <row r="63" spans="1:11">
      <c r="A63" s="6" t="s">
        <v>90</v>
      </c>
      <c r="C63" s="7">
        <f>3.531*10^(-3)</f>
        <v>3.5310000000000003E-3</v>
      </c>
      <c r="D63" s="7">
        <f>1.949*10^(-3)</f>
        <v>1.9490000000000002E-3</v>
      </c>
      <c r="E63" s="7">
        <f>1.346*10^(-3)</f>
        <v>1.3460000000000002E-3</v>
      </c>
      <c r="F63" s="7">
        <f>1.028*10^(-3)</f>
        <v>1.0280000000000001E-3</v>
      </c>
      <c r="G63" s="7">
        <f>8.316*10^(-4)</f>
        <v>8.3160000000000016E-4</v>
      </c>
      <c r="H63" s="7">
        <f>6.981*10^(-4)</f>
        <v>6.981E-4</v>
      </c>
      <c r="I63" s="12"/>
      <c r="J63" s="12"/>
    </row>
    <row r="64" spans="1:11">
      <c r="A64" s="6" t="s">
        <v>91</v>
      </c>
      <c r="C64" s="8">
        <f t="shared" ref="C64:H64" si="25">C63/$B$6</f>
        <v>8.8275000000000004E-5</v>
      </c>
      <c r="D64" s="8">
        <f t="shared" si="25"/>
        <v>4.8725000000000005E-5</v>
      </c>
      <c r="E64" s="8">
        <f t="shared" si="25"/>
        <v>3.3650000000000005E-5</v>
      </c>
      <c r="F64" s="8">
        <f t="shared" si="25"/>
        <v>2.5700000000000001E-5</v>
      </c>
      <c r="G64" s="8">
        <f t="shared" si="25"/>
        <v>2.0790000000000003E-5</v>
      </c>
      <c r="H64" s="8">
        <f t="shared" si="25"/>
        <v>1.7452499999999999E-5</v>
      </c>
      <c r="I64" s="12"/>
      <c r="J64" s="12"/>
    </row>
    <row r="65" spans="1:10">
      <c r="A65" s="6" t="s">
        <v>99</v>
      </c>
      <c r="C65" s="8">
        <f t="shared" ref="C65:H65" si="26">C64/C57</f>
        <v>6.7959907120743027E-2</v>
      </c>
      <c r="D65" s="8">
        <f t="shared" si="26"/>
        <v>6.2455068728522335E-2</v>
      </c>
      <c r="E65" s="8">
        <f t="shared" si="26"/>
        <v>6.0488915662650598E-2</v>
      </c>
      <c r="F65" s="8">
        <f t="shared" si="26"/>
        <v>5.935665634674922E-2</v>
      </c>
      <c r="G65" s="8">
        <f t="shared" si="26"/>
        <v>5.8747500000000008E-2</v>
      </c>
      <c r="H65" s="8">
        <f t="shared" si="26"/>
        <v>5.8123058035714277E-2</v>
      </c>
      <c r="I65" s="12"/>
      <c r="J65" s="12"/>
    </row>
    <row r="66" spans="1:10">
      <c r="A66" s="6" t="s">
        <v>100</v>
      </c>
      <c r="B66" s="7">
        <v>5.5800000000000002E-2</v>
      </c>
      <c r="I66" s="12"/>
      <c r="J66" s="12"/>
    </row>
    <row r="67" spans="1:10">
      <c r="A67" s="6" t="s">
        <v>101</v>
      </c>
      <c r="B67" s="7">
        <f>B66</f>
        <v>5.5800000000000002E-2</v>
      </c>
      <c r="C67" s="8">
        <f t="shared" ref="C67:H67" si="27">ABS($B$67-C65)/C65*100</f>
        <v>17.892765949692599</v>
      </c>
      <c r="D67" s="8">
        <f t="shared" si="27"/>
        <v>10.655770402639968</v>
      </c>
      <c r="E67" s="8">
        <f t="shared" si="27"/>
        <v>7.7516940273832793</v>
      </c>
      <c r="F67" s="8">
        <f t="shared" si="27"/>
        <v>5.9920092634126361</v>
      </c>
      <c r="G67" s="8">
        <f t="shared" si="27"/>
        <v>5.0172347759479212</v>
      </c>
      <c r="H67" s="8">
        <f t="shared" si="27"/>
        <v>3.9967925195657275</v>
      </c>
      <c r="I67" s="12"/>
      <c r="J67" s="12"/>
    </row>
    <row r="71" spans="1:10">
      <c r="A71" s="6" t="s">
        <v>102</v>
      </c>
      <c r="B71" s="15" t="s">
        <v>98</v>
      </c>
      <c r="F71" s="12"/>
      <c r="G71" s="11"/>
      <c r="H71" s="11"/>
    </row>
    <row r="72" spans="1:10">
      <c r="A72" s="6" t="s">
        <v>77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2</v>
      </c>
    </row>
    <row r="73" spans="1:10">
      <c r="A73" s="6" t="s">
        <v>82</v>
      </c>
      <c r="C73" s="8">
        <f t="shared" ref="C73:H73" si="28">$B$7*C72</f>
        <v>74.599999999999994</v>
      </c>
      <c r="D73" s="8">
        <f t="shared" si="28"/>
        <v>74.599999999999994</v>
      </c>
      <c r="E73" s="8">
        <f t="shared" si="28"/>
        <v>74.599999999999994</v>
      </c>
      <c r="F73" s="8">
        <f t="shared" si="28"/>
        <v>74.599999999999994</v>
      </c>
      <c r="G73" s="8">
        <f t="shared" si="28"/>
        <v>74.599999999999994</v>
      </c>
      <c r="H73" s="8">
        <f t="shared" si="28"/>
        <v>74.599999999999994</v>
      </c>
    </row>
    <row r="74" spans="1:10">
      <c r="A74" s="6" t="s">
        <v>63</v>
      </c>
      <c r="C74" s="7">
        <v>2</v>
      </c>
      <c r="D74" s="7">
        <v>4</v>
      </c>
      <c r="E74" s="7">
        <v>6</v>
      </c>
      <c r="F74" s="7">
        <v>8</v>
      </c>
      <c r="G74" s="7">
        <v>10</v>
      </c>
      <c r="H74" s="7">
        <v>12</v>
      </c>
    </row>
    <row r="75" spans="1:10">
      <c r="A75" s="6" t="s">
        <v>64</v>
      </c>
      <c r="C75" s="8">
        <f t="shared" ref="C75:H75" si="29">$B$9*C74</f>
        <v>21.54</v>
      </c>
      <c r="D75" s="8">
        <f t="shared" si="29"/>
        <v>43.08</v>
      </c>
      <c r="E75" s="8">
        <f t="shared" si="29"/>
        <v>64.62</v>
      </c>
      <c r="F75" s="8">
        <f t="shared" si="29"/>
        <v>86.16</v>
      </c>
      <c r="G75" s="8">
        <f t="shared" si="29"/>
        <v>107.69999999999999</v>
      </c>
      <c r="H75" s="8">
        <f t="shared" si="29"/>
        <v>129.24</v>
      </c>
    </row>
    <row r="76" spans="1:10">
      <c r="A76" s="6" t="s">
        <v>103</v>
      </c>
      <c r="C76" s="8">
        <f t="shared" ref="C76:H76" si="30">C73*C75/1000000</f>
        <v>1.6068839999999998E-3</v>
      </c>
      <c r="D76" s="8">
        <f t="shared" si="30"/>
        <v>3.2137679999999997E-3</v>
      </c>
      <c r="E76" s="8">
        <f t="shared" si="30"/>
        <v>4.8206519999999999E-3</v>
      </c>
      <c r="F76" s="8">
        <f t="shared" si="30"/>
        <v>6.4275359999999993E-3</v>
      </c>
      <c r="G76" s="8">
        <f t="shared" si="30"/>
        <v>8.0344199999999987E-3</v>
      </c>
      <c r="H76" s="8">
        <f t="shared" si="30"/>
        <v>9.6413039999999998E-3</v>
      </c>
    </row>
    <row r="77" spans="1:10">
      <c r="A77" s="6" t="s">
        <v>104</v>
      </c>
      <c r="C77" s="7">
        <v>5.0500000000000003E-2</v>
      </c>
      <c r="D77" s="7">
        <v>2.7869999999999999E-2</v>
      </c>
      <c r="E77" s="7">
        <v>1.9247920000000002E-2</v>
      </c>
      <c r="F77" s="7">
        <v>1.47E-2</v>
      </c>
      <c r="G77" s="7">
        <f>1.189*10^(-2)</f>
        <v>1.1890000000000001E-2</v>
      </c>
      <c r="H77" s="7">
        <f>9.982*10^(-3)</f>
        <v>9.9819999999999996E-3</v>
      </c>
    </row>
    <row r="78" spans="1:10">
      <c r="A78" s="6" t="s">
        <v>95</v>
      </c>
      <c r="C78" s="10">
        <f t="shared" ref="C78:H78" si="31">($E$1*($B$6/1000)/(C76*C77/1000))/(10^6)</f>
        <v>4929.2867930777338</v>
      </c>
      <c r="D78" s="10">
        <f t="shared" si="31"/>
        <v>4465.8949237607758</v>
      </c>
      <c r="E78" s="10">
        <f t="shared" si="31"/>
        <v>4310.9243847374246</v>
      </c>
      <c r="F78" s="10">
        <f t="shared" si="31"/>
        <v>4233.4861062997543</v>
      </c>
      <c r="G78" s="10">
        <f t="shared" si="31"/>
        <v>4187.1990420593029</v>
      </c>
      <c r="H78" s="10">
        <f t="shared" si="31"/>
        <v>4156.2977200698851</v>
      </c>
    </row>
    <row r="79" spans="1:10">
      <c r="A79" s="6" t="s">
        <v>96</v>
      </c>
      <c r="B79" s="7">
        <v>4000</v>
      </c>
    </row>
    <row r="80" spans="1:10">
      <c r="A80" s="6" t="s">
        <v>21</v>
      </c>
      <c r="C80" s="8">
        <f t="shared" ref="C80:H80" si="32">ABS($B$79-C78)/C78*100</f>
        <v>18.852358000000006</v>
      </c>
      <c r="D80" s="8">
        <f t="shared" si="32"/>
        <v>10.432285840000036</v>
      </c>
      <c r="E80" s="8">
        <f t="shared" si="32"/>
        <v>7.2124759561599863</v>
      </c>
      <c r="F80" s="8">
        <f t="shared" si="32"/>
        <v>5.5152208000000025</v>
      </c>
      <c r="G80" s="8">
        <f t="shared" si="32"/>
        <v>4.4707462000000042</v>
      </c>
      <c r="H80" s="8">
        <f t="shared" si="32"/>
        <v>3.760503472000007</v>
      </c>
    </row>
    <row r="82" spans="1:8">
      <c r="A82" s="6" t="s">
        <v>73</v>
      </c>
      <c r="C82" s="7">
        <f>1.02*10^(-3)</f>
        <v>1.0200000000000001E-3</v>
      </c>
      <c r="D82" s="7">
        <f>1.126*10^(-3)</f>
        <v>1.1259999999999998E-3</v>
      </c>
      <c r="E82" s="7">
        <f>1.166*10^(-3)</f>
        <v>1.1659999999999999E-3</v>
      </c>
      <c r="F82" s="7">
        <f>1.187*10^(-3)</f>
        <v>1.1870000000000001E-3</v>
      </c>
      <c r="G82" s="7">
        <f>1.201*10^(-3)</f>
        <v>1.201E-3</v>
      </c>
      <c r="H82" s="7">
        <f>1.209*10^(-3)</f>
        <v>1.209E-3</v>
      </c>
    </row>
    <row r="83" spans="1:8">
      <c r="A83" s="6" t="s">
        <v>105</v>
      </c>
      <c r="C83" s="8">
        <f t="shared" ref="C83:H83" si="33">C77/$B$6</f>
        <v>1.2625000000000002E-3</v>
      </c>
      <c r="D83" s="8">
        <f t="shared" si="33"/>
        <v>6.9675E-4</v>
      </c>
      <c r="E83" s="8">
        <f t="shared" si="33"/>
        <v>4.8119800000000006E-4</v>
      </c>
      <c r="F83" s="8">
        <f t="shared" si="33"/>
        <v>3.6749999999999999E-4</v>
      </c>
      <c r="G83" s="8">
        <f t="shared" si="33"/>
        <v>2.9725000000000004E-4</v>
      </c>
      <c r="H83" s="8">
        <f t="shared" si="33"/>
        <v>2.4954999999999997E-4</v>
      </c>
    </row>
    <row r="84" spans="1:8">
      <c r="A84" s="6" t="s">
        <v>86</v>
      </c>
      <c r="C84" s="8">
        <f t="shared" ref="C84:H84" si="34">C82/C75</f>
        <v>4.7353760445682456E-5</v>
      </c>
      <c r="D84" s="8">
        <f t="shared" si="34"/>
        <v>2.6137418755803153E-5</v>
      </c>
      <c r="E84" s="8">
        <f t="shared" si="34"/>
        <v>1.8043949241720827E-5</v>
      </c>
      <c r="F84" s="8">
        <f t="shared" si="34"/>
        <v>1.3776694521819872E-5</v>
      </c>
      <c r="G84" s="8">
        <f t="shared" si="34"/>
        <v>1.1151346332404829E-5</v>
      </c>
      <c r="H84" s="8">
        <f t="shared" si="34"/>
        <v>9.3546889507892292E-6</v>
      </c>
    </row>
    <row r="85" spans="1:8">
      <c r="A85" s="6" t="s">
        <v>106</v>
      </c>
      <c r="C85" s="8">
        <f t="shared" ref="C85:H85" si="35">C84/C83</f>
        <v>3.750792906588709E-2</v>
      </c>
      <c r="D85" s="8">
        <f t="shared" si="35"/>
        <v>3.7513338723793546E-2</v>
      </c>
      <c r="E85" s="8">
        <f t="shared" si="35"/>
        <v>3.749797223122462E-2</v>
      </c>
      <c r="F85" s="8">
        <f t="shared" si="35"/>
        <v>3.7487604141006457E-2</v>
      </c>
      <c r="G85" s="8">
        <f t="shared" si="35"/>
        <v>3.7515042329368642E-2</v>
      </c>
      <c r="H85" s="8">
        <f t="shared" si="35"/>
        <v>3.7486231018991109E-2</v>
      </c>
    </row>
    <row r="86" spans="1:8">
      <c r="A86" s="6" t="s">
        <v>107</v>
      </c>
      <c r="B86" s="7">
        <v>3.7499999999999999E-2</v>
      </c>
    </row>
    <row r="87" spans="1:8">
      <c r="A87" s="6" t="s">
        <v>108</v>
      </c>
      <c r="B87" s="6">
        <f>B86</f>
        <v>3.7499999999999999E-2</v>
      </c>
      <c r="C87" s="8">
        <f t="shared" ref="C87:H87" si="36">(ABS(C85-$B$87)/$B$87)*100</f>
        <v>2.1144175698909844E-2</v>
      </c>
      <c r="D87" s="8">
        <f t="shared" si="36"/>
        <v>3.5569930116126823E-2</v>
      </c>
      <c r="E87" s="8">
        <f t="shared" si="36"/>
        <v>5.4073834010089552E-3</v>
      </c>
      <c r="F87" s="8">
        <f t="shared" si="36"/>
        <v>3.3055623982776915E-2</v>
      </c>
      <c r="G87" s="8">
        <f t="shared" si="36"/>
        <v>4.0112878316382147E-2</v>
      </c>
      <c r="H87" s="8">
        <f t="shared" si="36"/>
        <v>3.6717282690372041E-2</v>
      </c>
    </row>
    <row r="89" spans="1:8">
      <c r="A89" s="6" t="s">
        <v>46</v>
      </c>
      <c r="C89" s="7">
        <f>3.531*10^(-3)</f>
        <v>3.5310000000000003E-3</v>
      </c>
      <c r="D89" s="7">
        <f>1.949*10^(-3)</f>
        <v>1.9490000000000002E-3</v>
      </c>
      <c r="E89" s="7">
        <f>1.346*10^(-3)</f>
        <v>1.3460000000000002E-3</v>
      </c>
      <c r="F89" s="7">
        <f>1.028*10^(-3)</f>
        <v>1.0280000000000001E-3</v>
      </c>
      <c r="G89" s="7">
        <f>8.316*10^(-4)</f>
        <v>8.3160000000000016E-4</v>
      </c>
      <c r="H89" s="7">
        <f>6.981*10^(-4)</f>
        <v>6.981E-4</v>
      </c>
    </row>
    <row r="90" spans="1:8">
      <c r="A90" s="6" t="s">
        <v>109</v>
      </c>
      <c r="C90" s="8">
        <f t="shared" ref="C90:H90" si="37">C89/C73</f>
        <v>4.7332439678284192E-5</v>
      </c>
      <c r="D90" s="8">
        <f t="shared" si="37"/>
        <v>2.6126005361930301E-5</v>
      </c>
      <c r="E90" s="8">
        <f t="shared" si="37"/>
        <v>1.8042895442359253E-5</v>
      </c>
      <c r="F90" s="8">
        <f t="shared" si="37"/>
        <v>1.3780160857908848E-5</v>
      </c>
      <c r="G90" s="8">
        <f t="shared" si="37"/>
        <v>1.1147453083109922E-5</v>
      </c>
      <c r="H90" s="8">
        <f t="shared" si="37"/>
        <v>9.3579088471849871E-6</v>
      </c>
    </row>
    <row r="91" spans="1:8">
      <c r="A91" s="6" t="s">
        <v>110</v>
      </c>
      <c r="C91" s="8">
        <f t="shared" ref="C91:H91" si="38">C90/C83</f>
        <v>3.7491041329334007E-2</v>
      </c>
      <c r="D91" s="8">
        <f t="shared" si="38"/>
        <v>3.7496957821213206E-2</v>
      </c>
      <c r="E91" s="8">
        <f t="shared" si="38"/>
        <v>3.7495782281637184E-2</v>
      </c>
      <c r="F91" s="8">
        <f t="shared" si="38"/>
        <v>3.7497036348051287E-2</v>
      </c>
      <c r="G91" s="8">
        <f t="shared" si="38"/>
        <v>3.7501944770765079E-2</v>
      </c>
      <c r="H91" s="8">
        <f t="shared" si="38"/>
        <v>3.7499133829633297E-2</v>
      </c>
    </row>
    <row r="92" spans="1:8">
      <c r="A92" s="6" t="s">
        <v>111</v>
      </c>
      <c r="B92" s="7">
        <v>3.7499999999999999E-2</v>
      </c>
    </row>
    <row r="93" spans="1:8">
      <c r="A93" s="6" t="s">
        <v>112</v>
      </c>
      <c r="B93" s="7">
        <f>B92</f>
        <v>3.7499999999999999E-2</v>
      </c>
      <c r="C93" s="8">
        <f t="shared" ref="C93:H93" si="39">ABS($B$93-C91)/$B$93*100</f>
        <v>2.3889788442643667E-2</v>
      </c>
      <c r="D93" s="8">
        <f t="shared" si="39"/>
        <v>8.1124767647803679E-3</v>
      </c>
      <c r="E93" s="8">
        <f t="shared" si="39"/>
        <v>1.1247248967505286E-2</v>
      </c>
      <c r="F93" s="8">
        <f t="shared" si="39"/>
        <v>7.9030718632318777E-3</v>
      </c>
      <c r="G93" s="8">
        <f t="shared" si="39"/>
        <v>5.1860553735479566E-3</v>
      </c>
      <c r="H93" s="8">
        <f t="shared" si="39"/>
        <v>2.3097876445388188E-3</v>
      </c>
    </row>
    <row r="100" spans="1:7">
      <c r="A100" s="6" t="s">
        <v>113</v>
      </c>
    </row>
    <row r="101" spans="1:7">
      <c r="A101" s="6" t="s">
        <v>114</v>
      </c>
      <c r="B101" s="6">
        <f>10*10^6</f>
        <v>10000000</v>
      </c>
    </row>
    <row r="102" spans="1:7">
      <c r="A102" s="6" t="s">
        <v>63</v>
      </c>
      <c r="C102" s="7">
        <v>2</v>
      </c>
      <c r="D102" s="7">
        <v>4</v>
      </c>
      <c r="E102" s="7">
        <v>8</v>
      </c>
      <c r="F102" s="7"/>
      <c r="G102" s="7"/>
    </row>
    <row r="103" spans="1:7">
      <c r="A103" s="6" t="s">
        <v>64</v>
      </c>
      <c r="C103" s="8">
        <f>$B$9*C102</f>
        <v>21.54</v>
      </c>
      <c r="D103" s="8">
        <f>$B$9*D102</f>
        <v>43.08</v>
      </c>
      <c r="E103" s="8">
        <f>$B$9*E102</f>
        <v>86.16</v>
      </c>
      <c r="F103" s="8"/>
      <c r="G103" s="8"/>
    </row>
    <row r="104" spans="1:7">
      <c r="A104" s="6" t="s">
        <v>115</v>
      </c>
      <c r="C104" s="8">
        <f>C106*$B$6/1000000</f>
        <v>2.9840000000000001E-3</v>
      </c>
      <c r="D104" s="8">
        <f>D106*$B$6/1000000</f>
        <v>2.9840000000000001E-3</v>
      </c>
      <c r="E104" s="8">
        <f>E106*$B$6/1000000</f>
        <v>2.9840000000000001E-3</v>
      </c>
      <c r="F104" s="8"/>
      <c r="G104" s="8"/>
    </row>
    <row r="105" spans="1:7">
      <c r="A105" s="6" t="s">
        <v>77</v>
      </c>
      <c r="C105" s="7">
        <v>2</v>
      </c>
      <c r="D105" s="7">
        <v>2</v>
      </c>
      <c r="E105" s="7">
        <v>2</v>
      </c>
      <c r="F105" s="7"/>
      <c r="G105" s="7"/>
    </row>
    <row r="106" spans="1:7">
      <c r="A106" s="6" t="s">
        <v>82</v>
      </c>
      <c r="C106" s="8">
        <f>$B$10*C105</f>
        <v>74.599999999999994</v>
      </c>
      <c r="D106" s="8">
        <f>$B$10*D105</f>
        <v>74.599999999999994</v>
      </c>
      <c r="E106" s="8">
        <f>$B$10*E105</f>
        <v>74.599999999999994</v>
      </c>
      <c r="F106" s="8"/>
      <c r="G106" s="8"/>
    </row>
    <row r="107" spans="1:7">
      <c r="A107" s="6" t="s">
        <v>116</v>
      </c>
      <c r="C107" s="8">
        <f>$B$6*C103/1000000</f>
        <v>8.6159999999999991E-4</v>
      </c>
      <c r="D107" s="8">
        <f>$B$6*D103/1000000</f>
        <v>1.7231999999999998E-3</v>
      </c>
      <c r="E107" s="8">
        <f>$B$6*E103/1000000</f>
        <v>3.4463999999999996E-3</v>
      </c>
      <c r="F107" s="8"/>
      <c r="G107" s="8"/>
    </row>
    <row r="108" spans="1:7">
      <c r="A108" s="6" t="s">
        <v>117</v>
      </c>
      <c r="C108" s="8">
        <f>$B$101*C104</f>
        <v>29840</v>
      </c>
      <c r="D108" s="8">
        <f>$B$101*D104</f>
        <v>29840</v>
      </c>
      <c r="E108" s="18">
        <f>$B$101*E104</f>
        <v>29840</v>
      </c>
      <c r="F108" s="8"/>
      <c r="G108" s="8"/>
    </row>
    <row r="109" spans="1:7">
      <c r="A109" s="6" t="s">
        <v>118</v>
      </c>
      <c r="C109" s="8">
        <f>$B$101*C107</f>
        <v>8616</v>
      </c>
      <c r="D109" s="8">
        <f>$B$101*D107</f>
        <v>17232</v>
      </c>
      <c r="E109" s="17">
        <f>$B$101*E107</f>
        <v>34464</v>
      </c>
      <c r="F109" s="8"/>
      <c r="G109" s="8"/>
    </row>
    <row r="110" spans="1:7">
      <c r="A110" s="6" t="s">
        <v>119</v>
      </c>
      <c r="C110" s="8">
        <f>C106</f>
        <v>74.599999999999994</v>
      </c>
      <c r="D110" s="8">
        <f>D106</f>
        <v>74.599999999999994</v>
      </c>
      <c r="E110" s="8">
        <f>E106</f>
        <v>74.599999999999994</v>
      </c>
      <c r="F110" s="8"/>
      <c r="G110" s="8"/>
    </row>
    <row r="111" spans="1:7">
      <c r="A111" s="6" t="s">
        <v>120</v>
      </c>
      <c r="C111" s="7">
        <v>0.57899999999999996</v>
      </c>
      <c r="D111" s="7">
        <v>0.57899999999999996</v>
      </c>
      <c r="E111" s="7">
        <v>0.57899999999999996</v>
      </c>
    </row>
    <row r="112" spans="1:7">
      <c r="A112" s="6" t="s">
        <v>121</v>
      </c>
      <c r="C112" s="8">
        <f>C111/C106</f>
        <v>7.761394101876676E-3</v>
      </c>
      <c r="D112" s="8">
        <f>D111/D106</f>
        <v>7.761394101876676E-3</v>
      </c>
      <c r="E112" s="8">
        <f>E111/E106</f>
        <v>7.761394101876676E-3</v>
      </c>
      <c r="F112" s="8"/>
      <c r="G112" s="8"/>
    </row>
    <row r="113" spans="1:16">
      <c r="A113" s="6" t="s">
        <v>113</v>
      </c>
      <c r="C113" s="8">
        <f>($B$101/C112)/10^6</f>
        <v>1288.4283246977545</v>
      </c>
      <c r="D113" s="8">
        <f>($B$101/D112)/10^6</f>
        <v>1288.4283246977545</v>
      </c>
      <c r="E113" s="8">
        <f>($B$101/E112)/10^6</f>
        <v>1288.4283246977545</v>
      </c>
      <c r="F113" s="8"/>
      <c r="G113" s="8"/>
    </row>
    <row r="114" spans="1:16">
      <c r="A114" s="6" t="s">
        <v>122</v>
      </c>
      <c r="B114" s="7">
        <v>1291.9699886000001</v>
      </c>
    </row>
    <row r="115" spans="1:16">
      <c r="A115" s="6" t="s">
        <v>22</v>
      </c>
      <c r="C115" s="8">
        <f>ABS($B$114-C113)/$B$114*100</f>
        <v>0.27412896069539128</v>
      </c>
      <c r="D115" s="8">
        <f>ABS($B$114-D113)/$B$114*100</f>
        <v>0.27412896069539128</v>
      </c>
      <c r="E115" s="8">
        <f>ABS($B$114-E113)/$B$114*100</f>
        <v>0.27412896069539128</v>
      </c>
      <c r="F115" s="8"/>
      <c r="G115" s="8"/>
    </row>
    <row r="119" spans="1:16">
      <c r="A119" s="6" t="s">
        <v>125</v>
      </c>
    </row>
    <row r="120" spans="1:16">
      <c r="A120" s="6" t="s">
        <v>114</v>
      </c>
      <c r="B120" s="6">
        <f>10*10^6</f>
        <v>10000000</v>
      </c>
      <c r="H120" s="11"/>
    </row>
    <row r="121" spans="1:16">
      <c r="A121" s="6" t="s">
        <v>63</v>
      </c>
      <c r="C121" s="7">
        <v>2</v>
      </c>
      <c r="D121" s="7">
        <v>4</v>
      </c>
      <c r="E121" s="7">
        <v>8</v>
      </c>
      <c r="F121" s="7"/>
      <c r="G121" s="7"/>
      <c r="H121" s="7">
        <v>8</v>
      </c>
      <c r="I121" s="7">
        <v>8</v>
      </c>
      <c r="J121" s="7"/>
      <c r="K121" s="7"/>
      <c r="L121" s="7"/>
      <c r="M121" s="7"/>
      <c r="O121" s="7">
        <v>2</v>
      </c>
      <c r="P121" s="7">
        <v>2</v>
      </c>
    </row>
    <row r="122" spans="1:16">
      <c r="A122" s="6" t="s">
        <v>64</v>
      </c>
      <c r="C122" s="8">
        <f>$B$9*C121</f>
        <v>21.54</v>
      </c>
      <c r="D122" s="8">
        <f>$B$9*D121</f>
        <v>43.08</v>
      </c>
      <c r="E122" s="8">
        <f>$B$9*E121</f>
        <v>86.16</v>
      </c>
      <c r="F122" s="8"/>
      <c r="G122" s="8"/>
      <c r="H122" s="8">
        <f>$B$9*H121</f>
        <v>86.16</v>
      </c>
      <c r="I122" s="8">
        <f>$B$9*I121</f>
        <v>86.16</v>
      </c>
      <c r="J122" s="8"/>
      <c r="K122" s="8"/>
      <c r="L122" s="8"/>
      <c r="M122" s="8"/>
      <c r="O122" s="8">
        <f>$B$9*O121</f>
        <v>21.54</v>
      </c>
      <c r="P122" s="8">
        <f>$B$9*P121</f>
        <v>21.54</v>
      </c>
    </row>
    <row r="123" spans="1:16">
      <c r="A123" s="6" t="s">
        <v>115</v>
      </c>
      <c r="B123" s="4" t="s">
        <v>128</v>
      </c>
      <c r="C123" s="8">
        <f>C125*C129/1000000</f>
        <v>2.9840000000000001E-3</v>
      </c>
      <c r="D123" s="8">
        <f>D125*D129/1000000</f>
        <v>2.9840000000000001E-3</v>
      </c>
      <c r="E123" s="8">
        <f>E125*E129/1000000</f>
        <v>2.9840000000000001E-3</v>
      </c>
      <c r="F123" s="8"/>
      <c r="G123" s="8"/>
      <c r="H123" s="8">
        <f>H125*H129/1000000</f>
        <v>5.9680000000000002E-3</v>
      </c>
      <c r="I123" s="8">
        <f>I125*I129/1000000</f>
        <v>6.4275359999999993E-3</v>
      </c>
      <c r="J123" s="8"/>
      <c r="K123" s="8"/>
      <c r="L123" s="8"/>
      <c r="M123" s="8"/>
      <c r="O123" s="8">
        <f>O122*O125/1000000</f>
        <v>2.7838296E-3</v>
      </c>
      <c r="P123" s="8">
        <f>P122*P125/1000000</f>
        <v>4.6397159999999995E-3</v>
      </c>
    </row>
    <row r="124" spans="1:16">
      <c r="A124" s="6" t="s">
        <v>77</v>
      </c>
      <c r="C124" s="7">
        <v>2</v>
      </c>
      <c r="D124" s="7">
        <v>2</v>
      </c>
      <c r="E124" s="7">
        <v>2</v>
      </c>
      <c r="F124" s="7"/>
      <c r="G124" s="7"/>
      <c r="H124" s="7">
        <v>2</v>
      </c>
      <c r="I124" s="7">
        <v>2</v>
      </c>
      <c r="J124" s="7"/>
      <c r="K124" s="7"/>
      <c r="L124" s="7"/>
      <c r="M124" s="7"/>
      <c r="O124" s="7">
        <v>6</v>
      </c>
      <c r="P124" s="7">
        <v>10</v>
      </c>
    </row>
    <row r="125" spans="1:16">
      <c r="A125" s="6" t="s">
        <v>82</v>
      </c>
      <c r="C125" s="8">
        <f>$B$10*C124</f>
        <v>74.599999999999994</v>
      </c>
      <c r="D125" s="8">
        <f>$B$10*D124</f>
        <v>74.599999999999994</v>
      </c>
      <c r="E125" s="8">
        <f>$B$10*E124</f>
        <v>74.599999999999994</v>
      </c>
      <c r="F125" s="8"/>
      <c r="G125" s="8"/>
      <c r="H125" s="8">
        <f>$B$10*H124</f>
        <v>74.599999999999994</v>
      </c>
      <c r="I125" s="8">
        <f>$B$10*I124</f>
        <v>74.599999999999994</v>
      </c>
      <c r="J125" s="8"/>
      <c r="K125" s="8"/>
      <c r="L125" s="8"/>
      <c r="M125" s="8"/>
      <c r="O125" s="8">
        <f>$B$8*O124</f>
        <v>129.24</v>
      </c>
      <c r="P125" s="8">
        <f>$B$8*P124</f>
        <v>215.39999999999998</v>
      </c>
    </row>
    <row r="126" spans="1:16">
      <c r="A126" s="6" t="s">
        <v>116</v>
      </c>
      <c r="C126" s="8">
        <f>C122*C125/1000000</f>
        <v>1.6068839999999998E-3</v>
      </c>
      <c r="D126" s="8">
        <f t="shared" ref="D126:I126" si="40">D122*D125/1000000</f>
        <v>3.2137679999999997E-3</v>
      </c>
      <c r="E126" s="8">
        <f t="shared" si="40"/>
        <v>6.4275359999999993E-3</v>
      </c>
      <c r="F126" s="8"/>
      <c r="G126" s="8"/>
      <c r="H126" s="8">
        <f t="shared" si="40"/>
        <v>6.4275359999999993E-3</v>
      </c>
      <c r="I126" s="8">
        <f t="shared" si="40"/>
        <v>6.4275359999999993E-3</v>
      </c>
      <c r="J126" s="8"/>
      <c r="K126" s="8"/>
      <c r="L126" s="8"/>
      <c r="M126" s="8"/>
      <c r="O126" s="8">
        <f>$B$6*O125/1000000</f>
        <v>5.1696000000000008E-3</v>
      </c>
      <c r="P126" s="8">
        <f>$B$6*P125/1000000</f>
        <v>8.6160000000000004E-3</v>
      </c>
    </row>
    <row r="127" spans="1:16">
      <c r="A127" s="6" t="s">
        <v>117</v>
      </c>
      <c r="C127" s="8">
        <f>$B$101*C123</f>
        <v>29840</v>
      </c>
      <c r="D127" s="8">
        <f>$B$101*D123</f>
        <v>29840</v>
      </c>
      <c r="E127" s="8">
        <f>$B$101*E123</f>
        <v>29840</v>
      </c>
      <c r="F127" s="8"/>
      <c r="G127" s="8"/>
      <c r="H127" s="8">
        <f>$B$101*H123</f>
        <v>59680</v>
      </c>
      <c r="I127" s="8">
        <f>$B$101*I123</f>
        <v>64275.359999999993</v>
      </c>
      <c r="J127" s="8"/>
      <c r="K127" s="8"/>
      <c r="L127" s="8"/>
      <c r="M127" s="8"/>
      <c r="O127" s="8">
        <f>$B$101*O123</f>
        <v>27838.295999999998</v>
      </c>
      <c r="P127" s="8">
        <f>$B$101*P123</f>
        <v>46397.159999999996</v>
      </c>
    </row>
    <row r="128" spans="1:16">
      <c r="A128" s="6" t="s">
        <v>118</v>
      </c>
      <c r="C128" s="8">
        <f>$B$101*C126</f>
        <v>16068.839999999998</v>
      </c>
      <c r="D128" s="8">
        <f>$B$101*D126</f>
        <v>32137.679999999997</v>
      </c>
      <c r="E128" s="8">
        <f>$B$101*E126</f>
        <v>64275.359999999993</v>
      </c>
      <c r="F128" s="8"/>
      <c r="G128" s="8"/>
      <c r="H128" s="8">
        <f>$B$101*H126</f>
        <v>64275.359999999993</v>
      </c>
      <c r="I128" s="8">
        <f>$B$101*I126</f>
        <v>64275.359999999993</v>
      </c>
      <c r="J128" s="8"/>
      <c r="K128" s="8"/>
      <c r="L128" s="8"/>
      <c r="M128" s="8"/>
      <c r="O128" s="8">
        <f>$B$101*O126</f>
        <v>51696.000000000007</v>
      </c>
      <c r="P128" s="8">
        <f>$B$101*P126</f>
        <v>86160</v>
      </c>
    </row>
    <row r="129" spans="1:16">
      <c r="A129" s="6" t="s">
        <v>119</v>
      </c>
      <c r="C129" s="8">
        <f>$B$6</f>
        <v>40</v>
      </c>
      <c r="D129" s="8">
        <f>$B$6</f>
        <v>40</v>
      </c>
      <c r="E129" s="8">
        <f>$B$6</f>
        <v>40</v>
      </c>
      <c r="F129" s="8"/>
      <c r="G129" s="8"/>
      <c r="H129" s="8">
        <v>80</v>
      </c>
      <c r="I129" s="8">
        <f>I122</f>
        <v>86.16</v>
      </c>
      <c r="J129" s="8"/>
      <c r="K129" s="8"/>
      <c r="L129" s="8"/>
      <c r="M129" s="8"/>
      <c r="O129" s="8">
        <f>O122</f>
        <v>21.54</v>
      </c>
      <c r="P129" s="8">
        <f>P122</f>
        <v>21.54</v>
      </c>
    </row>
    <row r="130" spans="1:16">
      <c r="A130" s="6" t="s">
        <v>120</v>
      </c>
      <c r="C130" s="7">
        <v>30.35</v>
      </c>
      <c r="D130" s="7">
        <v>30.269400000000001</v>
      </c>
      <c r="E130" s="7">
        <v>30.23</v>
      </c>
      <c r="F130" s="7"/>
      <c r="G130" s="7"/>
      <c r="H130" s="7">
        <v>60.004100000000001</v>
      </c>
      <c r="I130" s="7">
        <v>65.03</v>
      </c>
      <c r="J130" s="7"/>
      <c r="K130" s="7"/>
      <c r="L130" s="7"/>
      <c r="O130" s="7">
        <v>6.1840000000000002</v>
      </c>
      <c r="P130" s="7">
        <v>6.1820000000000004</v>
      </c>
    </row>
    <row r="131" spans="1:16">
      <c r="A131" s="6" t="s">
        <v>121</v>
      </c>
      <c r="B131" s="12"/>
      <c r="C131" s="8">
        <f>ATAN(C130/C129)</f>
        <v>0.64907762935797342</v>
      </c>
      <c r="D131" s="8">
        <f>ATAN(D130/D129)</f>
        <v>0.64779759259740788</v>
      </c>
      <c r="E131" s="8">
        <f>ATAN(E130/E129)</f>
        <v>0.64717096347380909</v>
      </c>
      <c r="F131" s="8"/>
      <c r="G131" s="8"/>
      <c r="H131" s="8">
        <f>ATAN(H130/H129)</f>
        <v>0.64353390798641252</v>
      </c>
      <c r="I131" s="8">
        <f>ATAN(I130/I129)</f>
        <v>0.6465396557570452</v>
      </c>
      <c r="J131" s="8"/>
      <c r="K131" s="8"/>
      <c r="L131" s="8"/>
      <c r="M131" s="8"/>
      <c r="O131" s="8">
        <f>ATAN(O130/O122)</f>
        <v>0.27957457434152344</v>
      </c>
      <c r="P131" s="8">
        <f>ATAN(P130/P122)</f>
        <v>0.27948879197082832</v>
      </c>
    </row>
    <row r="132" spans="1:16">
      <c r="A132" s="6" t="s">
        <v>125</v>
      </c>
      <c r="B132" s="12"/>
      <c r="C132" s="8">
        <f>($B$101/C131)/10^6</f>
        <v>15.40647766568595</v>
      </c>
      <c r="D132" s="8">
        <f>($B$101/D131)/10^6</f>
        <v>15.43692059722547</v>
      </c>
      <c r="E132" s="8">
        <f>($B$101/E131)/10^6</f>
        <v>15.451867534852248</v>
      </c>
      <c r="F132" s="8"/>
      <c r="G132" s="8"/>
      <c r="H132" s="8">
        <f>($B$101/H131)/10^6</f>
        <v>15.53919673213418</v>
      </c>
      <c r="I132" s="8">
        <f>($B$101/I131)/10^6</f>
        <v>15.466955369181209</v>
      </c>
      <c r="J132" s="8"/>
      <c r="K132" s="8"/>
      <c r="L132" s="8"/>
      <c r="M132" s="8"/>
      <c r="O132" s="8">
        <f>($B$101/O131)/10^6</f>
        <v>35.768631763288219</v>
      </c>
      <c r="P132" s="8">
        <f>($B$101/P131)/10^6</f>
        <v>35.77961008555846</v>
      </c>
    </row>
    <row r="133" spans="1:16">
      <c r="A133" s="6" t="s">
        <v>126</v>
      </c>
      <c r="B133" s="7">
        <v>13.397500000000001</v>
      </c>
    </row>
    <row r="134" spans="1:16">
      <c r="A134" s="6" t="s">
        <v>22</v>
      </c>
      <c r="C134" s="8">
        <f>ABS($B$133-C132)/C132*100</f>
        <v>13.03982460676551</v>
      </c>
      <c r="D134" s="8">
        <f>ABS($B$133-D132)/D132*100</f>
        <v>13.211317531762267</v>
      </c>
      <c r="E134" s="8">
        <f>ABS($B$133-E132)/E132*100</f>
        <v>13.295270168596426</v>
      </c>
      <c r="F134" s="8"/>
      <c r="G134" s="8"/>
      <c r="H134" s="8">
        <f>ABS($B$133-H132)/H132*100</f>
        <v>13.78254467752037</v>
      </c>
      <c r="I134" s="8">
        <f>ABS($B$133-I132)/I132*100</f>
        <v>13.379849619949869</v>
      </c>
      <c r="J134" s="8"/>
      <c r="K134" s="8"/>
      <c r="L134" s="8"/>
      <c r="M134" s="8"/>
      <c r="O134" s="8">
        <f>ABS($B$133-O132)/$B$133*100</f>
        <v>166.9798974680964</v>
      </c>
      <c r="P134" s="8">
        <f>ABS($B$133-P132)/$B$133*100</f>
        <v>167.06184053411798</v>
      </c>
    </row>
    <row r="139" spans="1:16">
      <c r="A139" s="6" t="s">
        <v>123</v>
      </c>
    </row>
    <row r="140" spans="1:16">
      <c r="A140" s="6" t="s">
        <v>114</v>
      </c>
      <c r="B140" s="6">
        <f>10*10^6</f>
        <v>10000000</v>
      </c>
    </row>
    <row r="141" spans="1:16">
      <c r="A141" s="6" t="s">
        <v>63</v>
      </c>
      <c r="C141" s="7">
        <v>2</v>
      </c>
      <c r="D141" s="7">
        <v>4</v>
      </c>
      <c r="E141" s="7">
        <v>8</v>
      </c>
      <c r="F141" s="7"/>
      <c r="G141" s="7"/>
      <c r="H141" s="7">
        <v>6</v>
      </c>
      <c r="I141" s="7">
        <v>6</v>
      </c>
      <c r="J141" s="7">
        <v>10</v>
      </c>
    </row>
    <row r="142" spans="1:16">
      <c r="A142" s="6" t="s">
        <v>64</v>
      </c>
      <c r="C142" s="8">
        <f>$B$9*C141</f>
        <v>21.54</v>
      </c>
      <c r="D142" s="8">
        <f>$B$9*D141</f>
        <v>43.08</v>
      </c>
      <c r="E142" s="8">
        <f>$B$9*E141</f>
        <v>86.16</v>
      </c>
      <c r="F142" s="8"/>
      <c r="G142" s="8"/>
      <c r="H142" s="8">
        <f>$B$9*H141</f>
        <v>64.62</v>
      </c>
      <c r="I142" s="8">
        <f>$B$9*I141</f>
        <v>64.62</v>
      </c>
      <c r="J142" s="8">
        <f>$B$9*J141</f>
        <v>107.69999999999999</v>
      </c>
    </row>
    <row r="143" spans="1:16">
      <c r="A143" s="6" t="s">
        <v>115</v>
      </c>
      <c r="C143" s="8">
        <f>C142*C146/1000000</f>
        <v>8.6159999999999991E-4</v>
      </c>
      <c r="D143" s="8">
        <f>D142*D146/1000000</f>
        <v>1.7231999999999998E-3</v>
      </c>
      <c r="E143" s="8">
        <f>E142*E146/1000000</f>
        <v>3.4463999999999996E-3</v>
      </c>
      <c r="F143" s="8"/>
      <c r="G143" s="8"/>
      <c r="H143" s="8">
        <f>H142*H146/1000000</f>
        <v>5.8158000000000003E-3</v>
      </c>
      <c r="I143" s="8">
        <f>I142*I146/1000000</f>
        <v>1.9386000000000002E-3</v>
      </c>
      <c r="J143" s="8">
        <f>J142*B6/1000000</f>
        <v>4.3080000000000002E-3</v>
      </c>
    </row>
    <row r="144" spans="1:16">
      <c r="A144" s="6" t="s">
        <v>77</v>
      </c>
      <c r="C144" s="7">
        <v>2</v>
      </c>
      <c r="D144" s="7">
        <v>2</v>
      </c>
      <c r="E144" s="7">
        <v>2</v>
      </c>
      <c r="F144" s="7"/>
      <c r="G144" s="7"/>
      <c r="H144" s="7">
        <v>2</v>
      </c>
      <c r="I144" s="7">
        <v>2</v>
      </c>
      <c r="J144" s="7">
        <v>2</v>
      </c>
    </row>
    <row r="145" spans="1:10">
      <c r="A145" s="6" t="s">
        <v>82</v>
      </c>
      <c r="C145" s="8">
        <f>B10*C144</f>
        <v>74.599999999999994</v>
      </c>
      <c r="D145" s="8">
        <f>$B$10*D144</f>
        <v>74.599999999999994</v>
      </c>
      <c r="E145" s="8">
        <f>$B$10*E144</f>
        <v>74.599999999999994</v>
      </c>
      <c r="F145" s="8"/>
      <c r="G145" s="8"/>
      <c r="H145" s="8">
        <f>$B$8*H144</f>
        <v>43.08</v>
      </c>
      <c r="I145" s="8">
        <f>$B$8*I144</f>
        <v>43.08</v>
      </c>
      <c r="J145" s="8">
        <f>$B$8*J144</f>
        <v>43.08</v>
      </c>
    </row>
    <row r="146" spans="1:10">
      <c r="A146" s="6" t="s">
        <v>124</v>
      </c>
      <c r="C146" s="7">
        <f>$B$6</f>
        <v>40</v>
      </c>
      <c r="D146" s="7">
        <f>$B$6</f>
        <v>40</v>
      </c>
      <c r="E146" s="7">
        <f>$B$6</f>
        <v>40</v>
      </c>
      <c r="F146" s="7"/>
      <c r="G146" s="7">
        <f>G145</f>
        <v>0</v>
      </c>
      <c r="H146" s="7">
        <v>90</v>
      </c>
      <c r="I146" s="7">
        <v>30</v>
      </c>
      <c r="J146" s="7">
        <v>30</v>
      </c>
    </row>
    <row r="147" spans="1:10">
      <c r="A147" s="6" t="s">
        <v>116</v>
      </c>
      <c r="C147" s="8">
        <f>C145*C142/1000000</f>
        <v>1.6068839999999998E-3</v>
      </c>
      <c r="D147" s="8">
        <f>D145*D142/1000000</f>
        <v>3.2137679999999997E-3</v>
      </c>
      <c r="E147" s="8">
        <f>E145*E142/1000000</f>
        <v>6.4275359999999993E-3</v>
      </c>
      <c r="F147" s="8"/>
      <c r="G147" s="8"/>
      <c r="H147" s="8">
        <f>H142*H145/1000000</f>
        <v>2.7838296E-3</v>
      </c>
      <c r="I147" s="8">
        <f>I142*I145/1000000</f>
        <v>2.7838296E-3</v>
      </c>
      <c r="J147" s="8">
        <f>J142*J145/1000000</f>
        <v>4.6397159999999995E-3</v>
      </c>
    </row>
    <row r="148" spans="1:10">
      <c r="A148" s="6" t="s">
        <v>117</v>
      </c>
      <c r="C148" s="8">
        <f>$B$101*C143</f>
        <v>8616</v>
      </c>
      <c r="D148" s="8">
        <f>$B$101*D143</f>
        <v>17232</v>
      </c>
      <c r="E148" s="8">
        <f>$B$101*E143</f>
        <v>34464</v>
      </c>
      <c r="F148" s="8"/>
      <c r="G148" s="8"/>
      <c r="H148" s="8">
        <f>$B$101*H143</f>
        <v>58158</v>
      </c>
      <c r="I148" s="8">
        <f>$B$101*I143</f>
        <v>19386</v>
      </c>
      <c r="J148" s="8">
        <f>$B$101*J143</f>
        <v>43080</v>
      </c>
    </row>
    <row r="149" spans="1:10">
      <c r="A149" s="6" t="s">
        <v>118</v>
      </c>
      <c r="C149" s="8">
        <f>$B$101*C147</f>
        <v>16068.839999999998</v>
      </c>
      <c r="D149" s="8">
        <f>$B$101*D147</f>
        <v>32137.679999999997</v>
      </c>
      <c r="E149" s="8">
        <f>$B$101*E147</f>
        <v>64275.359999999993</v>
      </c>
      <c r="F149" s="8"/>
      <c r="G149" s="8"/>
      <c r="H149" s="8">
        <f>$B$101*H147</f>
        <v>27838.295999999998</v>
      </c>
      <c r="I149" s="8">
        <f>$B$101*I147</f>
        <v>27838.295999999998</v>
      </c>
      <c r="J149" s="8">
        <f>$B$101*J147</f>
        <v>46397.159999999996</v>
      </c>
    </row>
    <row r="150" spans="1:10">
      <c r="A150" s="6" t="s">
        <v>119</v>
      </c>
      <c r="C150" s="8">
        <f>C142</f>
        <v>21.54</v>
      </c>
      <c r="D150" s="8">
        <f>D146</f>
        <v>40</v>
      </c>
      <c r="E150" s="8">
        <f>E146</f>
        <v>40</v>
      </c>
      <c r="F150" s="8"/>
      <c r="G150" s="8"/>
      <c r="H150" s="8">
        <f>H145</f>
        <v>43.08</v>
      </c>
      <c r="I150" s="8">
        <f>I145</f>
        <v>43.08</v>
      </c>
      <c r="J150" s="8">
        <f>J145</f>
        <v>43.08</v>
      </c>
    </row>
    <row r="151" spans="1:10">
      <c r="A151" s="6" t="s">
        <v>120</v>
      </c>
      <c r="C151" s="7">
        <v>3.6659999999999999</v>
      </c>
      <c r="D151" s="7">
        <v>4.0960000000000001</v>
      </c>
      <c r="E151" s="7">
        <v>4.3499999999999996</v>
      </c>
      <c r="F151" s="7"/>
      <c r="G151" s="7"/>
      <c r="H151" s="7">
        <v>16.22</v>
      </c>
      <c r="I151" s="7">
        <v>5.4249999999999998</v>
      </c>
      <c r="J151" s="7">
        <v>5.649</v>
      </c>
    </row>
    <row r="152" spans="1:10">
      <c r="A152" s="6" t="s">
        <v>121</v>
      </c>
      <c r="C152" s="8">
        <f>ATAN(C151/C146)</f>
        <v>9.1394674047899485E-2</v>
      </c>
      <c r="D152" s="8">
        <f>ATAN(D151/D146)</f>
        <v>0.10204432112926498</v>
      </c>
      <c r="E152" s="8">
        <f>ATAN(E151/E146)</f>
        <v>0.10832430376492969</v>
      </c>
      <c r="F152" s="8"/>
      <c r="G152" s="8"/>
      <c r="H152" s="8">
        <f>ATAN(H151/H146)</f>
        <v>0.17830817806962931</v>
      </c>
      <c r="I152" s="8">
        <f>ATAN(I151/I146)</f>
        <v>0.17890000147501378</v>
      </c>
      <c r="J152" s="8">
        <f>ATAN(J151/B6)</f>
        <v>0.14029719039986846</v>
      </c>
    </row>
    <row r="153" spans="1:10">
      <c r="A153" s="6" t="s">
        <v>123</v>
      </c>
      <c r="C153" s="8">
        <f>($B$101/C152)/10^6</f>
        <v>109.41556610573447</v>
      </c>
      <c r="D153" s="8">
        <f>($B$101/D152)/10^6</f>
        <v>97.996634103062604</v>
      </c>
      <c r="E153" s="8">
        <f>($B$101/E152)/10^6</f>
        <v>92.315386782458404</v>
      </c>
      <c r="F153" s="8"/>
      <c r="G153" s="8"/>
      <c r="H153" s="8">
        <f>($B$101/H152)/10^6</f>
        <v>56.082677240384349</v>
      </c>
      <c r="I153" s="8">
        <f>($B$101/I152)/10^6</f>
        <v>55.897148784521711</v>
      </c>
      <c r="J153" s="8">
        <f>($B$101/J152)/10^6</f>
        <v>71.277264865379479</v>
      </c>
    </row>
    <row r="154" spans="1:10">
      <c r="A154" s="6" t="s">
        <v>127</v>
      </c>
      <c r="B154" s="7">
        <v>86.602500000000006</v>
      </c>
    </row>
    <row r="155" spans="1:10">
      <c r="A155" s="6" t="s">
        <v>22</v>
      </c>
      <c r="C155" s="8">
        <f>ABS(B154-C153)/C153*100</f>
        <v>20.849927407667849</v>
      </c>
      <c r="D155" s="8">
        <f>ABS($B$154-D153)/D153*100</f>
        <v>11.627066794028293</v>
      </c>
      <c r="E155" s="8">
        <f>ABS($B$154-E153)/E153*100</f>
        <v>6.1884448319767538</v>
      </c>
      <c r="F155" s="8"/>
      <c r="G155" s="8"/>
      <c r="H155" s="8">
        <f>ABS($B$133-H153)/$B$133*100</f>
        <v>318.60554014095425</v>
      </c>
      <c r="I155" s="8">
        <f>ABS($B$133-I153)/$B$133*100</f>
        <v>317.22074106752535</v>
      </c>
      <c r="J155" s="8">
        <f>ABS($B$133-J153)/$B$133*100</f>
        <v>432.01914435812262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2E17-7E2D-4AA5-8646-A6EDD3A44197}">
  <dimension ref="A1:D10"/>
  <sheetViews>
    <sheetView zoomScale="10" zoomScaleNormal="10" workbookViewId="0">
      <selection activeCell="C24" sqref="C24"/>
    </sheetView>
  </sheetViews>
  <sheetFormatPr defaultRowHeight="14.25"/>
  <cols>
    <col min="1" max="1" width="37.265625" customWidth="1"/>
    <col min="2" max="2" width="13.3984375" customWidth="1"/>
    <col min="3" max="3" width="11.86328125" customWidth="1"/>
    <col min="4" max="4" width="18.265625" customWidth="1"/>
  </cols>
  <sheetData>
    <row r="1" spans="1:4" ht="18">
      <c r="A1" s="6" t="s">
        <v>0</v>
      </c>
      <c r="B1" s="7">
        <v>1.5</v>
      </c>
      <c r="C1" s="7">
        <v>1.5</v>
      </c>
      <c r="D1" s="6" t="s">
        <v>17</v>
      </c>
    </row>
    <row r="2" spans="1:4" ht="18">
      <c r="A2" s="6" t="s">
        <v>1</v>
      </c>
      <c r="B2" s="7">
        <v>0.6</v>
      </c>
      <c r="C2" s="7">
        <v>0.6</v>
      </c>
      <c r="D2" s="6"/>
    </row>
    <row r="3" spans="1:4" ht="18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4" ht="18">
      <c r="A4" s="6" t="s">
        <v>2</v>
      </c>
      <c r="B4" s="7">
        <f>C4</f>
        <v>12.16</v>
      </c>
      <c r="C4" s="7">
        <f>12.16</f>
        <v>12.16</v>
      </c>
      <c r="D4" s="8">
        <f>C1*(1+SIN(C3))/(C2*SIN(C3))</f>
        <v>12.159536609088908</v>
      </c>
    </row>
    <row r="5" spans="1:4" ht="18">
      <c r="A5" s="6" t="s">
        <v>4</v>
      </c>
      <c r="B5" s="7">
        <f>C5</f>
        <v>6.3</v>
      </c>
      <c r="C5" s="7">
        <v>6.3</v>
      </c>
      <c r="D5" s="8">
        <f>2*C1*(1+SIN(C3))/C2</f>
        <v>6.2940579352676629</v>
      </c>
    </row>
    <row r="6" spans="1:4" ht="18">
      <c r="A6" s="6" t="s">
        <v>11</v>
      </c>
      <c r="B6" s="7">
        <f>8.5</f>
        <v>8.5</v>
      </c>
      <c r="C6" s="8">
        <f>3.75*2</f>
        <v>7.5</v>
      </c>
      <c r="D6" s="6"/>
    </row>
    <row r="7" spans="1:4" ht="18">
      <c r="A7" s="6" t="s">
        <v>5</v>
      </c>
      <c r="B7" s="8">
        <f>C7</f>
        <v>6.52</v>
      </c>
      <c r="C7" s="8">
        <v>6.52</v>
      </c>
      <c r="D7" s="7">
        <f>2*TAN(C3)*C4</f>
        <v>6.5163231005496396</v>
      </c>
    </row>
    <row r="8" spans="1:4" ht="18">
      <c r="A8" s="6" t="s">
        <v>6</v>
      </c>
      <c r="B8" s="8">
        <f>C8</f>
        <v>12.589</v>
      </c>
      <c r="C8" s="8">
        <v>12.589</v>
      </c>
      <c r="D8" s="7">
        <f>C4/COS(C3)</f>
        <v>12.5889323092822</v>
      </c>
    </row>
    <row r="9" spans="1:4" ht="18">
      <c r="A9" s="6" t="s">
        <v>61</v>
      </c>
      <c r="B9" s="8">
        <f>B4</f>
        <v>12.16</v>
      </c>
      <c r="C9" s="8">
        <f>D4</f>
        <v>12.159536609088908</v>
      </c>
      <c r="D9" s="6"/>
    </row>
    <row r="10" spans="1:4" ht="18">
      <c r="A10" s="6" t="s">
        <v>62</v>
      </c>
      <c r="B10" s="8">
        <f>B7</f>
        <v>6.52</v>
      </c>
      <c r="C10" s="8">
        <f>D7</f>
        <v>6.5163231005496396</v>
      </c>
      <c r="D10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0AAF-1CB0-420A-8653-BD28C824A6FD}">
  <dimension ref="B1:AA237"/>
  <sheetViews>
    <sheetView zoomScale="25" zoomScaleNormal="25" workbookViewId="0">
      <selection activeCell="U56" sqref="U56"/>
    </sheetView>
  </sheetViews>
  <sheetFormatPr defaultRowHeight="14.25"/>
  <cols>
    <col min="1" max="1" width="23.73046875" customWidth="1"/>
    <col min="6" max="6" width="26" customWidth="1"/>
    <col min="7" max="7" width="9" customWidth="1"/>
    <col min="10" max="10" width="14" customWidth="1"/>
    <col min="11" max="11" width="28" customWidth="1"/>
    <col min="12" max="12" width="26.3984375" customWidth="1"/>
    <col min="17" max="17" width="12.73046875" customWidth="1"/>
    <col min="18" max="18" width="22.59765625" customWidth="1"/>
    <col min="23" max="23" width="27.1328125" customWidth="1"/>
  </cols>
  <sheetData>
    <row r="1" spans="5:13">
      <c r="E1" t="s">
        <v>151</v>
      </c>
      <c r="J1" t="s">
        <v>152</v>
      </c>
    </row>
    <row r="2" spans="5:13">
      <c r="E2" s="39" t="s">
        <v>140</v>
      </c>
      <c r="F2" t="s">
        <v>133</v>
      </c>
      <c r="G2">
        <v>97.28</v>
      </c>
      <c r="H2" t="s">
        <v>13</v>
      </c>
      <c r="J2" s="39" t="s">
        <v>140</v>
      </c>
      <c r="K2" t="s">
        <v>133</v>
      </c>
      <c r="L2">
        <v>97.28</v>
      </c>
      <c r="M2" t="s">
        <v>13</v>
      </c>
    </row>
    <row r="3" spans="5:13">
      <c r="E3" s="39"/>
      <c r="F3" t="s">
        <v>134</v>
      </c>
      <c r="G3">
        <f>21.548</f>
        <v>21.547999999999998</v>
      </c>
      <c r="H3" t="s">
        <v>13</v>
      </c>
      <c r="J3" s="39"/>
      <c r="K3" t="s">
        <v>134</v>
      </c>
      <c r="L3">
        <f>21.548+1.5</f>
        <v>23.047999999999998</v>
      </c>
      <c r="M3" t="s">
        <v>13</v>
      </c>
    </row>
    <row r="4" spans="5:13">
      <c r="E4" s="39"/>
      <c r="F4" t="s">
        <v>135</v>
      </c>
      <c r="G4">
        <v>7.68</v>
      </c>
      <c r="H4" t="s">
        <v>13</v>
      </c>
      <c r="J4" s="39"/>
      <c r="K4" t="s">
        <v>135</v>
      </c>
      <c r="L4">
        <v>8.4</v>
      </c>
      <c r="M4" t="s">
        <v>13</v>
      </c>
    </row>
    <row r="5" spans="5:13">
      <c r="E5" s="39"/>
      <c r="F5" t="s">
        <v>139</v>
      </c>
      <c r="G5">
        <f>G3/1000*G4/1000</f>
        <v>1.6548863999999998E-4</v>
      </c>
      <c r="H5" t="s">
        <v>16</v>
      </c>
      <c r="J5" s="39"/>
      <c r="K5" t="s">
        <v>139</v>
      </c>
      <c r="L5">
        <f>L3/1000*L4/1000</f>
        <v>1.936032E-4</v>
      </c>
      <c r="M5" t="s">
        <v>16</v>
      </c>
    </row>
    <row r="6" spans="5:13">
      <c r="E6" s="39"/>
      <c r="F6" t="s">
        <v>136</v>
      </c>
      <c r="G6">
        <v>2.4545999999999999E-3</v>
      </c>
      <c r="J6" s="39"/>
      <c r="K6" t="s">
        <v>136</v>
      </c>
      <c r="L6">
        <v>2.4545999999999999E-3</v>
      </c>
    </row>
    <row r="7" spans="5:13">
      <c r="E7" s="39"/>
      <c r="F7" t="s">
        <v>137</v>
      </c>
      <c r="G7">
        <v>100</v>
      </c>
      <c r="H7" t="s">
        <v>138</v>
      </c>
      <c r="J7" s="39"/>
      <c r="K7" t="s">
        <v>137</v>
      </c>
      <c r="L7">
        <v>100</v>
      </c>
      <c r="M7" t="s">
        <v>138</v>
      </c>
    </row>
    <row r="8" spans="5:13">
      <c r="E8" s="39"/>
      <c r="J8" s="39"/>
    </row>
    <row r="9" spans="5:13">
      <c r="E9" s="39"/>
      <c r="G9">
        <f>G7*(G2/1000)/(G5*G6/1000)</f>
        <v>23948297531.41</v>
      </c>
      <c r="J9" s="39"/>
      <c r="L9">
        <f>L7*(L2/1000)/(L5*L6/1000)</f>
        <v>20470587205.110233</v>
      </c>
    </row>
    <row r="10" spans="5:13">
      <c r="E10" s="39"/>
      <c r="J10" s="39"/>
    </row>
    <row r="11" spans="5:13">
      <c r="G11">
        <f>G9/10^6</f>
        <v>23948.29753141</v>
      </c>
      <c r="L11">
        <f>L9/10^6</f>
        <v>20470.587205110234</v>
      </c>
    </row>
    <row r="16" spans="5:13">
      <c r="E16" t="s">
        <v>149</v>
      </c>
    </row>
    <row r="17" spans="5:26" ht="15" customHeight="1">
      <c r="E17" s="39" t="s">
        <v>141</v>
      </c>
      <c r="F17" t="s">
        <v>133</v>
      </c>
      <c r="G17">
        <v>97.28</v>
      </c>
      <c r="H17" t="s">
        <v>13</v>
      </c>
      <c r="K17" s="41" t="s">
        <v>147</v>
      </c>
      <c r="L17" t="s">
        <v>133</v>
      </c>
      <c r="M17">
        <v>97.28</v>
      </c>
      <c r="N17" t="s">
        <v>13</v>
      </c>
      <c r="Q17" t="s">
        <v>150</v>
      </c>
      <c r="W17" s="41" t="s">
        <v>153</v>
      </c>
      <c r="X17" t="s">
        <v>133</v>
      </c>
      <c r="Y17">
        <v>97.28</v>
      </c>
      <c r="Z17" t="s">
        <v>13</v>
      </c>
    </row>
    <row r="18" spans="5:26">
      <c r="E18" s="39"/>
      <c r="F18" t="s">
        <v>134</v>
      </c>
      <c r="G18">
        <f>21.548</f>
        <v>21.547999999999998</v>
      </c>
      <c r="H18" t="s">
        <v>13</v>
      </c>
      <c r="K18" s="41"/>
      <c r="L18" t="s">
        <v>134</v>
      </c>
      <c r="M18">
        <f>19.79</f>
        <v>19.79</v>
      </c>
      <c r="N18" t="s">
        <v>13</v>
      </c>
      <c r="Q18" s="39" t="s">
        <v>141</v>
      </c>
      <c r="R18" t="s">
        <v>133</v>
      </c>
      <c r="S18">
        <v>97.28</v>
      </c>
      <c r="T18" t="s">
        <v>13</v>
      </c>
      <c r="W18" s="41"/>
      <c r="X18" t="s">
        <v>134</v>
      </c>
      <c r="Y18">
        <f>19.79</f>
        <v>19.79</v>
      </c>
      <c r="Z18" t="s">
        <v>13</v>
      </c>
    </row>
    <row r="19" spans="5:26">
      <c r="E19" s="39"/>
      <c r="F19" t="s">
        <v>135</v>
      </c>
      <c r="G19">
        <v>7.68</v>
      </c>
      <c r="H19" t="s">
        <v>13</v>
      </c>
      <c r="K19" s="41"/>
      <c r="L19" t="s">
        <v>135</v>
      </c>
      <c r="M19">
        <v>7.68</v>
      </c>
      <c r="N19" t="s">
        <v>13</v>
      </c>
      <c r="Q19" s="39"/>
      <c r="R19" t="s">
        <v>134</v>
      </c>
      <c r="S19">
        <f>23.048</f>
        <v>23.047999999999998</v>
      </c>
      <c r="T19" t="s">
        <v>13</v>
      </c>
      <c r="W19" s="41"/>
      <c r="X19" t="s">
        <v>135</v>
      </c>
      <c r="Y19">
        <v>7.68</v>
      </c>
      <c r="Z19" t="s">
        <v>13</v>
      </c>
    </row>
    <row r="20" spans="5:26">
      <c r="E20" s="39"/>
      <c r="F20" t="s">
        <v>139</v>
      </c>
      <c r="G20">
        <f>G18*G19</f>
        <v>165.48863999999998</v>
      </c>
      <c r="H20" t="s">
        <v>15</v>
      </c>
      <c r="K20" s="41"/>
      <c r="L20" t="s">
        <v>139</v>
      </c>
      <c r="M20">
        <f>M18*M19</f>
        <v>151.9872</v>
      </c>
      <c r="N20" t="s">
        <v>15</v>
      </c>
      <c r="Q20" s="39"/>
      <c r="R20" t="s">
        <v>135</v>
      </c>
      <c r="S20">
        <v>8.4</v>
      </c>
      <c r="T20" t="s">
        <v>13</v>
      </c>
      <c r="W20" s="41"/>
      <c r="X20" t="s">
        <v>139</v>
      </c>
      <c r="Y20">
        <f>Y18*Y19</f>
        <v>151.9872</v>
      </c>
      <c r="Z20" t="s">
        <v>15</v>
      </c>
    </row>
    <row r="21" spans="5:26">
      <c r="E21" s="39"/>
      <c r="F21" t="s">
        <v>136</v>
      </c>
      <c r="G21">
        <v>3.3310000000000002E-3</v>
      </c>
      <c r="H21" t="s">
        <v>13</v>
      </c>
      <c r="K21" s="41"/>
      <c r="L21" t="s">
        <v>136</v>
      </c>
      <c r="M21">
        <v>3.3310000000000002E-3</v>
      </c>
      <c r="N21" t="s">
        <v>13</v>
      </c>
      <c r="Q21" s="39"/>
      <c r="R21" t="s">
        <v>139</v>
      </c>
      <c r="S21">
        <f>S19*S20</f>
        <v>193.60319999999999</v>
      </c>
      <c r="T21" t="s">
        <v>15</v>
      </c>
      <c r="W21" s="41"/>
      <c r="X21" t="s">
        <v>136</v>
      </c>
      <c r="Y21">
        <v>4.9769999999999997E-3</v>
      </c>
      <c r="Z21" t="s">
        <v>13</v>
      </c>
    </row>
    <row r="22" spans="5:26">
      <c r="E22" s="39"/>
      <c r="F22" t="s">
        <v>137</v>
      </c>
      <c r="G22">
        <v>100</v>
      </c>
      <c r="H22" t="s">
        <v>138</v>
      </c>
      <c r="K22" s="41"/>
      <c r="L22" t="s">
        <v>137</v>
      </c>
      <c r="M22">
        <v>100</v>
      </c>
      <c r="N22" t="s">
        <v>138</v>
      </c>
      <c r="Q22" s="39"/>
      <c r="R22" t="s">
        <v>136</v>
      </c>
      <c r="S22">
        <v>2.503E-3</v>
      </c>
      <c r="T22" t="s">
        <v>13</v>
      </c>
      <c r="W22" s="41"/>
      <c r="X22" t="s">
        <v>137</v>
      </c>
      <c r="Y22">
        <v>100</v>
      </c>
      <c r="Z22" t="s">
        <v>138</v>
      </c>
    </row>
    <row r="23" spans="5:26" ht="18">
      <c r="E23" s="39"/>
      <c r="K23" s="41"/>
      <c r="L23" s="6"/>
      <c r="Q23" s="39"/>
      <c r="R23" t="s">
        <v>137</v>
      </c>
      <c r="S23">
        <v>100</v>
      </c>
      <c r="T23" t="s">
        <v>138</v>
      </c>
      <c r="W23" s="41"/>
      <c r="X23" s="6"/>
    </row>
    <row r="24" spans="5:26">
      <c r="E24" s="39"/>
      <c r="G24">
        <f>G22*(G17/1000)/(G20*G21/1000)</f>
        <v>17647.400516541271</v>
      </c>
      <c r="K24" s="41"/>
      <c r="M24">
        <f>M22*(M17/1000)/(M20*M21/1000)</f>
        <v>19215.067525539729</v>
      </c>
      <c r="Q24" s="39"/>
      <c r="W24" s="41"/>
      <c r="Y24">
        <f>Y22*(Y17/1000)/(Y20*Y21/1000)</f>
        <v>12860.235066821951</v>
      </c>
    </row>
    <row r="25" spans="5:26" ht="15" customHeight="1">
      <c r="E25" s="39"/>
      <c r="G25">
        <v>15997</v>
      </c>
      <c r="K25" s="41"/>
      <c r="Q25" s="39"/>
      <c r="S25">
        <f>S23*(S18/1000)/(S21*S22/1000)</f>
        <v>20074.751639498034</v>
      </c>
      <c r="W25" s="41"/>
    </row>
    <row r="26" spans="5:26" ht="15" customHeight="1">
      <c r="G26">
        <f>(G24-G25)/G25*100</f>
        <v>10.316937654193104</v>
      </c>
      <c r="Q26" s="39"/>
    </row>
    <row r="30" spans="5:26" ht="15" customHeight="1">
      <c r="E30" s="38" t="s">
        <v>148</v>
      </c>
      <c r="F30" t="s">
        <v>133</v>
      </c>
      <c r="G30">
        <v>97.28</v>
      </c>
      <c r="H30" t="s">
        <v>13</v>
      </c>
    </row>
    <row r="31" spans="5:26" ht="15" customHeight="1">
      <c r="E31" s="38"/>
      <c r="F31" t="s">
        <v>134</v>
      </c>
      <c r="G31">
        <f>21.554+1.5</f>
        <v>23.053999999999998</v>
      </c>
      <c r="H31" t="s">
        <v>13</v>
      </c>
      <c r="K31" t="s">
        <v>164</v>
      </c>
    </row>
    <row r="32" spans="5:26" ht="15" customHeight="1">
      <c r="E32" s="38"/>
      <c r="F32" t="s">
        <v>135</v>
      </c>
      <c r="G32">
        <v>7.68</v>
      </c>
      <c r="H32" t="s">
        <v>13</v>
      </c>
      <c r="K32" s="39" t="s">
        <v>141</v>
      </c>
      <c r="L32" t="s">
        <v>133</v>
      </c>
      <c r="M32">
        <v>97.28</v>
      </c>
      <c r="N32" t="s">
        <v>13</v>
      </c>
    </row>
    <row r="33" spans="5:14" ht="15" customHeight="1">
      <c r="E33" s="38"/>
      <c r="F33" t="s">
        <v>139</v>
      </c>
      <c r="G33">
        <f>G31*G32</f>
        <v>177.05471999999997</v>
      </c>
      <c r="H33" t="s">
        <v>15</v>
      </c>
      <c r="K33" s="39"/>
      <c r="L33" t="s">
        <v>134</v>
      </c>
      <c r="M33">
        <f>21.548</f>
        <v>21.547999999999998</v>
      </c>
      <c r="N33" t="s">
        <v>13</v>
      </c>
    </row>
    <row r="34" spans="5:14">
      <c r="E34" s="38"/>
      <c r="F34" t="s">
        <v>136</v>
      </c>
      <c r="G34">
        <v>2.702E-3</v>
      </c>
      <c r="H34" t="s">
        <v>13</v>
      </c>
      <c r="K34" s="39"/>
      <c r="L34" t="s">
        <v>135</v>
      </c>
      <c r="M34">
        <v>7.68</v>
      </c>
      <c r="N34" t="s">
        <v>13</v>
      </c>
    </row>
    <row r="35" spans="5:14">
      <c r="E35" s="38"/>
      <c r="F35" t="s">
        <v>137</v>
      </c>
      <c r="G35">
        <v>100</v>
      </c>
      <c r="H35" t="s">
        <v>138</v>
      </c>
      <c r="K35" s="39"/>
      <c r="L35" t="s">
        <v>139</v>
      </c>
      <c r="M35">
        <f>M33*M34</f>
        <v>165.48863999999998</v>
      </c>
      <c r="N35" t="s">
        <v>15</v>
      </c>
    </row>
    <row r="36" spans="5:14">
      <c r="E36" s="38"/>
      <c r="K36" s="39"/>
      <c r="L36" t="s">
        <v>136</v>
      </c>
      <c r="M36">
        <v>3.6819999999999999E-3</v>
      </c>
      <c r="N36" t="s">
        <v>13</v>
      </c>
    </row>
    <row r="37" spans="5:14">
      <c r="E37" s="38"/>
      <c r="G37">
        <f>G35*(G30/1000)/(G33*G34/1000)</f>
        <v>20334.369380155556</v>
      </c>
      <c r="K37" s="39"/>
      <c r="L37" t="s">
        <v>137</v>
      </c>
      <c r="M37">
        <v>100</v>
      </c>
      <c r="N37" t="s">
        <v>138</v>
      </c>
    </row>
    <row r="38" spans="5:14">
      <c r="E38" s="38"/>
      <c r="K38" s="39"/>
    </row>
    <row r="39" spans="5:14">
      <c r="K39" s="39"/>
      <c r="M39">
        <f>M37*(M32/1000)/(M35*M36/1000)</f>
        <v>15965.098077294673</v>
      </c>
    </row>
    <row r="40" spans="5:14">
      <c r="K40" s="39"/>
      <c r="M40">
        <v>15997</v>
      </c>
    </row>
    <row r="41" spans="5:14">
      <c r="M41">
        <f>(M39-M40)/M40*100</f>
        <v>-0.19942440898497718</v>
      </c>
    </row>
    <row r="44" spans="5:14">
      <c r="E44" s="39" t="s">
        <v>142</v>
      </c>
      <c r="F44" t="s">
        <v>133</v>
      </c>
      <c r="G44">
        <v>41.1</v>
      </c>
      <c r="H44" t="s">
        <v>13</v>
      </c>
    </row>
    <row r="45" spans="5:14">
      <c r="E45" s="39"/>
      <c r="F45" t="s">
        <v>134</v>
      </c>
      <c r="G45">
        <v>38.979999999999997</v>
      </c>
      <c r="H45" t="s">
        <v>13</v>
      </c>
    </row>
    <row r="46" spans="5:14">
      <c r="E46" s="39"/>
      <c r="F46" t="s">
        <v>135</v>
      </c>
      <c r="G46">
        <v>20.079999999999998</v>
      </c>
      <c r="H46" t="s">
        <v>13</v>
      </c>
    </row>
    <row r="47" spans="5:14">
      <c r="E47" s="39"/>
      <c r="F47" t="s">
        <v>139</v>
      </c>
      <c r="G47">
        <f>G45*G44</f>
        <v>1602.078</v>
      </c>
      <c r="H47" t="s">
        <v>15</v>
      </c>
    </row>
    <row r="48" spans="5:14">
      <c r="E48" s="39"/>
      <c r="F48" t="s">
        <v>136</v>
      </c>
      <c r="G48">
        <v>2.9000000000000001E-2</v>
      </c>
      <c r="H48" t="s">
        <v>13</v>
      </c>
      <c r="K48">
        <v>2.9270000000000001E-2</v>
      </c>
    </row>
    <row r="49" spans="2:10">
      <c r="E49" s="39"/>
      <c r="F49" t="s">
        <v>137</v>
      </c>
      <c r="G49">
        <v>1000</v>
      </c>
      <c r="H49" t="s">
        <v>138</v>
      </c>
    </row>
    <row r="50" spans="2:10">
      <c r="E50" s="39"/>
    </row>
    <row r="51" spans="2:10">
      <c r="E51" s="39"/>
      <c r="F51" t="s">
        <v>143</v>
      </c>
      <c r="G51">
        <f>G49*(G46/1000)/(G47*G48/1000)</f>
        <v>432.19730444051299</v>
      </c>
    </row>
    <row r="52" spans="2:10">
      <c r="E52" s="39"/>
      <c r="F52" t="s">
        <v>144</v>
      </c>
      <c r="G52">
        <v>455</v>
      </c>
    </row>
    <row r="53" spans="2:10">
      <c r="F53" t="s">
        <v>22</v>
      </c>
      <c r="G53">
        <f>(G51-G52)/G52*100</f>
        <v>-5.0115814416454958</v>
      </c>
    </row>
    <row r="54" spans="2:10">
      <c r="F54" s="24" t="s">
        <v>145</v>
      </c>
      <c r="G54" s="24">
        <v>257</v>
      </c>
    </row>
    <row r="55" spans="2:10">
      <c r="F55" s="24" t="s">
        <v>22</v>
      </c>
      <c r="G55" s="24">
        <f>(G51-G54)/G54*100</f>
        <v>68.17015736984942</v>
      </c>
    </row>
    <row r="56" spans="2:10">
      <c r="F56">
        <v>3.5000000000000003E-2</v>
      </c>
    </row>
    <row r="58" spans="2:10">
      <c r="J58" t="s">
        <v>163</v>
      </c>
    </row>
    <row r="59" spans="2:10">
      <c r="E59" s="39" t="s">
        <v>146</v>
      </c>
      <c r="F59" t="s">
        <v>133</v>
      </c>
      <c r="G59">
        <v>41.1</v>
      </c>
      <c r="H59" t="s">
        <v>13</v>
      </c>
      <c r="J59">
        <f>G63/G48</f>
        <v>9.2413793103448274</v>
      </c>
    </row>
    <row r="60" spans="2:10">
      <c r="B60">
        <v>38.551200000000001</v>
      </c>
      <c r="E60" s="39"/>
      <c r="F60" t="s">
        <v>134</v>
      </c>
      <c r="G60">
        <v>38.979999999999997</v>
      </c>
      <c r="H60" t="s">
        <v>13</v>
      </c>
    </row>
    <row r="61" spans="2:10">
      <c r="B61">
        <v>36.479999999999997</v>
      </c>
      <c r="E61" s="39"/>
      <c r="F61" t="s">
        <v>135</v>
      </c>
      <c r="G61">
        <v>20.079999999999998</v>
      </c>
      <c r="H61" t="s">
        <v>13</v>
      </c>
    </row>
    <row r="62" spans="2:10">
      <c r="B62">
        <v>20.079999999999998</v>
      </c>
      <c r="E62" s="39"/>
      <c r="F62" t="s">
        <v>139</v>
      </c>
      <c r="G62">
        <f>G60*G59</f>
        <v>1602.078</v>
      </c>
      <c r="H62" t="s">
        <v>15</v>
      </c>
    </row>
    <row r="63" spans="2:10">
      <c r="E63" s="39"/>
      <c r="F63" t="s">
        <v>136</v>
      </c>
      <c r="G63">
        <v>0.26800000000000002</v>
      </c>
      <c r="H63" t="s">
        <v>13</v>
      </c>
    </row>
    <row r="64" spans="2:10">
      <c r="E64" s="39"/>
      <c r="F64" t="s">
        <v>137</v>
      </c>
      <c r="G64">
        <v>10000</v>
      </c>
      <c r="H64" t="s">
        <v>138</v>
      </c>
    </row>
    <row r="65" spans="5:12">
      <c r="E65" s="39"/>
    </row>
    <row r="66" spans="5:12">
      <c r="E66" s="39"/>
      <c r="F66" t="s">
        <v>201</v>
      </c>
      <c r="G66" s="29">
        <f>G64*(G61/1000)/(G62*G63/1000)</f>
        <v>467.67618764085358</v>
      </c>
    </row>
    <row r="67" spans="5:12">
      <c r="E67" s="39"/>
      <c r="F67" t="s">
        <v>200</v>
      </c>
      <c r="G67" s="30">
        <v>450</v>
      </c>
    </row>
    <row r="68" spans="5:12">
      <c r="E68" s="39"/>
      <c r="F68" t="s">
        <v>196</v>
      </c>
      <c r="G68" s="29">
        <v>402.63170000000002</v>
      </c>
    </row>
    <row r="69" spans="5:12">
      <c r="F69" t="s">
        <v>22</v>
      </c>
      <c r="G69">
        <f>(G66-G68)/G68*100</f>
        <v>16.154835210653694</v>
      </c>
    </row>
    <row r="70" spans="5:12">
      <c r="F70" s="24" t="s">
        <v>145</v>
      </c>
      <c r="G70" s="24">
        <v>257</v>
      </c>
    </row>
    <row r="71" spans="5:12">
      <c r="F71" s="24" t="s">
        <v>22</v>
      </c>
      <c r="G71" s="24">
        <f>(G66-G70)/G70*100</f>
        <v>81.975170288269865</v>
      </c>
    </row>
    <row r="75" spans="5:12">
      <c r="E75" t="s">
        <v>155</v>
      </c>
      <c r="G75">
        <v>3</v>
      </c>
      <c r="H75">
        <v>6</v>
      </c>
      <c r="I75">
        <v>9</v>
      </c>
      <c r="J75">
        <v>12</v>
      </c>
      <c r="K75">
        <v>15</v>
      </c>
      <c r="L75">
        <v>18</v>
      </c>
    </row>
    <row r="76" spans="5:12">
      <c r="E76" s="39" t="s">
        <v>154</v>
      </c>
      <c r="F76" t="s">
        <v>133</v>
      </c>
      <c r="G76">
        <v>97.28</v>
      </c>
      <c r="H76">
        <v>97.28</v>
      </c>
      <c r="I76">
        <v>97.28</v>
      </c>
      <c r="J76">
        <v>97.28</v>
      </c>
      <c r="K76">
        <v>97.28</v>
      </c>
      <c r="L76">
        <v>97.28</v>
      </c>
    </row>
    <row r="77" spans="5:12">
      <c r="E77" s="39"/>
      <c r="F77" t="s">
        <v>134</v>
      </c>
      <c r="G77">
        <v>19.548300000000001</v>
      </c>
      <c r="H77">
        <f>$G$77/$G$75*H75</f>
        <v>39.096600000000002</v>
      </c>
      <c r="I77">
        <f>$G$77/$G$75*I75</f>
        <v>58.644900000000007</v>
      </c>
      <c r="J77">
        <f>$G$77/$G$75*J75</f>
        <v>78.193200000000004</v>
      </c>
      <c r="K77">
        <f>$G$77/$G$75*K75</f>
        <v>97.741500000000016</v>
      </c>
      <c r="L77">
        <f>$G$77/$G$75*L75</f>
        <v>117.28980000000001</v>
      </c>
    </row>
    <row r="78" spans="5:12">
      <c r="E78" s="39"/>
      <c r="F78" t="s">
        <v>135</v>
      </c>
      <c r="G78">
        <v>7.68</v>
      </c>
      <c r="H78">
        <v>7.68</v>
      </c>
      <c r="I78">
        <v>7.68</v>
      </c>
      <c r="J78">
        <v>7.68</v>
      </c>
      <c r="K78">
        <v>7.68</v>
      </c>
      <c r="L78">
        <v>7.68</v>
      </c>
    </row>
    <row r="79" spans="5:12">
      <c r="E79" s="39"/>
      <c r="F79" t="s">
        <v>139</v>
      </c>
      <c r="G79">
        <f t="shared" ref="G79:L79" si="0">G77*G78</f>
        <v>150.130944</v>
      </c>
      <c r="H79">
        <f t="shared" si="0"/>
        <v>300.261888</v>
      </c>
      <c r="I79">
        <f t="shared" si="0"/>
        <v>450.39283200000006</v>
      </c>
      <c r="J79">
        <f t="shared" si="0"/>
        <v>600.523776</v>
      </c>
      <c r="K79">
        <f t="shared" si="0"/>
        <v>750.65472000000011</v>
      </c>
      <c r="L79">
        <f t="shared" si="0"/>
        <v>900.78566400000011</v>
      </c>
    </row>
    <row r="80" spans="5:12">
      <c r="E80" s="39"/>
      <c r="F80" t="s">
        <v>136</v>
      </c>
      <c r="G80">
        <v>4.9799999999999997E-2</v>
      </c>
      <c r="H80">
        <v>1.8700000000000001E-2</v>
      </c>
      <c r="I80">
        <v>1.15E-2</v>
      </c>
      <c r="J80">
        <v>8.3149999999999995E-3</v>
      </c>
      <c r="K80">
        <v>6.5069999999999998E-3</v>
      </c>
      <c r="L80">
        <v>5.3439999999999998E-3</v>
      </c>
    </row>
    <row r="81" spans="5:12">
      <c r="E81" s="39"/>
      <c r="F81" t="s">
        <v>137</v>
      </c>
      <c r="G81">
        <v>1000</v>
      </c>
      <c r="H81">
        <v>1000</v>
      </c>
      <c r="I81">
        <v>1000</v>
      </c>
      <c r="J81">
        <v>1000</v>
      </c>
      <c r="K81">
        <v>1000</v>
      </c>
      <c r="L81">
        <v>1000</v>
      </c>
    </row>
    <row r="82" spans="5:12">
      <c r="E82" s="39"/>
    </row>
    <row r="83" spans="5:12">
      <c r="E83" s="39"/>
      <c r="F83" t="s">
        <v>66</v>
      </c>
      <c r="G83">
        <f t="shared" ref="G83:L83" si="1">G81*(G76/1000)/(G79*G80/1000)</f>
        <v>13011.399266352939</v>
      </c>
      <c r="H83">
        <f t="shared" si="1"/>
        <v>17325.339130063534</v>
      </c>
      <c r="I83">
        <f t="shared" si="1"/>
        <v>18781.671984474673</v>
      </c>
      <c r="J83">
        <f t="shared" si="1"/>
        <v>19481.89066339075</v>
      </c>
      <c r="K83">
        <f t="shared" si="1"/>
        <v>19916.01916288232</v>
      </c>
      <c r="L83">
        <f t="shared" si="1"/>
        <v>20208.572962337079</v>
      </c>
    </row>
    <row r="84" spans="5:12">
      <c r="E84" s="39"/>
    </row>
    <row r="111" spans="5:12">
      <c r="E111" t="s">
        <v>155</v>
      </c>
      <c r="G111" s="22">
        <v>3</v>
      </c>
      <c r="H111" s="22">
        <v>6</v>
      </c>
      <c r="I111" s="22">
        <v>9</v>
      </c>
      <c r="J111" s="22">
        <v>12</v>
      </c>
      <c r="K111" s="22">
        <v>15</v>
      </c>
      <c r="L111" s="22">
        <v>18</v>
      </c>
    </row>
    <row r="112" spans="5:12">
      <c r="E112" s="39" t="s">
        <v>156</v>
      </c>
      <c r="F112" t="s">
        <v>133</v>
      </c>
      <c r="G112" s="22">
        <v>97.28</v>
      </c>
      <c r="H112" s="22">
        <v>97.28</v>
      </c>
      <c r="I112" s="22">
        <v>97.28</v>
      </c>
      <c r="J112" s="22">
        <v>97.28</v>
      </c>
      <c r="K112" s="22">
        <v>97.28</v>
      </c>
      <c r="L112" s="22">
        <v>97.28</v>
      </c>
    </row>
    <row r="113" spans="5:12">
      <c r="E113" s="39"/>
      <c r="F113" t="s">
        <v>134</v>
      </c>
      <c r="G113" s="22">
        <v>19.548300000000001</v>
      </c>
      <c r="H113" s="22">
        <f>$G$77/$G$75*H111</f>
        <v>39.096600000000002</v>
      </c>
      <c r="I113" s="22">
        <f>$G$77/$G$75*I111</f>
        <v>58.644900000000007</v>
      </c>
      <c r="J113" s="22">
        <f>$G$77/$G$75*J111</f>
        <v>78.193200000000004</v>
      </c>
      <c r="K113" s="22">
        <f>$G$77/$G$75*K111</f>
        <v>97.741500000000016</v>
      </c>
      <c r="L113" s="22">
        <f>$G$77/$G$75*L111</f>
        <v>117.28980000000001</v>
      </c>
    </row>
    <row r="114" spans="5:12">
      <c r="E114" s="39"/>
      <c r="F114" t="s">
        <v>135</v>
      </c>
      <c r="G114" s="22">
        <v>7.68</v>
      </c>
      <c r="H114" s="22">
        <v>7.68</v>
      </c>
      <c r="I114" s="22">
        <v>7.68</v>
      </c>
      <c r="J114" s="22">
        <v>7.68</v>
      </c>
      <c r="K114" s="22">
        <v>7.68</v>
      </c>
      <c r="L114" s="22">
        <v>7.68</v>
      </c>
    </row>
    <row r="115" spans="5:12">
      <c r="E115" s="39"/>
      <c r="F115" t="s">
        <v>139</v>
      </c>
      <c r="G115" s="22">
        <f t="shared" ref="G115:L115" si="2">G113*G114</f>
        <v>150.130944</v>
      </c>
      <c r="H115" s="22">
        <f t="shared" si="2"/>
        <v>300.261888</v>
      </c>
      <c r="I115" s="22">
        <f t="shared" si="2"/>
        <v>450.39283200000006</v>
      </c>
      <c r="J115" s="22">
        <f t="shared" si="2"/>
        <v>600.523776</v>
      </c>
      <c r="K115" s="22">
        <f t="shared" si="2"/>
        <v>750.65472000000011</v>
      </c>
      <c r="L115" s="22">
        <f t="shared" si="2"/>
        <v>900.78566400000011</v>
      </c>
    </row>
    <row r="116" spans="5:12">
      <c r="E116" s="39"/>
      <c r="F116" t="s">
        <v>136</v>
      </c>
      <c r="G116" s="21">
        <v>3.0300000000000001E-2</v>
      </c>
      <c r="H116" s="21">
        <v>1.8700000000000001E-2</v>
      </c>
      <c r="I116" s="21">
        <v>1.15E-2</v>
      </c>
      <c r="J116" s="21">
        <v>8.3149999999999995E-3</v>
      </c>
      <c r="K116" s="21">
        <v>6.5069999999999998E-3</v>
      </c>
      <c r="L116" s="21">
        <v>5.3439999999999998E-3</v>
      </c>
    </row>
    <row r="117" spans="5:12">
      <c r="E117" s="39"/>
      <c r="F117" t="s">
        <v>137</v>
      </c>
      <c r="G117" s="22">
        <v>1000</v>
      </c>
      <c r="H117" s="22">
        <v>1000</v>
      </c>
      <c r="I117" s="22">
        <v>1000</v>
      </c>
      <c r="J117" s="22">
        <v>1000</v>
      </c>
      <c r="K117" s="22">
        <v>1000</v>
      </c>
      <c r="L117" s="22">
        <v>1000</v>
      </c>
    </row>
    <row r="118" spans="5:12">
      <c r="E118" s="39"/>
    </row>
    <row r="119" spans="5:12">
      <c r="E119" s="39"/>
      <c r="F119" t="s">
        <v>66</v>
      </c>
      <c r="G119" s="22">
        <f t="shared" ref="G119:L119" si="3">G117*(G112/1000)/(G115*G116/1000)</f>
        <v>21385.072061530569</v>
      </c>
      <c r="H119" s="22">
        <f t="shared" si="3"/>
        <v>17325.339130063534</v>
      </c>
      <c r="I119" s="22">
        <f t="shared" si="3"/>
        <v>18781.671984474673</v>
      </c>
      <c r="J119" s="22">
        <f t="shared" si="3"/>
        <v>19481.89066339075</v>
      </c>
      <c r="K119" s="22">
        <f t="shared" si="3"/>
        <v>19916.01916288232</v>
      </c>
      <c r="L119" s="22">
        <f t="shared" si="3"/>
        <v>20208.572962337079</v>
      </c>
    </row>
    <row r="120" spans="5:12">
      <c r="E120" s="39"/>
    </row>
    <row r="139" spans="5:27">
      <c r="E139" t="s">
        <v>192</v>
      </c>
      <c r="K139" t="s">
        <v>191</v>
      </c>
    </row>
    <row r="140" spans="5:27">
      <c r="W140" t="s">
        <v>192</v>
      </c>
    </row>
    <row r="143" spans="5:27">
      <c r="E143" t="s">
        <v>149</v>
      </c>
      <c r="I143" t="s">
        <v>193</v>
      </c>
      <c r="K143" s="21" t="s">
        <v>149</v>
      </c>
      <c r="L143" s="21"/>
      <c r="M143" s="21"/>
      <c r="N143" s="21"/>
    </row>
    <row r="144" spans="5:27">
      <c r="E144" s="39" t="s">
        <v>141</v>
      </c>
      <c r="F144" t="s">
        <v>133</v>
      </c>
      <c r="G144">
        <v>97.28</v>
      </c>
      <c r="H144" t="s">
        <v>13</v>
      </c>
      <c r="K144" s="40" t="s">
        <v>141</v>
      </c>
      <c r="L144" s="21" t="s">
        <v>133</v>
      </c>
      <c r="M144" s="21">
        <v>97.28</v>
      </c>
      <c r="N144" s="21" t="s">
        <v>13</v>
      </c>
      <c r="Q144" s="21">
        <v>97.28</v>
      </c>
      <c r="W144" t="s">
        <v>149</v>
      </c>
      <c r="AA144" t="s">
        <v>193</v>
      </c>
    </row>
    <row r="145" spans="5:27">
      <c r="E145" s="39"/>
      <c r="F145" t="s">
        <v>134</v>
      </c>
      <c r="G145">
        <f>19.5483+2</f>
        <v>21.548300000000001</v>
      </c>
      <c r="H145" t="s">
        <v>13</v>
      </c>
      <c r="I145">
        <f>G145-1</f>
        <v>20.548300000000001</v>
      </c>
      <c r="K145" s="40"/>
      <c r="L145" s="21" t="s">
        <v>134</v>
      </c>
      <c r="M145" s="21">
        <f>21.548+2</f>
        <v>23.547999999999998</v>
      </c>
      <c r="N145" s="21" t="s">
        <v>13</v>
      </c>
      <c r="Q145" s="21">
        <f>21.548+2</f>
        <v>23.547999999999998</v>
      </c>
      <c r="W145" s="39" t="s">
        <v>141</v>
      </c>
      <c r="X145" t="s">
        <v>133</v>
      </c>
      <c r="Y145">
        <v>97.28</v>
      </c>
      <c r="Z145" t="s">
        <v>13</v>
      </c>
    </row>
    <row r="146" spans="5:27">
      <c r="E146" s="39"/>
      <c r="F146" t="s">
        <v>135</v>
      </c>
      <c r="G146">
        <v>7.68</v>
      </c>
      <c r="H146" t="s">
        <v>13</v>
      </c>
      <c r="K146" s="40"/>
      <c r="L146" s="21" t="s">
        <v>135</v>
      </c>
      <c r="M146" s="21">
        <v>7.68</v>
      </c>
      <c r="N146" s="21" t="s">
        <v>13</v>
      </c>
      <c r="Q146" s="21">
        <v>7.68</v>
      </c>
      <c r="W146" s="39"/>
      <c r="X146" t="s">
        <v>134</v>
      </c>
      <c r="Y146">
        <f>19.5483+2</f>
        <v>21.548300000000001</v>
      </c>
      <c r="Z146" t="s">
        <v>13</v>
      </c>
      <c r="AA146">
        <f>Y146-1</f>
        <v>20.548300000000001</v>
      </c>
    </row>
    <row r="147" spans="5:27">
      <c r="E147" s="39"/>
      <c r="F147" t="s">
        <v>139</v>
      </c>
      <c r="G147">
        <f>G145*G146</f>
        <v>165.49094400000001</v>
      </c>
      <c r="H147" t="s">
        <v>15</v>
      </c>
      <c r="I147">
        <f>G145/I145</f>
        <v>1.0486658263700648</v>
      </c>
      <c r="K147" s="40"/>
      <c r="L147" s="21" t="s">
        <v>139</v>
      </c>
      <c r="M147" s="21">
        <f>M145*M146</f>
        <v>180.84863999999999</v>
      </c>
      <c r="N147" s="21" t="s">
        <v>15</v>
      </c>
      <c r="Q147" s="21">
        <f>Q145*Q146</f>
        <v>180.84863999999999</v>
      </c>
      <c r="W147" s="39"/>
      <c r="X147" t="s">
        <v>135</v>
      </c>
      <c r="Y147">
        <v>7.68</v>
      </c>
      <c r="Z147" t="s">
        <v>13</v>
      </c>
    </row>
    <row r="148" spans="5:27">
      <c r="E148" s="39"/>
      <c r="F148" t="s">
        <v>136</v>
      </c>
      <c r="G148">
        <v>0.38600000000000001</v>
      </c>
      <c r="H148" t="s">
        <v>13</v>
      </c>
      <c r="K148" s="40"/>
      <c r="L148" s="21" t="s">
        <v>136</v>
      </c>
      <c r="M148" s="21">
        <v>0.34399999999999997</v>
      </c>
      <c r="N148" s="21" t="s">
        <v>13</v>
      </c>
      <c r="P148" s="21">
        <v>0.33400000000000002</v>
      </c>
      <c r="Q148" s="21">
        <v>0.33400000000000002</v>
      </c>
      <c r="W148" s="39"/>
      <c r="X148" t="s">
        <v>139</v>
      </c>
      <c r="Y148">
        <f>Y146*Y147</f>
        <v>165.49094400000001</v>
      </c>
      <c r="Z148" t="s">
        <v>15</v>
      </c>
      <c r="AA148">
        <f>Y146/AA146</f>
        <v>1.0486658263700648</v>
      </c>
    </row>
    <row r="149" spans="5:27">
      <c r="E149" s="39"/>
      <c r="F149" t="s">
        <v>137</v>
      </c>
      <c r="G149">
        <v>10000</v>
      </c>
      <c r="H149" t="s">
        <v>138</v>
      </c>
      <c r="K149" s="40"/>
      <c r="L149" s="21" t="s">
        <v>137</v>
      </c>
      <c r="M149" s="21">
        <v>10000</v>
      </c>
      <c r="N149" s="21" t="s">
        <v>138</v>
      </c>
      <c r="Q149" s="21">
        <v>10000</v>
      </c>
      <c r="W149" s="39"/>
      <c r="X149" t="s">
        <v>136</v>
      </c>
      <c r="Y149">
        <v>0.31900000000000001</v>
      </c>
      <c r="Z149" t="s">
        <v>13</v>
      </c>
    </row>
    <row r="150" spans="5:27">
      <c r="E150" s="39"/>
      <c r="K150" s="40"/>
      <c r="L150" s="21"/>
      <c r="M150" s="21"/>
      <c r="N150" s="21"/>
      <c r="Q150" s="21"/>
      <c r="W150" s="39"/>
      <c r="X150" t="s">
        <v>137</v>
      </c>
      <c r="Y150">
        <v>10000</v>
      </c>
      <c r="Z150" t="s">
        <v>138</v>
      </c>
    </row>
    <row r="151" spans="5:27">
      <c r="E151" s="39"/>
      <c r="F151" t="s">
        <v>167</v>
      </c>
      <c r="G151">
        <f>G149*(G144/1000)/(G147*G148/1000)</f>
        <v>15228.671690252793</v>
      </c>
      <c r="I151">
        <f>G151*I147</f>
        <v>15969.787582577357</v>
      </c>
      <c r="K151" s="40"/>
      <c r="L151" s="21" t="s">
        <v>167</v>
      </c>
      <c r="M151" s="31">
        <f>M149*(M144/1000)/(M147*M148/1000)</f>
        <v>15636.87167757627</v>
      </c>
      <c r="N151" s="21"/>
      <c r="P151">
        <f>(Q151-M151)/M151*100</f>
        <v>2.9940119760478932</v>
      </c>
      <c r="Q151" s="31">
        <f>Q149*(Q144/1000)/(Q147*Q148/1000)</f>
        <v>16105.041488282144</v>
      </c>
      <c r="W151" s="39"/>
    </row>
    <row r="152" spans="5:27">
      <c r="E152" s="39"/>
      <c r="F152" t="s">
        <v>168</v>
      </c>
      <c r="G152">
        <v>16000</v>
      </c>
      <c r="K152" s="40"/>
      <c r="L152" s="21" t="s">
        <v>168</v>
      </c>
      <c r="M152" s="21">
        <v>14620</v>
      </c>
      <c r="N152" s="21"/>
      <c r="Q152" s="21">
        <v>14620</v>
      </c>
      <c r="W152" s="39"/>
      <c r="X152" t="s">
        <v>167</v>
      </c>
      <c r="Y152">
        <f>Y150*(Y145/1000)/(Y148*Y149/1000)</f>
        <v>18427.17013303316</v>
      </c>
      <c r="AA152">
        <f>Y152*AA148</f>
        <v>19323.943595218996</v>
      </c>
    </row>
    <row r="153" spans="5:27">
      <c r="F153" t="s">
        <v>169</v>
      </c>
      <c r="G153">
        <f>(G151-G152)/G152</f>
        <v>-4.8208019359200424E-2</v>
      </c>
      <c r="K153" s="21"/>
      <c r="L153" s="21" t="s">
        <v>169</v>
      </c>
      <c r="M153" s="21">
        <f>(M151-M152)/M152*100</f>
        <v>6.955346631848629</v>
      </c>
      <c r="N153" s="21"/>
      <c r="Q153" s="21">
        <f>(Q151-Q152)/Q152</f>
        <v>0.10157602519029714</v>
      </c>
      <c r="W153" s="39"/>
      <c r="X153" t="s">
        <v>168</v>
      </c>
      <c r="Y153">
        <v>16000</v>
      </c>
    </row>
    <row r="154" spans="5:27">
      <c r="X154" t="s">
        <v>169</v>
      </c>
      <c r="Y154">
        <f>(Y152-Y153)/Y153</f>
        <v>0.15169813331457249</v>
      </c>
    </row>
    <row r="158" spans="5:27">
      <c r="P158" s="27" t="s">
        <v>194</v>
      </c>
    </row>
    <row r="159" spans="5:27">
      <c r="P159" s="27" t="s">
        <v>195</v>
      </c>
    </row>
    <row r="161" spans="5:8">
      <c r="E161" t="s">
        <v>165</v>
      </c>
    </row>
    <row r="162" spans="5:8">
      <c r="E162" s="39" t="s">
        <v>141</v>
      </c>
      <c r="F162" t="s">
        <v>133</v>
      </c>
      <c r="G162">
        <v>97.28</v>
      </c>
      <c r="H162" t="s">
        <v>13</v>
      </c>
    </row>
    <row r="163" spans="5:8">
      <c r="E163" s="39"/>
      <c r="F163" t="s">
        <v>134</v>
      </c>
      <c r="G163">
        <f>21.548</f>
        <v>21.547999999999998</v>
      </c>
      <c r="H163" t="s">
        <v>13</v>
      </c>
    </row>
    <row r="164" spans="5:8">
      <c r="E164" s="39"/>
      <c r="F164" t="s">
        <v>135</v>
      </c>
      <c r="G164">
        <v>7.68</v>
      </c>
      <c r="H164" t="s">
        <v>13</v>
      </c>
    </row>
    <row r="165" spans="5:8">
      <c r="E165" s="39"/>
      <c r="F165" t="s">
        <v>139</v>
      </c>
      <c r="G165">
        <f>G163*G164</f>
        <v>165.48863999999998</v>
      </c>
      <c r="H165" t="s">
        <v>15</v>
      </c>
    </row>
    <row r="166" spans="5:8">
      <c r="E166" s="39"/>
      <c r="F166" t="s">
        <v>136</v>
      </c>
      <c r="G166">
        <v>3.676E-3</v>
      </c>
      <c r="H166" t="s">
        <v>13</v>
      </c>
    </row>
    <row r="167" spans="5:8">
      <c r="E167" s="39"/>
      <c r="F167" t="s">
        <v>137</v>
      </c>
      <c r="G167">
        <v>100</v>
      </c>
      <c r="H167" t="s">
        <v>138</v>
      </c>
    </row>
    <row r="168" spans="5:8">
      <c r="E168" s="39"/>
    </row>
    <row r="169" spans="5:8">
      <c r="E169" s="39"/>
      <c r="G169">
        <f>G167*(G162/1000)/(G165*G166/1000)</f>
        <v>15991.156452828885</v>
      </c>
    </row>
    <row r="170" spans="5:8">
      <c r="E170" s="39"/>
      <c r="G170">
        <v>15997</v>
      </c>
    </row>
    <row r="171" spans="5:8">
      <c r="G171">
        <f>(G169-G170)/G170*100</f>
        <v>-3.6529019010530413E-2</v>
      </c>
    </row>
    <row r="177" spans="5:8">
      <c r="E177" t="s">
        <v>165</v>
      </c>
    </row>
    <row r="178" spans="5:8">
      <c r="E178" s="39" t="s">
        <v>141</v>
      </c>
      <c r="F178" t="s">
        <v>133</v>
      </c>
      <c r="G178">
        <v>97.28</v>
      </c>
      <c r="H178" t="s">
        <v>13</v>
      </c>
    </row>
    <row r="179" spans="5:8">
      <c r="E179" s="39"/>
      <c r="F179" t="s">
        <v>134</v>
      </c>
      <c r="G179">
        <f>21.548</f>
        <v>21.547999999999998</v>
      </c>
      <c r="H179" t="s">
        <v>13</v>
      </c>
    </row>
    <row r="180" spans="5:8">
      <c r="E180" s="39"/>
      <c r="F180" t="s">
        <v>135</v>
      </c>
      <c r="G180">
        <v>7.68</v>
      </c>
      <c r="H180" t="s">
        <v>13</v>
      </c>
    </row>
    <row r="181" spans="5:8">
      <c r="E181" s="39"/>
      <c r="F181" t="s">
        <v>139</v>
      </c>
      <c r="G181">
        <f>G179*G180</f>
        <v>165.48863999999998</v>
      </c>
      <c r="H181" t="s">
        <v>15</v>
      </c>
    </row>
    <row r="182" spans="5:8">
      <c r="E182" s="39"/>
      <c r="F182" t="s">
        <v>136</v>
      </c>
      <c r="G182">
        <v>3.2499999999999999E-3</v>
      </c>
      <c r="H182" t="s">
        <v>13</v>
      </c>
    </row>
    <row r="183" spans="5:8">
      <c r="E183" s="39"/>
      <c r="F183" t="s">
        <v>137</v>
      </c>
      <c r="G183">
        <v>100</v>
      </c>
      <c r="H183" t="s">
        <v>138</v>
      </c>
    </row>
    <row r="184" spans="5:8">
      <c r="E184" s="39"/>
    </row>
    <row r="185" spans="5:8">
      <c r="E185" s="39"/>
      <c r="G185">
        <f>G183*(G178/1000)/(G181*G182/1000)</f>
        <v>18087.228037107379</v>
      </c>
    </row>
    <row r="186" spans="5:8">
      <c r="E186" s="39"/>
      <c r="G186">
        <v>15997</v>
      </c>
    </row>
    <row r="187" spans="5:8">
      <c r="G187">
        <f>(G185-G186)/G186*100</f>
        <v>13.06637517726686</v>
      </c>
    </row>
    <row r="193" spans="5:8">
      <c r="E193" t="s">
        <v>166</v>
      </c>
    </row>
    <row r="194" spans="5:8">
      <c r="E194" s="39" t="s">
        <v>141</v>
      </c>
      <c r="F194" t="s">
        <v>133</v>
      </c>
      <c r="G194">
        <v>97.28</v>
      </c>
      <c r="H194" t="s">
        <v>13</v>
      </c>
    </row>
    <row r="195" spans="5:8">
      <c r="E195" s="39"/>
      <c r="F195" t="s">
        <v>134</v>
      </c>
      <c r="G195">
        <f>21.548</f>
        <v>21.547999999999998</v>
      </c>
      <c r="H195" t="s">
        <v>13</v>
      </c>
    </row>
    <row r="196" spans="5:8">
      <c r="E196" s="39"/>
      <c r="F196" t="s">
        <v>135</v>
      </c>
      <c r="G196">
        <v>7.68</v>
      </c>
      <c r="H196" t="s">
        <v>13</v>
      </c>
    </row>
    <row r="197" spans="5:8">
      <c r="E197" s="39"/>
      <c r="F197" t="s">
        <v>139</v>
      </c>
      <c r="G197">
        <f>G195*G196</f>
        <v>165.48863999999998</v>
      </c>
      <c r="H197" t="s">
        <v>15</v>
      </c>
    </row>
    <row r="198" spans="5:8">
      <c r="E198" s="39"/>
      <c r="F198" t="s">
        <v>136</v>
      </c>
      <c r="G198">
        <v>3.3300000000000001E-3</v>
      </c>
      <c r="H198" t="s">
        <v>13</v>
      </c>
    </row>
    <row r="199" spans="5:8">
      <c r="E199" s="39"/>
      <c r="F199" t="s">
        <v>137</v>
      </c>
      <c r="G199">
        <v>100</v>
      </c>
      <c r="H199" t="s">
        <v>138</v>
      </c>
    </row>
    <row r="200" spans="5:8">
      <c r="E200" s="39"/>
    </row>
    <row r="201" spans="5:8">
      <c r="E201" s="39"/>
      <c r="G201">
        <f>G199*(G194/1000)/(G197*G198/1000)</f>
        <v>17652.700036215912</v>
      </c>
    </row>
    <row r="202" spans="5:8">
      <c r="E202" s="39"/>
      <c r="G202">
        <v>15997</v>
      </c>
    </row>
    <row r="203" spans="5:8">
      <c r="G203">
        <f>(G201-G202)/G202*100</f>
        <v>10.350065863698896</v>
      </c>
    </row>
    <row r="215" spans="5:16">
      <c r="E215" s="38" t="s">
        <v>170</v>
      </c>
      <c r="F215" t="s">
        <v>133</v>
      </c>
      <c r="G215">
        <v>24.32</v>
      </c>
      <c r="H215" t="s">
        <v>13</v>
      </c>
    </row>
    <row r="216" spans="5:16">
      <c r="E216" s="38"/>
      <c r="F216" t="s">
        <v>134</v>
      </c>
      <c r="G216">
        <f>19.5483</f>
        <v>19.548300000000001</v>
      </c>
      <c r="H216" t="s">
        <v>13</v>
      </c>
    </row>
    <row r="217" spans="5:16">
      <c r="E217" s="38"/>
      <c r="F217" t="s">
        <v>135</v>
      </c>
      <c r="G217">
        <v>7.68</v>
      </c>
      <c r="H217" t="s">
        <v>13</v>
      </c>
    </row>
    <row r="218" spans="5:16">
      <c r="E218" s="38"/>
      <c r="F218" t="s">
        <v>139</v>
      </c>
      <c r="G218">
        <f>G216*G217</f>
        <v>150.130944</v>
      </c>
      <c r="H218" t="s">
        <v>15</v>
      </c>
      <c r="P218" s="27" t="s">
        <v>171</v>
      </c>
    </row>
    <row r="219" spans="5:16">
      <c r="E219" s="38"/>
      <c r="F219" t="s">
        <v>136</v>
      </c>
      <c r="G219">
        <v>0.1081</v>
      </c>
      <c r="H219" t="s">
        <v>13</v>
      </c>
      <c r="P219" s="27" t="s">
        <v>172</v>
      </c>
    </row>
    <row r="220" spans="5:16">
      <c r="E220" s="38"/>
      <c r="F220" t="s">
        <v>137</v>
      </c>
      <c r="G220">
        <v>10000</v>
      </c>
      <c r="H220" t="s">
        <v>138</v>
      </c>
    </row>
    <row r="221" spans="5:16">
      <c r="E221" s="38"/>
    </row>
    <row r="222" spans="5:16">
      <c r="E222" s="38"/>
      <c r="G222" s="29">
        <f>G220*(G215/1000)/(G218*G219/1000)</f>
        <v>14985.376583357454</v>
      </c>
    </row>
    <row r="223" spans="5:16">
      <c r="E223" s="38"/>
    </row>
    <row r="226" spans="5:8">
      <c r="E226" s="38" t="s">
        <v>173</v>
      </c>
      <c r="F226" t="s">
        <v>133</v>
      </c>
      <c r="G226">
        <v>30.38</v>
      </c>
      <c r="H226" t="s">
        <v>13</v>
      </c>
    </row>
    <row r="227" spans="5:8">
      <c r="E227" s="38"/>
      <c r="F227" t="s">
        <v>134</v>
      </c>
      <c r="G227">
        <f>19.5483</f>
        <v>19.548300000000001</v>
      </c>
      <c r="H227" t="s">
        <v>13</v>
      </c>
    </row>
    <row r="228" spans="5:8">
      <c r="E228" s="38"/>
      <c r="F228" t="s">
        <v>135</v>
      </c>
      <c r="G228">
        <v>7.68</v>
      </c>
      <c r="H228" t="s">
        <v>13</v>
      </c>
    </row>
    <row r="229" spans="5:8">
      <c r="E229" s="38"/>
      <c r="F229" t="s">
        <v>139</v>
      </c>
      <c r="G229">
        <f>G227*G228</f>
        <v>150.130944</v>
      </c>
      <c r="H229" t="s">
        <v>15</v>
      </c>
    </row>
    <row r="230" spans="5:8">
      <c r="E230" s="38"/>
      <c r="F230" t="s">
        <v>136</v>
      </c>
      <c r="G230">
        <v>0.13300000000000001</v>
      </c>
      <c r="H230" t="s">
        <v>13</v>
      </c>
    </row>
    <row r="231" spans="5:8">
      <c r="E231" s="38"/>
      <c r="F231" t="s">
        <v>137</v>
      </c>
      <c r="G231">
        <v>10000</v>
      </c>
      <c r="H231" t="s">
        <v>138</v>
      </c>
    </row>
    <row r="232" spans="5:8">
      <c r="E232" s="38"/>
    </row>
    <row r="233" spans="5:8">
      <c r="E233" s="38"/>
      <c r="G233" s="29">
        <f>G231*(G226/1000)/(G229*G230/1000)</f>
        <v>15214.788273867036</v>
      </c>
    </row>
    <row r="234" spans="5:8">
      <c r="E234" s="38"/>
    </row>
    <row r="237" spans="5:8">
      <c r="F237">
        <f>(G233-G222)/G222*100</f>
        <v>1.5309037396121428</v>
      </c>
    </row>
  </sheetData>
  <mergeCells count="20">
    <mergeCell ref="K144:K152"/>
    <mergeCell ref="K17:K25"/>
    <mergeCell ref="Q18:Q26"/>
    <mergeCell ref="W17:W25"/>
    <mergeCell ref="E59:E68"/>
    <mergeCell ref="E44:E52"/>
    <mergeCell ref="K32:K40"/>
    <mergeCell ref="W145:W153"/>
    <mergeCell ref="E215:E223"/>
    <mergeCell ref="E226:E234"/>
    <mergeCell ref="E2:E10"/>
    <mergeCell ref="J2:J10"/>
    <mergeCell ref="E17:E25"/>
    <mergeCell ref="E30:E38"/>
    <mergeCell ref="E76:E84"/>
    <mergeCell ref="E112:E120"/>
    <mergeCell ref="E144:E152"/>
    <mergeCell ref="E162:E170"/>
    <mergeCell ref="E178:E186"/>
    <mergeCell ref="E194:E2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A26C-AB5D-40DC-B7C7-328BA681B7C9}">
  <dimension ref="A1:G34"/>
  <sheetViews>
    <sheetView zoomScale="10" zoomScaleNormal="10" workbookViewId="0">
      <selection activeCell="C16" sqref="C16"/>
    </sheetView>
  </sheetViews>
  <sheetFormatPr defaultRowHeight="14.25"/>
  <cols>
    <col min="1" max="1" width="44.1328125" customWidth="1"/>
    <col min="2" max="2" width="17.73046875" customWidth="1"/>
    <col min="3" max="3" width="18.265625" customWidth="1"/>
  </cols>
  <sheetData>
    <row r="1" spans="1:7" ht="18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7" ht="18">
      <c r="A2" s="6" t="s">
        <v>1</v>
      </c>
      <c r="B2" s="7">
        <v>0.2</v>
      </c>
      <c r="C2" s="7">
        <v>0.2</v>
      </c>
      <c r="D2" s="6"/>
      <c r="E2" s="6"/>
      <c r="F2" s="8" t="s">
        <v>130</v>
      </c>
      <c r="G2" s="6">
        <f>(G1/B4)+(2*G1/B5)</f>
        <v>0.81500755465498775</v>
      </c>
    </row>
    <row r="3" spans="1:7" ht="18">
      <c r="A3" s="6" t="s">
        <v>3</v>
      </c>
      <c r="B3" s="7">
        <v>15</v>
      </c>
      <c r="C3" s="7">
        <f>D3*3.1415/180</f>
        <v>0.2617916666666667</v>
      </c>
      <c r="D3" s="6">
        <v>15</v>
      </c>
      <c r="E3" s="6"/>
      <c r="F3" s="6"/>
      <c r="G3" s="6"/>
    </row>
    <row r="4" spans="1:7" ht="18">
      <c r="A4" s="6" t="s">
        <v>2</v>
      </c>
      <c r="B4" s="7">
        <v>11.1432</v>
      </c>
      <c r="C4" s="8">
        <v>10.77</v>
      </c>
      <c r="D4" s="7">
        <f>C1*(1+SIN(C3))/(C2*SIN(C3))</f>
        <v>24.319073218177813</v>
      </c>
      <c r="E4" s="6"/>
      <c r="F4" s="6"/>
      <c r="G4" s="6"/>
    </row>
    <row r="5" spans="1:7" ht="18">
      <c r="A5" s="6" t="s">
        <v>4</v>
      </c>
      <c r="B5" s="7">
        <v>6.2939999999999996</v>
      </c>
      <c r="C5" s="8">
        <v>18.66</v>
      </c>
      <c r="D5" s="7">
        <f>2*C1*(1+SIN(C3))/C2</f>
        <v>12.588115870535326</v>
      </c>
      <c r="E5" s="6"/>
      <c r="F5" s="6"/>
      <c r="G5" s="6"/>
    </row>
    <row r="6" spans="1:7" ht="18">
      <c r="A6" s="6" t="s">
        <v>11</v>
      </c>
      <c r="B6" s="7">
        <v>40</v>
      </c>
      <c r="C6" s="8">
        <f>3.75*2</f>
        <v>7.5</v>
      </c>
      <c r="D6" s="6"/>
      <c r="E6" s="6"/>
      <c r="F6" s="6"/>
      <c r="G6" s="6"/>
    </row>
    <row r="7" spans="1:7" ht="18">
      <c r="A7" s="6" t="s">
        <v>5</v>
      </c>
      <c r="B7" s="8">
        <f>C7</f>
        <v>37.299999999999997</v>
      </c>
      <c r="C7" s="8">
        <v>37.299999999999997</v>
      </c>
      <c r="D7" s="7">
        <f>2*TAN(C3)*C4</f>
        <v>5.7714473513914157</v>
      </c>
      <c r="E7" s="6"/>
      <c r="F7" s="6"/>
      <c r="G7" s="6"/>
    </row>
    <row r="8" spans="1:7" ht="18">
      <c r="A8" s="6" t="s">
        <v>6</v>
      </c>
      <c r="B8" s="8">
        <f>C8</f>
        <v>21.54</v>
      </c>
      <c r="C8" s="8">
        <v>21.54</v>
      </c>
      <c r="D8" s="7">
        <f>C4/COS(C3)</f>
        <v>11.149901395638921</v>
      </c>
      <c r="E8" s="6"/>
      <c r="F8" s="6"/>
      <c r="G8" s="6"/>
    </row>
    <row r="9" spans="1:7" ht="18">
      <c r="A9" s="6" t="s">
        <v>61</v>
      </c>
      <c r="B9" s="8">
        <f>B4</f>
        <v>11.1432</v>
      </c>
      <c r="C9" s="8">
        <f>D4</f>
        <v>24.319073218177813</v>
      </c>
      <c r="D9" s="6"/>
      <c r="E9" s="6"/>
      <c r="F9" s="6"/>
      <c r="G9" s="6"/>
    </row>
    <row r="10" spans="1:7" ht="18">
      <c r="A10" s="6" t="s">
        <v>62</v>
      </c>
      <c r="B10" s="8">
        <f>B7</f>
        <v>37.299999999999997</v>
      </c>
      <c r="C10" s="8">
        <f>D7</f>
        <v>5.7714473513914157</v>
      </c>
      <c r="D10" s="6"/>
      <c r="E10" s="6"/>
      <c r="F10" s="6"/>
      <c r="G10" s="6"/>
    </row>
    <row r="19" spans="1:2">
      <c r="A19" t="s">
        <v>160</v>
      </c>
      <c r="B19">
        <v>599</v>
      </c>
    </row>
    <row r="20" spans="1:2">
      <c r="A20" t="s">
        <v>157</v>
      </c>
      <c r="B20">
        <f>SIN(C3)</f>
        <v>0.25881158705353269</v>
      </c>
    </row>
    <row r="21" spans="1:2">
      <c r="A21" t="s">
        <v>158</v>
      </c>
      <c r="B21">
        <f>17.76/100</f>
        <v>0.17760000000000001</v>
      </c>
    </row>
    <row r="24" spans="1:2">
      <c r="A24" s="23" t="s">
        <v>159</v>
      </c>
      <c r="B24">
        <f>(1-3*B21)/(1-2*B21)</f>
        <v>0.72456575682382118</v>
      </c>
    </row>
    <row r="28" spans="1:2">
      <c r="A28" s="23" t="s">
        <v>159</v>
      </c>
      <c r="B28">
        <f>(1+4*B20)/(4*(1+B20)^2)</f>
        <v>0.32109646854722745</v>
      </c>
    </row>
    <row r="32" spans="1:2">
      <c r="A32" t="s">
        <v>161</v>
      </c>
      <c r="B32">
        <f>B24*B28*0.71</f>
        <v>0.16518540907992849</v>
      </c>
    </row>
    <row r="34" spans="1:2">
      <c r="A34" t="s">
        <v>162</v>
      </c>
      <c r="B34">
        <f>(1-B32)*B19</f>
        <v>500.05393996112281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9DFA-B3C3-4D47-BAEE-3ADED3849613}">
  <dimension ref="A1:K31"/>
  <sheetViews>
    <sheetView zoomScale="35" zoomScaleNormal="130" workbookViewId="0">
      <selection activeCell="Q32" sqref="Q32"/>
    </sheetView>
  </sheetViews>
  <sheetFormatPr defaultRowHeight="14.25"/>
  <cols>
    <col min="1" max="1" width="14.265625" customWidth="1"/>
  </cols>
  <sheetData>
    <row r="1" spans="1:11">
      <c r="A1" t="s">
        <v>174</v>
      </c>
      <c r="C1">
        <v>46.597799999999999</v>
      </c>
      <c r="F1" t="s">
        <v>174</v>
      </c>
      <c r="H1">
        <v>46.597799999999999</v>
      </c>
    </row>
    <row r="2" spans="1:11">
      <c r="A2" t="s">
        <v>175</v>
      </c>
      <c r="C2">
        <v>22.795000000000002</v>
      </c>
      <c r="F2" t="s">
        <v>175</v>
      </c>
      <c r="H2">
        <v>22.795000000000002</v>
      </c>
    </row>
    <row r="3" spans="1:11">
      <c r="A3" t="s">
        <v>176</v>
      </c>
      <c r="C3">
        <f>C1*C2</f>
        <v>1062.1968510000002</v>
      </c>
      <c r="F3" t="s">
        <v>176</v>
      </c>
      <c r="H3">
        <f>H1*H2</f>
        <v>1062.1968510000002</v>
      </c>
    </row>
    <row r="4" spans="1:11">
      <c r="A4" t="s">
        <v>178</v>
      </c>
      <c r="C4">
        <v>10000</v>
      </c>
      <c r="F4" t="s">
        <v>178</v>
      </c>
      <c r="H4">
        <v>10000</v>
      </c>
      <c r="K4" t="s">
        <v>198</v>
      </c>
    </row>
    <row r="5" spans="1:11">
      <c r="A5" t="s">
        <v>179</v>
      </c>
      <c r="C5">
        <f>C4/C3</f>
        <v>9.4144508059740044</v>
      </c>
      <c r="F5" t="s">
        <v>179</v>
      </c>
      <c r="H5">
        <f>H4/H3</f>
        <v>9.4144508059740044</v>
      </c>
      <c r="K5" t="s">
        <v>199</v>
      </c>
    </row>
    <row r="6" spans="1:11">
      <c r="A6" t="s">
        <v>177</v>
      </c>
      <c r="C6">
        <v>4.4999999999999998E-2</v>
      </c>
      <c r="F6" t="s">
        <v>177</v>
      </c>
      <c r="H6">
        <v>4.3999999999999997E-2</v>
      </c>
      <c r="K6" t="s">
        <v>200</v>
      </c>
    </row>
    <row r="7" spans="1:11">
      <c r="K7" t="s">
        <v>196</v>
      </c>
    </row>
    <row r="9" spans="1:11">
      <c r="A9" t="s">
        <v>180</v>
      </c>
      <c r="C9" s="29">
        <f>C5/(C6)</f>
        <v>209.21001791053345</v>
      </c>
      <c r="F9" t="s">
        <v>180</v>
      </c>
      <c r="H9" s="29">
        <f>H5/(H6)</f>
        <v>213.96479104486374</v>
      </c>
    </row>
    <row r="10" spans="1:11">
      <c r="A10" t="s">
        <v>197</v>
      </c>
      <c r="C10" s="31">
        <v>200</v>
      </c>
      <c r="F10" t="s">
        <v>197</v>
      </c>
      <c r="H10" s="29">
        <v>209.39500000000001</v>
      </c>
    </row>
    <row r="11" spans="1:11">
      <c r="A11" t="s">
        <v>181</v>
      </c>
      <c r="C11">
        <f>(C9-C10)/C10*100</f>
        <v>4.6050089552667259</v>
      </c>
      <c r="F11" t="s">
        <v>181</v>
      </c>
      <c r="H11">
        <f>(H9-H10)/H10*100</f>
        <v>2.182378301709083</v>
      </c>
    </row>
    <row r="16" spans="1:11">
      <c r="A16" t="s">
        <v>182</v>
      </c>
      <c r="C16">
        <v>5.2999999999999999E-2</v>
      </c>
      <c r="D16" t="s">
        <v>190</v>
      </c>
    </row>
    <row r="17" spans="1:3">
      <c r="A17" t="s">
        <v>183</v>
      </c>
      <c r="C17">
        <v>9.64</v>
      </c>
    </row>
    <row r="19" spans="1:3">
      <c r="A19" t="s">
        <v>184</v>
      </c>
      <c r="C19">
        <f>C16/C17</f>
        <v>5.4979253112033191E-3</v>
      </c>
    </row>
    <row r="21" spans="1:3">
      <c r="A21" t="s">
        <v>180</v>
      </c>
      <c r="C21">
        <f>C5/C19</f>
        <v>1712.3642598035738</v>
      </c>
    </row>
    <row r="25" spans="1:3">
      <c r="A25" t="s">
        <v>185</v>
      </c>
      <c r="B25">
        <v>1</v>
      </c>
    </row>
    <row r="26" spans="1:3">
      <c r="A26" t="s">
        <v>186</v>
      </c>
      <c r="B26">
        <v>0.3</v>
      </c>
    </row>
    <row r="27" spans="1:3">
      <c r="A27" t="s">
        <v>55</v>
      </c>
      <c r="B27">
        <f>B25/(2*(1+B26))</f>
        <v>0.38461538461538458</v>
      </c>
    </row>
    <row r="28" spans="1:3">
      <c r="A28" t="s">
        <v>188</v>
      </c>
      <c r="B28">
        <v>4.3999999999999997E-2</v>
      </c>
    </row>
    <row r="29" spans="1:3">
      <c r="A29" t="s">
        <v>187</v>
      </c>
      <c r="B29">
        <v>1.7000000000000001E-2</v>
      </c>
    </row>
    <row r="31" spans="1:3">
      <c r="A31" t="s">
        <v>189</v>
      </c>
      <c r="B31">
        <f>B27*B28</f>
        <v>1.6923076923076919E-2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9DF3-F435-47DC-8F17-5ACC8F6F026E}">
  <dimension ref="A1:H6"/>
  <sheetViews>
    <sheetView tabSelected="1" zoomScale="87" zoomScaleNormal="40" workbookViewId="0">
      <selection activeCell="N8" sqref="N8"/>
    </sheetView>
  </sheetViews>
  <sheetFormatPr defaultRowHeight="14.25"/>
  <cols>
    <col min="1" max="2" width="14.265625" customWidth="1"/>
    <col min="3" max="4" width="16.86328125" customWidth="1"/>
    <col min="5" max="6" width="12.1328125" customWidth="1"/>
    <col min="8" max="8" width="15.3984375" customWidth="1"/>
  </cols>
  <sheetData>
    <row r="1" spans="1:8" ht="57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196</v>
      </c>
      <c r="H1" s="1" t="s">
        <v>210</v>
      </c>
    </row>
    <row r="2" spans="1:8">
      <c r="A2" s="29">
        <f>'Сравнение КПО'!M151</f>
        <v>15636.87167757627</v>
      </c>
      <c r="B2" s="29">
        <v>14620</v>
      </c>
      <c r="C2" s="29">
        <v>15969</v>
      </c>
      <c r="D2" s="29">
        <v>16359</v>
      </c>
      <c r="E2" s="29">
        <v>15177.84</v>
      </c>
      <c r="F2">
        <v>13552</v>
      </c>
      <c r="G2">
        <v>15141</v>
      </c>
      <c r="H2" s="29">
        <v>20008</v>
      </c>
    </row>
    <row r="4" spans="1:8">
      <c r="A4" s="28">
        <f>(A2-$G$2)/$G$2*100</f>
        <v>3.2750259400057429</v>
      </c>
      <c r="B4" s="28">
        <f>ABS(B2-$G$2)/$G$2*100</f>
        <v>3.4409880457037181</v>
      </c>
      <c r="C4" s="28">
        <f>ABS(C2-H2)/H2*100</f>
        <v>20.186925229908038</v>
      </c>
      <c r="D4" s="28">
        <f>ABS(D2-H2)/H2*100</f>
        <v>18.237704918032787</v>
      </c>
      <c r="E4" s="28">
        <f t="shared" ref="E4:F4" si="0">ABS(E2-$G$2)/$G$2*100</f>
        <v>0.24331285912423317</v>
      </c>
      <c r="F4" s="28">
        <f t="shared" si="0"/>
        <v>10.494683310217292</v>
      </c>
      <c r="G4" s="28" t="s">
        <v>202</v>
      </c>
    </row>
    <row r="5" spans="1:8">
      <c r="G5" t="s">
        <v>203</v>
      </c>
    </row>
    <row r="6" spans="1:8">
      <c r="A6" s="32">
        <f>ABS(A2-B2)/B2*100</f>
        <v>6.955346631848629</v>
      </c>
      <c r="B6" s="32"/>
      <c r="C6" s="32">
        <f>ABS(C2-D2)/D2*100</f>
        <v>2.3840088024940398</v>
      </c>
      <c r="D6" s="32"/>
      <c r="E6" s="32">
        <f>ABS(E2-F2)/F2*100</f>
        <v>11.997048406139315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2382-0402-459E-975A-6888ACB18AC6}">
  <dimension ref="A1:K5"/>
  <sheetViews>
    <sheetView zoomScale="40" zoomScaleNormal="40" workbookViewId="0">
      <selection activeCell="D17" sqref="D17"/>
    </sheetView>
  </sheetViews>
  <sheetFormatPr defaultRowHeight="14.25"/>
  <sheetData>
    <row r="1" spans="1:11">
      <c r="A1" s="33">
        <v>43867</v>
      </c>
      <c r="B1" s="33">
        <v>40701</v>
      </c>
      <c r="C1" s="33">
        <v>31839</v>
      </c>
      <c r="E1" s="37">
        <v>1.1140000000000001</v>
      </c>
      <c r="I1" s="29">
        <f>$E$1*A1</f>
        <v>48867.838000000003</v>
      </c>
      <c r="J1" s="29">
        <f t="shared" ref="J1:K1" si="0">$E$1*B1</f>
        <v>45340.914000000004</v>
      </c>
      <c r="K1" s="29">
        <f t="shared" si="0"/>
        <v>35468.646000000001</v>
      </c>
    </row>
    <row r="2" spans="1:11" ht="14.65" thickBot="1"/>
    <row r="3" spans="1:11" ht="14.65" thickBot="1">
      <c r="A3" s="34">
        <v>27227</v>
      </c>
      <c r="B3" s="35">
        <v>19448</v>
      </c>
      <c r="C3" s="36">
        <v>18710</v>
      </c>
      <c r="I3" s="29">
        <f>$E$1*A3</f>
        <v>30330.878000000004</v>
      </c>
      <c r="J3" s="29">
        <f t="shared" ref="J3:K3" si="1">$E$1*B3</f>
        <v>21665.072000000004</v>
      </c>
      <c r="K3" s="29">
        <f t="shared" si="1"/>
        <v>20842.940000000002</v>
      </c>
    </row>
    <row r="4" spans="1:11" ht="14.65" thickBot="1"/>
    <row r="5" spans="1:11" ht="14.65" thickBot="1">
      <c r="A5" s="34">
        <v>34776</v>
      </c>
      <c r="B5" s="35">
        <v>46992</v>
      </c>
      <c r="C5" s="36">
        <v>34776</v>
      </c>
      <c r="I5" s="29">
        <f>$E$1*A5</f>
        <v>38740.464</v>
      </c>
      <c r="J5" s="29">
        <f t="shared" ref="J5" si="2">$E$1*B5</f>
        <v>52349.088000000003</v>
      </c>
      <c r="K5" s="29">
        <f t="shared" ref="K5" si="3">$E$1*C5</f>
        <v>38740.464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601-54C5-46C7-9A7F-08217FA260EC}">
  <dimension ref="A1"/>
  <sheetViews>
    <sheetView zoomScale="25" zoomScaleNormal="25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Лист1</vt:lpstr>
      <vt:lpstr>isogrid</vt:lpstr>
      <vt:lpstr>anisogrid</vt:lpstr>
      <vt:lpstr>anisogrid120</vt:lpstr>
      <vt:lpstr>Лист2</vt:lpstr>
      <vt:lpstr>Сравнение КПО</vt:lpstr>
      <vt:lpstr>Лист3</vt:lpstr>
      <vt:lpstr>Лист4</vt:lpstr>
      <vt:lpstr>Лист6</vt:lpstr>
      <vt:lpstr>Лист5</vt:lpstr>
      <vt:lpstr>Лист7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mick200029@gmail.com</dc:creator>
  <cp:lastModifiedBy>Kennedy Mick</cp:lastModifiedBy>
  <dcterms:created xsi:type="dcterms:W3CDTF">2025-03-04T08:39:19Z</dcterms:created>
  <dcterms:modified xsi:type="dcterms:W3CDTF">2025-12-28T15:43:35Z</dcterms:modified>
</cp:coreProperties>
</file>