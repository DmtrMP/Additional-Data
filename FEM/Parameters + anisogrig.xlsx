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theme/themeOverride1.xml" ContentType="application/vnd.openxmlformats-officedocument.themeOverrid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theme/themeOverride2.xml" ContentType="application/vnd.openxmlformats-officedocument.themeOverrid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theme/themeOverride3.xml" ContentType="application/vnd.openxmlformats-officedocument.themeOverride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4.xml" ContentType="application/vnd.openxmlformats-officedocument.drawingml.chart+xml"/>
  <Override PartName="/xl/drawings/drawing4.xml" ContentType="application/vnd.openxmlformats-officedocument.drawing+xml"/>
  <Override PartName="/xl/charts/chart3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4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4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4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4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4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4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4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4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4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4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9.xml" ContentType="application/vnd.openxmlformats-officedocument.drawing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2\OneDrive\Desktop\Новая папка\"/>
    </mc:Choice>
  </mc:AlternateContent>
  <xr:revisionPtr revIDLastSave="0" documentId="13_ncr:1_{C3502208-654E-4310-A5C6-64D79F408051}" xr6:coauthVersionLast="47" xr6:coauthVersionMax="47" xr10:uidLastSave="{00000000-0000-0000-0000-000000000000}"/>
  <bookViews>
    <workbookView xWindow="-98" yWindow="-98" windowWidth="23596" windowHeight="15076" activeTab="4" xr2:uid="{00000000-000D-0000-FFFF-FFFF00000000}"/>
  </bookViews>
  <sheets>
    <sheet name="Лист1" sheetId="1" r:id="rId1"/>
    <sheet name="isogrid" sheetId="2" r:id="rId2"/>
    <sheet name="anisogrid" sheetId="3" r:id="rId3"/>
    <sheet name="anisogrid15" sheetId="12" r:id="rId4"/>
    <sheet name="15_stress" sheetId="14" r:id="rId5"/>
    <sheet name="isorg_30" sheetId="16" r:id="rId6"/>
    <sheet name="isogrid_stress" sheetId="15" r:id="rId7"/>
    <sheet name="anisogrid120" sheetId="13" r:id="rId8"/>
    <sheet name="Лист2" sheetId="5" r:id="rId9"/>
    <sheet name="Сравнение КПО" sheetId="6" r:id="rId10"/>
    <sheet name="Шестигранник" sheetId="8" r:id="rId11"/>
    <sheet name="треуг с смещ" sheetId="10" r:id="rId12"/>
    <sheet name="Лист3" sheetId="9" r:id="rId13"/>
    <sheet name="сводная табл напряжения" sheetId="1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29" i="14" l="1"/>
  <c r="CQ29" i="14"/>
  <c r="CP29" i="14"/>
  <c r="CO29" i="14"/>
  <c r="CN29" i="14"/>
  <c r="CM29" i="14"/>
  <c r="CL29" i="14"/>
  <c r="CK29" i="14"/>
  <c r="CJ29" i="14"/>
  <c r="CI29" i="14"/>
  <c r="CH29" i="14"/>
  <c r="CG29" i="14"/>
  <c r="CB29" i="14"/>
  <c r="CA29" i="14"/>
  <c r="BZ29" i="14"/>
  <c r="BY29" i="14"/>
  <c r="BX29" i="14"/>
  <c r="BW29" i="14"/>
  <c r="BV29" i="14"/>
  <c r="BU29" i="14"/>
  <c r="BT29" i="14"/>
  <c r="BS29" i="14"/>
  <c r="BR29" i="14"/>
  <c r="BQ29" i="14"/>
  <c r="BN29" i="14"/>
  <c r="BM29" i="14"/>
  <c r="BL29" i="14"/>
  <c r="BK29" i="14"/>
  <c r="AY29" i="14"/>
  <c r="AX29" i="14"/>
  <c r="AW29" i="14"/>
  <c r="AV29" i="14"/>
  <c r="BJ29" i="14"/>
  <c r="BI29" i="14"/>
  <c r="BH29" i="14"/>
  <c r="BG29" i="14"/>
  <c r="AR29" i="14"/>
  <c r="BF29" i="14"/>
  <c r="BE29" i="14"/>
  <c r="BD29" i="14"/>
  <c r="BC29" i="14"/>
  <c r="AU29" i="14"/>
  <c r="AT29" i="14"/>
  <c r="AS29" i="14"/>
  <c r="AQ29" i="14"/>
  <c r="AP29" i="14"/>
  <c r="AO29" i="14"/>
  <c r="AN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T29" i="14"/>
  <c r="S29" i="14"/>
  <c r="R29" i="14"/>
  <c r="Q29" i="14"/>
  <c r="M29" i="14"/>
  <c r="P29" i="14"/>
  <c r="O29" i="14"/>
  <c r="N29" i="14"/>
  <c r="L29" i="14"/>
  <c r="K29" i="14"/>
  <c r="J29" i="14"/>
  <c r="I29" i="14"/>
  <c r="C2" i="11"/>
  <c r="B2" i="11"/>
  <c r="C19" i="16"/>
  <c r="B4" i="11"/>
  <c r="F26" i="13"/>
  <c r="C85" i="13" s="1"/>
  <c r="D4" i="11"/>
  <c r="G4" i="11"/>
  <c r="F4" i="11"/>
  <c r="E4" i="11"/>
  <c r="G3" i="11"/>
  <c r="F3" i="11"/>
  <c r="E3" i="11"/>
  <c r="D3" i="11"/>
  <c r="G2" i="11"/>
  <c r="F2" i="11"/>
  <c r="E2" i="11"/>
  <c r="D2" i="11"/>
  <c r="C4" i="11"/>
  <c r="C3" i="11"/>
  <c r="B3" i="11"/>
  <c r="C139" i="16"/>
  <c r="C120" i="16"/>
  <c r="C122" i="16" s="1"/>
  <c r="C116" i="16"/>
  <c r="B10" i="16"/>
  <c r="B9" i="16"/>
  <c r="D8" i="16"/>
  <c r="C8" i="16"/>
  <c r="D7" i="16"/>
  <c r="C10" i="16" s="1"/>
  <c r="C6" i="16"/>
  <c r="C5" i="16"/>
  <c r="C4" i="16"/>
  <c r="C3" i="16"/>
  <c r="D5" i="16" s="1"/>
  <c r="G2" i="16"/>
  <c r="C156" i="16"/>
  <c r="C160" i="16" s="1"/>
  <c r="C162" i="16" s="1"/>
  <c r="B150" i="16"/>
  <c r="C141" i="16"/>
  <c r="B130" i="16"/>
  <c r="B111" i="16"/>
  <c r="B103" i="16"/>
  <c r="B97" i="16"/>
  <c r="C93" i="16"/>
  <c r="C80" i="16"/>
  <c r="B74" i="16"/>
  <c r="C71" i="16"/>
  <c r="B68" i="16"/>
  <c r="B35" i="16"/>
  <c r="C32" i="16"/>
  <c r="B29" i="16"/>
  <c r="F16" i="16"/>
  <c r="F11" i="16"/>
  <c r="C14" i="16"/>
  <c r="C53" i="16"/>
  <c r="C121" i="15"/>
  <c r="B150" i="15"/>
  <c r="B130" i="15"/>
  <c r="B111" i="15"/>
  <c r="F25" i="15"/>
  <c r="F26" i="15" s="1"/>
  <c r="F17" i="15"/>
  <c r="F16" i="15"/>
  <c r="F18" i="15" s="1"/>
  <c r="F12" i="15"/>
  <c r="F11" i="15"/>
  <c r="F13" i="15" s="1"/>
  <c r="C10" i="15"/>
  <c r="B10" i="15"/>
  <c r="B9" i="15"/>
  <c r="C8" i="15"/>
  <c r="D7" i="15"/>
  <c r="C6" i="15"/>
  <c r="C5" i="15"/>
  <c r="C4" i="15"/>
  <c r="D8" i="15" s="1"/>
  <c r="C3" i="15"/>
  <c r="D5" i="15" s="1"/>
  <c r="G2" i="15"/>
  <c r="C141" i="15"/>
  <c r="C80" i="15"/>
  <c r="C122" i="14"/>
  <c r="B150" i="14"/>
  <c r="B130" i="14"/>
  <c r="B111" i="14"/>
  <c r="F12" i="14"/>
  <c r="F25" i="14"/>
  <c r="F26" i="14" s="1"/>
  <c r="F17" i="14"/>
  <c r="F16" i="14"/>
  <c r="F18" i="14" s="1"/>
  <c r="F11" i="14"/>
  <c r="F13" i="14" s="1"/>
  <c r="C156" i="14"/>
  <c r="C160" i="14" s="1"/>
  <c r="C162" i="14" s="1"/>
  <c r="C80" i="14"/>
  <c r="C53" i="14"/>
  <c r="B8" i="14"/>
  <c r="B7" i="14"/>
  <c r="C6" i="14"/>
  <c r="B6" i="14"/>
  <c r="B5" i="14"/>
  <c r="B4" i="14"/>
  <c r="B9" i="14" s="1"/>
  <c r="C3" i="14"/>
  <c r="G2" i="14"/>
  <c r="C152" i="13"/>
  <c r="C162" i="13"/>
  <c r="B150" i="13"/>
  <c r="E162" i="12"/>
  <c r="F162" i="12"/>
  <c r="D162" i="12"/>
  <c r="C162" i="12"/>
  <c r="E141" i="12"/>
  <c r="F141" i="12"/>
  <c r="G141" i="12"/>
  <c r="D141" i="12"/>
  <c r="C141" i="12"/>
  <c r="C141" i="13"/>
  <c r="C121" i="12"/>
  <c r="C122" i="13"/>
  <c r="C121" i="13"/>
  <c r="B111" i="13"/>
  <c r="B130" i="13"/>
  <c r="C56" i="13"/>
  <c r="F25" i="13"/>
  <c r="F16" i="13"/>
  <c r="F18" i="13" s="1"/>
  <c r="F12" i="13"/>
  <c r="F11" i="13"/>
  <c r="F13" i="13" s="1"/>
  <c r="C17" i="13" s="1"/>
  <c r="F17" i="13"/>
  <c r="B8" i="13"/>
  <c r="B7" i="13"/>
  <c r="B10" i="13" s="1"/>
  <c r="C6" i="13"/>
  <c r="B5" i="13"/>
  <c r="B4" i="13"/>
  <c r="B9" i="13" s="1"/>
  <c r="C3" i="13"/>
  <c r="D8" i="13" s="1"/>
  <c r="G2" i="13"/>
  <c r="C156" i="13"/>
  <c r="C160" i="13" s="1"/>
  <c r="B35" i="13"/>
  <c r="B29" i="13"/>
  <c r="C70" i="12"/>
  <c r="H99" i="12"/>
  <c r="G99" i="12"/>
  <c r="F99" i="12"/>
  <c r="E99" i="12"/>
  <c r="D99" i="12"/>
  <c r="C99" i="12"/>
  <c r="H92" i="12"/>
  <c r="G92" i="12"/>
  <c r="F92" i="12"/>
  <c r="E92" i="12"/>
  <c r="D92" i="12"/>
  <c r="C92" i="12"/>
  <c r="H84" i="12"/>
  <c r="G84" i="12"/>
  <c r="F84" i="12"/>
  <c r="D84" i="12"/>
  <c r="H70" i="12"/>
  <c r="G70" i="12"/>
  <c r="F70" i="12"/>
  <c r="E70" i="12"/>
  <c r="D70" i="12"/>
  <c r="H31" i="12"/>
  <c r="G31" i="12"/>
  <c r="F31" i="12"/>
  <c r="E31" i="12"/>
  <c r="D31" i="12"/>
  <c r="C31" i="12"/>
  <c r="I162" i="12"/>
  <c r="H162" i="12"/>
  <c r="G156" i="12"/>
  <c r="B150" i="12"/>
  <c r="B130" i="12"/>
  <c r="B111" i="12"/>
  <c r="B103" i="12"/>
  <c r="B97" i="12"/>
  <c r="B74" i="12"/>
  <c r="B68" i="12"/>
  <c r="B35" i="12"/>
  <c r="B29" i="12"/>
  <c r="B8" i="12"/>
  <c r="K51" i="12" s="1"/>
  <c r="B7" i="12"/>
  <c r="H80" i="12" s="1"/>
  <c r="C6" i="12"/>
  <c r="B6" i="12"/>
  <c r="B5" i="12"/>
  <c r="B4" i="12"/>
  <c r="B9" i="12" s="1"/>
  <c r="O132" i="12" s="1"/>
  <c r="C3" i="12"/>
  <c r="D4" i="12" s="1"/>
  <c r="C9" i="12" s="1"/>
  <c r="B29" i="10"/>
  <c r="B30" i="10" s="1"/>
  <c r="B10" i="10"/>
  <c r="G14" i="10" s="1"/>
  <c r="G15" i="10" s="1"/>
  <c r="G17" i="10" s="1"/>
  <c r="G19" i="10" s="1"/>
  <c r="B8" i="10"/>
  <c r="B7" i="10"/>
  <c r="C6" i="10"/>
  <c r="B5" i="10"/>
  <c r="C4" i="10"/>
  <c r="B4" i="10" s="1"/>
  <c r="C3" i="10"/>
  <c r="D7" i="10" s="1"/>
  <c r="C10" i="10" s="1"/>
  <c r="G17" i="8"/>
  <c r="G19" i="8" s="1"/>
  <c r="G14" i="8"/>
  <c r="G15" i="8" s="1"/>
  <c r="F19" i="8"/>
  <c r="F17" i="8"/>
  <c r="F15" i="8"/>
  <c r="F14" i="8"/>
  <c r="G248" i="6"/>
  <c r="B16" i="8"/>
  <c r="C14" i="8"/>
  <c r="D14" i="8"/>
  <c r="E14" i="8"/>
  <c r="B14" i="8"/>
  <c r="G254" i="6"/>
  <c r="G251" i="6"/>
  <c r="I251" i="6" s="1"/>
  <c r="G247" i="6"/>
  <c r="I232" i="6"/>
  <c r="G235" i="6"/>
  <c r="I219" i="6"/>
  <c r="M214" i="6"/>
  <c r="K229" i="6"/>
  <c r="K230" i="6" s="1"/>
  <c r="M230" i="6" s="1"/>
  <c r="K216" i="6"/>
  <c r="K226" i="6"/>
  <c r="K227" i="6" s="1"/>
  <c r="M227" i="6" s="1"/>
  <c r="K225" i="6"/>
  <c r="K213" i="6"/>
  <c r="K212" i="6"/>
  <c r="K217" i="6" s="1"/>
  <c r="M217" i="6" s="1"/>
  <c r="G228" i="6"/>
  <c r="G232" i="6" s="1"/>
  <c r="G215" i="6"/>
  <c r="G219" i="6" s="1"/>
  <c r="C131" i="3"/>
  <c r="C132" i="3" s="1"/>
  <c r="D131" i="3"/>
  <c r="M146" i="6"/>
  <c r="M150" i="6" s="1"/>
  <c r="M152" i="6" s="1"/>
  <c r="M144" i="6"/>
  <c r="G196" i="6"/>
  <c r="G200" i="6" s="1"/>
  <c r="G202" i="6" s="1"/>
  <c r="G194" i="6"/>
  <c r="G180" i="6"/>
  <c r="G184" i="6" s="1"/>
  <c r="G186" i="6" s="1"/>
  <c r="G178" i="6"/>
  <c r="G162" i="6"/>
  <c r="G164" i="6" s="1"/>
  <c r="G168" i="6" s="1"/>
  <c r="G170" i="6" s="1"/>
  <c r="G146" i="6"/>
  <c r="G150" i="6" s="1"/>
  <c r="G152" i="6" s="1"/>
  <c r="G144" i="6"/>
  <c r="M33" i="6"/>
  <c r="M35" i="6" s="1"/>
  <c r="M39" i="6" s="1"/>
  <c r="M41" i="6" s="1"/>
  <c r="G26" i="6"/>
  <c r="J59" i="6"/>
  <c r="B32" i="9"/>
  <c r="B21" i="9"/>
  <c r="B24" i="9"/>
  <c r="C3" i="9"/>
  <c r="B20" i="9" s="1"/>
  <c r="B28" i="9" s="1"/>
  <c r="B34" i="9" s="1"/>
  <c r="B8" i="9"/>
  <c r="B7" i="9"/>
  <c r="B10" i="9" s="1"/>
  <c r="C6" i="9"/>
  <c r="B9" i="9"/>
  <c r="D7" i="9"/>
  <c r="C10" i="9" s="1"/>
  <c r="G2" i="9"/>
  <c r="G24" i="6"/>
  <c r="B39" i="1"/>
  <c r="B33" i="1"/>
  <c r="G114" i="6"/>
  <c r="G118" i="6" s="1"/>
  <c r="L112" i="6"/>
  <c r="L114" i="6" s="1"/>
  <c r="L118" i="6" s="1"/>
  <c r="K112" i="6"/>
  <c r="K114" i="6" s="1"/>
  <c r="K118" i="6" s="1"/>
  <c r="J112" i="6"/>
  <c r="J114" i="6" s="1"/>
  <c r="J118" i="6" s="1"/>
  <c r="I112" i="6"/>
  <c r="I114" i="6" s="1"/>
  <c r="I118" i="6" s="1"/>
  <c r="H112" i="6"/>
  <c r="H114" i="6" s="1"/>
  <c r="H118" i="6" s="1"/>
  <c r="L76" i="6"/>
  <c r="L78" i="6" s="1"/>
  <c r="L82" i="6" s="1"/>
  <c r="K76" i="6"/>
  <c r="K78" i="6" s="1"/>
  <c r="K82" i="6" s="1"/>
  <c r="J76" i="6"/>
  <c r="J78" i="6" s="1"/>
  <c r="J82" i="6" s="1"/>
  <c r="I76" i="6"/>
  <c r="I78" i="6" s="1"/>
  <c r="I82" i="6" s="1"/>
  <c r="H76" i="6"/>
  <c r="H78" i="6" s="1"/>
  <c r="H82" i="6" s="1"/>
  <c r="G78" i="6"/>
  <c r="G82" i="6" s="1"/>
  <c r="Y18" i="6"/>
  <c r="Y20" i="6" s="1"/>
  <c r="Y24" i="6" s="1"/>
  <c r="M18" i="6"/>
  <c r="S19" i="6"/>
  <c r="L3" i="6"/>
  <c r="L5" i="6" s="1"/>
  <c r="L9" i="6" s="1"/>
  <c r="L11" i="6" s="1"/>
  <c r="G3" i="6"/>
  <c r="G5" i="6" s="1"/>
  <c r="G9" i="6" s="1"/>
  <c r="G11" i="6" s="1"/>
  <c r="S21" i="6"/>
  <c r="S25" i="6" s="1"/>
  <c r="G18" i="6"/>
  <c r="G20" i="6" s="1"/>
  <c r="M20" i="6"/>
  <c r="M24" i="6" s="1"/>
  <c r="G62" i="6"/>
  <c r="G66" i="6" s="1"/>
  <c r="G47" i="6"/>
  <c r="G51" i="6" s="1"/>
  <c r="G53" i="6" s="1"/>
  <c r="G31" i="6"/>
  <c r="G33" i="6" s="1"/>
  <c r="G37" i="6" s="1"/>
  <c r="E27" i="8"/>
  <c r="D27" i="8"/>
  <c r="C27" i="8"/>
  <c r="B27" i="8"/>
  <c r="B8" i="8"/>
  <c r="B7" i="8"/>
  <c r="B10" i="8" s="1"/>
  <c r="E29" i="8" s="1"/>
  <c r="E30" i="8" s="1"/>
  <c r="C6" i="8"/>
  <c r="B5" i="8"/>
  <c r="C4" i="8"/>
  <c r="B4" i="8"/>
  <c r="B9" i="8" s="1"/>
  <c r="C3" i="8"/>
  <c r="D5" i="8"/>
  <c r="D8" i="8"/>
  <c r="D4" i="8"/>
  <c r="C9" i="8" s="1"/>
  <c r="H89" i="3"/>
  <c r="G89" i="3"/>
  <c r="F89" i="3"/>
  <c r="E89" i="3"/>
  <c r="D89" i="3"/>
  <c r="C89" i="3"/>
  <c r="H82" i="3"/>
  <c r="G82" i="3"/>
  <c r="F82" i="3"/>
  <c r="E82" i="3"/>
  <c r="D82" i="3"/>
  <c r="C82" i="3"/>
  <c r="H77" i="3"/>
  <c r="F77" i="3"/>
  <c r="G77" i="3"/>
  <c r="D77" i="3"/>
  <c r="C77" i="3"/>
  <c r="H27" i="3"/>
  <c r="G27" i="3"/>
  <c r="F27" i="3"/>
  <c r="E27" i="3"/>
  <c r="G63" i="3"/>
  <c r="E63" i="3"/>
  <c r="F63" i="3"/>
  <c r="D63" i="3"/>
  <c r="H56" i="3"/>
  <c r="G56" i="3"/>
  <c r="F56" i="3"/>
  <c r="E56" i="3"/>
  <c r="D56" i="3"/>
  <c r="C56" i="3"/>
  <c r="H63" i="3"/>
  <c r="C63" i="3"/>
  <c r="D27" i="3"/>
  <c r="C27" i="3"/>
  <c r="B6" i="5"/>
  <c r="B7" i="5"/>
  <c r="C4" i="5"/>
  <c r="B8" i="5"/>
  <c r="B10" i="5"/>
  <c r="C6" i="5"/>
  <c r="B5" i="5"/>
  <c r="C3" i="5"/>
  <c r="H51" i="2"/>
  <c r="G63" i="2"/>
  <c r="G56" i="2"/>
  <c r="F63" i="2"/>
  <c r="F56" i="2"/>
  <c r="E63" i="2"/>
  <c r="E56" i="2"/>
  <c r="D63" i="2"/>
  <c r="D56" i="2"/>
  <c r="C63" i="2"/>
  <c r="C56" i="2"/>
  <c r="B53" i="2"/>
  <c r="H27" i="2"/>
  <c r="H28" i="2" s="1"/>
  <c r="G27" i="2"/>
  <c r="F27" i="2"/>
  <c r="F28" i="2" s="1"/>
  <c r="E27" i="2"/>
  <c r="E28" i="2" s="1"/>
  <c r="D27" i="2"/>
  <c r="D28" i="2" s="1"/>
  <c r="G28" i="2"/>
  <c r="C27" i="2"/>
  <c r="B18" i="2"/>
  <c r="B25" i="2"/>
  <c r="C111" i="3"/>
  <c r="G2" i="2"/>
  <c r="C152" i="2"/>
  <c r="H152" i="2"/>
  <c r="H145" i="2"/>
  <c r="H150" i="2" s="1"/>
  <c r="F77" i="2"/>
  <c r="H77" i="2"/>
  <c r="D4" i="16" l="1"/>
  <c r="C9" i="16" s="1"/>
  <c r="C54" i="16"/>
  <c r="C65" i="16"/>
  <c r="C26" i="16"/>
  <c r="C15" i="16"/>
  <c r="C142" i="16"/>
  <c r="C144" i="16" s="1"/>
  <c r="B12" i="16"/>
  <c r="C82" i="16"/>
  <c r="C83" i="16" s="1"/>
  <c r="C12" i="16"/>
  <c r="C155" i="16"/>
  <c r="C132" i="16"/>
  <c r="C163" i="16"/>
  <c r="C165" i="16" s="1"/>
  <c r="C135" i="16"/>
  <c r="C133" i="16" s="1"/>
  <c r="C114" i="16"/>
  <c r="C100" i="16"/>
  <c r="C101" i="16" s="1"/>
  <c r="C103" i="16" s="1"/>
  <c r="C137" i="16"/>
  <c r="C118" i="16"/>
  <c r="B14" i="16"/>
  <c r="C51" i="16"/>
  <c r="C64" i="16" s="1"/>
  <c r="C72" i="16" s="1"/>
  <c r="C74" i="16" s="1"/>
  <c r="C142" i="15"/>
  <c r="C144" i="15" s="1"/>
  <c r="D4" i="15"/>
  <c r="C9" i="15" s="1"/>
  <c r="C152" i="15"/>
  <c r="C82" i="15"/>
  <c r="C83" i="15" s="1"/>
  <c r="C85" i="15" s="1"/>
  <c r="C87" i="15" s="1"/>
  <c r="C53" i="15"/>
  <c r="C113" i="15"/>
  <c r="C132" i="15"/>
  <c r="B12" i="15"/>
  <c r="C12" i="15"/>
  <c r="C139" i="15"/>
  <c r="C156" i="15"/>
  <c r="C160" i="15" s="1"/>
  <c r="C162" i="15" s="1"/>
  <c r="C163" i="15" s="1"/>
  <c r="C165" i="15" s="1"/>
  <c r="D8" i="14"/>
  <c r="D7" i="14"/>
  <c r="C10" i="14" s="1"/>
  <c r="D5" i="14"/>
  <c r="D4" i="14"/>
  <c r="C9" i="14" s="1"/>
  <c r="C54" i="14"/>
  <c r="C82" i="14"/>
  <c r="C132" i="14"/>
  <c r="C12" i="14"/>
  <c r="C152" i="14"/>
  <c r="B12" i="14"/>
  <c r="C113" i="14"/>
  <c r="C83" i="14"/>
  <c r="C85" i="14" s="1"/>
  <c r="C87" i="14" s="1"/>
  <c r="C163" i="14"/>
  <c r="C165" i="14" s="1"/>
  <c r="C139" i="14"/>
  <c r="C141" i="14"/>
  <c r="C142" i="14" s="1"/>
  <c r="C144" i="14" s="1"/>
  <c r="B10" i="14"/>
  <c r="C53" i="13"/>
  <c r="C12" i="13"/>
  <c r="C25" i="13" s="1"/>
  <c r="C27" i="13" s="1"/>
  <c r="B12" i="13"/>
  <c r="C113" i="13"/>
  <c r="C153" i="13"/>
  <c r="C158" i="13" s="1"/>
  <c r="D4" i="13"/>
  <c r="C9" i="13" s="1"/>
  <c r="D5" i="13"/>
  <c r="C123" i="13"/>
  <c r="C125" i="13" s="1"/>
  <c r="D7" i="13"/>
  <c r="C10" i="13" s="1"/>
  <c r="C139" i="13"/>
  <c r="C142" i="13"/>
  <c r="C144" i="13" s="1"/>
  <c r="C114" i="13"/>
  <c r="C118" i="13" s="1"/>
  <c r="C54" i="13"/>
  <c r="C80" i="13"/>
  <c r="C32" i="13"/>
  <c r="C163" i="13"/>
  <c r="C165" i="13" s="1"/>
  <c r="C82" i="13"/>
  <c r="C132" i="13"/>
  <c r="C32" i="12"/>
  <c r="E32" i="12"/>
  <c r="G32" i="12"/>
  <c r="D32" i="12"/>
  <c r="F32" i="12"/>
  <c r="H32" i="12"/>
  <c r="H100" i="12"/>
  <c r="D8" i="12"/>
  <c r="G82" i="12"/>
  <c r="G94" i="12" s="1"/>
  <c r="E53" i="12"/>
  <c r="E65" i="12" s="1"/>
  <c r="H82" i="12"/>
  <c r="H94" i="12" s="1"/>
  <c r="E113" i="12"/>
  <c r="E122" i="12" s="1"/>
  <c r="E123" i="12" s="1"/>
  <c r="E125" i="12" s="1"/>
  <c r="J155" i="12"/>
  <c r="J160" i="12" s="1"/>
  <c r="G53" i="12"/>
  <c r="G65" i="12" s="1"/>
  <c r="G2" i="12"/>
  <c r="J53" i="12"/>
  <c r="J54" i="12" s="1"/>
  <c r="H83" i="12"/>
  <c r="H85" i="12" s="1"/>
  <c r="H87" i="12" s="1"/>
  <c r="F53" i="12"/>
  <c r="F65" i="12" s="1"/>
  <c r="I53" i="12"/>
  <c r="I54" i="12" s="1"/>
  <c r="D5" i="12"/>
  <c r="D7" i="12"/>
  <c r="C10" i="12" s="1"/>
  <c r="N12" i="12"/>
  <c r="N25" i="12" s="1"/>
  <c r="P12" i="12"/>
  <c r="P25" i="12" s="1"/>
  <c r="C156" i="12"/>
  <c r="C160" i="12" s="1"/>
  <c r="C163" i="12" s="1"/>
  <c r="C165" i="12" s="1"/>
  <c r="P132" i="12"/>
  <c r="P141" i="12" s="1"/>
  <c r="P142" i="12" s="1"/>
  <c r="P144" i="12" s="1"/>
  <c r="D152" i="12"/>
  <c r="D156" i="12" s="1"/>
  <c r="D153" i="12" s="1"/>
  <c r="D158" i="12" s="1"/>
  <c r="D71" i="12"/>
  <c r="C93" i="12"/>
  <c r="D93" i="12"/>
  <c r="K53" i="12"/>
  <c r="K54" i="12" s="1"/>
  <c r="K56" i="12" s="1"/>
  <c r="K58" i="12" s="1"/>
  <c r="L12" i="12"/>
  <c r="L25" i="12" s="1"/>
  <c r="M12" i="12"/>
  <c r="M25" i="12" s="1"/>
  <c r="E152" i="12"/>
  <c r="C71" i="12"/>
  <c r="E71" i="12"/>
  <c r="D12" i="12"/>
  <c r="D25" i="12" s="1"/>
  <c r="C152" i="12"/>
  <c r="I155" i="12"/>
  <c r="I160" i="12" s="1"/>
  <c r="J162" i="12"/>
  <c r="J163" i="12" s="1"/>
  <c r="J165" i="12" s="1"/>
  <c r="O141" i="12"/>
  <c r="O142" i="12" s="1"/>
  <c r="O144" i="12" s="1"/>
  <c r="O139" i="12"/>
  <c r="C113" i="12"/>
  <c r="O12" i="12"/>
  <c r="H53" i="12"/>
  <c r="D113" i="12"/>
  <c r="H155" i="12"/>
  <c r="H160" i="12" s="1"/>
  <c r="C80" i="12"/>
  <c r="I152" i="12"/>
  <c r="H163" i="12"/>
  <c r="H165" i="12" s="1"/>
  <c r="E54" i="12"/>
  <c r="D80" i="12"/>
  <c r="J152" i="12"/>
  <c r="I163" i="12"/>
  <c r="I165" i="12" s="1"/>
  <c r="F152" i="12"/>
  <c r="B12" i="12"/>
  <c r="E80" i="12"/>
  <c r="H152" i="12"/>
  <c r="B10" i="12"/>
  <c r="C12" i="12"/>
  <c r="F80" i="12"/>
  <c r="E93" i="12"/>
  <c r="O135" i="12"/>
  <c r="O136" i="12" s="1"/>
  <c r="O138" i="12" s="1"/>
  <c r="G80" i="12"/>
  <c r="P135" i="12"/>
  <c r="P136" i="12" s="1"/>
  <c r="P138" i="12" s="1"/>
  <c r="I51" i="12"/>
  <c r="G71" i="12"/>
  <c r="H71" i="12"/>
  <c r="E132" i="12"/>
  <c r="C132" i="12"/>
  <c r="E12" i="12"/>
  <c r="G93" i="12"/>
  <c r="G95" i="12" s="1"/>
  <c r="G97" i="12" s="1"/>
  <c r="F12" i="12"/>
  <c r="J51" i="12"/>
  <c r="C82" i="12"/>
  <c r="C94" i="12" s="1"/>
  <c r="H93" i="12"/>
  <c r="H101" i="12" s="1"/>
  <c r="H103" i="12" s="1"/>
  <c r="C139" i="12"/>
  <c r="G12" i="12"/>
  <c r="D82" i="12"/>
  <c r="D94" i="12" s="1"/>
  <c r="F132" i="12"/>
  <c r="F71" i="12"/>
  <c r="F93" i="12"/>
  <c r="D132" i="12"/>
  <c r="H12" i="12"/>
  <c r="C53" i="12"/>
  <c r="E82" i="12"/>
  <c r="E94" i="12" s="1"/>
  <c r="E95" i="12" s="1"/>
  <c r="E97" i="12" s="1"/>
  <c r="G132" i="12"/>
  <c r="K12" i="12"/>
  <c r="D53" i="12"/>
  <c r="F82" i="12"/>
  <c r="F94" i="12" s="1"/>
  <c r="B9" i="10"/>
  <c r="G2" i="10"/>
  <c r="D4" i="10"/>
  <c r="C9" i="10" s="1"/>
  <c r="D8" i="10"/>
  <c r="C29" i="10"/>
  <c r="C30" i="10" s="1"/>
  <c r="D29" i="10"/>
  <c r="D30" i="10" s="1"/>
  <c r="B14" i="10"/>
  <c r="B15" i="10" s="1"/>
  <c r="B17" i="10" s="1"/>
  <c r="B19" i="10" s="1"/>
  <c r="E29" i="10"/>
  <c r="E30" i="10" s="1"/>
  <c r="C14" i="10"/>
  <c r="C15" i="10" s="1"/>
  <c r="C17" i="10" s="1"/>
  <c r="C19" i="10" s="1"/>
  <c r="D14" i="10"/>
  <c r="D15" i="10" s="1"/>
  <c r="D17" i="10" s="1"/>
  <c r="D19" i="10" s="1"/>
  <c r="E14" i="10"/>
  <c r="E15" i="10" s="1"/>
  <c r="E17" i="10" s="1"/>
  <c r="E19" i="10" s="1"/>
  <c r="F14" i="10"/>
  <c r="F15" i="10" s="1"/>
  <c r="F17" i="10" s="1"/>
  <c r="F19" i="10" s="1"/>
  <c r="D5" i="10"/>
  <c r="K214" i="6"/>
  <c r="D8" i="9"/>
  <c r="D4" i="9"/>
  <c r="C9" i="9" s="1"/>
  <c r="D5" i="9"/>
  <c r="B29" i="8"/>
  <c r="B30" i="8" s="1"/>
  <c r="B32" i="8" s="1"/>
  <c r="B34" i="8" s="1"/>
  <c r="C15" i="8"/>
  <c r="C17" i="8" s="1"/>
  <c r="C19" i="8" s="1"/>
  <c r="D15" i="8"/>
  <c r="D17" i="8" s="1"/>
  <c r="D19" i="8" s="1"/>
  <c r="E15" i="8"/>
  <c r="E17" i="8" s="1"/>
  <c r="E19" i="8" s="1"/>
  <c r="G2" i="8"/>
  <c r="C29" i="8"/>
  <c r="C30" i="8" s="1"/>
  <c r="E32" i="8"/>
  <c r="E34" i="8" s="1"/>
  <c r="D29" i="8"/>
  <c r="D30" i="8" s="1"/>
  <c r="D32" i="8" s="1"/>
  <c r="D34" i="8" s="1"/>
  <c r="G55" i="6"/>
  <c r="G70" i="6"/>
  <c r="G68" i="6"/>
  <c r="C32" i="8"/>
  <c r="C34" i="8" s="1"/>
  <c r="B15" i="8"/>
  <c r="B17" i="8" s="1"/>
  <c r="D7" i="8"/>
  <c r="C10" i="8" s="1"/>
  <c r="D5" i="5"/>
  <c r="D4" i="5"/>
  <c r="C25" i="16" l="1"/>
  <c r="C33" i="16" s="1"/>
  <c r="C35" i="16" s="1"/>
  <c r="F17" i="16"/>
  <c r="F18" i="16" s="1"/>
  <c r="C56" i="16" s="1"/>
  <c r="C58" i="16" s="1"/>
  <c r="C157" i="16"/>
  <c r="C159" i="16" s="1"/>
  <c r="C153" i="16"/>
  <c r="C158" i="16" s="1"/>
  <c r="C66" i="16"/>
  <c r="C68" i="16" s="1"/>
  <c r="C117" i="16"/>
  <c r="C119" i="16" s="1"/>
  <c r="C123" i="16"/>
  <c r="C125" i="16" s="1"/>
  <c r="C136" i="16"/>
  <c r="C138" i="16" s="1"/>
  <c r="F25" i="16"/>
  <c r="F26" i="16" s="1"/>
  <c r="C85" i="16" s="1"/>
  <c r="C87" i="16" s="1"/>
  <c r="B15" i="16"/>
  <c r="F12" i="16"/>
  <c r="F13" i="16" s="1"/>
  <c r="C17" i="16" s="1"/>
  <c r="C94" i="16"/>
  <c r="C95" i="16" s="1"/>
  <c r="C97" i="16" s="1"/>
  <c r="C122" i="15"/>
  <c r="C123" i="15" s="1"/>
  <c r="C125" i="15" s="1"/>
  <c r="C114" i="15"/>
  <c r="C118" i="15" s="1"/>
  <c r="C54" i="15"/>
  <c r="C51" i="15"/>
  <c r="C135" i="15"/>
  <c r="C133" i="15" s="1"/>
  <c r="C137" i="15" s="1"/>
  <c r="C155" i="15"/>
  <c r="C157" i="15" s="1"/>
  <c r="C159" i="15" s="1"/>
  <c r="C14" i="15"/>
  <c r="B14" i="15"/>
  <c r="B15" i="15" s="1"/>
  <c r="C116" i="15"/>
  <c r="C153" i="15"/>
  <c r="C158" i="15" s="1"/>
  <c r="C153" i="14"/>
  <c r="C158" i="14" s="1"/>
  <c r="C157" i="14"/>
  <c r="C159" i="14" s="1"/>
  <c r="C51" i="14"/>
  <c r="C14" i="14"/>
  <c r="C135" i="14"/>
  <c r="C133" i="14" s="1"/>
  <c r="C137" i="14" s="1"/>
  <c r="C155" i="14"/>
  <c r="C116" i="14"/>
  <c r="B14" i="14"/>
  <c r="B15" i="14" s="1"/>
  <c r="C114" i="14"/>
  <c r="C118" i="14" s="1"/>
  <c r="C123" i="14"/>
  <c r="C125" i="14" s="1"/>
  <c r="C136" i="14"/>
  <c r="C138" i="14" s="1"/>
  <c r="C33" i="13"/>
  <c r="C35" i="13" s="1"/>
  <c r="C155" i="13"/>
  <c r="C157" i="13" s="1"/>
  <c r="C159" i="13" s="1"/>
  <c r="C51" i="13"/>
  <c r="C135" i="13"/>
  <c r="C133" i="13" s="1"/>
  <c r="C137" i="13" s="1"/>
  <c r="B14" i="13"/>
  <c r="B15" i="13" s="1"/>
  <c r="C116" i="13"/>
  <c r="C14" i="13"/>
  <c r="C83" i="13"/>
  <c r="C87" i="13" s="1"/>
  <c r="C142" i="12"/>
  <c r="C144" i="12" s="1"/>
  <c r="G83" i="12"/>
  <c r="G85" i="12" s="1"/>
  <c r="G87" i="12" s="1"/>
  <c r="G54" i="12"/>
  <c r="D33" i="12"/>
  <c r="D35" i="12" s="1"/>
  <c r="F54" i="12"/>
  <c r="E114" i="12"/>
  <c r="E118" i="12" s="1"/>
  <c r="I56" i="12"/>
  <c r="I58" i="12" s="1"/>
  <c r="P139" i="12"/>
  <c r="J56" i="12"/>
  <c r="J58" i="12" s="1"/>
  <c r="E156" i="12"/>
  <c r="E153" i="12" s="1"/>
  <c r="E158" i="12" s="1"/>
  <c r="D95" i="12"/>
  <c r="D97" i="12" s="1"/>
  <c r="C95" i="12"/>
  <c r="C97" i="12" s="1"/>
  <c r="C153" i="12"/>
  <c r="C158" i="12" s="1"/>
  <c r="H95" i="12"/>
  <c r="H97" i="12" s="1"/>
  <c r="E100" i="12"/>
  <c r="E101" i="12" s="1"/>
  <c r="E103" i="12" s="1"/>
  <c r="E83" i="12"/>
  <c r="E85" i="12" s="1"/>
  <c r="E87" i="12" s="1"/>
  <c r="F156" i="12"/>
  <c r="I153" i="12"/>
  <c r="I158" i="12" s="1"/>
  <c r="I157" i="12"/>
  <c r="I159" i="12" s="1"/>
  <c r="F83" i="12"/>
  <c r="F85" i="12" s="1"/>
  <c r="F87" i="12" s="1"/>
  <c r="F100" i="12"/>
  <c r="F101" i="12" s="1"/>
  <c r="F103" i="12" s="1"/>
  <c r="C100" i="12"/>
  <c r="C101" i="12" s="1"/>
  <c r="C103" i="12" s="1"/>
  <c r="C83" i="12"/>
  <c r="C85" i="12" s="1"/>
  <c r="C87" i="12" s="1"/>
  <c r="C25" i="12"/>
  <c r="C155" i="12"/>
  <c r="C157" i="12" s="1"/>
  <c r="C159" i="12" s="1"/>
  <c r="H51" i="12"/>
  <c r="M14" i="12"/>
  <c r="C14" i="12"/>
  <c r="P14" i="12"/>
  <c r="O14" i="12"/>
  <c r="N14" i="12"/>
  <c r="G51" i="12"/>
  <c r="L14" i="12"/>
  <c r="D135" i="12"/>
  <c r="C51" i="12"/>
  <c r="F14" i="12"/>
  <c r="C135" i="12"/>
  <c r="C133" i="12" s="1"/>
  <c r="C137" i="12" s="1"/>
  <c r="G135" i="12"/>
  <c r="G136" i="12" s="1"/>
  <c r="G138" i="12" s="1"/>
  <c r="F51" i="12"/>
  <c r="K14" i="12"/>
  <c r="B14" i="12"/>
  <c r="B15" i="12" s="1"/>
  <c r="F135" i="12"/>
  <c r="E51" i="12"/>
  <c r="H14" i="12"/>
  <c r="E14" i="12"/>
  <c r="D14" i="12"/>
  <c r="E135" i="12"/>
  <c r="E116" i="12"/>
  <c r="D51" i="12"/>
  <c r="G14" i="12"/>
  <c r="D116" i="12"/>
  <c r="C116" i="12"/>
  <c r="F155" i="12"/>
  <c r="F157" i="12" s="1"/>
  <c r="F159" i="12" s="1"/>
  <c r="E155" i="12"/>
  <c r="E157" i="12" s="1"/>
  <c r="E159" i="12" s="1"/>
  <c r="D155" i="12"/>
  <c r="D157" i="12" s="1"/>
  <c r="D159" i="12" s="1"/>
  <c r="F142" i="12"/>
  <c r="F144" i="12" s="1"/>
  <c r="F95" i="12"/>
  <c r="F97" i="12" s="1"/>
  <c r="D65" i="12"/>
  <c r="D54" i="12"/>
  <c r="D160" i="12"/>
  <c r="D163" i="12"/>
  <c r="D165" i="12" s="1"/>
  <c r="K25" i="12"/>
  <c r="P133" i="12"/>
  <c r="P137" i="12" s="1"/>
  <c r="H25" i="12"/>
  <c r="G100" i="12"/>
  <c r="G101" i="12" s="1"/>
  <c r="G103" i="12" s="1"/>
  <c r="E25" i="12"/>
  <c r="C122" i="12"/>
  <c r="C123" i="12" s="1"/>
  <c r="C125" i="12" s="1"/>
  <c r="C114" i="12"/>
  <c r="C118" i="12" s="1"/>
  <c r="E142" i="12"/>
  <c r="E144" i="12" s="1"/>
  <c r="O133" i="12"/>
  <c r="O137" i="12" s="1"/>
  <c r="D100" i="12"/>
  <c r="D101" i="12" s="1"/>
  <c r="D103" i="12" s="1"/>
  <c r="D83" i="12"/>
  <c r="D85" i="12" s="1"/>
  <c r="D87" i="12" s="1"/>
  <c r="G142" i="12"/>
  <c r="G144" i="12" s="1"/>
  <c r="C65" i="12"/>
  <c r="C54" i="12"/>
  <c r="D122" i="12"/>
  <c r="D123" i="12" s="1"/>
  <c r="D125" i="12" s="1"/>
  <c r="D114" i="12"/>
  <c r="D118" i="12" s="1"/>
  <c r="F25" i="12"/>
  <c r="H54" i="12"/>
  <c r="H65" i="12"/>
  <c r="D142" i="12"/>
  <c r="D144" i="12" s="1"/>
  <c r="O25" i="12"/>
  <c r="J153" i="12"/>
  <c r="J158" i="12" s="1"/>
  <c r="J157" i="12"/>
  <c r="J159" i="12" s="1"/>
  <c r="H157" i="12"/>
  <c r="H159" i="12" s="1"/>
  <c r="H153" i="12"/>
  <c r="H158" i="12" s="1"/>
  <c r="G25" i="12"/>
  <c r="E27" i="10"/>
  <c r="E32" i="10" s="1"/>
  <c r="E34" i="10" s="1"/>
  <c r="B27" i="10"/>
  <c r="B32" i="10" s="1"/>
  <c r="B34" i="10" s="1"/>
  <c r="D27" i="10"/>
  <c r="D32" i="10" s="1"/>
  <c r="D34" i="10" s="1"/>
  <c r="C27" i="10"/>
  <c r="C32" i="10" s="1"/>
  <c r="C34" i="10" s="1"/>
  <c r="B19" i="8"/>
  <c r="C9" i="5"/>
  <c r="C27" i="16" l="1"/>
  <c r="C29" i="16" s="1"/>
  <c r="C117" i="15"/>
  <c r="C119" i="15" s="1"/>
  <c r="C120" i="15"/>
  <c r="C15" i="15"/>
  <c r="C17" i="15" s="1"/>
  <c r="C19" i="15" s="1"/>
  <c r="C56" i="15"/>
  <c r="C58" i="15" s="1"/>
  <c r="C136" i="15"/>
  <c r="C138" i="15" s="1"/>
  <c r="C15" i="14"/>
  <c r="C17" i="14" s="1"/>
  <c r="C19" i="14" s="1"/>
  <c r="C56" i="14"/>
  <c r="C58" i="14" s="1"/>
  <c r="C120" i="14"/>
  <c r="C117" i="14"/>
  <c r="C119" i="14" s="1"/>
  <c r="C136" i="13"/>
  <c r="C138" i="13" s="1"/>
  <c r="C26" i="13"/>
  <c r="C29" i="13" s="1"/>
  <c r="C15" i="13"/>
  <c r="C19" i="13" s="1"/>
  <c r="C120" i="13"/>
  <c r="C117" i="13"/>
  <c r="C119" i="13" s="1"/>
  <c r="C58" i="13"/>
  <c r="F33" i="12"/>
  <c r="F35" i="12" s="1"/>
  <c r="G33" i="12"/>
  <c r="G35" i="12" s="1"/>
  <c r="E33" i="12"/>
  <c r="E35" i="12" s="1"/>
  <c r="H33" i="12"/>
  <c r="H35" i="12" s="1"/>
  <c r="C33" i="12"/>
  <c r="C35" i="12" s="1"/>
  <c r="E160" i="12"/>
  <c r="E163" i="12"/>
  <c r="E165" i="12" s="1"/>
  <c r="P26" i="12"/>
  <c r="P27" i="12" s="1"/>
  <c r="P29" i="12" s="1"/>
  <c r="P15" i="12"/>
  <c r="P17" i="12" s="1"/>
  <c r="P19" i="12" s="1"/>
  <c r="E120" i="12"/>
  <c r="E117" i="12"/>
  <c r="E119" i="12" s="1"/>
  <c r="E139" i="12"/>
  <c r="E133" i="12"/>
  <c r="E137" i="12" s="1"/>
  <c r="H64" i="12"/>
  <c r="H72" i="12" s="1"/>
  <c r="H74" i="12" s="1"/>
  <c r="H56" i="12"/>
  <c r="H58" i="12" s="1"/>
  <c r="E26" i="12"/>
  <c r="E27" i="12" s="1"/>
  <c r="E29" i="12" s="1"/>
  <c r="E15" i="12"/>
  <c r="E17" i="12" s="1"/>
  <c r="E19" i="12" s="1"/>
  <c r="K26" i="12"/>
  <c r="K27" i="12" s="1"/>
  <c r="K29" i="12" s="1"/>
  <c r="K15" i="12"/>
  <c r="K17" i="12" s="1"/>
  <c r="K19" i="12" s="1"/>
  <c r="F160" i="12"/>
  <c r="F163" i="12"/>
  <c r="F165" i="12" s="1"/>
  <c r="F153" i="12"/>
  <c r="F158" i="12" s="1"/>
  <c r="G64" i="12"/>
  <c r="G56" i="12"/>
  <c r="G58" i="12" s="1"/>
  <c r="D56" i="12"/>
  <c r="D58" i="12" s="1"/>
  <c r="D64" i="12"/>
  <c r="D72" i="12" s="1"/>
  <c r="D74" i="12" s="1"/>
  <c r="C15" i="12"/>
  <c r="C17" i="12" s="1"/>
  <c r="C19" i="12" s="1"/>
  <c r="C26" i="12"/>
  <c r="C27" i="12" s="1"/>
  <c r="C29" i="12" s="1"/>
  <c r="D26" i="12"/>
  <c r="D27" i="12" s="1"/>
  <c r="D29" i="12" s="1"/>
  <c r="D15" i="12"/>
  <c r="D17" i="12" s="1"/>
  <c r="D19" i="12" s="1"/>
  <c r="H15" i="12"/>
  <c r="H17" i="12" s="1"/>
  <c r="H19" i="12" s="1"/>
  <c r="H26" i="12"/>
  <c r="H27" i="12" s="1"/>
  <c r="H29" i="12" s="1"/>
  <c r="E56" i="12"/>
  <c r="E58" i="12" s="1"/>
  <c r="E64" i="12"/>
  <c r="F139" i="12"/>
  <c r="F133" i="12"/>
  <c r="F137" i="12" s="1"/>
  <c r="F56" i="12"/>
  <c r="F58" i="12" s="1"/>
  <c r="F64" i="12"/>
  <c r="G133" i="12"/>
  <c r="G137" i="12" s="1"/>
  <c r="G139" i="12"/>
  <c r="F136" i="12"/>
  <c r="F138" i="12" s="1"/>
  <c r="C64" i="12"/>
  <c r="C72" i="12" s="1"/>
  <c r="C74" i="12" s="1"/>
  <c r="C56" i="12"/>
  <c r="C58" i="12" s="1"/>
  <c r="C136" i="12"/>
  <c r="C138" i="12" s="1"/>
  <c r="D120" i="12"/>
  <c r="D117" i="12"/>
  <c r="D119" i="12" s="1"/>
  <c r="N26" i="12"/>
  <c r="N27" i="12" s="1"/>
  <c r="N29" i="12" s="1"/>
  <c r="N15" i="12"/>
  <c r="N17" i="12" s="1"/>
  <c r="N19" i="12" s="1"/>
  <c r="M15" i="12"/>
  <c r="M17" i="12" s="1"/>
  <c r="M19" i="12" s="1"/>
  <c r="M26" i="12"/>
  <c r="M27" i="12" s="1"/>
  <c r="M29" i="12" s="1"/>
  <c r="E136" i="12"/>
  <c r="E138" i="12" s="1"/>
  <c r="F26" i="12"/>
  <c r="F27" i="12" s="1"/>
  <c r="F29" i="12" s="1"/>
  <c r="F15" i="12"/>
  <c r="F17" i="12" s="1"/>
  <c r="F19" i="12" s="1"/>
  <c r="D139" i="12"/>
  <c r="D133" i="12"/>
  <c r="D137" i="12" s="1"/>
  <c r="L26" i="12"/>
  <c r="L27" i="12" s="1"/>
  <c r="L29" i="12" s="1"/>
  <c r="L15" i="12"/>
  <c r="L17" i="12" s="1"/>
  <c r="L19" i="12" s="1"/>
  <c r="D136" i="12"/>
  <c r="D138" i="12" s="1"/>
  <c r="C120" i="12"/>
  <c r="C117" i="12"/>
  <c r="C119" i="12" s="1"/>
  <c r="G26" i="12"/>
  <c r="G27" i="12" s="1"/>
  <c r="G29" i="12" s="1"/>
  <c r="G15" i="12"/>
  <c r="G17" i="12" s="1"/>
  <c r="G19" i="12" s="1"/>
  <c r="O26" i="12"/>
  <c r="O27" i="12" s="1"/>
  <c r="O29" i="12" s="1"/>
  <c r="O15" i="12"/>
  <c r="O17" i="12" s="1"/>
  <c r="O19" i="12" s="1"/>
  <c r="B4" i="5"/>
  <c r="B9" i="5" s="1"/>
  <c r="D7" i="5"/>
  <c r="C10" i="5" s="1"/>
  <c r="D8" i="5"/>
  <c r="H66" i="12" l="1"/>
  <c r="H68" i="12" s="1"/>
  <c r="F66" i="12"/>
  <c r="F68" i="12" s="1"/>
  <c r="F72" i="12"/>
  <c r="F74" i="12" s="1"/>
  <c r="E66" i="12"/>
  <c r="E68" i="12" s="1"/>
  <c r="E72" i="12"/>
  <c r="E74" i="12" s="1"/>
  <c r="D66" i="12"/>
  <c r="D68" i="12" s="1"/>
  <c r="C66" i="12"/>
  <c r="C68" i="12" s="1"/>
  <c r="G66" i="12"/>
  <c r="G68" i="12" s="1"/>
  <c r="G72" i="12"/>
  <c r="G74" i="12" s="1"/>
  <c r="N125" i="2"/>
  <c r="N129" i="2" s="1"/>
  <c r="B101" i="3"/>
  <c r="C111" i="2"/>
  <c r="N126" i="2" l="1"/>
  <c r="B25" i="3" l="1"/>
  <c r="B6" i="3"/>
  <c r="B4" i="3"/>
  <c r="B5" i="3"/>
  <c r="B7" i="3"/>
  <c r="B8" i="3"/>
  <c r="J145" i="3" s="1"/>
  <c r="J150" i="3" s="1"/>
  <c r="I152" i="3"/>
  <c r="H152" i="3"/>
  <c r="G146" i="3"/>
  <c r="B140" i="3"/>
  <c r="B120" i="3"/>
  <c r="B93" i="3"/>
  <c r="B87" i="3"/>
  <c r="B67" i="3"/>
  <c r="B61" i="3"/>
  <c r="B31" i="3"/>
  <c r="C6" i="3"/>
  <c r="C3" i="3"/>
  <c r="D7" i="3" s="1"/>
  <c r="C10" i="3" s="1"/>
  <c r="C8" i="2"/>
  <c r="B10" i="3" l="1"/>
  <c r="H73" i="3"/>
  <c r="C64" i="3"/>
  <c r="C129" i="3"/>
  <c r="B9" i="3"/>
  <c r="H75" i="3" s="1"/>
  <c r="G2" i="3"/>
  <c r="J47" i="3"/>
  <c r="I47" i="3"/>
  <c r="H145" i="3"/>
  <c r="H150" i="3" s="1"/>
  <c r="I145" i="3"/>
  <c r="I150" i="3" s="1"/>
  <c r="C28" i="3"/>
  <c r="C146" i="3"/>
  <c r="C150" i="3" s="1"/>
  <c r="C152" i="3" s="1"/>
  <c r="D122" i="3"/>
  <c r="D126" i="3" s="1"/>
  <c r="D128" i="3" s="1"/>
  <c r="D142" i="3"/>
  <c r="F122" i="3"/>
  <c r="G122" i="3"/>
  <c r="F142" i="3"/>
  <c r="E142" i="3"/>
  <c r="H64" i="3"/>
  <c r="F64" i="3"/>
  <c r="G83" i="3"/>
  <c r="E64" i="3"/>
  <c r="N14" i="3"/>
  <c r="N15" i="3" s="1"/>
  <c r="E145" i="3"/>
  <c r="C145" i="3"/>
  <c r="D145" i="3"/>
  <c r="D125" i="3"/>
  <c r="D129" i="3" s="1"/>
  <c r="G125" i="3"/>
  <c r="F125" i="3"/>
  <c r="F145" i="3"/>
  <c r="E106" i="3"/>
  <c r="E110" i="3" s="1"/>
  <c r="C106" i="3"/>
  <c r="C110" i="3" s="1"/>
  <c r="E125" i="3"/>
  <c r="E129" i="3" s="1"/>
  <c r="D106" i="3"/>
  <c r="C125" i="3"/>
  <c r="C123" i="3" s="1"/>
  <c r="J152" i="3"/>
  <c r="J153" i="3" s="1"/>
  <c r="J155" i="3" s="1"/>
  <c r="G73" i="3"/>
  <c r="G90" i="3" s="1"/>
  <c r="H90" i="3"/>
  <c r="C73" i="3"/>
  <c r="C90" i="3" s="1"/>
  <c r="D73" i="3"/>
  <c r="D90" i="3" s="1"/>
  <c r="E73" i="3"/>
  <c r="E90" i="3" s="1"/>
  <c r="F73" i="3"/>
  <c r="F90" i="3" s="1"/>
  <c r="F28" i="3"/>
  <c r="D83" i="3"/>
  <c r="E83" i="3"/>
  <c r="G28" i="3"/>
  <c r="F83" i="3"/>
  <c r="E12" i="3"/>
  <c r="E21" i="3" s="1"/>
  <c r="N12" i="3"/>
  <c r="N21" i="3" s="1"/>
  <c r="J142" i="3"/>
  <c r="J143" i="3" s="1"/>
  <c r="J148" i="3" s="1"/>
  <c r="G12" i="3"/>
  <c r="G21" i="3" s="1"/>
  <c r="I49" i="3"/>
  <c r="I50" i="3" s="1"/>
  <c r="I52" i="3" s="1"/>
  <c r="I54" i="3" s="1"/>
  <c r="G49" i="3"/>
  <c r="G50" i="3" s="1"/>
  <c r="F49" i="3"/>
  <c r="F58" i="3" s="1"/>
  <c r="M12" i="3"/>
  <c r="M21" i="3" s="1"/>
  <c r="E49" i="3"/>
  <c r="G14" i="3"/>
  <c r="G15" i="3" s="1"/>
  <c r="M14" i="3"/>
  <c r="M15" i="3" s="1"/>
  <c r="B14" i="3"/>
  <c r="B15" i="3" s="1"/>
  <c r="O125" i="3"/>
  <c r="O126" i="3" s="1"/>
  <c r="O128" i="3" s="1"/>
  <c r="D64" i="3"/>
  <c r="K14" i="3"/>
  <c r="K22" i="3" s="1"/>
  <c r="D47" i="3"/>
  <c r="D57" i="3" s="1"/>
  <c r="H47" i="3"/>
  <c r="H57" i="3" s="1"/>
  <c r="E47" i="3"/>
  <c r="E57" i="3" s="1"/>
  <c r="F47" i="3"/>
  <c r="F57" i="3" s="1"/>
  <c r="C47" i="3"/>
  <c r="C57" i="3" s="1"/>
  <c r="C65" i="3" s="1"/>
  <c r="C67" i="3" s="1"/>
  <c r="G47" i="3"/>
  <c r="G57" i="3" s="1"/>
  <c r="C14" i="3"/>
  <c r="C22" i="3" s="1"/>
  <c r="L14" i="3"/>
  <c r="L22" i="3" s="1"/>
  <c r="P14" i="3"/>
  <c r="P22" i="3" s="1"/>
  <c r="K47" i="3"/>
  <c r="H49" i="3"/>
  <c r="H50" i="3" s="1"/>
  <c r="G64" i="3"/>
  <c r="C83" i="3"/>
  <c r="H83" i="3"/>
  <c r="P125" i="3"/>
  <c r="P126" i="3" s="1"/>
  <c r="P128" i="3" s="1"/>
  <c r="F12" i="3"/>
  <c r="F21" i="3" s="1"/>
  <c r="F14" i="3"/>
  <c r="F15" i="3" s="1"/>
  <c r="F17" i="3" s="1"/>
  <c r="F19" i="3" s="1"/>
  <c r="E28" i="3"/>
  <c r="D14" i="3"/>
  <c r="D22" i="3" s="1"/>
  <c r="H12" i="3"/>
  <c r="H21" i="3" s="1"/>
  <c r="H14" i="3"/>
  <c r="H15" i="3" s="1"/>
  <c r="H17" i="3" s="1"/>
  <c r="H19" i="3" s="1"/>
  <c r="O14" i="3"/>
  <c r="O15" i="3" s="1"/>
  <c r="H84" i="3"/>
  <c r="E14" i="3"/>
  <c r="E22" i="3" s="1"/>
  <c r="H28" i="3"/>
  <c r="D28" i="3"/>
  <c r="D8" i="3"/>
  <c r="D4" i="3"/>
  <c r="C9" i="3" s="1"/>
  <c r="M22" i="3"/>
  <c r="D5" i="3"/>
  <c r="C103" i="3"/>
  <c r="C104" i="3" s="1"/>
  <c r="C108" i="3" s="1"/>
  <c r="C142" i="3"/>
  <c r="C12" i="3"/>
  <c r="P122" i="3"/>
  <c r="H153" i="3"/>
  <c r="H155" i="3" s="1"/>
  <c r="B12" i="3"/>
  <c r="O122" i="3"/>
  <c r="C75" i="3"/>
  <c r="I153" i="3"/>
  <c r="I155" i="3" s="1"/>
  <c r="C6" i="2"/>
  <c r="C5" i="2"/>
  <c r="C4" i="2"/>
  <c r="C3" i="2"/>
  <c r="D5" i="2" s="1"/>
  <c r="I152" i="2"/>
  <c r="F146" i="2"/>
  <c r="G146" i="2"/>
  <c r="I145" i="2"/>
  <c r="I150" i="2" s="1"/>
  <c r="E145" i="2"/>
  <c r="D145" i="2"/>
  <c r="D146" i="2" s="1"/>
  <c r="D150" i="2" s="1"/>
  <c r="D152" i="2" s="1"/>
  <c r="J152" i="2"/>
  <c r="D12" i="3" l="1"/>
  <c r="D21" i="3" s="1"/>
  <c r="C122" i="3"/>
  <c r="I142" i="3"/>
  <c r="I143" i="3" s="1"/>
  <c r="I148" i="3" s="1"/>
  <c r="C143" i="3"/>
  <c r="P12" i="3"/>
  <c r="P21" i="3" s="1"/>
  <c r="P23" i="3" s="1"/>
  <c r="P25" i="3" s="1"/>
  <c r="E75" i="3"/>
  <c r="F75" i="3"/>
  <c r="F84" i="3" s="1"/>
  <c r="D49" i="3"/>
  <c r="D50" i="3" s="1"/>
  <c r="D52" i="3" s="1"/>
  <c r="D54" i="3" s="1"/>
  <c r="K49" i="3"/>
  <c r="K50" i="3" s="1"/>
  <c r="K52" i="3" s="1"/>
  <c r="K54" i="3" s="1"/>
  <c r="H142" i="3"/>
  <c r="H143" i="3" s="1"/>
  <c r="H148" i="3" s="1"/>
  <c r="O12" i="3"/>
  <c r="O21" i="3" s="1"/>
  <c r="L12" i="3"/>
  <c r="L21" i="3" s="1"/>
  <c r="L23" i="3" s="1"/>
  <c r="L25" i="3" s="1"/>
  <c r="E103" i="3"/>
  <c r="E112" i="3" s="1"/>
  <c r="E113" i="3" s="1"/>
  <c r="E115" i="3" s="1"/>
  <c r="H76" i="3"/>
  <c r="H78" i="3" s="1"/>
  <c r="H80" i="3" s="1"/>
  <c r="J49" i="3"/>
  <c r="J50" i="3" s="1"/>
  <c r="J52" i="3" s="1"/>
  <c r="J54" i="3" s="1"/>
  <c r="D75" i="3"/>
  <c r="D84" i="3" s="1"/>
  <c r="D85" i="3" s="1"/>
  <c r="D87" i="3" s="1"/>
  <c r="K12" i="3"/>
  <c r="K21" i="3" s="1"/>
  <c r="K23" i="3" s="1"/>
  <c r="K25" i="3" s="1"/>
  <c r="C49" i="3"/>
  <c r="C58" i="3" s="1"/>
  <c r="C59" i="3" s="1"/>
  <c r="C61" i="3" s="1"/>
  <c r="E122" i="3"/>
  <c r="E131" i="3" s="1"/>
  <c r="E132" i="3" s="1"/>
  <c r="E134" i="3" s="1"/>
  <c r="G75" i="3"/>
  <c r="G84" i="3" s="1"/>
  <c r="D103" i="3"/>
  <c r="D65" i="3"/>
  <c r="D67" i="3" s="1"/>
  <c r="E29" i="3"/>
  <c r="E31" i="3" s="1"/>
  <c r="J147" i="3"/>
  <c r="J149" i="3" s="1"/>
  <c r="F29" i="3"/>
  <c r="F31" i="3" s="1"/>
  <c r="N17" i="3"/>
  <c r="N19" i="3" s="1"/>
  <c r="C126" i="3"/>
  <c r="C128" i="3" s="1"/>
  <c r="F91" i="3"/>
  <c r="F93" i="3" s="1"/>
  <c r="C107" i="3"/>
  <c r="C109" i="3" s="1"/>
  <c r="C76" i="3"/>
  <c r="C78" i="3" s="1"/>
  <c r="C80" i="3" s="1"/>
  <c r="E91" i="3"/>
  <c r="E93" i="3" s="1"/>
  <c r="P15" i="3"/>
  <c r="P17" i="3" s="1"/>
  <c r="P19" i="3" s="1"/>
  <c r="F65" i="3"/>
  <c r="F67" i="3" s="1"/>
  <c r="D23" i="3"/>
  <c r="D25" i="3" s="1"/>
  <c r="M23" i="3"/>
  <c r="M25" i="3" s="1"/>
  <c r="D91" i="3"/>
  <c r="D93" i="3" s="1"/>
  <c r="O17" i="3"/>
  <c r="O19" i="3" s="1"/>
  <c r="G91" i="3"/>
  <c r="G93" i="3" s="1"/>
  <c r="M17" i="3"/>
  <c r="M19" i="3" s="1"/>
  <c r="H65" i="3"/>
  <c r="H67" i="3" s="1"/>
  <c r="E65" i="3"/>
  <c r="E67" i="3" s="1"/>
  <c r="D112" i="3"/>
  <c r="D113" i="3" s="1"/>
  <c r="D115" i="3" s="1"/>
  <c r="D104" i="3"/>
  <c r="D108" i="3" s="1"/>
  <c r="D146" i="3"/>
  <c r="D143" i="3" s="1"/>
  <c r="D148" i="3" s="1"/>
  <c r="D147" i="3"/>
  <c r="D149" i="3" s="1"/>
  <c r="E146" i="3"/>
  <c r="E143" i="3" s="1"/>
  <c r="E148" i="3" s="1"/>
  <c r="E147" i="3"/>
  <c r="E149" i="3" s="1"/>
  <c r="D107" i="3"/>
  <c r="D109" i="3" s="1"/>
  <c r="D110" i="3"/>
  <c r="D15" i="3"/>
  <c r="D17" i="3" s="1"/>
  <c r="D19" i="3" s="1"/>
  <c r="F126" i="3"/>
  <c r="F128" i="3" s="1"/>
  <c r="F131" i="3"/>
  <c r="F132" i="3" s="1"/>
  <c r="F134" i="3" s="1"/>
  <c r="E107" i="3"/>
  <c r="E109" i="3" s="1"/>
  <c r="G52" i="3"/>
  <c r="G54" i="3" s="1"/>
  <c r="C15" i="3"/>
  <c r="G131" i="3"/>
  <c r="G132" i="3" s="1"/>
  <c r="G134" i="3" s="1"/>
  <c r="G126" i="3"/>
  <c r="G128" i="3" s="1"/>
  <c r="F129" i="3"/>
  <c r="F123" i="3"/>
  <c r="F127" i="3" s="1"/>
  <c r="G76" i="3"/>
  <c r="G78" i="3" s="1"/>
  <c r="G80" i="3" s="1"/>
  <c r="N22" i="3"/>
  <c r="G29" i="3"/>
  <c r="G31" i="3" s="1"/>
  <c r="G129" i="3"/>
  <c r="G123" i="3"/>
  <c r="G127" i="3" s="1"/>
  <c r="G85" i="3"/>
  <c r="G87" i="3" s="1"/>
  <c r="F147" i="3"/>
  <c r="F149" i="3" s="1"/>
  <c r="F146" i="3"/>
  <c r="F143" i="3" s="1"/>
  <c r="F148" i="3" s="1"/>
  <c r="O22" i="3"/>
  <c r="O23" i="3" s="1"/>
  <c r="O25" i="3" s="1"/>
  <c r="E23" i="3"/>
  <c r="E25" i="3" s="1"/>
  <c r="D123" i="3"/>
  <c r="D127" i="3" s="1"/>
  <c r="H29" i="3"/>
  <c r="H31" i="3" s="1"/>
  <c r="E123" i="3"/>
  <c r="E127" i="3" s="1"/>
  <c r="E126" i="3"/>
  <c r="E128" i="3" s="1"/>
  <c r="F85" i="3"/>
  <c r="F87" i="3" s="1"/>
  <c r="C127" i="3"/>
  <c r="G58" i="3"/>
  <c r="G59" i="3" s="1"/>
  <c r="G61" i="3" s="1"/>
  <c r="C91" i="3"/>
  <c r="C93" i="3" s="1"/>
  <c r="F59" i="3"/>
  <c r="F61" i="3" s="1"/>
  <c r="H52" i="3"/>
  <c r="H54" i="3" s="1"/>
  <c r="K15" i="3"/>
  <c r="G17" i="3"/>
  <c r="G19" i="3" s="1"/>
  <c r="D29" i="3"/>
  <c r="D31" i="3" s="1"/>
  <c r="E50" i="3"/>
  <c r="E52" i="3" s="1"/>
  <c r="E54" i="3" s="1"/>
  <c r="E58" i="3"/>
  <c r="E59" i="3" s="1"/>
  <c r="E61" i="3" s="1"/>
  <c r="I147" i="3"/>
  <c r="I149" i="3" s="1"/>
  <c r="D4" i="2"/>
  <c r="C9" i="2" s="1"/>
  <c r="D7" i="2"/>
  <c r="C10" i="2" s="1"/>
  <c r="D132" i="3"/>
  <c r="D134" i="3" s="1"/>
  <c r="H58" i="3"/>
  <c r="H59" i="3" s="1"/>
  <c r="H61" i="3" s="1"/>
  <c r="H22" i="3"/>
  <c r="H23" i="3" s="1"/>
  <c r="H25" i="3" s="1"/>
  <c r="D76" i="3"/>
  <c r="D78" i="3" s="1"/>
  <c r="D80" i="3" s="1"/>
  <c r="E15" i="3"/>
  <c r="E17" i="3" s="1"/>
  <c r="E19" i="3" s="1"/>
  <c r="F50" i="3"/>
  <c r="F52" i="3" s="1"/>
  <c r="F54" i="3" s="1"/>
  <c r="C134" i="3"/>
  <c r="G22" i="3"/>
  <c r="G23" i="3" s="1"/>
  <c r="G25" i="3" s="1"/>
  <c r="D8" i="2"/>
  <c r="L15" i="3"/>
  <c r="N23" i="3"/>
  <c r="N25" i="3" s="1"/>
  <c r="C84" i="3"/>
  <c r="C85" i="3" s="1"/>
  <c r="C87" i="3" s="1"/>
  <c r="F22" i="3"/>
  <c r="F23" i="3" s="1"/>
  <c r="F25" i="3" s="1"/>
  <c r="G65" i="3"/>
  <c r="G67" i="3" s="1"/>
  <c r="H85" i="3"/>
  <c r="H87" i="3" s="1"/>
  <c r="H91" i="3"/>
  <c r="H93" i="3" s="1"/>
  <c r="C21" i="3"/>
  <c r="C29" i="3" s="1"/>
  <c r="P129" i="3"/>
  <c r="P131" i="3"/>
  <c r="P132" i="3" s="1"/>
  <c r="P134" i="3" s="1"/>
  <c r="P123" i="3"/>
  <c r="P127" i="3" s="1"/>
  <c r="O129" i="3"/>
  <c r="O131" i="3"/>
  <c r="O132" i="3" s="1"/>
  <c r="O134" i="3" s="1"/>
  <c r="O123" i="3"/>
  <c r="O127" i="3" s="1"/>
  <c r="C147" i="3"/>
  <c r="C149" i="3" s="1"/>
  <c r="C148" i="3"/>
  <c r="C153" i="3"/>
  <c r="C155" i="3" s="1"/>
  <c r="E84" i="3"/>
  <c r="E85" i="3" s="1"/>
  <c r="E87" i="3" s="1"/>
  <c r="E76" i="3"/>
  <c r="E78" i="3" s="1"/>
  <c r="E80" i="3" s="1"/>
  <c r="C112" i="3"/>
  <c r="C113" i="3" s="1"/>
  <c r="C115" i="3" s="1"/>
  <c r="E146" i="2"/>
  <c r="E150" i="2"/>
  <c r="E152" i="2" s="1"/>
  <c r="C50" i="3" l="1"/>
  <c r="C52" i="3" s="1"/>
  <c r="C54" i="3" s="1"/>
  <c r="H147" i="3"/>
  <c r="H149" i="3" s="1"/>
  <c r="E104" i="3"/>
  <c r="E108" i="3" s="1"/>
  <c r="K17" i="3"/>
  <c r="K19" i="3" s="1"/>
  <c r="D58" i="3"/>
  <c r="D59" i="3" s="1"/>
  <c r="D61" i="3" s="1"/>
  <c r="C17" i="3"/>
  <c r="C19" i="3" s="1"/>
  <c r="F76" i="3"/>
  <c r="F78" i="3" s="1"/>
  <c r="F80" i="3" s="1"/>
  <c r="L17" i="3"/>
  <c r="L19" i="3" s="1"/>
  <c r="F152" i="3"/>
  <c r="F153" i="3" s="1"/>
  <c r="F155" i="3" s="1"/>
  <c r="F150" i="3"/>
  <c r="E152" i="3"/>
  <c r="E153" i="3" s="1"/>
  <c r="E155" i="3" s="1"/>
  <c r="E150" i="3"/>
  <c r="D152" i="3"/>
  <c r="D153" i="3" s="1"/>
  <c r="D155" i="3" s="1"/>
  <c r="D150" i="3"/>
  <c r="C31" i="3"/>
  <c r="C23" i="3"/>
  <c r="C25" i="3" s="1"/>
  <c r="J145" i="2"/>
  <c r="C145" i="2"/>
  <c r="B140" i="2"/>
  <c r="J150" i="2" l="1"/>
  <c r="O125" i="2"/>
  <c r="O126" i="2" s="1"/>
  <c r="P125" i="2"/>
  <c r="P126" i="2" s="1"/>
  <c r="H125" i="2"/>
  <c r="H126" i="2" s="1"/>
  <c r="M125" i="2" l="1"/>
  <c r="M129" i="2" s="1"/>
  <c r="L125" i="2"/>
  <c r="L129" i="2" s="1"/>
  <c r="K125" i="2"/>
  <c r="K129" i="2" s="1"/>
  <c r="J125" i="2"/>
  <c r="J129" i="2" s="1"/>
  <c r="I125" i="2"/>
  <c r="I129" i="2" s="1"/>
  <c r="G125" i="2" l="1"/>
  <c r="F125" i="2"/>
  <c r="F126" i="2" s="1"/>
  <c r="E125" i="2"/>
  <c r="E126" i="2" s="1"/>
  <c r="D125" i="2"/>
  <c r="D129" i="2" s="1"/>
  <c r="C125" i="2"/>
  <c r="B120" i="2"/>
  <c r="G106" i="2"/>
  <c r="G110" i="2" s="1"/>
  <c r="F106" i="2"/>
  <c r="F110" i="2" s="1"/>
  <c r="E106" i="2"/>
  <c r="E107" i="2" s="1"/>
  <c r="D106" i="2"/>
  <c r="D110" i="2" s="1"/>
  <c r="C106" i="2"/>
  <c r="C107" i="2" s="1"/>
  <c r="B101" i="2"/>
  <c r="N128" i="2" l="1"/>
  <c r="H153" i="2"/>
  <c r="H155" i="2" s="1"/>
  <c r="I153" i="2"/>
  <c r="I155" i="2" s="1"/>
  <c r="D153" i="2"/>
  <c r="D155" i="2" s="1"/>
  <c r="P128" i="2"/>
  <c r="H128" i="2"/>
  <c r="O128" i="2"/>
  <c r="C109" i="2"/>
  <c r="D126" i="2"/>
  <c r="D128" i="2" s="1"/>
  <c r="D107" i="2"/>
  <c r="D109" i="2" s="1"/>
  <c r="E128" i="2"/>
  <c r="F128" i="2"/>
  <c r="E109" i="2"/>
  <c r="G126" i="2"/>
  <c r="G128" i="2" s="1"/>
  <c r="E129" i="2"/>
  <c r="G129" i="2"/>
  <c r="C126" i="2"/>
  <c r="C128" i="2" s="1"/>
  <c r="F129" i="2"/>
  <c r="E110" i="2"/>
  <c r="F107" i="2"/>
  <c r="F109" i="2" s="1"/>
  <c r="C110" i="2"/>
  <c r="G107" i="2"/>
  <c r="G109" i="2" s="1"/>
  <c r="D89" i="2" l="1"/>
  <c r="E83" i="2"/>
  <c r="F83" i="2"/>
  <c r="G83" i="2"/>
  <c r="H83" i="2"/>
  <c r="D82" i="2"/>
  <c r="D77" i="2"/>
  <c r="D83" i="2" s="1"/>
  <c r="B93" i="2"/>
  <c r="C89" i="2"/>
  <c r="C82" i="2"/>
  <c r="C77" i="2"/>
  <c r="C83" i="2" s="1"/>
  <c r="B87" i="2"/>
  <c r="H73" i="2"/>
  <c r="H90" i="2" s="1"/>
  <c r="G73" i="2"/>
  <c r="G90" i="2" s="1"/>
  <c r="F73" i="2"/>
  <c r="F90" i="2" s="1"/>
  <c r="E73" i="2"/>
  <c r="E90" i="2" s="1"/>
  <c r="D73" i="2"/>
  <c r="D90" i="2" s="1"/>
  <c r="C73" i="2"/>
  <c r="H63" i="2"/>
  <c r="H64" i="2" s="1"/>
  <c r="F64" i="2"/>
  <c r="E64" i="2"/>
  <c r="D64" i="2"/>
  <c r="B67" i="2"/>
  <c r="G64" i="2"/>
  <c r="C64" i="2"/>
  <c r="B31" i="2"/>
  <c r="C28" i="2"/>
  <c r="B61" i="2"/>
  <c r="H56" i="2"/>
  <c r="K47" i="2"/>
  <c r="J47" i="2"/>
  <c r="I47" i="2"/>
  <c r="G91" i="2" l="1"/>
  <c r="H91" i="2"/>
  <c r="H93" i="2" s="1"/>
  <c r="C90" i="2"/>
  <c r="C91" i="2" s="1"/>
  <c r="C93" i="2" s="1"/>
  <c r="F91" i="2"/>
  <c r="F93" i="2" s="1"/>
  <c r="G93" i="2"/>
  <c r="E91" i="2"/>
  <c r="E93" i="2" s="1"/>
  <c r="D91" i="2"/>
  <c r="D93" i="2" s="1"/>
  <c r="H47" i="2"/>
  <c r="H57" i="2" s="1"/>
  <c r="H65" i="2" s="1"/>
  <c r="H67" i="2" s="1"/>
  <c r="G47" i="2"/>
  <c r="G57" i="2" s="1"/>
  <c r="G65" i="2" s="1"/>
  <c r="G67" i="2" s="1"/>
  <c r="F47" i="2"/>
  <c r="F57" i="2" s="1"/>
  <c r="F65" i="2" s="1"/>
  <c r="F67" i="2" s="1"/>
  <c r="E47" i="2"/>
  <c r="E57" i="2" s="1"/>
  <c r="E65" i="2" s="1"/>
  <c r="E67" i="2" s="1"/>
  <c r="D47" i="2"/>
  <c r="D57" i="2" s="1"/>
  <c r="D65" i="2" s="1"/>
  <c r="D67" i="2" s="1"/>
  <c r="C47" i="2"/>
  <c r="D35" i="2"/>
  <c r="E35" i="2"/>
  <c r="F35" i="2"/>
  <c r="G35" i="2"/>
  <c r="H35" i="2"/>
  <c r="C35" i="2"/>
  <c r="B41" i="2"/>
  <c r="O28" i="1"/>
  <c r="H47" i="1"/>
  <c r="H45" i="1"/>
  <c r="H78" i="1"/>
  <c r="H21" i="1"/>
  <c r="H74" i="1"/>
  <c r="C57" i="2" l="1"/>
  <c r="C65" i="2" s="1"/>
  <c r="C67" i="2" s="1"/>
  <c r="B9" i="2"/>
  <c r="B61" i="1"/>
  <c r="B63" i="1" s="1"/>
  <c r="B47" i="1"/>
  <c r="B49" i="1" s="1"/>
  <c r="B45" i="1"/>
  <c r="B92" i="1"/>
  <c r="B94" i="1" s="1"/>
  <c r="B78" i="1"/>
  <c r="B80" i="1" s="1"/>
  <c r="B74" i="1"/>
  <c r="B76" i="1" s="1"/>
  <c r="I47" i="1"/>
  <c r="H49" i="1" s="1"/>
  <c r="O29" i="1"/>
  <c r="O35" i="1"/>
  <c r="O37" i="1" s="1"/>
  <c r="O40" i="1" s="1"/>
  <c r="N45" i="1" s="1"/>
  <c r="H92" i="1"/>
  <c r="H94" i="1" s="1"/>
  <c r="H80" i="1"/>
  <c r="H76" i="1"/>
  <c r="H61" i="1"/>
  <c r="H63" i="1" s="1"/>
  <c r="H39" i="1"/>
  <c r="I26" i="1"/>
  <c r="B21" i="1"/>
  <c r="C14" i="1"/>
  <c r="C15" i="1"/>
  <c r="C26" i="1"/>
  <c r="C16" i="1"/>
  <c r="C18" i="1"/>
  <c r="B17" i="1"/>
  <c r="C17" i="1" s="1"/>
  <c r="F12" i="2" l="1"/>
  <c r="F21" i="2" s="1"/>
  <c r="F29" i="2" s="1"/>
  <c r="F31" i="2" s="1"/>
  <c r="E12" i="2"/>
  <c r="E21" i="2" s="1"/>
  <c r="E29" i="2" s="1"/>
  <c r="E31" i="2" s="1"/>
  <c r="D12" i="2"/>
  <c r="D21" i="2" s="1"/>
  <c r="D29" i="2" s="1"/>
  <c r="D31" i="2" s="1"/>
  <c r="G12" i="2"/>
  <c r="G21" i="2" s="1"/>
  <c r="G29" i="2" s="1"/>
  <c r="G31" i="2" s="1"/>
  <c r="H12" i="2"/>
  <c r="H21" i="2" s="1"/>
  <c r="H29" i="2" s="1"/>
  <c r="H31" i="2" s="1"/>
  <c r="N122" i="2"/>
  <c r="N131" i="2" s="1"/>
  <c r="N132" i="2" s="1"/>
  <c r="N134" i="2" s="1"/>
  <c r="H142" i="2"/>
  <c r="N123" i="2"/>
  <c r="N127" i="2" s="1"/>
  <c r="I142" i="2"/>
  <c r="E142" i="2"/>
  <c r="D142" i="2"/>
  <c r="J142" i="2"/>
  <c r="C142" i="2"/>
  <c r="P122" i="2"/>
  <c r="H122" i="2"/>
  <c r="O122" i="2"/>
  <c r="I122" i="2"/>
  <c r="J122" i="2"/>
  <c r="M122" i="2"/>
  <c r="L122" i="2"/>
  <c r="K122" i="2"/>
  <c r="K131" i="2" s="1"/>
  <c r="D122" i="2"/>
  <c r="D103" i="2"/>
  <c r="G122" i="2"/>
  <c r="C122" i="2"/>
  <c r="G103" i="2"/>
  <c r="C103" i="2"/>
  <c r="E122" i="2"/>
  <c r="E103" i="2"/>
  <c r="F122" i="2"/>
  <c r="F103" i="2"/>
  <c r="F75" i="2"/>
  <c r="G75" i="2"/>
  <c r="D75" i="2"/>
  <c r="H75" i="2"/>
  <c r="E75" i="2"/>
  <c r="C75" i="2"/>
  <c r="K49" i="2"/>
  <c r="K50" i="2" s="1"/>
  <c r="K52" i="2" s="1"/>
  <c r="K54" i="2" s="1"/>
  <c r="J49" i="2"/>
  <c r="J50" i="2" s="1"/>
  <c r="J52" i="2" s="1"/>
  <c r="J54" i="2" s="1"/>
  <c r="I49" i="2"/>
  <c r="I50" i="2" s="1"/>
  <c r="I52" i="2" s="1"/>
  <c r="I54" i="2" s="1"/>
  <c r="C37" i="2"/>
  <c r="C38" i="2" s="1"/>
  <c r="C40" i="2" s="1"/>
  <c r="C42" i="2" s="1"/>
  <c r="D37" i="2"/>
  <c r="D38" i="2" s="1"/>
  <c r="D40" i="2" s="1"/>
  <c r="D42" i="2" s="1"/>
  <c r="F49" i="2"/>
  <c r="E37" i="2"/>
  <c r="E38" i="2" s="1"/>
  <c r="E40" i="2" s="1"/>
  <c r="E42" i="2" s="1"/>
  <c r="D49" i="2"/>
  <c r="G37" i="2"/>
  <c r="G38" i="2" s="1"/>
  <c r="G40" i="2" s="1"/>
  <c r="G42" i="2" s="1"/>
  <c r="H49" i="2"/>
  <c r="E49" i="2"/>
  <c r="H37" i="2"/>
  <c r="H38" i="2" s="1"/>
  <c r="H40" i="2" s="1"/>
  <c r="H42" i="2" s="1"/>
  <c r="G49" i="2"/>
  <c r="F37" i="2"/>
  <c r="F38" i="2" s="1"/>
  <c r="F40" i="2" s="1"/>
  <c r="F42" i="2" s="1"/>
  <c r="C49" i="2"/>
  <c r="L12" i="2"/>
  <c r="M12" i="2"/>
  <c r="P12" i="2"/>
  <c r="N12" i="2"/>
  <c r="K12" i="2"/>
  <c r="O12" i="2"/>
  <c r="C12" i="2"/>
  <c r="B12" i="2"/>
  <c r="B10" i="2"/>
  <c r="C74" i="1"/>
  <c r="C21" i="1"/>
  <c r="I21" i="1"/>
  <c r="B52" i="1"/>
  <c r="B56" i="1" s="1"/>
  <c r="H33" i="1"/>
  <c r="H36" i="1" s="1"/>
  <c r="H42" i="1" s="1"/>
  <c r="H52" i="1"/>
  <c r="B66" i="1"/>
  <c r="B70" i="1" s="1"/>
  <c r="H83" i="1"/>
  <c r="H87" i="1" s="1"/>
  <c r="H97" i="1"/>
  <c r="H101" i="1" s="1"/>
  <c r="H56" i="1"/>
  <c r="H66" i="1"/>
  <c r="H70" i="1" s="1"/>
  <c r="B97" i="1"/>
  <c r="B101" i="1" s="1"/>
  <c r="B83" i="1"/>
  <c r="B87" i="1" s="1"/>
  <c r="D14" i="2" l="1"/>
  <c r="H14" i="2"/>
  <c r="G14" i="2"/>
  <c r="F14" i="2"/>
  <c r="E14" i="2"/>
  <c r="H147" i="2"/>
  <c r="H149" i="2" s="1"/>
  <c r="H143" i="2"/>
  <c r="H148" i="2" s="1"/>
  <c r="C147" i="2"/>
  <c r="C143" i="2"/>
  <c r="C148" i="2" s="1"/>
  <c r="D147" i="2"/>
  <c r="D149" i="2" s="1"/>
  <c r="D143" i="2"/>
  <c r="D148" i="2" s="1"/>
  <c r="E153" i="2"/>
  <c r="E155" i="2" s="1"/>
  <c r="E147" i="2"/>
  <c r="E149" i="2" s="1"/>
  <c r="E143" i="2"/>
  <c r="E148" i="2" s="1"/>
  <c r="I143" i="2"/>
  <c r="I148" i="2" s="1"/>
  <c r="I147" i="2"/>
  <c r="I149" i="2" s="1"/>
  <c r="B36" i="1"/>
  <c r="B42" i="1" s="1"/>
  <c r="P129" i="2"/>
  <c r="P131" i="2"/>
  <c r="P132" i="2" s="1"/>
  <c r="P134" i="2" s="1"/>
  <c r="P123" i="2"/>
  <c r="P127" i="2" s="1"/>
  <c r="J153" i="2"/>
  <c r="J155" i="2" s="1"/>
  <c r="J143" i="2"/>
  <c r="J148" i="2" s="1"/>
  <c r="J147" i="2"/>
  <c r="J149" i="2" s="1"/>
  <c r="O123" i="2"/>
  <c r="O127" i="2" s="1"/>
  <c r="O131" i="2"/>
  <c r="O132" i="2" s="1"/>
  <c r="O134" i="2" s="1"/>
  <c r="O129" i="2"/>
  <c r="H129" i="2"/>
  <c r="H131" i="2"/>
  <c r="H132" i="2" s="1"/>
  <c r="H134" i="2" s="1"/>
  <c r="H123" i="2"/>
  <c r="H127" i="2" s="1"/>
  <c r="C149" i="2"/>
  <c r="C153" i="2"/>
  <c r="C155" i="2" s="1"/>
  <c r="E76" i="2"/>
  <c r="E84" i="2"/>
  <c r="E85" i="2" s="1"/>
  <c r="E87" i="2" s="1"/>
  <c r="F76" i="2"/>
  <c r="F84" i="2"/>
  <c r="F85" i="2" s="1"/>
  <c r="F87" i="2" s="1"/>
  <c r="E131" i="2"/>
  <c r="E132" i="2" s="1"/>
  <c r="E134" i="2" s="1"/>
  <c r="E123" i="2"/>
  <c r="E127" i="2" s="1"/>
  <c r="L131" i="2"/>
  <c r="L132" i="2" s="1"/>
  <c r="L134" i="2" s="1"/>
  <c r="L126" i="2"/>
  <c r="L128" i="2" s="1"/>
  <c r="L123" i="2"/>
  <c r="L127" i="2" s="1"/>
  <c r="F112" i="2"/>
  <c r="F113" i="2" s="1"/>
  <c r="F115" i="2" s="1"/>
  <c r="F104" i="2"/>
  <c r="F108" i="2" s="1"/>
  <c r="M123" i="2"/>
  <c r="M127" i="2" s="1"/>
  <c r="M126" i="2"/>
  <c r="M128" i="2" s="1"/>
  <c r="M131" i="2"/>
  <c r="M132" i="2" s="1"/>
  <c r="M134" i="2" s="1"/>
  <c r="D76" i="2"/>
  <c r="D84" i="2"/>
  <c r="D85" i="2" s="1"/>
  <c r="D87" i="2" s="1"/>
  <c r="F123" i="2"/>
  <c r="F127" i="2" s="1"/>
  <c r="F131" i="2"/>
  <c r="F132" i="2" s="1"/>
  <c r="F134" i="2" s="1"/>
  <c r="G104" i="2"/>
  <c r="G108" i="2" s="1"/>
  <c r="G112" i="2"/>
  <c r="G113" i="2" s="1"/>
  <c r="G115" i="2" s="1"/>
  <c r="D131" i="2"/>
  <c r="D132" i="2" s="1"/>
  <c r="D134" i="2" s="1"/>
  <c r="D123" i="2"/>
  <c r="D127" i="2" s="1"/>
  <c r="J131" i="2"/>
  <c r="J132" i="2" s="1"/>
  <c r="J134" i="2" s="1"/>
  <c r="J126" i="2"/>
  <c r="J128" i="2" s="1"/>
  <c r="J123" i="2"/>
  <c r="J127" i="2" s="1"/>
  <c r="G131" i="2"/>
  <c r="G132" i="2" s="1"/>
  <c r="G134" i="2" s="1"/>
  <c r="G123" i="2"/>
  <c r="G127" i="2" s="1"/>
  <c r="H76" i="2"/>
  <c r="H84" i="2"/>
  <c r="H85" i="2" s="1"/>
  <c r="H87" i="2" s="1"/>
  <c r="C112" i="2"/>
  <c r="C113" i="2" s="1"/>
  <c r="C115" i="2" s="1"/>
  <c r="C104" i="2"/>
  <c r="C108" i="2" s="1"/>
  <c r="D104" i="2"/>
  <c r="D108" i="2" s="1"/>
  <c r="D112" i="2"/>
  <c r="D113" i="2" s="1"/>
  <c r="D115" i="2" s="1"/>
  <c r="C76" i="2"/>
  <c r="C78" i="2" s="1"/>
  <c r="C80" i="2" s="1"/>
  <c r="C84" i="2"/>
  <c r="C85" i="2" s="1"/>
  <c r="C87" i="2" s="1"/>
  <c r="G76" i="2"/>
  <c r="G84" i="2"/>
  <c r="G85" i="2" s="1"/>
  <c r="G87" i="2" s="1"/>
  <c r="E112" i="2"/>
  <c r="E113" i="2" s="1"/>
  <c r="E115" i="2" s="1"/>
  <c r="E104" i="2"/>
  <c r="E108" i="2" s="1"/>
  <c r="C131" i="2"/>
  <c r="C132" i="2" s="1"/>
  <c r="C134" i="2" s="1"/>
  <c r="C129" i="2"/>
  <c r="C123" i="2"/>
  <c r="C127" i="2" s="1"/>
  <c r="K132" i="2"/>
  <c r="K134" i="2" s="1"/>
  <c r="K126" i="2"/>
  <c r="K128" i="2" s="1"/>
  <c r="K123" i="2"/>
  <c r="K127" i="2" s="1"/>
  <c r="I131" i="2"/>
  <c r="I132" i="2" s="1"/>
  <c r="I134" i="2" s="1"/>
  <c r="I126" i="2"/>
  <c r="I128" i="2" s="1"/>
  <c r="I123" i="2"/>
  <c r="I127" i="2" s="1"/>
  <c r="G50" i="2"/>
  <c r="G52" i="2" s="1"/>
  <c r="G54" i="2" s="1"/>
  <c r="G58" i="2"/>
  <c r="G59" i="2" s="1"/>
  <c r="G61" i="2" s="1"/>
  <c r="D50" i="2"/>
  <c r="D52" i="2" s="1"/>
  <c r="D54" i="2" s="1"/>
  <c r="D58" i="2"/>
  <c r="D59" i="2" s="1"/>
  <c r="D61" i="2" s="1"/>
  <c r="F50" i="2"/>
  <c r="F52" i="2" s="1"/>
  <c r="F54" i="2" s="1"/>
  <c r="F58" i="2"/>
  <c r="F59" i="2" s="1"/>
  <c r="F61" i="2" s="1"/>
  <c r="C50" i="2"/>
  <c r="C52" i="2" s="1"/>
  <c r="C58" i="2"/>
  <c r="C59" i="2" s="1"/>
  <c r="C61" i="2" s="1"/>
  <c r="E50" i="2"/>
  <c r="E52" i="2" s="1"/>
  <c r="E54" i="2" s="1"/>
  <c r="E58" i="2"/>
  <c r="E59" i="2" s="1"/>
  <c r="E61" i="2" s="1"/>
  <c r="H50" i="2"/>
  <c r="H52" i="2" s="1"/>
  <c r="H54" i="2" s="1"/>
  <c r="H58" i="2"/>
  <c r="H59" i="2" s="1"/>
  <c r="H61" i="2" s="1"/>
  <c r="N21" i="2"/>
  <c r="C14" i="2"/>
  <c r="K14" i="2"/>
  <c r="L14" i="2"/>
  <c r="M14" i="2"/>
  <c r="N14" i="2"/>
  <c r="O14" i="2"/>
  <c r="B14" i="2"/>
  <c r="B15" i="2" s="1"/>
  <c r="P14" i="2"/>
  <c r="P21" i="2"/>
  <c r="C21" i="2"/>
  <c r="C29" i="2" s="1"/>
  <c r="C31" i="2" s="1"/>
  <c r="O21" i="2"/>
  <c r="M21" i="2"/>
  <c r="K21" i="2"/>
  <c r="L21" i="2"/>
  <c r="E74" i="1"/>
  <c r="E75" i="1" s="1"/>
  <c r="E76" i="1" s="1"/>
  <c r="F22" i="2" l="1"/>
  <c r="F23" i="2" s="1"/>
  <c r="F25" i="2" s="1"/>
  <c r="F15" i="2"/>
  <c r="F17" i="2" s="1"/>
  <c r="F19" i="2" s="1"/>
  <c r="G15" i="2"/>
  <c r="G17" i="2" s="1"/>
  <c r="G19" i="2" s="1"/>
  <c r="G22" i="2"/>
  <c r="G23" i="2" s="1"/>
  <c r="G25" i="2" s="1"/>
  <c r="H15" i="2"/>
  <c r="H17" i="2" s="1"/>
  <c r="H19" i="2" s="1"/>
  <c r="H22" i="2"/>
  <c r="H23" i="2" s="1"/>
  <c r="H25" i="2" s="1"/>
  <c r="C54" i="2"/>
  <c r="J59" i="2"/>
  <c r="E15" i="2"/>
  <c r="E17" i="2" s="1"/>
  <c r="E19" i="2" s="1"/>
  <c r="E22" i="2"/>
  <c r="E23" i="2" s="1"/>
  <c r="E25" i="2" s="1"/>
  <c r="D22" i="2"/>
  <c r="D23" i="2" s="1"/>
  <c r="D25" i="2" s="1"/>
  <c r="D15" i="2"/>
  <c r="D17" i="2" s="1"/>
  <c r="D19" i="2" s="1"/>
  <c r="F78" i="2"/>
  <c r="F80" i="2" s="1"/>
  <c r="G78" i="2"/>
  <c r="G80" i="2" s="1"/>
  <c r="H78" i="2"/>
  <c r="H80" i="2" s="1"/>
  <c r="D78" i="2"/>
  <c r="D80" i="2" s="1"/>
  <c r="E78" i="2"/>
  <c r="E80" i="2" s="1"/>
  <c r="O22" i="2"/>
  <c r="O23" i="2" s="1"/>
  <c r="O25" i="2" s="1"/>
  <c r="O15" i="2"/>
  <c r="O17" i="2" s="1"/>
  <c r="O19" i="2" s="1"/>
  <c r="N15" i="2"/>
  <c r="N17" i="2" s="1"/>
  <c r="N19" i="2" s="1"/>
  <c r="N22" i="2"/>
  <c r="N23" i="2" s="1"/>
  <c r="N25" i="2" s="1"/>
  <c r="L15" i="2"/>
  <c r="L17" i="2" s="1"/>
  <c r="L19" i="2" s="1"/>
  <c r="L22" i="2"/>
  <c r="L23" i="2" s="1"/>
  <c r="L25" i="2" s="1"/>
  <c r="C15" i="2"/>
  <c r="C17" i="2" s="1"/>
  <c r="C19" i="2" s="1"/>
  <c r="C22" i="2"/>
  <c r="C23" i="2" s="1"/>
  <c r="C25" i="2" s="1"/>
  <c r="K15" i="2"/>
  <c r="K17" i="2" s="1"/>
  <c r="K19" i="2" s="1"/>
  <c r="K22" i="2"/>
  <c r="K23" i="2" s="1"/>
  <c r="K25" i="2" s="1"/>
  <c r="M22" i="2"/>
  <c r="M23" i="2" s="1"/>
  <c r="M25" i="2" s="1"/>
  <c r="M15" i="2"/>
  <c r="M17" i="2" s="1"/>
  <c r="M19" i="2" s="1"/>
  <c r="P22" i="2"/>
  <c r="P23" i="2" s="1"/>
  <c r="P25" i="2" s="1"/>
  <c r="P15" i="2"/>
  <c r="P17" i="2" s="1"/>
  <c r="P19" i="2" s="1"/>
</calcChain>
</file>

<file path=xl/sharedStrings.xml><?xml version="1.0" encoding="utf-8"?>
<sst xmlns="http://schemas.openxmlformats.org/spreadsheetml/2006/main" count="1630" uniqueCount="227">
  <si>
    <t>t=</t>
  </si>
  <si>
    <t>v=</t>
  </si>
  <si>
    <t>a90=</t>
  </si>
  <si>
    <t>phi=</t>
  </si>
  <si>
    <t>a_phi</t>
  </si>
  <si>
    <t>Основание треугольника</t>
  </si>
  <si>
    <t>Сторона треугольника</t>
  </si>
  <si>
    <t>Длина КЭМ Х</t>
  </si>
  <si>
    <t>Ширина КЭМ Y max</t>
  </si>
  <si>
    <t>Ширина КЭМ Y min</t>
  </si>
  <si>
    <t>Ширина КЭМ Y среднее</t>
  </si>
  <si>
    <t>Высота КЭМ</t>
  </si>
  <si>
    <t>Эквивалентная площадь в направлении Х</t>
  </si>
  <si>
    <t>мм</t>
  </si>
  <si>
    <t>м</t>
  </si>
  <si>
    <t>мм^2</t>
  </si>
  <si>
    <t>м^2</t>
  </si>
  <si>
    <t>Сила</t>
  </si>
  <si>
    <t>Н</t>
  </si>
  <si>
    <t>Па</t>
  </si>
  <si>
    <t>МПа</t>
  </si>
  <si>
    <t>Погрешность</t>
  </si>
  <si>
    <t>%</t>
  </si>
  <si>
    <t>Ех=</t>
  </si>
  <si>
    <t xml:space="preserve">Ех в расчете </t>
  </si>
  <si>
    <t>Средние перемещения переднего торца Х</t>
  </si>
  <si>
    <t>НАПРАВЛЕНИЕ Х</t>
  </si>
  <si>
    <t>Еy=</t>
  </si>
  <si>
    <t>НАПРАВЛЕНИЕ Y</t>
  </si>
  <si>
    <t>Эквивалентная площадь в направлении Y</t>
  </si>
  <si>
    <t>Деформация по Х при растяжении по Х</t>
  </si>
  <si>
    <t>Деформация по Y при растяжении по Х</t>
  </si>
  <si>
    <t>перемещения по Y при растяжении по Х</t>
  </si>
  <si>
    <t xml:space="preserve">Пуассон </t>
  </si>
  <si>
    <t>Пуассон програм</t>
  </si>
  <si>
    <t>перемещения по Z при растяжении по Х</t>
  </si>
  <si>
    <t>Деформация по Z при растяжении по Х</t>
  </si>
  <si>
    <t>Пуассон yx</t>
  </si>
  <si>
    <t>С учетом RBE по Z</t>
  </si>
  <si>
    <t>Перемещения по Х</t>
  </si>
  <si>
    <t>Погрешность Ех</t>
  </si>
  <si>
    <t>Пуассоны без RBE</t>
  </si>
  <si>
    <t>Средние перемещения переднего торца Y</t>
  </si>
  <si>
    <t>Деформация по Y при растяжении по Y</t>
  </si>
  <si>
    <t>перемещения по Х при растяжении по Y</t>
  </si>
  <si>
    <t>Деформация по X при растяжении по Y</t>
  </si>
  <si>
    <t>Перемещения по Y</t>
  </si>
  <si>
    <t>перемещения по X при растяжении по Y</t>
  </si>
  <si>
    <t>Направление XY</t>
  </si>
  <si>
    <t>TAU =</t>
  </si>
  <si>
    <t>T1=</t>
  </si>
  <si>
    <t>T2=</t>
  </si>
  <si>
    <t>катет по y</t>
  </si>
  <si>
    <t>катет по х</t>
  </si>
  <si>
    <t>Тангенс угла</t>
  </si>
  <si>
    <t>G</t>
  </si>
  <si>
    <t xml:space="preserve">G расчетное </t>
  </si>
  <si>
    <t>угол</t>
  </si>
  <si>
    <t>Ex=</t>
  </si>
  <si>
    <t xml:space="preserve">Еy в расчете </t>
  </si>
  <si>
    <t>Погрешность Еy</t>
  </si>
  <si>
    <t>Длина ячейки Х</t>
  </si>
  <si>
    <t>Ширина ячейки Y</t>
  </si>
  <si>
    <t>Количество ячеек по Х</t>
  </si>
  <si>
    <t>Длина модели по Х</t>
  </si>
  <si>
    <t>Длина модели по Y мм</t>
  </si>
  <si>
    <t>Ex</t>
  </si>
  <si>
    <t>Площадь в направлении X м^2</t>
  </si>
  <si>
    <t>Ех аналитическое</t>
  </si>
  <si>
    <t>Погрешность %</t>
  </si>
  <si>
    <t>Деформация Х</t>
  </si>
  <si>
    <t>Деформация Y</t>
  </si>
  <si>
    <t>Перемещения по Y мм</t>
  </si>
  <si>
    <t>Перемещения по Х мм</t>
  </si>
  <si>
    <t>Пуассон YX</t>
  </si>
  <si>
    <t>Пуассон YX аналитический</t>
  </si>
  <si>
    <t>Погрешность yx %</t>
  </si>
  <si>
    <t>Количество ячеек по Y</t>
  </si>
  <si>
    <t>Перемезщения по Y</t>
  </si>
  <si>
    <t>Растяжение по Y</t>
  </si>
  <si>
    <t>Ey</t>
  </si>
  <si>
    <t>Ey аналитическое</t>
  </si>
  <si>
    <t>Длина модели по Y</t>
  </si>
  <si>
    <t>Площадь в направлении Y м^2</t>
  </si>
  <si>
    <t>no rbe</t>
  </si>
  <si>
    <t>rbe</t>
  </si>
  <si>
    <t>Деформация X</t>
  </si>
  <si>
    <t>Пуассон XY</t>
  </si>
  <si>
    <t>Пуассон XY аналитический</t>
  </si>
  <si>
    <t>Погрешность XY %</t>
  </si>
  <si>
    <t>Перемещения по Z</t>
  </si>
  <si>
    <t>Деформация по Z</t>
  </si>
  <si>
    <t>Пуассон ZX</t>
  </si>
  <si>
    <t>Пуассон ZX аналитический</t>
  </si>
  <si>
    <t>Погрешность ZX %</t>
  </si>
  <si>
    <t>Ez</t>
  </si>
  <si>
    <t>Ez аналитическое</t>
  </si>
  <si>
    <t>При увеличении ячеек по Y</t>
  </si>
  <si>
    <t>При увеличении ячеек по X</t>
  </si>
  <si>
    <t>Пуассон ZY</t>
  </si>
  <si>
    <t>Пуассон ZY аналитический</t>
  </si>
  <si>
    <t>Погрешность ZY %</t>
  </si>
  <si>
    <t>Растяжение по Z</t>
  </si>
  <si>
    <t>Площадь в направлении Z м^2</t>
  </si>
  <si>
    <t>Перемезщения по Z</t>
  </si>
  <si>
    <t>Деформация Z</t>
  </si>
  <si>
    <t>Пуассон XZ</t>
  </si>
  <si>
    <t>Пуассон XZ аналитический</t>
  </si>
  <si>
    <t>Погрешность XZ %</t>
  </si>
  <si>
    <t>Деформация по Y</t>
  </si>
  <si>
    <t>Пуассон YZ</t>
  </si>
  <si>
    <t>ПуассонYZ аналитический</t>
  </si>
  <si>
    <t>Погрешность YZ %</t>
  </si>
  <si>
    <t>Gxy</t>
  </si>
  <si>
    <t>tau</t>
  </si>
  <si>
    <t>Площадь боковой грани м</t>
  </si>
  <si>
    <t>Площадь верхней грани</t>
  </si>
  <si>
    <t>Сила на боковой грани</t>
  </si>
  <si>
    <t>Сила на верхней грани</t>
  </si>
  <si>
    <t>Катет 1</t>
  </si>
  <si>
    <t>Катет 2</t>
  </si>
  <si>
    <t>Тангенс=углу</t>
  </si>
  <si>
    <t>Gxy расчетное</t>
  </si>
  <si>
    <t>Gyz</t>
  </si>
  <si>
    <t>Длина модели по Z</t>
  </si>
  <si>
    <t>Gxz</t>
  </si>
  <si>
    <t>Gxz расчетное</t>
  </si>
  <si>
    <t>Gyz расчетное</t>
  </si>
  <si>
    <t>z=x кроме 2х2</t>
  </si>
  <si>
    <t>v_теоретическое=</t>
  </si>
  <si>
    <t>v_факт</t>
  </si>
  <si>
    <t>t_теоретическое=</t>
  </si>
  <si>
    <t>t_факт</t>
  </si>
  <si>
    <t>Длина рабочей части</t>
  </si>
  <si>
    <t>Ширина</t>
  </si>
  <si>
    <t>Высота</t>
  </si>
  <si>
    <t>Перемещения модели</t>
  </si>
  <si>
    <t xml:space="preserve">Нагрузка </t>
  </si>
  <si>
    <t>N</t>
  </si>
  <si>
    <t>Площалдь сечения</t>
  </si>
  <si>
    <t>КПО1</t>
  </si>
  <si>
    <t>КПО2</t>
  </si>
  <si>
    <t>Без ГУ на БОКОВЫХ</t>
  </si>
  <si>
    <t>КПО_Z</t>
  </si>
  <si>
    <t>Ez=</t>
  </si>
  <si>
    <t>Ez_experiment=</t>
  </si>
  <si>
    <t>Ez_theory</t>
  </si>
  <si>
    <t>КПО_Z_no_perimetr</t>
  </si>
  <si>
    <t>КПО_идеал RBE/размеры только по габаритам КЭМ</t>
  </si>
  <si>
    <t>Треугольники без пластика</t>
  </si>
  <si>
    <t>Габариты модели только по КЭМ</t>
  </si>
  <si>
    <t>Габариты с учетом толщины</t>
  </si>
  <si>
    <t>Габариты по КЭМ</t>
  </si>
  <si>
    <t>Габариты с учетом толщины периметров</t>
  </si>
  <si>
    <t>КПО_без периметров</t>
  </si>
  <si>
    <t>КПО_массив</t>
  </si>
  <si>
    <t>кол-во ячеек по У</t>
  </si>
  <si>
    <t>КПО_массив_треугольник</t>
  </si>
  <si>
    <t>sin phi =</t>
  </si>
  <si>
    <t>vfr</t>
  </si>
  <si>
    <t>=</t>
  </si>
  <si>
    <t>E3r</t>
  </si>
  <si>
    <t>дробь=</t>
  </si>
  <si>
    <t>итого:</t>
  </si>
  <si>
    <t>соотношение</t>
  </si>
  <si>
    <t>rebro_old</t>
  </si>
  <si>
    <t>для спиральных задано Е1 на растяжение, для перпендикулярных задано Е1 на сжатие</t>
  </si>
  <si>
    <t>поменял сдвиг на 238</t>
  </si>
  <si>
    <t>Модуль КЭМ</t>
  </si>
  <si>
    <t>Модуль испытаний</t>
  </si>
  <si>
    <t>погрешность</t>
  </si>
  <si>
    <r>
      <t>v</t>
    </r>
    <r>
      <rPr>
        <i/>
        <vertAlign val="subscript"/>
        <sz val="22"/>
        <color theme="1"/>
        <rFont val="Aptos Narrow"/>
        <family val="2"/>
      </rPr>
      <t>xy</t>
    </r>
  </si>
  <si>
    <r>
      <t>E</t>
    </r>
    <r>
      <rPr>
        <i/>
        <vertAlign val="subscript"/>
        <sz val="22"/>
        <color theme="1"/>
        <rFont val="Aptos Narrow"/>
        <family val="2"/>
      </rPr>
      <t>x</t>
    </r>
  </si>
  <si>
    <r>
      <t>v</t>
    </r>
    <r>
      <rPr>
        <i/>
        <vertAlign val="subscript"/>
        <sz val="22"/>
        <color theme="1"/>
        <rFont val="Aptos Narrow"/>
        <family val="2"/>
      </rPr>
      <t>yx</t>
    </r>
  </si>
  <si>
    <r>
      <t>v</t>
    </r>
    <r>
      <rPr>
        <i/>
        <vertAlign val="subscript"/>
        <sz val="22"/>
        <color theme="1"/>
        <rFont val="Aptos Narrow"/>
        <family val="2"/>
      </rPr>
      <t>zx</t>
    </r>
  </si>
  <si>
    <r>
      <t>E</t>
    </r>
    <r>
      <rPr>
        <i/>
        <vertAlign val="subscript"/>
        <sz val="22"/>
        <color theme="1"/>
        <rFont val="Aptos Narrow"/>
        <family val="2"/>
      </rPr>
      <t>y</t>
    </r>
  </si>
  <si>
    <r>
      <t>v</t>
    </r>
    <r>
      <rPr>
        <i/>
        <vertAlign val="subscript"/>
        <sz val="22"/>
        <color theme="1"/>
        <rFont val="Aptos Narrow"/>
        <family val="2"/>
      </rPr>
      <t>xz</t>
    </r>
  </si>
  <si>
    <r>
      <t>v</t>
    </r>
    <r>
      <rPr>
        <i/>
        <vertAlign val="subscript"/>
        <sz val="22"/>
        <color theme="1"/>
        <rFont val="Aptos Narrow"/>
        <family val="2"/>
      </rPr>
      <t>zy</t>
    </r>
  </si>
  <si>
    <r>
      <t>E</t>
    </r>
    <r>
      <rPr>
        <i/>
        <vertAlign val="subscript"/>
        <sz val="22"/>
        <color theme="1"/>
        <rFont val="Aptos Narrow"/>
        <family val="2"/>
      </rPr>
      <t>z</t>
    </r>
  </si>
  <si>
    <r>
      <t>v</t>
    </r>
    <r>
      <rPr>
        <i/>
        <vertAlign val="subscript"/>
        <sz val="22"/>
        <color theme="1"/>
        <rFont val="Aptos Narrow"/>
        <family val="2"/>
      </rPr>
      <t>yz</t>
    </r>
  </si>
  <si>
    <r>
      <t>G</t>
    </r>
    <r>
      <rPr>
        <i/>
        <vertAlign val="subscript"/>
        <sz val="22"/>
        <color theme="1"/>
        <rFont val="Aptos Narrow"/>
        <family val="2"/>
      </rPr>
      <t>xy</t>
    </r>
  </si>
  <si>
    <r>
      <t>G</t>
    </r>
    <r>
      <rPr>
        <i/>
        <vertAlign val="subscript"/>
        <sz val="22"/>
        <color theme="1"/>
        <rFont val="Aptos Narrow"/>
        <family val="2"/>
      </rPr>
      <t>xz</t>
    </r>
  </si>
  <si>
    <r>
      <t>G</t>
    </r>
    <r>
      <rPr>
        <i/>
        <vertAlign val="subscript"/>
        <sz val="22"/>
        <color theme="1"/>
        <rFont val="Aptos Narrow"/>
        <family val="2"/>
      </rPr>
      <t>yz</t>
    </r>
  </si>
  <si>
    <t>Треугольники с идеал ГУ</t>
  </si>
  <si>
    <t>Треугольники с реал ГУ</t>
  </si>
  <si>
    <t>деформация Х</t>
  </si>
  <si>
    <t>деформация Y</t>
  </si>
  <si>
    <t>Перемещения модели X</t>
  </si>
  <si>
    <t>Y disp</t>
  </si>
  <si>
    <t>Z disp</t>
  </si>
  <si>
    <t>деформация Z</t>
  </si>
  <si>
    <t>аналит</t>
  </si>
  <si>
    <t>Vyx</t>
  </si>
  <si>
    <t>Vzx</t>
  </si>
  <si>
    <t>средние пересечения</t>
  </si>
  <si>
    <t>DRS with central intersictions</t>
  </si>
  <si>
    <t>sigma max</t>
  </si>
  <si>
    <t>sigma analit</t>
  </si>
  <si>
    <t>разница</t>
  </si>
  <si>
    <t>sigmaX</t>
  </si>
  <si>
    <t>площадь</t>
  </si>
  <si>
    <t>сила X</t>
  </si>
  <si>
    <t>sigmaY</t>
  </si>
  <si>
    <t>сила Y</t>
  </si>
  <si>
    <t>сила Z</t>
  </si>
  <si>
    <t>sigmaZ</t>
  </si>
  <si>
    <t>tauxy max</t>
  </si>
  <si>
    <t>tau xy analit</t>
  </si>
  <si>
    <t>tau xy max</t>
  </si>
  <si>
    <t>ТУТ ПЕРЕМЕЩЕНИЯ И СИЛА ВООБЩЕ НЕ ИМЕЮТ ОТНОШЕНИЯ К НАПРЯЖЕННИЯМ</t>
  </si>
  <si>
    <t>ЭТОТ ЛИСТ ТОЛЬКО ДЛЯ НАПРЯЖЕНИЙ</t>
  </si>
  <si>
    <t>TAU XY max</t>
  </si>
  <si>
    <t>TAU XY analit</t>
  </si>
  <si>
    <t>x</t>
  </si>
  <si>
    <t>y</t>
  </si>
  <si>
    <t>z</t>
  </si>
  <si>
    <t>xy</t>
  </si>
  <si>
    <t>xz</t>
  </si>
  <si>
    <t>yz</t>
  </si>
  <si>
    <t>15_stress</t>
  </si>
  <si>
    <t>isogrid_stress</t>
  </si>
  <si>
    <t>anisogrid120</t>
  </si>
  <si>
    <t>`</t>
  </si>
  <si>
    <t>diag fem</t>
  </si>
  <si>
    <t>diag continuum</t>
  </si>
  <si>
    <t>90 fem</t>
  </si>
  <si>
    <t xml:space="preserve">90 continuum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</si>
</sst>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00"/>
    <numFmt numFmtId="166" formatCode="0.0"/>
  </numFmts>
  <fonts count="12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i/>
      <sz val="22"/>
      <color theme="1"/>
      <name val="Aptos Narrow"/>
      <family val="2"/>
    </font>
    <font>
      <i/>
      <vertAlign val="subscript"/>
      <sz val="22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5" fillId="3" borderId="0" xfId="0" applyFont="1" applyFill="1"/>
    <xf numFmtId="0" fontId="5" fillId="0" borderId="0" xfId="0" applyFont="1" applyAlignment="1">
      <alignment horizontal="justify"/>
    </xf>
    <xf numFmtId="0" fontId="5" fillId="3" borderId="0" xfId="0" applyFont="1" applyFill="1" applyAlignment="1">
      <alignment horizontal="justify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6" borderId="0" xfId="0" applyFont="1" applyFill="1" applyAlignment="1">
      <alignment horizontal="justify"/>
    </xf>
    <xf numFmtId="0" fontId="6" fillId="0" borderId="0" xfId="0" applyFont="1"/>
    <xf numFmtId="164" fontId="5" fillId="3" borderId="0" xfId="0" applyNumberFormat="1" applyFont="1" applyFill="1"/>
    <xf numFmtId="165" fontId="5" fillId="3" borderId="0" xfId="0" applyNumberFormat="1" applyFont="1" applyFill="1"/>
    <xf numFmtId="1" fontId="5" fillId="3" borderId="0" xfId="0" applyNumberFormat="1" applyFont="1" applyFill="1"/>
    <xf numFmtId="11" fontId="5" fillId="2" borderId="0" xfId="0" applyNumberFormat="1" applyFont="1" applyFill="1"/>
    <xf numFmtId="0" fontId="8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right"/>
    </xf>
    <xf numFmtId="0" fontId="9" fillId="0" borderId="0" xfId="0" applyFont="1"/>
    <xf numFmtId="0" fontId="10" fillId="0" borderId="0" xfId="0" applyFont="1"/>
    <xf numFmtId="0" fontId="5" fillId="0" borderId="0" xfId="0" applyFont="1" applyAlignment="1">
      <alignment horizontal="center"/>
    </xf>
    <xf numFmtId="2" fontId="5" fillId="2" borderId="0" xfId="0" applyNumberFormat="1" applyFont="1" applyFill="1"/>
    <xf numFmtId="166" fontId="5" fillId="3" borderId="0" xfId="0" applyNumberFormat="1" applyFont="1" applyFill="1"/>
    <xf numFmtId="1" fontId="0" fillId="0" borderId="0" xfId="0" applyNumberForma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 textRotation="90" wrapText="1"/>
    </xf>
    <xf numFmtId="0" fontId="7" fillId="0" borderId="0" xfId="0" applyFont="1" applyAlignment="1">
      <alignment horizontal="center" textRotation="90"/>
    </xf>
    <xf numFmtId="0" fontId="7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Ех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isogrid!$C$19:$J$19</c:f>
              <c:numCache>
                <c:formatCode>General</c:formatCode>
                <c:ptCount val="8"/>
                <c:pt idx="0">
                  <c:v>3.8368195023999965</c:v>
                </c:pt>
                <c:pt idx="1">
                  <c:v>2.3199924440000181</c:v>
                </c:pt>
                <c:pt idx="2">
                  <c:v>1.9240335733333482</c:v>
                </c:pt>
                <c:pt idx="3">
                  <c:v>1.3148660800000169</c:v>
                </c:pt>
                <c:pt idx="4">
                  <c:v>1.3148660800000338</c:v>
                </c:pt>
                <c:pt idx="5">
                  <c:v>0.79272251428572327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14-4B8C-88CA-4BCD5A1757FD}"/>
            </c:ext>
          </c:extLst>
        </c:ser>
        <c:ser>
          <c:idx val="1"/>
          <c:order val="1"/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anisogrid!$C$19:$H$19</c:f>
              <c:numCache>
                <c:formatCode>General</c:formatCode>
                <c:ptCount val="6"/>
                <c:pt idx="0">
                  <c:v>0.13162480770002866</c:v>
                </c:pt>
                <c:pt idx="1">
                  <c:v>0.13162480770002866</c:v>
                </c:pt>
                <c:pt idx="2">
                  <c:v>0.13115785593335688</c:v>
                </c:pt>
                <c:pt idx="3">
                  <c:v>0.13092438005001317</c:v>
                </c:pt>
                <c:pt idx="4">
                  <c:v>0.13078429451999665</c:v>
                </c:pt>
                <c:pt idx="5">
                  <c:v>0.13092438005003001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E-4CC7-AEB4-9B225E849373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E-4CC7-AEB4-9B225E84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isogrid!$C$25:$J$25</c:f>
              <c:numCache>
                <c:formatCode>General</c:formatCode>
                <c:ptCount val="8"/>
                <c:pt idx="0">
                  <c:v>44.584481604584525</c:v>
                </c:pt>
                <c:pt idx="1">
                  <c:v>22.329148289578367</c:v>
                </c:pt>
                <c:pt idx="2">
                  <c:v>14.618453848057403</c:v>
                </c:pt>
                <c:pt idx="3">
                  <c:v>11.182685990338175</c:v>
                </c:pt>
                <c:pt idx="4">
                  <c:v>8.7314141732283481</c:v>
                </c:pt>
                <c:pt idx="5">
                  <c:v>6.4566910117830503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B1-443F-BF7C-3EFE85C6C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D2B1-443F-BF7C-3EFE85C6CA5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y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</a:p>
        </c:rich>
      </c:tx>
      <c:layout>
        <c:manualLayout>
          <c:xMode val="edge"/>
          <c:yMode val="edge"/>
          <c:x val="0.16189514802839636"/>
          <c:y val="2.93938818876206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anisogrid!$C$54:$H$54</c:f>
              <c:numCache>
                <c:formatCode>General</c:formatCode>
                <c:ptCount val="6"/>
                <c:pt idx="0">
                  <c:v>9.1950772359193522E-2</c:v>
                </c:pt>
                <c:pt idx="1">
                  <c:v>9.1950772359193522E-2</c:v>
                </c:pt>
                <c:pt idx="2">
                  <c:v>0.10083312999022415</c:v>
                </c:pt>
                <c:pt idx="3">
                  <c:v>9.1950772359193522E-2</c:v>
                </c:pt>
                <c:pt idx="4">
                  <c:v>0.10081835069301175</c:v>
                </c:pt>
                <c:pt idx="5">
                  <c:v>6.2392177913119809E-2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BD1-417E-81C4-EA987C053A29}"/>
            </c:ext>
          </c:extLst>
        </c:ser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isogrid!$C$54:$H$54</c:f>
              <c:numCache>
                <c:formatCode>General</c:formatCode>
                <c:ptCount val="6"/>
                <c:pt idx="0">
                  <c:v>46.100264014535632</c:v>
                </c:pt>
                <c:pt idx="1">
                  <c:v>35.323866793879453</c:v>
                </c:pt>
                <c:pt idx="2">
                  <c:v>30.708897426169969</c:v>
                </c:pt>
                <c:pt idx="3">
                  <c:v>28.157351862292163</c:v>
                </c:pt>
                <c:pt idx="4">
                  <c:v>26.50439408395393</c:v>
                </c:pt>
                <c:pt idx="5">
                  <c:v>24.557453881951499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D1-417E-81C4-EA987C053A29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D-45F3-A4E5-BF8B6862F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anisogrid!$C$61:$H$61</c:f>
              <c:numCache>
                <c:formatCode>General</c:formatCode>
                <c:ptCount val="6"/>
                <c:pt idx="0">
                  <c:v>1.6759973397296683E-2</c:v>
                </c:pt>
                <c:pt idx="1">
                  <c:v>1.6759973397296683E-2</c:v>
                </c:pt>
                <c:pt idx="2">
                  <c:v>7.8701405503193763E-3</c:v>
                </c:pt>
                <c:pt idx="3">
                  <c:v>1.6759973397296683E-2</c:v>
                </c:pt>
                <c:pt idx="4">
                  <c:v>7.8849335984845503E-3</c:v>
                </c:pt>
                <c:pt idx="5">
                  <c:v>4.6332064502490486E-2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6E9-462B-A3C2-1EDEC24AFE6C}"/>
            </c:ext>
          </c:extLst>
        </c:ser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isogrid!$C$61:$H$61</c:f>
              <c:numCache>
                <c:formatCode>General</c:formatCode>
                <c:ptCount val="6"/>
                <c:pt idx="0">
                  <c:v>0.13104002196973555</c:v>
                </c:pt>
                <c:pt idx="1">
                  <c:v>7.7751657691514917E-2</c:v>
                </c:pt>
                <c:pt idx="2">
                  <c:v>5.4965615146807305E-2</c:v>
                </c:pt>
                <c:pt idx="3">
                  <c:v>8.5163987162130417E-3</c:v>
                </c:pt>
                <c:pt idx="4">
                  <c:v>5.3872451855745206E-2</c:v>
                </c:pt>
                <c:pt idx="5">
                  <c:v>18.749253115097485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E9-462B-A3C2-1EDEC24AFE6C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25-427F-AE5B-72FC61D56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isogrid!$C$31:$J$31</c:f>
              <c:numCache>
                <c:formatCode>General</c:formatCode>
                <c:ptCount val="8"/>
                <c:pt idx="0">
                  <c:v>12.338859868271642</c:v>
                </c:pt>
                <c:pt idx="1">
                  <c:v>5.9643572709058246</c:v>
                </c:pt>
                <c:pt idx="2">
                  <c:v>3.6610842837083464</c:v>
                </c:pt>
                <c:pt idx="3">
                  <c:v>2.940580004055966</c:v>
                </c:pt>
                <c:pt idx="4">
                  <c:v>2.1122510561255416</c:v>
                </c:pt>
                <c:pt idx="5">
                  <c:v>1.751887195556199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C-41AC-8A31-DFE8B0E2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53C-41AC-8A31-DFE8B0E2845B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isogrid!$C$67:$H$67</c:f>
              <c:numCache>
                <c:formatCode>General</c:formatCode>
                <c:ptCount val="6"/>
                <c:pt idx="0">
                  <c:v>22.215795676728863</c:v>
                </c:pt>
                <c:pt idx="1">
                  <c:v>13.312664114650898</c:v>
                </c:pt>
                <c:pt idx="2">
                  <c:v>9.5071694642106284</c:v>
                </c:pt>
                <c:pt idx="3">
                  <c:v>7.4107423153580934</c:v>
                </c:pt>
                <c:pt idx="4">
                  <c:v>6.0395224951919735</c:v>
                </c:pt>
                <c:pt idx="5">
                  <c:v>262.79186177087519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FC-4F3A-A1F9-A36A91C60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5FC-4F3A-A1F9-A36A91C600E5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9.3597873279999425E-2</c:v>
                </c:pt>
                <c:pt idx="1">
                  <c:v>0.11879224430592616</c:v>
                </c:pt>
                <c:pt idx="2">
                  <c:v>9.3597873279999425E-2</c:v>
                </c:pt>
                <c:pt idx="3">
                  <c:v>0.13380165683200804</c:v>
                </c:pt>
                <c:pt idx="4">
                  <c:v>0.11875874115298818</c:v>
                </c:pt>
                <c:pt idx="5">
                  <c:v>0.1187654417835477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81C-42BF-8BB9-21D0FC55319E}"/>
            </c:ext>
          </c:extLst>
        </c:ser>
        <c:ser>
          <c:idx val="0"/>
          <c:order val="1"/>
          <c:xVal>
            <c:numRef>
              <c:f>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isogrid!$C$80:$H$80</c:f>
              <c:numCache>
                <c:formatCode>General</c:formatCode>
                <c:ptCount val="6"/>
                <c:pt idx="0">
                  <c:v>14.286783999999999</c:v>
                </c:pt>
                <c:pt idx="1">
                  <c:v>7.6913279999999782</c:v>
                </c:pt>
                <c:pt idx="2">
                  <c:v>5.2665279999999965</c:v>
                </c:pt>
                <c:pt idx="3">
                  <c:v>2.4104373589228696</c:v>
                </c:pt>
                <c:pt idx="4">
                  <c:v>3.195021587826361</c:v>
                </c:pt>
                <c:pt idx="5">
                  <c:v>3.7140775901645515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C-42BF-8BB9-21D0FC55319E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00-44A1-99F1-84070E47C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anisogrid!$C$87:$H$87</c:f>
              <c:numCache>
                <c:formatCode>General</c:formatCode>
                <c:ptCount val="6"/>
                <c:pt idx="0">
                  <c:v>0.12539002128714971</c:v>
                </c:pt>
                <c:pt idx="1">
                  <c:v>0.10019731450660609</c:v>
                </c:pt>
                <c:pt idx="2">
                  <c:v>0.12539002128714971</c:v>
                </c:pt>
                <c:pt idx="3">
                  <c:v>8.518285140842255E-2</c:v>
                </c:pt>
                <c:pt idx="4">
                  <c:v>0.10023082388564125</c:v>
                </c:pt>
                <c:pt idx="5">
                  <c:v>0.10022412201164436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D03-4D0C-80B0-465B28A469B2}"/>
            </c:ext>
          </c:extLst>
        </c:ser>
        <c:ser>
          <c:idx val="0"/>
          <c:order val="1"/>
          <c:xVal>
            <c:numRef>
              <c:f>isogrid!$C$74:$E$74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isogrid!$C$87:$E$87</c:f>
              <c:numCache>
                <c:formatCode>General</c:formatCode>
                <c:ptCount val="3"/>
                <c:pt idx="0">
                  <c:v>1.0775862068968493E-2</c:v>
                </c:pt>
                <c:pt idx="1">
                  <c:v>1.0008006405118276E-2</c:v>
                </c:pt>
                <c:pt idx="2">
                  <c:v>4.8751950077848211E-3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03-4D0C-80B0-465B28A469B2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C-4DB7-8F74-CBC57E086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anisogrid!$C$93:$H$93</c:f>
              <c:numCache>
                <c:formatCode>General</c:formatCode>
                <c:ptCount val="6"/>
                <c:pt idx="0">
                  <c:v>0.45318235057961881</c:v>
                </c:pt>
                <c:pt idx="1">
                  <c:v>0.42807232723624045</c:v>
                </c:pt>
                <c:pt idx="2">
                  <c:v>0.4395756231808261</c:v>
                </c:pt>
                <c:pt idx="3">
                  <c:v>0.41310714218612787</c:v>
                </c:pt>
                <c:pt idx="4">
                  <c:v>0.44171588167627979</c:v>
                </c:pt>
                <c:pt idx="5">
                  <c:v>0.4553193586642813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E76-4100-B95F-1F34084D9585}"/>
            </c:ext>
          </c:extLst>
        </c:ser>
        <c:ser>
          <c:idx val="0"/>
          <c:order val="1"/>
          <c:xVal>
            <c:numRef>
              <c:f>isogrid!$C$74:$E$74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6</c:v>
                </c:pt>
              </c:numCache>
            </c:numRef>
          </c:xVal>
          <c:yVal>
            <c:numRef>
              <c:f>isogrid!$C$93:$E$93</c:f>
              <c:numCache>
                <c:formatCode>General</c:formatCode>
                <c:ptCount val="3"/>
                <c:pt idx="0">
                  <c:v>1.7245240761477546E-2</c:v>
                </c:pt>
                <c:pt idx="1">
                  <c:v>2.2399445214975437E-2</c:v>
                </c:pt>
                <c:pt idx="2">
                  <c:v>7.0936359952064121E-4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76-4100-B95F-1F34084D9585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73-4258-BF61-6D51E4C41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isogrid!$C$134:$G$134</c:f>
              <c:numCache>
                <c:formatCode>General</c:formatCode>
                <c:ptCount val="5"/>
                <c:pt idx="0">
                  <c:v>1.724630730944483</c:v>
                </c:pt>
                <c:pt idx="1">
                  <c:v>1.9402857452671611</c:v>
                </c:pt>
                <c:pt idx="2">
                  <c:v>2.0681841983042517</c:v>
                </c:pt>
                <c:pt idx="3">
                  <c:v>2.0937221736820391</c:v>
                </c:pt>
                <c:pt idx="4">
                  <c:v>2.1396555618719617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C98-4CCD-B176-2C3D27ECD369}"/>
            </c:ext>
          </c:extLst>
        </c:ser>
        <c:ser>
          <c:idx val="0"/>
          <c:order val="1"/>
          <c:xVal>
            <c:numRef>
              <c:f>isogrid!$H$121:$M$121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isogrid!$H$134:$M$134</c:f>
              <c:numCache>
                <c:formatCode>General</c:formatCode>
                <c:ptCount val="6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  <c:pt idx="5">
                  <c:v>1.0356294708539195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98-4CCD-B176-2C3D27ECD369}"/>
            </c:ext>
          </c:extLst>
        </c:ser>
        <c:ser>
          <c:idx val="2"/>
          <c:order val="2"/>
          <c:tx>
            <c:v>3</c:v>
          </c:tx>
          <c:xVal>
            <c:numRef>
              <c:f>isogrid!$M$121</c:f>
              <c:numCache>
                <c:formatCode>General</c:formatCode>
                <c:ptCount val="1"/>
                <c:pt idx="0">
                  <c:v>14</c:v>
                </c:pt>
              </c:numCache>
            </c:numRef>
          </c:xVal>
          <c:yVal>
            <c:numRef>
              <c:f>isogrid!$N$134</c:f>
              <c:numCache>
                <c:formatCode>General</c:formatCode>
                <c:ptCount val="1"/>
                <c:pt idx="0">
                  <c:v>0.66576218725241176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5F-4773-B631-BFA2ED50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Gxy</a:t>
            </a: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/>
          </a:p>
        </c:rich>
      </c:tx>
      <c:layout>
        <c:manualLayout>
          <c:xMode val="edge"/>
          <c:yMode val="edge"/>
          <c:x val="0.21276008357967816"/>
          <c:y val="2.93940076132782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isogrid!$C$102:$F$102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F-4B8A-ADBD-32C4ABA5B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F2F-4B8A-ADBD-32C4ABA5BA1A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6340219223456688"/>
              <c:y val="0.90260534306265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177825339167162"/>
          <c:y val="9.3659212890836771E-2"/>
          <c:w val="0.84982207571801049"/>
          <c:h val="0.72787149564592912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(isogrid!$C$141,isogrid!$I$141,isogrid!$J$141)</c:f>
              <c:numCache>
                <c:formatCode>General</c:formatCode>
                <c:ptCount val="3"/>
                <c:pt idx="0">
                  <c:v>2</c:v>
                </c:pt>
                <c:pt idx="1">
                  <c:v>6</c:v>
                </c:pt>
                <c:pt idx="2">
                  <c:v>10</c:v>
                </c:pt>
              </c:numCache>
            </c:numRef>
          </c:xVal>
          <c:yVal>
            <c:numRef>
              <c:f>(isogrid!$C$155,isogrid!$I$155,isogrid!$J$155)</c:f>
              <c:numCache>
                <c:formatCode>General</c:formatCode>
                <c:ptCount val="3"/>
                <c:pt idx="0">
                  <c:v>33.71530378100266</c:v>
                </c:pt>
                <c:pt idx="1">
                  <c:v>11.794297569043422</c:v>
                </c:pt>
                <c:pt idx="2">
                  <c:v>7.4571685591842964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71F-4769-AC24-1560570C7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A71F-4769-AC24-1560570C706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163466982089044"/>
              <c:y val="0.915456652846378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layout>
            <c:manualLayout>
              <c:xMode val="edge"/>
              <c:yMode val="edge"/>
              <c:x val="0"/>
              <c:y val="0.441501718500647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Gxy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isogrid!$C$102:$F$102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A-4005-9567-835786D11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7DA-4005-9567-835786D11CB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isogrid!$H$121:$M$121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14</c:v>
                </c:pt>
              </c:numCache>
            </c:numRef>
          </c:xVal>
          <c:yVal>
            <c:numRef>
              <c:f>isogrid!$H$134:$M$134</c:f>
              <c:numCache>
                <c:formatCode>General</c:formatCode>
                <c:ptCount val="6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  <c:pt idx="5">
                  <c:v>1.0356294708539195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D5-4DFE-8207-1AEB89118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CD5-4DFE-8207-1AEB8911827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3</c:v>
                </c:tx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isogrid!$M$121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14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isogrid!$N$134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0.66576218725241176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CD5-4DFE-8207-1AEB8911827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r>
              <a:rPr lang="en-US" sz="1600" b="1" i="1" baseline="0">
                <a:latin typeface="GOST Common" panose="020B0604020202020204" pitchFamily="34" charset="0"/>
              </a:rPr>
              <a:t>y</a:t>
            </a:r>
            <a:r>
              <a:rPr lang="ru-RU" sz="1600" b="1" i="1" baseline="0">
                <a:latin typeface="GOST Common" panose="020B0604020202020204" pitchFamily="34" charset="0"/>
              </a:rPr>
              <a:t>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isogrid!$C$102:$G$102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isogrid!$C$115:$F$115</c:f>
              <c:numCache>
                <c:formatCode>General</c:formatCode>
                <c:ptCount val="4"/>
                <c:pt idx="0">
                  <c:v>0.38351228082560113</c:v>
                </c:pt>
                <c:pt idx="1">
                  <c:v>0.38130595913276938</c:v>
                </c:pt>
                <c:pt idx="2">
                  <c:v>0.35941466248856646</c:v>
                </c:pt>
                <c:pt idx="3">
                  <c:v>0.31507083278784886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D-4B12-B690-19EAD6523691}"/>
            </c:ext>
          </c:extLst>
        </c:ser>
        <c:ser>
          <c:idx val="1"/>
          <c:order val="1"/>
          <c:xVal>
            <c:numRef>
              <c:f>anisogrid!$C$102:$E$102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anisogrid!$C$115:$E$115</c:f>
              <c:numCache>
                <c:formatCode>General</c:formatCode>
                <c:ptCount val="3"/>
                <c:pt idx="0">
                  <c:v>0.21783877701813606</c:v>
                </c:pt>
                <c:pt idx="1">
                  <c:v>0.13717413577078744</c:v>
                </c:pt>
                <c:pt idx="2">
                  <c:v>0.13717413577078744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BD-4B12-B690-19EAD6523691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BD-4B12-B690-19EAD6523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r>
              <a:rPr lang="en-US" sz="1600" b="1" i="1" baseline="0">
                <a:latin typeface="GOST Common" panose="020B0604020202020204" pitchFamily="34" charset="0"/>
              </a:rPr>
              <a:t>z</a:t>
            </a:r>
            <a:r>
              <a:rPr lang="ru-RU" sz="1600" b="1" i="1" baseline="0">
                <a:latin typeface="GOST Common" panose="020B0604020202020204" pitchFamily="34" charset="0"/>
              </a:rPr>
              <a:t>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isogrid!$H$121:$L$121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</c:numCache>
            </c:numRef>
          </c:xVal>
          <c:yVal>
            <c:numRef>
              <c:f>isogrid!$H$134:$L$134</c:f>
              <c:numCache>
                <c:formatCode>General</c:formatCode>
                <c:ptCount val="5"/>
                <c:pt idx="0">
                  <c:v>1.7195200678112028</c:v>
                </c:pt>
                <c:pt idx="1">
                  <c:v>1.1993563050353231</c:v>
                </c:pt>
                <c:pt idx="2">
                  <c:v>0.42344064423205902</c:v>
                </c:pt>
                <c:pt idx="3">
                  <c:v>0.71506678864139417</c:v>
                </c:pt>
                <c:pt idx="4">
                  <c:v>0.89400561128110212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2F-43EA-9A03-729A54838803}"/>
            </c:ext>
          </c:extLst>
        </c:ser>
        <c:ser>
          <c:idx val="1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5.379762288115673</c:v>
                </c:pt>
                <c:pt idx="1">
                  <c:v>0.43809330043827588</c:v>
                </c:pt>
                <c:pt idx="2">
                  <c:v>0.39977042080264819</c:v>
                </c:pt>
                <c:pt idx="3">
                  <c:v>0.26563851043396564</c:v>
                </c:pt>
                <c:pt idx="4">
                  <c:v>9.3179015156685682E-2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F-43EA-9A03-729A54838803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2F-43EA-9A03-729A54838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2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</a:t>
            </a:r>
            <a:r>
              <a:rPr lang="en-US" sz="1600" b="1" i="1" baseline="0">
                <a:latin typeface="GOST Common" panose="020B0604020202020204" pitchFamily="34" charset="0"/>
              </a:rPr>
              <a:t>Gyz </a:t>
            </a:r>
            <a:r>
              <a:rPr lang="ru-RU" sz="1600" b="1" i="1" baseline="0">
                <a:latin typeface="GOST Common" panose="020B0604020202020204" pitchFamily="34" charset="0"/>
              </a:rPr>
              <a:t>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(isogrid!$C$141,isogrid!$H$141:$J$141)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</c:numCache>
            </c:numRef>
          </c:xVal>
          <c:yVal>
            <c:numRef>
              <c:f>(isogrid!$C$155,isogrid!$H$155:$J$155)</c:f>
              <c:numCache>
                <c:formatCode>General</c:formatCode>
                <c:ptCount val="4"/>
                <c:pt idx="0">
                  <c:v>33.71530378100266</c:v>
                </c:pt>
                <c:pt idx="1">
                  <c:v>16.531055722282289</c:v>
                </c:pt>
                <c:pt idx="2">
                  <c:v>11.794297569043422</c:v>
                </c:pt>
                <c:pt idx="3">
                  <c:v>7.4571685591842964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F-4EAB-81A0-32700E9ABC5D}"/>
            </c:ext>
          </c:extLst>
        </c:ser>
        <c:ser>
          <c:idx val="1"/>
          <c:order val="1"/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1.2332866674257366</c:v>
                </c:pt>
                <c:pt idx="1">
                  <c:v>0.35233147605660647</c:v>
                </c:pt>
                <c:pt idx="2">
                  <c:v>8.7027774777702321E-2</c:v>
                </c:pt>
                <c:pt idx="3">
                  <c:v>0.21629027270876647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F-4EAB-81A0-32700E9ABC5D}"/>
            </c:ext>
          </c:extLst>
        </c:ser>
        <c:ser>
          <c:idx val="2"/>
          <c:order val="2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6F-4EAB-81A0-32700E9AB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/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Процент погрешности Ех от количества ячеек вдоль 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14498115563201069"/>
          <c:y val="3.045893657975589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anisogrid!$C$19:$J$19</c:f>
              <c:numCache>
                <c:formatCode>General</c:formatCode>
                <c:ptCount val="8"/>
                <c:pt idx="0">
                  <c:v>0.13162480770002866</c:v>
                </c:pt>
                <c:pt idx="1">
                  <c:v>0.13162480770002866</c:v>
                </c:pt>
                <c:pt idx="2">
                  <c:v>0.13115785593335688</c:v>
                </c:pt>
                <c:pt idx="3">
                  <c:v>0.13092438005001317</c:v>
                </c:pt>
                <c:pt idx="4">
                  <c:v>0.13078429451999665</c:v>
                </c:pt>
                <c:pt idx="5">
                  <c:v>0.13092438005003001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0E-422C-A8B7-54EB1A55E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C0E-422C-A8B7-54EB1A55EC6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X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  <c:minorUnit val="0.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anisogrid!$C$25:$J$25</c:f>
              <c:numCache>
                <c:formatCode>General</c:formatCode>
                <c:ptCount val="8"/>
                <c:pt idx="0">
                  <c:v>1.8377177142423439E-2</c:v>
                </c:pt>
                <c:pt idx="1">
                  <c:v>1.8377177142423439E-2</c:v>
                </c:pt>
                <c:pt idx="2">
                  <c:v>1.8844656232088232E-2</c:v>
                </c:pt>
                <c:pt idx="3">
                  <c:v>1.9078394137595142E-2</c:v>
                </c:pt>
                <c:pt idx="4">
                  <c:v>1.9218636356321268E-2</c:v>
                </c:pt>
                <c:pt idx="5">
                  <c:v>1.9078394137595142E-2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3-4E1F-9FB4-3DB833571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153-4E1F-9FB4-3DB83357183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y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</a:p>
        </c:rich>
      </c:tx>
      <c:layout>
        <c:manualLayout>
          <c:xMode val="edge"/>
          <c:yMode val="edge"/>
          <c:x val="0.17045003299036157"/>
          <c:y val="3.280856196297508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anisogrid!$C$54:$H$54</c:f>
              <c:numCache>
                <c:formatCode>General</c:formatCode>
                <c:ptCount val="6"/>
                <c:pt idx="0">
                  <c:v>9.1950772359193522E-2</c:v>
                </c:pt>
                <c:pt idx="1">
                  <c:v>9.1950772359193522E-2</c:v>
                </c:pt>
                <c:pt idx="2">
                  <c:v>0.10083312999022415</c:v>
                </c:pt>
                <c:pt idx="3">
                  <c:v>9.1950772359193522E-2</c:v>
                </c:pt>
                <c:pt idx="4">
                  <c:v>0.10081835069301175</c:v>
                </c:pt>
                <c:pt idx="5">
                  <c:v>6.2392177913119809E-2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96-4C7E-A48C-39252D6D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A96-4C7E-A48C-39252D6DDAA6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anisogrid!$C$61:$H$61</c:f>
              <c:numCache>
                <c:formatCode>General</c:formatCode>
                <c:ptCount val="6"/>
                <c:pt idx="0">
                  <c:v>1.6759973397296683E-2</c:v>
                </c:pt>
                <c:pt idx="1">
                  <c:v>1.6759973397296683E-2</c:v>
                </c:pt>
                <c:pt idx="2">
                  <c:v>7.8701405503193763E-3</c:v>
                </c:pt>
                <c:pt idx="3">
                  <c:v>1.6759973397296683E-2</c:v>
                </c:pt>
                <c:pt idx="4">
                  <c:v>7.8849335984845503E-3</c:v>
                </c:pt>
                <c:pt idx="5">
                  <c:v>4.6332064502490486E-2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A-4525-B944-FE2697F3E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68A-4525-B944-FE2697F3E190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nuZX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anisogrid!$C$31:$J$31</c:f>
              <c:numCache>
                <c:formatCode>General</c:formatCode>
                <c:ptCount val="8"/>
                <c:pt idx="0">
                  <c:v>0.34993193234820069</c:v>
                </c:pt>
                <c:pt idx="1">
                  <c:v>0.34993193234820069</c:v>
                </c:pt>
                <c:pt idx="2">
                  <c:v>0.34946273117397147</c:v>
                </c:pt>
                <c:pt idx="3">
                  <c:v>0.34922813223224802</c:v>
                </c:pt>
                <c:pt idx="4">
                  <c:v>0.34908737339370605</c:v>
                </c:pt>
                <c:pt idx="5">
                  <c:v>0.34922813223224802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C-45FA-AECA-2EB5A5E5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98C-45FA-AECA-2EB5A5E55AB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nuZY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anisogrid!$C$67:$H$67</c:f>
              <c:numCache>
                <c:formatCode>General</c:formatCode>
                <c:ptCount val="6"/>
                <c:pt idx="0">
                  <c:v>2.7668831694710579E-2</c:v>
                </c:pt>
                <c:pt idx="1">
                  <c:v>2.7668831694710579E-2</c:v>
                </c:pt>
                <c:pt idx="2">
                  <c:v>2.3298489208346762E-2</c:v>
                </c:pt>
                <c:pt idx="3">
                  <c:v>2.7668831694710579E-2</c:v>
                </c:pt>
                <c:pt idx="4">
                  <c:v>3.2463745004027315E-2</c:v>
                </c:pt>
                <c:pt idx="5">
                  <c:v>8.4623293126189339E-2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30-4CA3-908E-2839FB442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anisogrid!$C$11:$J$11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0.13162480770002866</c:v>
                      </c:pt>
                      <c:pt idx="1">
                        <c:v>0.13162480770002866</c:v>
                      </c:pt>
                      <c:pt idx="2">
                        <c:v>0.13115785593335688</c:v>
                      </c:pt>
                      <c:pt idx="3">
                        <c:v>0.13092438005001317</c:v>
                      </c:pt>
                      <c:pt idx="4">
                        <c:v>0.13078429451999665</c:v>
                      </c:pt>
                      <c:pt idx="5">
                        <c:v>0.13092438005003001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C30-4CA3-908E-2839FB442E9B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9.3597873279999425E-2</c:v>
                </c:pt>
                <c:pt idx="1">
                  <c:v>0.11879224430592616</c:v>
                </c:pt>
                <c:pt idx="2">
                  <c:v>9.3597873279999425E-2</c:v>
                </c:pt>
                <c:pt idx="3">
                  <c:v>0.13380165683200804</c:v>
                </c:pt>
                <c:pt idx="4">
                  <c:v>0.11875874115298818</c:v>
                </c:pt>
                <c:pt idx="5">
                  <c:v>0.1187654417835477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2C-4049-BB09-CE407D17E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52C-4049-BB09-CE407D17E564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1"/>
        <c:minorUnit val="0.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nuXZ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9859855248263261"/>
          <c:y val="2.017805895743186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anisogrid!$C$87:$H$87</c:f>
              <c:numCache>
                <c:formatCode>General</c:formatCode>
                <c:ptCount val="6"/>
                <c:pt idx="0">
                  <c:v>0.12539002128714971</c:v>
                </c:pt>
                <c:pt idx="1">
                  <c:v>0.10019731450660609</c:v>
                </c:pt>
                <c:pt idx="2">
                  <c:v>0.12539002128714971</c:v>
                </c:pt>
                <c:pt idx="3">
                  <c:v>8.518285140842255E-2</c:v>
                </c:pt>
                <c:pt idx="4">
                  <c:v>0.10023082388564125</c:v>
                </c:pt>
                <c:pt idx="5">
                  <c:v>0.10022412201164436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8-4B43-8F1D-83D850D4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0F8-4B43-8F1D-83D850D48328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процент</a:t>
            </a:r>
            <a:r>
              <a:rPr lang="ru-RU" baseline="0"/>
              <a:t> погрешности </a:t>
            </a:r>
            <a:r>
              <a:rPr lang="en-US" baseline="0"/>
              <a:t>nuYZ</a:t>
            </a:r>
            <a:r>
              <a:rPr lang="ru-RU" baseline="0"/>
              <a:t> от количества ячеек вдоль Х</a:t>
            </a:r>
            <a:endParaRPr lang="ru-RU"/>
          </a:p>
        </c:rich>
      </c:tx>
      <c:layout>
        <c:manualLayout>
          <c:xMode val="edge"/>
          <c:yMode val="edge"/>
          <c:x val="0.17510918356850849"/>
          <c:y val="2.6494359066104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anisogrid!$C$93:$H$93</c:f>
              <c:numCache>
                <c:formatCode>General</c:formatCode>
                <c:ptCount val="6"/>
                <c:pt idx="0">
                  <c:v>0.45318235057961881</c:v>
                </c:pt>
                <c:pt idx="1">
                  <c:v>0.42807232723624045</c:v>
                </c:pt>
                <c:pt idx="2">
                  <c:v>0.4395756231808261</c:v>
                </c:pt>
                <c:pt idx="3">
                  <c:v>0.41310714218612787</c:v>
                </c:pt>
                <c:pt idx="4">
                  <c:v>0.44171588167627979</c:v>
                </c:pt>
                <c:pt idx="5">
                  <c:v>0.4553193586642813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3-4EFE-8E72-66EF24797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E13-4EFE-8E72-66EF2479751D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5.379762288115673</c:v>
                </c:pt>
                <c:pt idx="1">
                  <c:v>0.43809330043827588</c:v>
                </c:pt>
                <c:pt idx="2">
                  <c:v>0.39977042080264819</c:v>
                </c:pt>
                <c:pt idx="3">
                  <c:v>0.26563851043396564</c:v>
                </c:pt>
                <c:pt idx="4">
                  <c:v>9.3179015156685682E-2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A0-40A1-BA6C-9433541AE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DA0-40A1-BA6C-9433541AEAD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095169402315884E-2"/>
          <c:y val="9.138084662814544E-2"/>
          <c:w val="0.87908252527248909"/>
          <c:h val="0.76452126389784791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1.2332866674257366</c:v>
                </c:pt>
                <c:pt idx="1">
                  <c:v>0.35233147605660647</c:v>
                </c:pt>
                <c:pt idx="2">
                  <c:v>8.7027774777702321E-2</c:v>
                </c:pt>
                <c:pt idx="3">
                  <c:v>0.21629027270876647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97EA-4930-9379-4B0CEBE2F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7EA-4930-9379-4B0CEBE2F838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813701271655131"/>
              <c:y val="0.9318568544450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302029810130722"/>
          <c:y val="0.33819435908636092"/>
          <c:w val="0.19790646493764855"/>
          <c:h val="0.20773393335127968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Gxz</a:t>
            </a:r>
          </a:p>
        </c:rich>
      </c:tx>
      <c:layout>
        <c:manualLayout>
          <c:xMode val="edge"/>
          <c:yMode val="edge"/>
          <c:x val="0.47854053326799401"/>
          <c:y val="2.93939698354787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anisogrid!$C$121:$G$121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</c:numCache>
            </c:num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5.379762288115673</c:v>
                </c:pt>
                <c:pt idx="1">
                  <c:v>0.43809330043827588</c:v>
                </c:pt>
                <c:pt idx="2">
                  <c:v>0.39977042080264819</c:v>
                </c:pt>
                <c:pt idx="3">
                  <c:v>0.26563851043396564</c:v>
                </c:pt>
                <c:pt idx="4">
                  <c:v>9.3179015156685682E-2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E4-46FF-BC08-65685A643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1.724630730944483</c:v>
                      </c:pt>
                      <c:pt idx="1">
                        <c:v>1.9402857452671611</c:v>
                      </c:pt>
                      <c:pt idx="2">
                        <c:v>2.0681841983042517</c:v>
                      </c:pt>
                      <c:pt idx="3">
                        <c:v>2.0937221736820391</c:v>
                      </c:pt>
                      <c:pt idx="4">
                        <c:v>2.1396555618719617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2E4-46FF-BC08-65685A643519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Кол-во ячеек</a:t>
                </a:r>
                <a:r>
                  <a:rPr lang="en-US"/>
                  <a:t> </a:t>
                </a:r>
                <a:r>
                  <a:rPr lang="ru-RU"/>
                  <a:t>вдоль</a:t>
                </a:r>
                <a:r>
                  <a:rPr lang="ru-RU" baseline="0"/>
                  <a:t> Х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/>
              <a:t>Gyz</a:t>
            </a:r>
          </a:p>
        </c:rich>
      </c:tx>
      <c:layout>
        <c:manualLayout>
          <c:xMode val="edge"/>
          <c:yMode val="edge"/>
          <c:x val="0.47854054235084736"/>
          <c:y val="1.34982402034655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1095173427459422E-2"/>
          <c:y val="9.5700085837781834E-2"/>
          <c:w val="0.87908252527248909"/>
          <c:h val="0.76452126389784791"/>
        </c:manualLayout>
      </c:layout>
      <c:scatterChart>
        <c:scatterStyle val="lineMarker"/>
        <c:varyColors val="0"/>
        <c:ser>
          <c:idx val="1"/>
          <c:order val="0"/>
          <c:tx>
            <c:v>Ячейки вдоль Х</c:v>
          </c:tx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1.2332866674257366</c:v>
                </c:pt>
                <c:pt idx="1">
                  <c:v>0.35233147605660647</c:v>
                </c:pt>
                <c:pt idx="2">
                  <c:v>8.7027774777702321E-2</c:v>
                </c:pt>
                <c:pt idx="3">
                  <c:v>0.21629027270876647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3427-43D4-A4EC-E4AEB914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v>Ячейки вдоль Y</c:v>
                </c:tx>
                <c:xVal>
                  <c:numRef>
                    <c:extLst>
                      <c:ext uri="{02D57815-91ED-43cb-92C2-25804820EDAC}">
                        <c15:formulaRef>
                          <c15:sqref>isogrid!$C$144:$E$144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</c:v>
                      </c:pt>
                      <c:pt idx="1">
                        <c:v>6</c:v>
                      </c:pt>
                      <c:pt idx="2">
                        <c:v>10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isogrid!$C$155:$E$155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33.71530378100266</c:v>
                      </c:pt>
                      <c:pt idx="1">
                        <c:v>34.310424089007398</c:v>
                      </c:pt>
                      <c:pt idx="2">
                        <c:v>34.22559515234849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427-43D4-A4EC-E4AEB9142E07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400"/>
                  <a:t>Кол-во ячеек</a:t>
                </a:r>
              </a:p>
            </c:rich>
          </c:tx>
          <c:layout>
            <c:manualLayout>
              <c:xMode val="edge"/>
              <c:yMode val="edge"/>
              <c:x val="0.43813701271655131"/>
              <c:y val="0.9318568544450508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302029810130722"/>
          <c:y val="0.33819435908636092"/>
          <c:w val="0.19790646493764855"/>
          <c:h val="0.20773393335127968"/>
        </c:manualLayout>
      </c:layout>
      <c:overlay val="0"/>
      <c:txPr>
        <a:bodyPr/>
        <a:lstStyle/>
        <a:p>
          <a:pPr>
            <a:defRPr sz="18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</a:t>
            </a: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Gxy</a:t>
            </a:r>
            <a:r>
              <a:rPr lang="ru-RU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/>
          </a:p>
        </c:rich>
      </c:tx>
      <c:layout>
        <c:manualLayout>
          <c:xMode val="edge"/>
          <c:yMode val="edge"/>
          <c:x val="0.21276008357967816"/>
          <c:y val="2.939400761327820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1"/>
          <c:xVal>
            <c:numRef>
              <c:f>anisogrid!$C$102:$E$102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anisogrid!$C$115:$E$115</c:f>
              <c:numCache>
                <c:formatCode>General</c:formatCode>
                <c:ptCount val="3"/>
                <c:pt idx="0">
                  <c:v>0.21783877701813606</c:v>
                </c:pt>
                <c:pt idx="1">
                  <c:v>0.13717413577078744</c:v>
                </c:pt>
                <c:pt idx="2">
                  <c:v>0.13717413577078744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AD-4AE0-8CE1-F088F2EB5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</c:marker>
                <c:xVal>
                  <c:numRef>
                    <c:extLst>
                      <c:ext uri="{02D57815-91ED-43cb-92C2-25804820EDAC}">
                        <c15:formulaRef>
                          <c15:sqref>anisogrid!$C$121:$G$121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anisogrid!$C$134:$G$134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5.379762288115673</c:v>
                      </c:pt>
                      <c:pt idx="1">
                        <c:v>0.43809330043827588</c:v>
                      </c:pt>
                      <c:pt idx="2">
                        <c:v>0.39977042080264819</c:v>
                      </c:pt>
                      <c:pt idx="3">
                        <c:v>0.26563851043396564</c:v>
                      </c:pt>
                      <c:pt idx="4">
                        <c:v>9.3179015156685682E-2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8AD-4AE0-8CE1-F088F2EB568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Кол-во ячеек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ru-RU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вдоль </a:t>
                </a:r>
                <a:r>
                  <a:rPr lang="en-US" sz="1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endParaRPr lang="ru-RU" sz="18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36340219223456688"/>
              <c:y val="0.90260534306265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Процент погрешности Е</a:t>
            </a:r>
            <a:r>
              <a:rPr lang="en-US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z</a:t>
            </a:r>
            <a:r>
              <a:rPr lang="ru-RU" sz="16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GOST Common" panose="020B0604020202020204" pitchFamily="34" charset="0"/>
              </a:rPr>
              <a:t> от количества ячеек вдоль Х</a:t>
            </a:r>
            <a:endParaRPr lang="en-US" sz="16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GOST Common" panose="020B0604020202020204" pitchFamily="34" charset="0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16373716062378213"/>
          <c:y val="3.33461958568152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126849052489405E-2"/>
          <c:y val="7.5526360913817453E-2"/>
          <c:w val="0.92497932147048845"/>
          <c:h val="0.82306308121246496"/>
        </c:manualLayout>
      </c:layout>
      <c:scatterChart>
        <c:scatterStyle val="lineMarker"/>
        <c:varyColors val="0"/>
        <c:ser>
          <c:idx val="0"/>
          <c:order val="1"/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9.3597873279999425E-2</c:v>
                </c:pt>
                <c:pt idx="1">
                  <c:v>0.11879224430592616</c:v>
                </c:pt>
                <c:pt idx="2">
                  <c:v>9.3597873279999425E-2</c:v>
                </c:pt>
                <c:pt idx="3">
                  <c:v>0.13380165683200804</c:v>
                </c:pt>
                <c:pt idx="4">
                  <c:v>0.11875874115298818</c:v>
                </c:pt>
                <c:pt idx="5">
                  <c:v>0.1187654417835477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5-4376-BF13-07DDB8203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BD5-4376-BF13-07DDB8203763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Х</a:t>
                </a:r>
                <a:endParaRPr lang="ru-RU" sz="1400"/>
              </a:p>
            </c:rich>
          </c:tx>
          <c:layout>
            <c:manualLayout>
              <c:xMode val="edge"/>
              <c:yMode val="edge"/>
              <c:x val="0.38042503123245353"/>
              <c:y val="0.896889343917945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1"/>
        <c:minorUnit val="0.1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>
                <a:effectLst/>
              </a:rPr>
              <a:t>Difference in elastic characteristic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608239720387282"/>
          <c:y val="9.06311645058515E-2"/>
          <c:w val="0.85574048611621334"/>
          <c:h val="0.82936113329257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anisogrid!$C$166:$C$177</c:f>
              <c:strCache>
                <c:ptCount val="12"/>
                <c:pt idx="0">
                  <c:v>Ex</c:v>
                </c:pt>
                <c:pt idx="1">
                  <c:v>vyx</c:v>
                </c:pt>
                <c:pt idx="2">
                  <c:v>vzx</c:v>
                </c:pt>
                <c:pt idx="3">
                  <c:v>Ey</c:v>
                </c:pt>
                <c:pt idx="4">
                  <c:v>vxy</c:v>
                </c:pt>
                <c:pt idx="5">
                  <c:v>vzy</c:v>
                </c:pt>
                <c:pt idx="6">
                  <c:v>Ez</c:v>
                </c:pt>
                <c:pt idx="7">
                  <c:v>vxz</c:v>
                </c:pt>
                <c:pt idx="8">
                  <c:v>vyz</c:v>
                </c:pt>
                <c:pt idx="9">
                  <c:v>Gxy</c:v>
                </c:pt>
                <c:pt idx="10">
                  <c:v>Gxz</c:v>
                </c:pt>
                <c:pt idx="11">
                  <c:v>Gyz</c:v>
                </c:pt>
              </c:strCache>
            </c:strRef>
          </c:cat>
          <c:val>
            <c:numRef>
              <c:f>(anisogrid!$C$19,anisogrid!$C$25,anisogrid!$C$31,anisogrid!$C$54,anisogrid!$C$61,anisogrid!$C$67,anisogrid!$C$80,anisogrid!$C$87,anisogrid!$C$93,anisogrid!$C$115,anisogrid!$C$134,anisogrid!$C$155)</c:f>
              <c:numCache>
                <c:formatCode>General</c:formatCode>
                <c:ptCount val="12"/>
                <c:pt idx="0">
                  <c:v>0.13162480770002866</c:v>
                </c:pt>
                <c:pt idx="1">
                  <c:v>1.8377177142423439E-2</c:v>
                </c:pt>
                <c:pt idx="2">
                  <c:v>0.34993193234820069</c:v>
                </c:pt>
                <c:pt idx="3">
                  <c:v>9.1950772359193522E-2</c:v>
                </c:pt>
                <c:pt idx="4">
                  <c:v>1.6759973397296683E-2</c:v>
                </c:pt>
                <c:pt idx="5">
                  <c:v>2.7668831694710579E-2</c:v>
                </c:pt>
                <c:pt idx="6">
                  <c:v>9.3597873279999425E-2</c:v>
                </c:pt>
                <c:pt idx="7">
                  <c:v>0.12539002128714971</c:v>
                </c:pt>
                <c:pt idx="8">
                  <c:v>0.45318235057961881</c:v>
                </c:pt>
                <c:pt idx="9">
                  <c:v>0.21783877701813606</c:v>
                </c:pt>
                <c:pt idx="10">
                  <c:v>5.379762288115673</c:v>
                </c:pt>
                <c:pt idx="11">
                  <c:v>1.2332866674257366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D2-4622-9E51-8D4D91F8C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70976"/>
        <c:axId val="1300265216"/>
      </c:barChart>
      <c:catAx>
        <c:axId val="1300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65216"/>
        <c:crosses val="autoZero"/>
        <c:auto val="1"/>
        <c:lblAlgn val="ctr"/>
        <c:lblOffset val="100"/>
        <c:noMultiLvlLbl val="0"/>
      </c:catAx>
      <c:valAx>
        <c:axId val="13002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Difference,%</a:t>
                </a:r>
                <a:endParaRPr lang="ru-RU" sz="2800"/>
              </a:p>
            </c:rich>
          </c:tx>
          <c:layout>
            <c:manualLayout>
              <c:xMode val="edge"/>
              <c:yMode val="edge"/>
              <c:x val="4.7258608868491984E-3"/>
              <c:y val="0.3835847258310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7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baseline="0">
                <a:latin typeface="GOST Common" panose="020B0604020202020204" pitchFamily="34" charset="0"/>
              </a:rPr>
              <a:t>Difference in elastic characteristics</a:t>
            </a:r>
            <a:endParaRPr lang="ru-RU" sz="2400" b="0" i="0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702088529149225"/>
          <c:y val="3.045902826799805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anisogrid!$C$19:$J$19</c:f>
              <c:numCache>
                <c:formatCode>General</c:formatCode>
                <c:ptCount val="8"/>
                <c:pt idx="0">
                  <c:v>0.13162480770002866</c:v>
                </c:pt>
                <c:pt idx="1">
                  <c:v>0.13162480770002866</c:v>
                </c:pt>
                <c:pt idx="2">
                  <c:v>0.13115785593335688</c:v>
                </c:pt>
                <c:pt idx="3">
                  <c:v>0.13092438005001317</c:v>
                </c:pt>
                <c:pt idx="4">
                  <c:v>0.13078429451999665</c:v>
                </c:pt>
                <c:pt idx="5">
                  <c:v>0.13092438005003001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E9-42B7-813D-1F76FE5710AF}"/>
            </c:ext>
          </c:extLst>
        </c:ser>
        <c:ser>
          <c:idx val="2"/>
          <c:order val="2"/>
          <c:tx>
            <c:v>Ey</c:v>
          </c:tx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anisogrid!$C$54:$H$54</c:f>
              <c:numCache>
                <c:formatCode>General</c:formatCode>
                <c:ptCount val="6"/>
                <c:pt idx="0">
                  <c:v>9.1950772359193522E-2</c:v>
                </c:pt>
                <c:pt idx="1">
                  <c:v>9.1950772359193522E-2</c:v>
                </c:pt>
                <c:pt idx="2">
                  <c:v>0.10083312999022415</c:v>
                </c:pt>
                <c:pt idx="3">
                  <c:v>9.1950772359193522E-2</c:v>
                </c:pt>
                <c:pt idx="4">
                  <c:v>0.10081835069301175</c:v>
                </c:pt>
                <c:pt idx="5">
                  <c:v>6.2392177913119809E-2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7E9-42B7-813D-1F76FE5710AF}"/>
            </c:ext>
          </c:extLst>
        </c:ser>
        <c:ser>
          <c:idx val="3"/>
          <c:order val="3"/>
          <c:tx>
            <c:v>Ez</c:v>
          </c:tx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anisogrid!$C$80:$H$80</c:f>
              <c:numCache>
                <c:formatCode>General</c:formatCode>
                <c:ptCount val="6"/>
                <c:pt idx="0">
                  <c:v>9.3597873279999425E-2</c:v>
                </c:pt>
                <c:pt idx="1">
                  <c:v>0.11879224430592616</c:v>
                </c:pt>
                <c:pt idx="2">
                  <c:v>9.3597873279999425E-2</c:v>
                </c:pt>
                <c:pt idx="3">
                  <c:v>0.13380165683200804</c:v>
                </c:pt>
                <c:pt idx="4">
                  <c:v>0.11875874115298818</c:v>
                </c:pt>
                <c:pt idx="5">
                  <c:v>0.1187654417835477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7E9-42B7-813D-1F76FE5710AF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anisogrid!$C$23:$H$23</c:f>
              <c:numCache>
                <c:formatCode>General</c:formatCode>
                <c:ptCount val="6"/>
                <c:pt idx="0">
                  <c:v>0.23515677687936101</c:v>
                </c:pt>
                <c:pt idx="1">
                  <c:v>0.23515677687936101</c:v>
                </c:pt>
                <c:pt idx="2">
                  <c:v>0.23515567736854212</c:v>
                </c:pt>
                <c:pt idx="3">
                  <c:v>0.23515512761698837</c:v>
                </c:pt>
                <c:pt idx="4">
                  <c:v>0.23515479776728992</c:v>
                </c:pt>
                <c:pt idx="5">
                  <c:v>0.23515512761698837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7E9-42B7-813D-1F76FE5710AF}"/>
            </c:ext>
          </c:extLst>
        </c:ser>
        <c:ser>
          <c:idx val="5"/>
          <c:order val="5"/>
          <c:tx>
            <c:v>Vzx</c:v>
          </c:tx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anisogrid!$C$31:$H$31</c:f>
              <c:numCache>
                <c:formatCode>General</c:formatCode>
                <c:ptCount val="6"/>
                <c:pt idx="0">
                  <c:v>0.34993193234820069</c:v>
                </c:pt>
                <c:pt idx="1">
                  <c:v>0.34993193234820069</c:v>
                </c:pt>
                <c:pt idx="2">
                  <c:v>0.34946273117397147</c:v>
                </c:pt>
                <c:pt idx="3">
                  <c:v>0.34922813223224802</c:v>
                </c:pt>
                <c:pt idx="4">
                  <c:v>0.34908737339370605</c:v>
                </c:pt>
                <c:pt idx="5">
                  <c:v>0.34922813223224802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7E9-42B7-813D-1F76FE5710AF}"/>
            </c:ext>
          </c:extLst>
        </c:ser>
        <c:ser>
          <c:idx val="6"/>
          <c:order val="6"/>
          <c:tx>
            <c:v>Vxy</c:v>
          </c:tx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anisogrid!$C$61:$H$61</c:f>
              <c:numCache>
                <c:formatCode>General</c:formatCode>
                <c:ptCount val="6"/>
                <c:pt idx="0">
                  <c:v>1.6759973397296683E-2</c:v>
                </c:pt>
                <c:pt idx="1">
                  <c:v>1.6759973397296683E-2</c:v>
                </c:pt>
                <c:pt idx="2">
                  <c:v>7.8701405503193763E-3</c:v>
                </c:pt>
                <c:pt idx="3">
                  <c:v>1.6759973397296683E-2</c:v>
                </c:pt>
                <c:pt idx="4">
                  <c:v>7.8849335984845503E-3</c:v>
                </c:pt>
                <c:pt idx="5">
                  <c:v>4.6332064502490486E-2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7E9-42B7-813D-1F76FE5710AF}"/>
            </c:ext>
          </c:extLst>
        </c:ser>
        <c:ser>
          <c:idx val="7"/>
          <c:order val="7"/>
          <c:tx>
            <c:v>Vzy</c:v>
          </c:tx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anisogrid!$C$67:$H$67</c:f>
              <c:numCache>
                <c:formatCode>General</c:formatCode>
                <c:ptCount val="6"/>
                <c:pt idx="0">
                  <c:v>2.7668831694710579E-2</c:v>
                </c:pt>
                <c:pt idx="1">
                  <c:v>2.7668831694710579E-2</c:v>
                </c:pt>
                <c:pt idx="2">
                  <c:v>2.3298489208346762E-2</c:v>
                </c:pt>
                <c:pt idx="3">
                  <c:v>2.7668831694710579E-2</c:v>
                </c:pt>
                <c:pt idx="4">
                  <c:v>3.2463745004027315E-2</c:v>
                </c:pt>
                <c:pt idx="5">
                  <c:v>8.4623293126189339E-2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7E9-42B7-813D-1F76FE5710AF}"/>
            </c:ext>
          </c:extLst>
        </c:ser>
        <c:ser>
          <c:idx val="8"/>
          <c:order val="8"/>
          <c:tx>
            <c:v>Vxz</c:v>
          </c:tx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anisogrid!$C$87:$H$87</c:f>
              <c:numCache>
                <c:formatCode>General</c:formatCode>
                <c:ptCount val="6"/>
                <c:pt idx="0">
                  <c:v>0.12539002128714971</c:v>
                </c:pt>
                <c:pt idx="1">
                  <c:v>0.10019731450660609</c:v>
                </c:pt>
                <c:pt idx="2">
                  <c:v>0.12539002128714971</c:v>
                </c:pt>
                <c:pt idx="3">
                  <c:v>8.518285140842255E-2</c:v>
                </c:pt>
                <c:pt idx="4">
                  <c:v>0.10023082388564125</c:v>
                </c:pt>
                <c:pt idx="5">
                  <c:v>0.10022412201164436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7E9-42B7-813D-1F76FE5710AF}"/>
            </c:ext>
          </c:extLst>
        </c:ser>
        <c:ser>
          <c:idx val="9"/>
          <c:order val="9"/>
          <c:tx>
            <c:v>Gxy</c:v>
          </c:tx>
          <c:xVal>
            <c:multiLvlStrRef>
              <c:f>anisogrid!$C$102:$E$103</c:f>
              <c:multiLvlStrCache>
                <c:ptCount val="3"/>
                <c:lvl>
                  <c:pt idx="0">
                    <c:v>48,64</c:v>
                  </c:pt>
                  <c:pt idx="1">
                    <c:v>97,28</c:v>
                  </c:pt>
                  <c:pt idx="2">
                    <c:v>194,56</c:v>
                  </c:pt>
                </c:lvl>
                <c:lvl>
                  <c:pt idx="0">
                    <c:v>2</c:v>
                  </c:pt>
                  <c:pt idx="1">
                    <c:v>4</c:v>
                  </c:pt>
                  <c:pt idx="2">
                    <c:v>8</c:v>
                  </c:pt>
                </c:lvl>
              </c:multiLvlStrCache>
            </c:multiLvlStrRef>
          </c:xVal>
          <c:yVal>
            <c:numRef>
              <c:f>anisogrid!$C$115:$E$115</c:f>
              <c:numCache>
                <c:formatCode>General</c:formatCode>
                <c:ptCount val="3"/>
                <c:pt idx="0">
                  <c:v>0.21783877701813606</c:v>
                </c:pt>
                <c:pt idx="1">
                  <c:v>0.13717413577078744</c:v>
                </c:pt>
                <c:pt idx="2">
                  <c:v>0.13717413577078744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7E9-42B7-813D-1F76FE5710AF}"/>
            </c:ext>
          </c:extLst>
        </c:ser>
        <c:ser>
          <c:idx val="10"/>
          <c:order val="10"/>
          <c:tx>
            <c:v>Gxz</c:v>
          </c:tx>
          <c:xVal>
            <c:multiLvlStrRef>
              <c:f>anisogrid!$C$121:$G$122</c:f>
              <c:multiLvlStrCache>
                <c:ptCount val="5"/>
                <c:lvl>
                  <c:pt idx="0">
                    <c:v>48,64</c:v>
                  </c:pt>
                  <c:pt idx="1">
                    <c:v>97,28</c:v>
                  </c:pt>
                  <c:pt idx="2">
                    <c:v>145,92</c:v>
                  </c:pt>
                  <c:pt idx="3">
                    <c:v>194,56</c:v>
                  </c:pt>
                  <c:pt idx="4">
                    <c:v>291,84</c:v>
                  </c:pt>
                </c:lvl>
                <c:lvl>
                  <c:pt idx="0">
                    <c:v>2</c:v>
                  </c:pt>
                  <c:pt idx="1">
                    <c:v>4</c:v>
                  </c:pt>
                  <c:pt idx="2">
                    <c:v>6</c:v>
                  </c:pt>
                  <c:pt idx="3">
                    <c:v>8</c:v>
                  </c:pt>
                  <c:pt idx="4">
                    <c:v>12</c:v>
                  </c:pt>
                </c:lvl>
              </c:multiLvlStrCache>
            </c:multiLvlStrRef>
          </c:xVal>
          <c:yVal>
            <c:numRef>
              <c:f>anisogrid!$C$134:$G$134</c:f>
              <c:numCache>
                <c:formatCode>General</c:formatCode>
                <c:ptCount val="5"/>
                <c:pt idx="0">
                  <c:v>5.379762288115673</c:v>
                </c:pt>
                <c:pt idx="1">
                  <c:v>0.43809330043827588</c:v>
                </c:pt>
                <c:pt idx="2">
                  <c:v>0.39977042080264819</c:v>
                </c:pt>
                <c:pt idx="3">
                  <c:v>0.26563851043396564</c:v>
                </c:pt>
                <c:pt idx="4">
                  <c:v>9.3179015156685682E-2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7E9-42B7-813D-1F76FE5710AF}"/>
            </c:ext>
          </c:extLst>
        </c:ser>
        <c:ser>
          <c:idx val="11"/>
          <c:order val="11"/>
          <c:tx>
            <c:v>Gyz</c:v>
          </c:tx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anisogrid!$C$155:$F$155</c:f>
              <c:numCache>
                <c:formatCode>General</c:formatCode>
                <c:ptCount val="4"/>
                <c:pt idx="0">
                  <c:v>1.2332866674257366</c:v>
                </c:pt>
                <c:pt idx="1">
                  <c:v>0.35233147605660647</c:v>
                </c:pt>
                <c:pt idx="2">
                  <c:v>8.7027774777702321E-2</c:v>
                </c:pt>
                <c:pt idx="3">
                  <c:v>0.21629027270876647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7E9-42B7-813D-1F76FE571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A7E9-42B7-813D-1F76FE5710AF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12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29151689435825512"/>
              <c:y val="0.8032256360111849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3200"/>
                </a:pPr>
                <a:r>
                  <a:rPr lang="en-US" sz="3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0.2"/>
        <c:minorUnit val="0.1"/>
      </c:valAx>
    </c:plotArea>
    <c:legend>
      <c:legendPos val="b"/>
      <c:layout>
        <c:manualLayout>
          <c:xMode val="edge"/>
          <c:yMode val="edge"/>
          <c:x val="0.18200068779749085"/>
          <c:y val="0.86074654524359173"/>
          <c:w val="0.64017845054500067"/>
          <c:h val="3.6028343587009563E-2"/>
        </c:manualLayout>
      </c:layout>
      <c:overlay val="0"/>
      <c:txPr>
        <a:bodyPr/>
        <a:lstStyle/>
        <a:p>
          <a:pPr>
            <a:defRPr sz="20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>
                <a:effectLst/>
              </a:rPr>
              <a:t>Difference in elastic characteristic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608239720387282"/>
          <c:y val="9.06311645058515E-2"/>
          <c:w val="0.85574048611621334"/>
          <c:h val="0.82936113329257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anisogrid!$C$166:$C$177</c:f>
              <c:strCache>
                <c:ptCount val="12"/>
                <c:pt idx="0">
                  <c:v>Ex</c:v>
                </c:pt>
                <c:pt idx="1">
                  <c:v>vyx</c:v>
                </c:pt>
                <c:pt idx="2">
                  <c:v>vzx</c:v>
                </c:pt>
                <c:pt idx="3">
                  <c:v>Ey</c:v>
                </c:pt>
                <c:pt idx="4">
                  <c:v>vxy</c:v>
                </c:pt>
                <c:pt idx="5">
                  <c:v>vzy</c:v>
                </c:pt>
                <c:pt idx="6">
                  <c:v>Ez</c:v>
                </c:pt>
                <c:pt idx="7">
                  <c:v>vxz</c:v>
                </c:pt>
                <c:pt idx="8">
                  <c:v>vyz</c:v>
                </c:pt>
                <c:pt idx="9">
                  <c:v>Gxy</c:v>
                </c:pt>
                <c:pt idx="10">
                  <c:v>Gxz</c:v>
                </c:pt>
                <c:pt idx="11">
                  <c:v>Gyz</c:v>
                </c:pt>
              </c:strCache>
            </c:strRef>
          </c:cat>
          <c:val>
            <c:numRef>
              <c:f>(anisogrid!$C$19,anisogrid!$C$25,anisogrid!$C$31,anisogrid!$C$54,anisogrid!$C$61,anisogrid!$C$67,anisogrid!$C$80,anisogrid!$C$87,anisogrid!$C$93,anisogrid!$C$115,anisogrid!$C$134,anisogrid!$C$155)</c:f>
              <c:numCache>
                <c:formatCode>General</c:formatCode>
                <c:ptCount val="12"/>
                <c:pt idx="0">
                  <c:v>0.13162480770002866</c:v>
                </c:pt>
                <c:pt idx="1">
                  <c:v>1.8377177142423439E-2</c:v>
                </c:pt>
                <c:pt idx="2">
                  <c:v>0.34993193234820069</c:v>
                </c:pt>
                <c:pt idx="3">
                  <c:v>9.1950772359193522E-2</c:v>
                </c:pt>
                <c:pt idx="4">
                  <c:v>1.6759973397296683E-2</c:v>
                </c:pt>
                <c:pt idx="5">
                  <c:v>2.7668831694710579E-2</c:v>
                </c:pt>
                <c:pt idx="6">
                  <c:v>9.3597873279999425E-2</c:v>
                </c:pt>
                <c:pt idx="7">
                  <c:v>0.12539002128714971</c:v>
                </c:pt>
                <c:pt idx="8">
                  <c:v>0.45318235057961881</c:v>
                </c:pt>
                <c:pt idx="9">
                  <c:v>0.21783877701813606</c:v>
                </c:pt>
                <c:pt idx="10">
                  <c:v>5.379762288115673</c:v>
                </c:pt>
                <c:pt idx="11">
                  <c:v>1.2332866674257366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4-4631-9219-C8F45866A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70976"/>
        <c:axId val="1300265216"/>
      </c:barChart>
      <c:catAx>
        <c:axId val="1300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65216"/>
        <c:crosses val="autoZero"/>
        <c:auto val="1"/>
        <c:lblAlgn val="ctr"/>
        <c:lblOffset val="100"/>
        <c:noMultiLvlLbl val="0"/>
      </c:catAx>
      <c:valAx>
        <c:axId val="13002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Difference,%</a:t>
                </a:r>
                <a:endParaRPr lang="ru-RU" sz="2800"/>
              </a:p>
            </c:rich>
          </c:tx>
          <c:layout>
            <c:manualLayout>
              <c:xMode val="edge"/>
              <c:yMode val="edge"/>
              <c:x val="4.7258608868491984E-3"/>
              <c:y val="0.3835847258310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7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baseline="0">
                <a:latin typeface="GOST Common" panose="020B0604020202020204" pitchFamily="34" charset="0"/>
              </a:rPr>
              <a:t>Difference in elastic characteristics</a:t>
            </a:r>
            <a:endParaRPr lang="ru-RU" sz="2400" b="0" i="0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702088529149225"/>
          <c:y val="3.0459028267998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ST Common" panose="020B06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anisogrid15!$C$19:$J$19</c:f>
              <c:numCache>
                <c:formatCode>General</c:formatCode>
                <c:ptCount val="8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1-4F46-81F6-B6BD8BDA0FB6}"/>
            </c:ext>
          </c:extLst>
        </c:ser>
        <c:ser>
          <c:idx val="2"/>
          <c:order val="2"/>
          <c:tx>
            <c:v>Ey</c:v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anisogrid15!$C$58:$H$58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1-4F46-81F6-B6BD8BDA0FB6}"/>
            </c:ext>
          </c:extLst>
        </c:ser>
        <c:ser>
          <c:idx val="3"/>
          <c:order val="3"/>
          <c:tx>
            <c:v>Ez</c:v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anisogrid15!$C$87:$H$87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21-4F46-81F6-B6BD8BDA0FB6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anisogrid15!$C$29:$H$29</c:f>
              <c:numCache>
                <c:formatCode>General</c:formatCode>
                <c:ptCount val="6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21-4F46-81F6-B6BD8BDA0FB6}"/>
            </c:ext>
          </c:extLst>
        </c:ser>
        <c:ser>
          <c:idx val="5"/>
          <c:order val="5"/>
          <c:tx>
            <c:v>Vzx</c:v>
          </c:tx>
          <c:spPr>
            <a:ln w="19050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anisogrid15!$C$35:$H$35</c:f>
              <c:numCache>
                <c:formatCode>General</c:formatCode>
                <c:ptCount val="6"/>
                <c:pt idx="0">
                  <c:v>0.35697447295750018</c:v>
                </c:pt>
                <c:pt idx="1">
                  <c:v>0.35697447295750018</c:v>
                </c:pt>
                <c:pt idx="2">
                  <c:v>0.35697447295751905</c:v>
                </c:pt>
                <c:pt idx="3">
                  <c:v>0.10917947425883712</c:v>
                </c:pt>
                <c:pt idx="4">
                  <c:v>0.15864053131133257</c:v>
                </c:pt>
                <c:pt idx="5">
                  <c:v>0.19164173082744368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21-4F46-81F6-B6BD8BDA0FB6}"/>
            </c:ext>
          </c:extLst>
        </c:ser>
        <c:ser>
          <c:idx val="6"/>
          <c:order val="6"/>
          <c:tx>
            <c:v>Vxy</c:v>
          </c:tx>
          <c:spPr>
            <a:ln w="19050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anisogrid15!$C$68:$H$68</c:f>
              <c:numCache>
                <c:formatCode>General</c:formatCode>
                <c:ptCount val="6"/>
                <c:pt idx="0">
                  <c:v>3.7011294223980022E-2</c:v>
                </c:pt>
                <c:pt idx="1">
                  <c:v>3.7011294223980022E-2</c:v>
                </c:pt>
                <c:pt idx="2">
                  <c:v>0.1415431764540703</c:v>
                </c:pt>
                <c:pt idx="3">
                  <c:v>0.54304715099669554</c:v>
                </c:pt>
                <c:pt idx="4">
                  <c:v>0.95745112120088249</c:v>
                </c:pt>
                <c:pt idx="5">
                  <c:v>0.95745112120090192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21-4F46-81F6-B6BD8BDA0FB6}"/>
            </c:ext>
          </c:extLst>
        </c:ser>
        <c:ser>
          <c:idx val="7"/>
          <c:order val="7"/>
          <c:tx>
            <c:v>Vzy</c:v>
          </c:tx>
          <c:spPr>
            <a:ln w="19050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anisogrid15!$C$74:$H$74</c:f>
              <c:numCache>
                <c:formatCode>General</c:formatCode>
                <c:ptCount val="6"/>
                <c:pt idx="0">
                  <c:v>6.4552113460426219E-2</c:v>
                </c:pt>
                <c:pt idx="1">
                  <c:v>5.2013161404380989E-2</c:v>
                </c:pt>
                <c:pt idx="2">
                  <c:v>0.16886886490774836</c:v>
                </c:pt>
                <c:pt idx="3">
                  <c:v>0.28569525187734457</c:v>
                </c:pt>
                <c:pt idx="4">
                  <c:v>0.15664651884319836</c:v>
                </c:pt>
                <c:pt idx="5">
                  <c:v>0.18178623935497232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21-4F46-81F6-B6BD8BDA0FB6}"/>
            </c:ext>
          </c:extLst>
        </c:ser>
        <c:ser>
          <c:idx val="8"/>
          <c:order val="8"/>
          <c:tx>
            <c:v>Vxz</c:v>
          </c:tx>
          <c:spPr>
            <a:ln w="19050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anisogrid15!$C$97:$H$97</c:f>
              <c:numCache>
                <c:formatCode>General</c:formatCode>
                <c:ptCount val="6"/>
                <c:pt idx="0">
                  <c:v>0.74374577417173315</c:v>
                </c:pt>
                <c:pt idx="1">
                  <c:v>0.74374577417173315</c:v>
                </c:pt>
                <c:pt idx="2">
                  <c:v>0.74374577417173315</c:v>
                </c:pt>
                <c:pt idx="3">
                  <c:v>0.51268213707501187</c:v>
                </c:pt>
                <c:pt idx="4">
                  <c:v>0.74374577417173315</c:v>
                </c:pt>
                <c:pt idx="5">
                  <c:v>0.74374577417173315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21-4F46-81F6-B6BD8BDA0FB6}"/>
            </c:ext>
          </c:extLst>
        </c:ser>
        <c:ser>
          <c:idx val="9"/>
          <c:order val="9"/>
          <c:tx>
            <c:v>vyz</c:v>
          </c:tx>
          <c:spPr>
            <a:ln w="19050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6">
                  <a:lumMod val="80000"/>
                </a:schemeClr>
              </a:solidFill>
              <a:ln w="6350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anisogrid15!$C$103:$H$103</c:f>
              <c:numCache>
                <c:formatCode>General</c:formatCode>
                <c:ptCount val="6"/>
                <c:pt idx="0">
                  <c:v>0.59208037622650223</c:v>
                </c:pt>
                <c:pt idx="1">
                  <c:v>0.57946061956154971</c:v>
                </c:pt>
                <c:pt idx="2">
                  <c:v>0.59208037622650223</c:v>
                </c:pt>
                <c:pt idx="3">
                  <c:v>0.69124387699275114</c:v>
                </c:pt>
                <c:pt idx="4">
                  <c:v>0.57946061956157002</c:v>
                </c:pt>
                <c:pt idx="5">
                  <c:v>0.55422110623170573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21-4F46-81F6-B6BD8BDA0FB6}"/>
            </c:ext>
          </c:extLst>
        </c:ser>
        <c:ser>
          <c:idx val="10"/>
          <c:order val="10"/>
          <c:tx>
            <c:v>Gxy</c:v>
          </c:tx>
          <c:spPr>
            <a:ln w="19050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</a:schemeClr>
              </a:solidFill>
              <a:ln w="6350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anisogrid15!$C$112:$E$112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anisogrid15!$C$125:$E$125</c:f>
              <c:numCache>
                <c:formatCode>General</c:formatCode>
                <c:ptCount val="3"/>
                <c:pt idx="0">
                  <c:v>2.4922524965883701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21-4F46-81F6-B6BD8BDA0FB6}"/>
            </c:ext>
          </c:extLst>
        </c:ser>
        <c:ser>
          <c:idx val="11"/>
          <c:order val="11"/>
          <c:tx>
            <c:v>Gxz</c:v>
          </c:tx>
          <c:spPr>
            <a:ln w="19050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</a:schemeClr>
              </a:solidFill>
              <a:ln w="6350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anisogrid15!$C$144:$G$144</c:f>
              <c:numCache>
                <c:formatCode>General</c:formatCode>
                <c:ptCount val="5"/>
                <c:pt idx="0">
                  <c:v>4.5257027960526148</c:v>
                </c:pt>
                <c:pt idx="1">
                  <c:v>0.95401348684211562</c:v>
                </c:pt>
                <c:pt idx="2">
                  <c:v>0.55237774122804872</c:v>
                </c:pt>
                <c:pt idx="3">
                  <c:v>0.42686657072369144</c:v>
                </c:pt>
                <c:pt idx="4">
                  <c:v>0.2654950657894628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821-4F46-81F6-B6BD8BDA0FB6}"/>
            </c:ext>
          </c:extLst>
        </c:ser>
        <c:ser>
          <c:idx val="12"/>
          <c:order val="12"/>
          <c:tx>
            <c:v>Gyz</c:v>
          </c:tx>
          <c:spPr>
            <a:ln w="19050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anisogrid15!$C$165:$F$165</c:f>
              <c:numCache>
                <c:formatCode>General</c:formatCode>
                <c:ptCount val="4"/>
                <c:pt idx="0">
                  <c:v>1.0552919407894694</c:v>
                </c:pt>
                <c:pt idx="1">
                  <c:v>2.345645448879377</c:v>
                </c:pt>
                <c:pt idx="2">
                  <c:v>1.1423789062499954</c:v>
                </c:pt>
                <c:pt idx="3">
                  <c:v>0.10928577302633323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C3-438F-B6D6-08649E0AD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5"/>
                    </a:solidFill>
                    <a:ln w="6350" cap="flat" cmpd="sng" algn="ctr">
                      <a:solidFill>
                        <a:schemeClr val="accent5"/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1821-4F46-81F6-B6BD8BDA0FB6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29151689435825512"/>
              <c:y val="0.80322563601118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  <c:minorUnit val="0.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3153423896636"/>
          <c:y val="0.86074653775977361"/>
          <c:w val="0.75659697163033179"/>
          <c:h val="3.7023108946316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>
                <a:effectLst/>
              </a:rPr>
              <a:t>Difference in elastic characteristic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608239720387282"/>
          <c:y val="9.06311645058515E-2"/>
          <c:w val="0.85574048611621334"/>
          <c:h val="0.82936113329257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anisogrid!$C$166:$C$177</c:f>
              <c:strCache>
                <c:ptCount val="12"/>
                <c:pt idx="0">
                  <c:v>Ex</c:v>
                </c:pt>
                <c:pt idx="1">
                  <c:v>vyx</c:v>
                </c:pt>
                <c:pt idx="2">
                  <c:v>vzx</c:v>
                </c:pt>
                <c:pt idx="3">
                  <c:v>Ey</c:v>
                </c:pt>
                <c:pt idx="4">
                  <c:v>vxy</c:v>
                </c:pt>
                <c:pt idx="5">
                  <c:v>vzy</c:v>
                </c:pt>
                <c:pt idx="6">
                  <c:v>Ez</c:v>
                </c:pt>
                <c:pt idx="7">
                  <c:v>vxz</c:v>
                </c:pt>
                <c:pt idx="8">
                  <c:v>vyz</c:v>
                </c:pt>
                <c:pt idx="9">
                  <c:v>Gxy</c:v>
                </c:pt>
                <c:pt idx="10">
                  <c:v>Gxz</c:v>
                </c:pt>
                <c:pt idx="11">
                  <c:v>Gyz</c:v>
                </c:pt>
              </c:strCache>
            </c:strRef>
          </c:cat>
          <c:val>
            <c:numRef>
              <c:f>(anisogrid!$C$19,anisogrid!$C$25,anisogrid!$C$31,anisogrid!$C$54,anisogrid!$C$61,anisogrid!$C$67,anisogrid!$C$80,anisogrid!$C$87,anisogrid!$C$93,anisogrid!$C$115,anisogrid!$C$134,anisogrid!$C$155)</c:f>
              <c:numCache>
                <c:formatCode>General</c:formatCode>
                <c:ptCount val="12"/>
                <c:pt idx="0">
                  <c:v>0.13162480770002866</c:v>
                </c:pt>
                <c:pt idx="1">
                  <c:v>1.8377177142423439E-2</c:v>
                </c:pt>
                <c:pt idx="2">
                  <c:v>0.34993193234820069</c:v>
                </c:pt>
                <c:pt idx="3">
                  <c:v>9.1950772359193522E-2</c:v>
                </c:pt>
                <c:pt idx="4">
                  <c:v>1.6759973397296683E-2</c:v>
                </c:pt>
                <c:pt idx="5">
                  <c:v>2.7668831694710579E-2</c:v>
                </c:pt>
                <c:pt idx="6">
                  <c:v>9.3597873279999425E-2</c:v>
                </c:pt>
                <c:pt idx="7">
                  <c:v>0.12539002128714971</c:v>
                </c:pt>
                <c:pt idx="8">
                  <c:v>0.45318235057961881</c:v>
                </c:pt>
                <c:pt idx="9">
                  <c:v>0.21783877701813606</c:v>
                </c:pt>
                <c:pt idx="10">
                  <c:v>5.379762288115673</c:v>
                </c:pt>
                <c:pt idx="11">
                  <c:v>1.2332866674257366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E6-48BA-878B-183B3297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70976"/>
        <c:axId val="1300265216"/>
      </c:barChart>
      <c:catAx>
        <c:axId val="1300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65216"/>
        <c:crosses val="autoZero"/>
        <c:auto val="1"/>
        <c:lblAlgn val="ctr"/>
        <c:lblOffset val="100"/>
        <c:noMultiLvlLbl val="0"/>
      </c:catAx>
      <c:valAx>
        <c:axId val="13002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Difference,%</a:t>
                </a:r>
                <a:endParaRPr lang="ru-RU" sz="2800"/>
              </a:p>
            </c:rich>
          </c:tx>
          <c:layout>
            <c:manualLayout>
              <c:xMode val="edge"/>
              <c:yMode val="edge"/>
              <c:x val="4.7258608868491984E-3"/>
              <c:y val="0.3835847258310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7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baseline="0">
                <a:latin typeface="GOST Common" panose="020B0604020202020204" pitchFamily="34" charset="0"/>
              </a:rPr>
              <a:t>Difference in elastic characteristics</a:t>
            </a:r>
            <a:endParaRPr lang="ru-RU" sz="2400" b="0" i="0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702088529149225"/>
          <c:y val="3.0459028267998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ST Common" panose="020B06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713084837080375"/>
          <c:y val="0.10540152214205351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anisogrid15!$C$19:$J$19</c:f>
              <c:numCache>
                <c:formatCode>General</c:formatCode>
                <c:ptCount val="8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1-4DBA-938D-1D377E8389E7}"/>
            </c:ext>
          </c:extLst>
        </c:ser>
        <c:ser>
          <c:idx val="2"/>
          <c:order val="2"/>
          <c:tx>
            <c:v>Ey</c:v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anisogrid15!$C$58:$H$58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11-4DBA-938D-1D377E8389E7}"/>
            </c:ext>
          </c:extLst>
        </c:ser>
        <c:ser>
          <c:idx val="3"/>
          <c:order val="3"/>
          <c:tx>
            <c:v>Ez</c:v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anisogrid15!$C$87:$H$87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11-4DBA-938D-1D377E8389E7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anisogrid15!$C$29:$H$29</c:f>
              <c:numCache>
                <c:formatCode>General</c:formatCode>
                <c:ptCount val="6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11-4DBA-938D-1D377E8389E7}"/>
            </c:ext>
          </c:extLst>
        </c:ser>
        <c:ser>
          <c:idx val="5"/>
          <c:order val="5"/>
          <c:tx>
            <c:v>Vzx</c:v>
          </c:tx>
          <c:spPr>
            <a:ln w="19050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anisogrid15!$C$35:$H$35</c:f>
              <c:numCache>
                <c:formatCode>General</c:formatCode>
                <c:ptCount val="6"/>
                <c:pt idx="0">
                  <c:v>0.35697447295750018</c:v>
                </c:pt>
                <c:pt idx="1">
                  <c:v>0.35697447295750018</c:v>
                </c:pt>
                <c:pt idx="2">
                  <c:v>0.35697447295751905</c:v>
                </c:pt>
                <c:pt idx="3">
                  <c:v>0.10917947425883712</c:v>
                </c:pt>
                <c:pt idx="4">
                  <c:v>0.15864053131133257</c:v>
                </c:pt>
                <c:pt idx="5">
                  <c:v>0.19164173082744368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11-4DBA-938D-1D377E8389E7}"/>
            </c:ext>
          </c:extLst>
        </c:ser>
        <c:ser>
          <c:idx val="6"/>
          <c:order val="6"/>
          <c:tx>
            <c:v>Vxy</c:v>
          </c:tx>
          <c:spPr>
            <a:ln w="19050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anisogrid15!$C$68:$H$68</c:f>
              <c:numCache>
                <c:formatCode>General</c:formatCode>
                <c:ptCount val="6"/>
                <c:pt idx="0">
                  <c:v>3.7011294223980022E-2</c:v>
                </c:pt>
                <c:pt idx="1">
                  <c:v>3.7011294223980022E-2</c:v>
                </c:pt>
                <c:pt idx="2">
                  <c:v>0.1415431764540703</c:v>
                </c:pt>
                <c:pt idx="3">
                  <c:v>0.54304715099669554</c:v>
                </c:pt>
                <c:pt idx="4">
                  <c:v>0.95745112120088249</c:v>
                </c:pt>
                <c:pt idx="5">
                  <c:v>0.95745112120090192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911-4DBA-938D-1D377E8389E7}"/>
            </c:ext>
          </c:extLst>
        </c:ser>
        <c:ser>
          <c:idx val="7"/>
          <c:order val="7"/>
          <c:tx>
            <c:v>Vzy</c:v>
          </c:tx>
          <c:spPr>
            <a:ln w="19050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anisogrid15!$C$74:$H$74</c:f>
              <c:numCache>
                <c:formatCode>General</c:formatCode>
                <c:ptCount val="6"/>
                <c:pt idx="0">
                  <c:v>6.4552113460426219E-2</c:v>
                </c:pt>
                <c:pt idx="1">
                  <c:v>5.2013161404380989E-2</c:v>
                </c:pt>
                <c:pt idx="2">
                  <c:v>0.16886886490774836</c:v>
                </c:pt>
                <c:pt idx="3">
                  <c:v>0.28569525187734457</c:v>
                </c:pt>
                <c:pt idx="4">
                  <c:v>0.15664651884319836</c:v>
                </c:pt>
                <c:pt idx="5">
                  <c:v>0.18178623935497232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11-4DBA-938D-1D377E8389E7}"/>
            </c:ext>
          </c:extLst>
        </c:ser>
        <c:ser>
          <c:idx val="8"/>
          <c:order val="8"/>
          <c:tx>
            <c:v>Vxz</c:v>
          </c:tx>
          <c:spPr>
            <a:ln w="19050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anisogrid15!$C$97:$H$97</c:f>
              <c:numCache>
                <c:formatCode>General</c:formatCode>
                <c:ptCount val="6"/>
                <c:pt idx="0">
                  <c:v>0.74374577417173315</c:v>
                </c:pt>
                <c:pt idx="1">
                  <c:v>0.74374577417173315</c:v>
                </c:pt>
                <c:pt idx="2">
                  <c:v>0.74374577417173315</c:v>
                </c:pt>
                <c:pt idx="3">
                  <c:v>0.51268213707501187</c:v>
                </c:pt>
                <c:pt idx="4">
                  <c:v>0.74374577417173315</c:v>
                </c:pt>
                <c:pt idx="5">
                  <c:v>0.74374577417173315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911-4DBA-938D-1D377E8389E7}"/>
            </c:ext>
          </c:extLst>
        </c:ser>
        <c:ser>
          <c:idx val="9"/>
          <c:order val="9"/>
          <c:tx>
            <c:v>vyz</c:v>
          </c:tx>
          <c:spPr>
            <a:ln w="19050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6">
                  <a:lumMod val="80000"/>
                </a:schemeClr>
              </a:solidFill>
              <a:ln w="6350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anisogrid15!$C$103:$H$103</c:f>
              <c:numCache>
                <c:formatCode>General</c:formatCode>
                <c:ptCount val="6"/>
                <c:pt idx="0">
                  <c:v>0.59208037622650223</c:v>
                </c:pt>
                <c:pt idx="1">
                  <c:v>0.57946061956154971</c:v>
                </c:pt>
                <c:pt idx="2">
                  <c:v>0.59208037622650223</c:v>
                </c:pt>
                <c:pt idx="3">
                  <c:v>0.69124387699275114</c:v>
                </c:pt>
                <c:pt idx="4">
                  <c:v>0.57946061956157002</c:v>
                </c:pt>
                <c:pt idx="5">
                  <c:v>0.55422110623170573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911-4DBA-938D-1D377E8389E7}"/>
            </c:ext>
          </c:extLst>
        </c:ser>
        <c:ser>
          <c:idx val="10"/>
          <c:order val="10"/>
          <c:tx>
            <c:v>Gxy</c:v>
          </c:tx>
          <c:spPr>
            <a:ln w="19050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</a:schemeClr>
              </a:solidFill>
              <a:ln w="6350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anisogrid15!$C$112:$E$112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anisogrid15!$C$125:$E$125</c:f>
              <c:numCache>
                <c:formatCode>General</c:formatCode>
                <c:ptCount val="3"/>
                <c:pt idx="0">
                  <c:v>2.4922524965883701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911-4DBA-938D-1D377E8389E7}"/>
            </c:ext>
          </c:extLst>
        </c:ser>
        <c:ser>
          <c:idx val="11"/>
          <c:order val="11"/>
          <c:tx>
            <c:v>Gxz</c:v>
          </c:tx>
          <c:spPr>
            <a:ln w="19050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</a:schemeClr>
              </a:solidFill>
              <a:ln w="6350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anisogrid15!$C$144:$G$144</c:f>
              <c:numCache>
                <c:formatCode>General</c:formatCode>
                <c:ptCount val="5"/>
                <c:pt idx="0">
                  <c:v>4.5257027960526148</c:v>
                </c:pt>
                <c:pt idx="1">
                  <c:v>0.95401348684211562</c:v>
                </c:pt>
                <c:pt idx="2">
                  <c:v>0.55237774122804872</c:v>
                </c:pt>
                <c:pt idx="3">
                  <c:v>0.42686657072369144</c:v>
                </c:pt>
                <c:pt idx="4">
                  <c:v>0.2654950657894628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911-4DBA-938D-1D377E8389E7}"/>
            </c:ext>
          </c:extLst>
        </c:ser>
        <c:ser>
          <c:idx val="12"/>
          <c:order val="12"/>
          <c:tx>
            <c:v>Gyz</c:v>
          </c:tx>
          <c:spPr>
            <a:ln w="19050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anisogrid15!$C$165:$F$165</c:f>
              <c:numCache>
                <c:formatCode>General</c:formatCode>
                <c:ptCount val="4"/>
                <c:pt idx="0">
                  <c:v>1.0552919407894694</c:v>
                </c:pt>
                <c:pt idx="1">
                  <c:v>2.345645448879377</c:v>
                </c:pt>
                <c:pt idx="2">
                  <c:v>1.1423789062499954</c:v>
                </c:pt>
                <c:pt idx="3">
                  <c:v>0.10928577302633323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911-4DBA-938D-1D377E83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5"/>
                    </a:solidFill>
                    <a:ln w="6350" cap="flat" cmpd="sng" algn="ctr">
                      <a:solidFill>
                        <a:schemeClr val="accent5"/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B911-4DBA-938D-1D377E8389E7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29151689435825512"/>
              <c:y val="0.80322563601118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  <c:minorUnit val="0.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3153423896636"/>
          <c:y val="0.86074653775977361"/>
          <c:w val="0.75659697163033179"/>
          <c:h val="3.7023108946316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6407105293141163E-2"/>
          <c:y val="8.88815874546902E-2"/>
          <c:w val="0.92771063518508656"/>
          <c:h val="0.751875030398245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EB-46FD-B3EB-7832DF2405D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EB-46FD-B3EB-7832DF2405D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EB-46FD-B3EB-7832DF2405D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8EB-46FD-B3EB-7832DF2405D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8EB-46FD-B3EB-7832DF2405D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8EB-46FD-B3EB-7832DF2405D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EB-46FD-B3EB-7832DF2405DC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8EB-46FD-B3EB-7832DF2405DC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8EB-46FD-B3EB-7832DF2405DC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EB-46FD-B3EB-7832DF2405D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8EB-46FD-B3EB-7832DF2405D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8EB-46FD-B3EB-7832DF2405DC}"/>
              </c:ext>
            </c:extLst>
          </c:dPt>
          <c:cat>
            <c:multiLvlStrRef>
              <c:f>'15_stress'!$I$27:$T$28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'15_stress'!$I$29:$T$29</c:f>
              <c:numCache>
                <c:formatCode>General</c:formatCode>
                <c:ptCount val="12"/>
                <c:pt idx="0">
                  <c:v>84.27</c:v>
                </c:pt>
                <c:pt idx="1">
                  <c:v>84.32</c:v>
                </c:pt>
                <c:pt idx="2">
                  <c:v>21.7</c:v>
                </c:pt>
                <c:pt idx="3">
                  <c:v>21.82</c:v>
                </c:pt>
                <c:pt idx="4">
                  <c:v>124.87</c:v>
                </c:pt>
                <c:pt idx="5">
                  <c:v>125</c:v>
                </c:pt>
                <c:pt idx="6">
                  <c:v>62.23</c:v>
                </c:pt>
                <c:pt idx="7">
                  <c:v>62.5</c:v>
                </c:pt>
                <c:pt idx="8">
                  <c:v>453.55799999999999</c:v>
                </c:pt>
                <c:pt idx="9">
                  <c:v>450.88</c:v>
                </c:pt>
                <c:pt idx="10">
                  <c:v>380</c:v>
                </c:pt>
                <c:pt idx="11">
                  <c:v>384.79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B-46FD-B3EB-7832DF240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51875030398245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27-4D2D-A76D-21520BA096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827-4D2D-A76D-21520BA096C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827-4D2D-A76D-21520BA096C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827-4D2D-A76D-21520BA096C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827-4D2D-A76D-21520BA096C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827-4D2D-A76D-21520BA096C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827-4D2D-A76D-21520BA096C8}"/>
              </c:ext>
            </c:extLst>
          </c:dPt>
          <c:cat>
            <c:multiLvlStrRef>
              <c:f>'15_stress'!$Y$27:$AJ$28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'15_stress'!$Y$29:$AJ$29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303.73</c:v>
                </c:pt>
                <c:pt idx="3">
                  <c:v>303.98</c:v>
                </c:pt>
                <c:pt idx="4">
                  <c:v>0</c:v>
                </c:pt>
                <c:pt idx="5">
                  <c:v>0</c:v>
                </c:pt>
                <c:pt idx="6">
                  <c:v>187.35</c:v>
                </c:pt>
                <c:pt idx="7">
                  <c:v>187.5</c:v>
                </c:pt>
                <c:pt idx="8">
                  <c:v>2.5</c:v>
                </c:pt>
                <c:pt idx="9">
                  <c:v>0</c:v>
                </c:pt>
                <c:pt idx="10">
                  <c:v>131.69999999999999</c:v>
                </c:pt>
                <c:pt idx="11">
                  <c:v>134.66999999999999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827-4D2D-A76D-21520BA0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51875030398245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BC4-4AAE-BCB6-39C6593DF4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BC4-4AAE-BCB6-39C6593DF4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0BC4-4AAE-BCB6-39C6593DF4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BC4-4AAE-BCB6-39C6593DF45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BC4-4AAE-BCB6-39C6593DF45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BC4-4AAE-BCB6-39C6593DF454}"/>
              </c:ext>
            </c:extLst>
          </c:dPt>
          <c:cat>
            <c:multiLvlStrRef>
              <c:f>'15_stress'!$AN$27:$AY$28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'15_stress'!$AN$29:$AY$29</c:f>
              <c:numCache>
                <c:formatCode>General</c:formatCode>
                <c:ptCount val="12"/>
                <c:pt idx="0">
                  <c:v>155.61000000000001</c:v>
                </c:pt>
                <c:pt idx="1">
                  <c:v>157.35</c:v>
                </c:pt>
                <c:pt idx="2">
                  <c:v>0</c:v>
                </c:pt>
                <c:pt idx="3">
                  <c:v>0</c:v>
                </c:pt>
                <c:pt idx="4">
                  <c:v>110.88</c:v>
                </c:pt>
                <c:pt idx="5">
                  <c:v>108.25</c:v>
                </c:pt>
                <c:pt idx="6">
                  <c:v>0</c:v>
                </c:pt>
                <c:pt idx="7">
                  <c:v>0</c:v>
                </c:pt>
                <c:pt idx="8">
                  <c:v>136.66999999999999</c:v>
                </c:pt>
                <c:pt idx="9">
                  <c:v>134.66999999999999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C4-4AAE-BCB6-39C6593DF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51875030398245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CCD-4395-8941-75B1F9F0C00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CCD-4395-8941-75B1F9F0C0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CCD-4395-8941-75B1F9F0C00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CCD-4395-8941-75B1F9F0C000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CCD-4395-8941-75B1F9F0C000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CCD-4395-8941-75B1F9F0C00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CCD-4395-8941-75B1F9F0C00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CCD-4395-8941-75B1F9F0C000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CD-4395-8941-75B1F9F0C00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CCD-4395-8941-75B1F9F0C000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CCD-4395-8941-75B1F9F0C000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CCD-4395-8941-75B1F9F0C000}"/>
              </c:ext>
            </c:extLst>
          </c:dPt>
          <c:cat>
            <c:multiLvlStrRef>
              <c:f>'15_stress'!$BC$27:$BN$28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'15_stress'!$BC$29:$BN$29</c:f>
              <c:numCache>
                <c:formatCode>General</c:formatCode>
                <c:ptCount val="12"/>
                <c:pt idx="0">
                  <c:v>62.493000000000002</c:v>
                </c:pt>
                <c:pt idx="1">
                  <c:v>62.5</c:v>
                </c:pt>
                <c:pt idx="2">
                  <c:v>62.493000000000002</c:v>
                </c:pt>
                <c:pt idx="3">
                  <c:v>62.5</c:v>
                </c:pt>
                <c:pt idx="4">
                  <c:v>62.5</c:v>
                </c:pt>
                <c:pt idx="5">
                  <c:v>62.5</c:v>
                </c:pt>
                <c:pt idx="6">
                  <c:v>62.5</c:v>
                </c:pt>
                <c:pt idx="7">
                  <c:v>62.5</c:v>
                </c:pt>
                <c:pt idx="8">
                  <c:v>62.478000000000002</c:v>
                </c:pt>
                <c:pt idx="9">
                  <c:v>62.5</c:v>
                </c:pt>
                <c:pt idx="10">
                  <c:v>62.478000000000002</c:v>
                </c:pt>
                <c:pt idx="11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D-4395-8941-75B1F9F0C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XZ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51875030398245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29-4842-8704-90AE10D137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29-4842-8704-90AE10D137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29-4842-8704-90AE10D1378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29-4842-8704-90AE10D1378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29-4842-8704-90AE10D1378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929-4842-8704-90AE10D1378B}"/>
              </c:ext>
            </c:extLst>
          </c:dPt>
          <c:cat>
            <c:multiLvlStrRef>
              <c:f>'15_stress'!$BQ$27:$CB$28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'15_stress'!$BQ$29:$CB$29</c:f>
              <c:numCache>
                <c:formatCode>General</c:formatCode>
                <c:ptCount val="12"/>
                <c:pt idx="0">
                  <c:v>1.63</c:v>
                </c:pt>
                <c:pt idx="1">
                  <c:v>1.63</c:v>
                </c:pt>
                <c:pt idx="2">
                  <c:v>0</c:v>
                </c:pt>
                <c:pt idx="3">
                  <c:v>0</c:v>
                </c:pt>
                <c:pt idx="4">
                  <c:v>2.2559999999999998</c:v>
                </c:pt>
                <c:pt idx="5">
                  <c:v>2.17</c:v>
                </c:pt>
                <c:pt idx="6">
                  <c:v>0</c:v>
                </c:pt>
                <c:pt idx="7">
                  <c:v>0</c:v>
                </c:pt>
                <c:pt idx="8">
                  <c:v>4.76</c:v>
                </c:pt>
                <c:pt idx="9">
                  <c:v>4.67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9-4842-8704-90AE10D13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YZ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177297927424874E-2"/>
          <c:y val="9.6724578005130402E-2"/>
          <c:w val="0.92771063518508656"/>
          <c:h val="0.751875030398245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3B-46A0-9920-A10493C2DD7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C3B-46A0-9920-A10493C2DD7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3B-46A0-9920-A10493C2DD7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C3B-46A0-9920-A10493C2DD7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C3B-46A0-9920-A10493C2DD7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3B-46A0-9920-A10493C2DD7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C3B-46A0-9920-A10493C2DD7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C3B-46A0-9920-A10493C2DD7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3B-46A0-9920-A10493C2DD7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C3B-46A0-9920-A10493C2DD7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C3B-46A0-9920-A10493C2DD7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C3B-46A0-9920-A10493C2DD75}"/>
              </c:ext>
            </c:extLst>
          </c:dPt>
          <c:cat>
            <c:multiLvlStrRef>
              <c:f>'15_stress'!$CG$27:$CR$28</c:f>
              <c:multiLvlStrCache>
                <c:ptCount val="12"/>
                <c:lvl>
                  <c:pt idx="0">
                    <c:v>diag fem</c:v>
                  </c:pt>
                  <c:pt idx="1">
                    <c:v>diag continuum</c:v>
                  </c:pt>
                  <c:pt idx="2">
                    <c:v>90 fem</c:v>
                  </c:pt>
                  <c:pt idx="3">
                    <c:v>90 continuum </c:v>
                  </c:pt>
                  <c:pt idx="4">
                    <c:v>diag fem</c:v>
                  </c:pt>
                  <c:pt idx="5">
                    <c:v>diag continuum</c:v>
                  </c:pt>
                  <c:pt idx="6">
                    <c:v>90 fem</c:v>
                  </c:pt>
                  <c:pt idx="7">
                    <c:v>90 continuum </c:v>
                  </c:pt>
                  <c:pt idx="8">
                    <c:v>diag fem</c:v>
                  </c:pt>
                  <c:pt idx="9">
                    <c:v>diag continuum</c:v>
                  </c:pt>
                  <c:pt idx="10">
                    <c:v>90 fem</c:v>
                  </c:pt>
                  <c:pt idx="11">
                    <c:v>90 continuum </c:v>
                  </c:pt>
                </c:lvl>
                <c:lvl>
                  <c:pt idx="0">
                    <c:v>30</c:v>
                  </c:pt>
                  <c:pt idx="4">
                    <c:v>60</c:v>
                  </c:pt>
                  <c:pt idx="8">
                    <c:v>120</c:v>
                  </c:pt>
                </c:lvl>
              </c:multiLvlStrCache>
            </c:multiLvlStrRef>
          </c:cat>
          <c:val>
            <c:numRef>
              <c:f>'15_stress'!$CG$29:$CR$29</c:f>
              <c:numCache>
                <c:formatCode>General</c:formatCode>
                <c:ptCount val="12"/>
                <c:pt idx="0">
                  <c:v>1.26</c:v>
                </c:pt>
                <c:pt idx="1">
                  <c:v>1.25</c:v>
                </c:pt>
                <c:pt idx="2">
                  <c:v>4.8179999999999996</c:v>
                </c:pt>
                <c:pt idx="3">
                  <c:v>4.83</c:v>
                </c:pt>
                <c:pt idx="4">
                  <c:v>1.262</c:v>
                </c:pt>
                <c:pt idx="5">
                  <c:v>1.25</c:v>
                </c:pt>
                <c:pt idx="6">
                  <c:v>2.5249999999999999</c:v>
                </c:pt>
                <c:pt idx="7">
                  <c:v>2.5</c:v>
                </c:pt>
                <c:pt idx="8">
                  <c:v>1.39</c:v>
                </c:pt>
                <c:pt idx="9">
                  <c:v>1.25</c:v>
                </c:pt>
                <c:pt idx="10">
                  <c:v>1.5980000000000001</c:v>
                </c:pt>
                <c:pt idx="11">
                  <c:v>1.44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B-46A0-9920-A10493C2D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49679"/>
        <c:axId val="15048719"/>
      </c:barChart>
      <c:catAx>
        <c:axId val="150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8719"/>
        <c:crosses val="autoZero"/>
        <c:auto val="1"/>
        <c:lblAlgn val="ctr"/>
        <c:lblOffset val="100"/>
        <c:noMultiLvlLbl val="0"/>
      </c:catAx>
      <c:valAx>
        <c:axId val="1504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>
                <a:effectLst/>
              </a:rPr>
              <a:t>Difference in elastic characteristic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2608239720387282"/>
          <c:y val="9.06311645058515E-2"/>
          <c:w val="0.85574048611621334"/>
          <c:h val="0.829361133292578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anisogrid!$C$166:$C$177</c:f>
              <c:strCache>
                <c:ptCount val="12"/>
                <c:pt idx="0">
                  <c:v>Ex</c:v>
                </c:pt>
                <c:pt idx="1">
                  <c:v>vyx</c:v>
                </c:pt>
                <c:pt idx="2">
                  <c:v>vzx</c:v>
                </c:pt>
                <c:pt idx="3">
                  <c:v>Ey</c:v>
                </c:pt>
                <c:pt idx="4">
                  <c:v>vxy</c:v>
                </c:pt>
                <c:pt idx="5">
                  <c:v>vzy</c:v>
                </c:pt>
                <c:pt idx="6">
                  <c:v>Ez</c:v>
                </c:pt>
                <c:pt idx="7">
                  <c:v>vxz</c:v>
                </c:pt>
                <c:pt idx="8">
                  <c:v>vyz</c:v>
                </c:pt>
                <c:pt idx="9">
                  <c:v>Gxy</c:v>
                </c:pt>
                <c:pt idx="10">
                  <c:v>Gxz</c:v>
                </c:pt>
                <c:pt idx="11">
                  <c:v>Gyz</c:v>
                </c:pt>
              </c:strCache>
            </c:strRef>
          </c:cat>
          <c:val>
            <c:numRef>
              <c:f>(anisogrid!$C$19,anisogrid!$C$25,anisogrid!$C$31,anisogrid!$C$54,anisogrid!$C$61,anisogrid!$C$67,anisogrid!$C$80,anisogrid!$C$87,anisogrid!$C$93,anisogrid!$C$115,anisogrid!$C$134,anisogrid!$C$155)</c:f>
              <c:numCache>
                <c:formatCode>General</c:formatCode>
                <c:ptCount val="12"/>
                <c:pt idx="0">
                  <c:v>0.13162480770002866</c:v>
                </c:pt>
                <c:pt idx="1">
                  <c:v>1.8377177142423439E-2</c:v>
                </c:pt>
                <c:pt idx="2">
                  <c:v>0.34993193234820069</c:v>
                </c:pt>
                <c:pt idx="3">
                  <c:v>9.1950772359193522E-2</c:v>
                </c:pt>
                <c:pt idx="4">
                  <c:v>1.6759973397296683E-2</c:v>
                </c:pt>
                <c:pt idx="5">
                  <c:v>2.7668831694710579E-2</c:v>
                </c:pt>
                <c:pt idx="6">
                  <c:v>9.3597873279999425E-2</c:v>
                </c:pt>
                <c:pt idx="7">
                  <c:v>0.12539002128714971</c:v>
                </c:pt>
                <c:pt idx="8">
                  <c:v>0.45318235057961881</c:v>
                </c:pt>
                <c:pt idx="9">
                  <c:v>0.21783877701813606</c:v>
                </c:pt>
                <c:pt idx="10">
                  <c:v>5.379762288115673</c:v>
                </c:pt>
                <c:pt idx="11">
                  <c:v>1.2332866674257366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2-4901-87B4-F4719F0A6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0270976"/>
        <c:axId val="1300265216"/>
      </c:barChart>
      <c:catAx>
        <c:axId val="130027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65216"/>
        <c:crosses val="autoZero"/>
        <c:auto val="1"/>
        <c:lblAlgn val="ctr"/>
        <c:lblOffset val="100"/>
        <c:noMultiLvlLbl val="0"/>
      </c:catAx>
      <c:valAx>
        <c:axId val="13002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 baseline="0"/>
                  <a:t>Difference,%</a:t>
                </a:r>
                <a:endParaRPr lang="ru-RU" sz="2800"/>
              </a:p>
            </c:rich>
          </c:tx>
          <c:layout>
            <c:manualLayout>
              <c:xMode val="edge"/>
              <c:yMode val="edge"/>
              <c:x val="4.7258608868491984E-3"/>
              <c:y val="0.38358472583105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002709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baseline="0">
                <a:latin typeface="GOST Common" panose="020B0604020202020204" pitchFamily="34" charset="0"/>
              </a:rPr>
              <a:t>Difference in elastic characteristics</a:t>
            </a:r>
            <a:endParaRPr lang="ru-RU" sz="2400" b="0" i="0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3702088529149225"/>
          <c:y val="3.0459028267998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OST Common" panose="020B06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844233270495507"/>
          <c:h val="0.60529861218328096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6350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xVal>
            <c:numRef>
              <c:f>anisogrid!$C$11:$J$11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anisogrid15!$C$19:$J$19</c:f>
              <c:numCache>
                <c:formatCode>General</c:formatCode>
                <c:ptCount val="8"/>
                <c:pt idx="0">
                  <c:v>0.37652900000000944</c:v>
                </c:pt>
                <c:pt idx="1">
                  <c:v>0.37652900000000944</c:v>
                </c:pt>
                <c:pt idx="2">
                  <c:v>0.37652900000002137</c:v>
                </c:pt>
                <c:pt idx="3">
                  <c:v>0.1299362500000136</c:v>
                </c:pt>
                <c:pt idx="4">
                  <c:v>0.17925480000000391</c:v>
                </c:pt>
                <c:pt idx="5">
                  <c:v>0.21213383333337116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F8-4EE9-82BA-45549B1A6DBC}"/>
            </c:ext>
          </c:extLst>
        </c:ser>
        <c:ser>
          <c:idx val="2"/>
          <c:order val="2"/>
          <c:tx>
            <c:v>Ey</c:v>
          </c:tx>
          <c:spPr>
            <a:ln w="19050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pPr>
              <a:solidFill>
                <a:schemeClr val="accent4"/>
              </a:solidFill>
              <a:ln w="6350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anisogrid15!$C$58:$H$58</c:f>
              <c:numCache>
                <c:formatCode>General</c:formatCode>
                <c:ptCount val="6"/>
                <c:pt idx="0">
                  <c:v>0.24774641697006905</c:v>
                </c:pt>
                <c:pt idx="1">
                  <c:v>0.24774641697006905</c:v>
                </c:pt>
                <c:pt idx="2">
                  <c:v>0.3518719426308482</c:v>
                </c:pt>
                <c:pt idx="3">
                  <c:v>0.45599746829165044</c:v>
                </c:pt>
                <c:pt idx="4">
                  <c:v>3.9495365648539199E-2</c:v>
                </c:pt>
                <c:pt idx="5">
                  <c:v>3.9495365648499585E-2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8-4EE9-82BA-45549B1A6DBC}"/>
            </c:ext>
          </c:extLst>
        </c:ser>
        <c:ser>
          <c:idx val="3"/>
          <c:order val="3"/>
          <c:tx>
            <c:v>Ez</c:v>
          </c:tx>
          <c:spPr>
            <a:ln w="19050" cap="rnd" cmpd="sng" algn="ctr">
              <a:solidFill>
                <a:schemeClr val="accent6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anisogrid15!$C$87:$H$87</c:f>
              <c:numCache>
                <c:formatCode>General</c:formatCode>
                <c:ptCount val="6"/>
                <c:pt idx="0">
                  <c:v>0.21511336000000855</c:v>
                </c:pt>
                <c:pt idx="1">
                  <c:v>0.21511336000000855</c:v>
                </c:pt>
                <c:pt idx="2">
                  <c:v>0.21511335999998285</c:v>
                </c:pt>
                <c:pt idx="3">
                  <c:v>1.4277184000000446E-2</c:v>
                </c:pt>
                <c:pt idx="4">
                  <c:v>0.21511336000000855</c:v>
                </c:pt>
                <c:pt idx="5">
                  <c:v>0.21511335999998285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8-4EE9-82BA-45549B1A6DBC}"/>
            </c:ext>
          </c:extLst>
        </c:ser>
        <c:ser>
          <c:idx val="4"/>
          <c:order val="4"/>
          <c:tx>
            <c:strRef>
              <c:f>anisogrid!$C$167</c:f>
              <c:strCache>
                <c:ptCount val="1"/>
                <c:pt idx="0">
                  <c:v>vyx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5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anisogrid15!$C$29:$H$29</c:f>
              <c:numCache>
                <c:formatCode>General</c:formatCode>
                <c:ptCount val="6"/>
                <c:pt idx="0">
                  <c:v>0.70543462863941941</c:v>
                </c:pt>
                <c:pt idx="1">
                  <c:v>0.70543462863941941</c:v>
                </c:pt>
                <c:pt idx="2">
                  <c:v>0.70543462863940765</c:v>
                </c:pt>
                <c:pt idx="3">
                  <c:v>0.95060639498847566</c:v>
                </c:pt>
                <c:pt idx="4">
                  <c:v>0.90166894755516813</c:v>
                </c:pt>
                <c:pt idx="5">
                  <c:v>0.86901710865811888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8-4EE9-82BA-45549B1A6DBC}"/>
            </c:ext>
          </c:extLst>
        </c:ser>
        <c:ser>
          <c:idx val="5"/>
          <c:order val="5"/>
          <c:tx>
            <c:v>Vzx</c:v>
          </c:tx>
          <c:spPr>
            <a:ln w="19050" cap="rnd" cmpd="sng" algn="ctr">
              <a:solidFill>
                <a:schemeClr val="accent4">
                  <a:lumMod val="6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60000"/>
                </a:schemeClr>
              </a:solidFill>
              <a:ln w="6350" cap="flat" cmpd="sng" algn="ctr">
                <a:solidFill>
                  <a:schemeClr val="accent4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anisogrid!$C$11:$H$11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anisogrid15!$C$35:$H$35</c:f>
              <c:numCache>
                <c:formatCode>General</c:formatCode>
                <c:ptCount val="6"/>
                <c:pt idx="0">
                  <c:v>0.35697447295750018</c:v>
                </c:pt>
                <c:pt idx="1">
                  <c:v>0.35697447295750018</c:v>
                </c:pt>
                <c:pt idx="2">
                  <c:v>0.35697447295751905</c:v>
                </c:pt>
                <c:pt idx="3">
                  <c:v>0.10917947425883712</c:v>
                </c:pt>
                <c:pt idx="4">
                  <c:v>0.15864053131133257</c:v>
                </c:pt>
                <c:pt idx="5">
                  <c:v>0.19164173082744368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8-4EE9-82BA-45549B1A6DBC}"/>
            </c:ext>
          </c:extLst>
        </c:ser>
        <c:ser>
          <c:idx val="6"/>
          <c:order val="6"/>
          <c:tx>
            <c:v>Vxy</c:v>
          </c:tx>
          <c:spPr>
            <a:ln w="19050" cap="rnd" cmpd="sng" algn="ctr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anisogrid15!$C$68:$H$68</c:f>
              <c:numCache>
                <c:formatCode>General</c:formatCode>
                <c:ptCount val="6"/>
                <c:pt idx="0">
                  <c:v>3.7011294223980022E-2</c:v>
                </c:pt>
                <c:pt idx="1">
                  <c:v>3.7011294223980022E-2</c:v>
                </c:pt>
                <c:pt idx="2">
                  <c:v>0.1415431764540703</c:v>
                </c:pt>
                <c:pt idx="3">
                  <c:v>0.54304715099669554</c:v>
                </c:pt>
                <c:pt idx="4">
                  <c:v>0.95745112120088249</c:v>
                </c:pt>
                <c:pt idx="5">
                  <c:v>0.95745112120090192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8-4EE9-82BA-45549B1A6DBC}"/>
            </c:ext>
          </c:extLst>
        </c:ser>
        <c:ser>
          <c:idx val="7"/>
          <c:order val="7"/>
          <c:tx>
            <c:v>Vzy</c:v>
          </c:tx>
          <c:spPr>
            <a:ln w="19050" cap="rnd" cmpd="sng" algn="ctr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5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anisogrid!$C$48:$H$48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anisogrid15!$C$74:$H$74</c:f>
              <c:numCache>
                <c:formatCode>General</c:formatCode>
                <c:ptCount val="6"/>
                <c:pt idx="0">
                  <c:v>6.4552113460426219E-2</c:v>
                </c:pt>
                <c:pt idx="1">
                  <c:v>5.2013161404380989E-2</c:v>
                </c:pt>
                <c:pt idx="2">
                  <c:v>0.16886886490774836</c:v>
                </c:pt>
                <c:pt idx="3">
                  <c:v>0.28569525187734457</c:v>
                </c:pt>
                <c:pt idx="4">
                  <c:v>0.15664651884319836</c:v>
                </c:pt>
                <c:pt idx="5">
                  <c:v>0.18178623935497232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F8-4EE9-82BA-45549B1A6DBC}"/>
            </c:ext>
          </c:extLst>
        </c:ser>
        <c:ser>
          <c:idx val="8"/>
          <c:order val="8"/>
          <c:tx>
            <c:v>Vxz</c:v>
          </c:tx>
          <c:spPr>
            <a:ln w="19050" cap="rnd" cmpd="sng" algn="ctr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  <a:lumOff val="20000"/>
                </a:schemeClr>
              </a:solidFill>
              <a:ln w="6350" cap="flat" cmpd="sng" algn="ctr">
                <a:solidFill>
                  <a:schemeClr val="accent4">
                    <a:lumMod val="80000"/>
                    <a:lumOff val="2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anisogrid!$C$74:$H$74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anisogrid15!$C$97:$H$97</c:f>
              <c:numCache>
                <c:formatCode>General</c:formatCode>
                <c:ptCount val="6"/>
                <c:pt idx="0">
                  <c:v>0.74374577417173315</c:v>
                </c:pt>
                <c:pt idx="1">
                  <c:v>0.74374577417173315</c:v>
                </c:pt>
                <c:pt idx="2">
                  <c:v>0.74374577417173315</c:v>
                </c:pt>
                <c:pt idx="3">
                  <c:v>0.51268213707501187</c:v>
                </c:pt>
                <c:pt idx="4">
                  <c:v>0.74374577417173315</c:v>
                </c:pt>
                <c:pt idx="5">
                  <c:v>0.74374577417173315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F8-4EE9-82BA-45549B1A6DBC}"/>
            </c:ext>
          </c:extLst>
        </c:ser>
        <c:ser>
          <c:idx val="9"/>
          <c:order val="9"/>
          <c:tx>
            <c:v>vyz</c:v>
          </c:tx>
          <c:spPr>
            <a:ln w="19050" cap="rnd" cmpd="sng" algn="ctr">
              <a:solidFill>
                <a:schemeClr val="accent6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6">
                  <a:lumMod val="80000"/>
                </a:schemeClr>
              </a:solidFill>
              <a:ln w="6350" cap="flat" cmpd="sng" algn="ctr">
                <a:solidFill>
                  <a:schemeClr val="accent6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anisogrid15!$C$103:$H$103</c:f>
              <c:numCache>
                <c:formatCode>General</c:formatCode>
                <c:ptCount val="6"/>
                <c:pt idx="0">
                  <c:v>0.59208037622650223</c:v>
                </c:pt>
                <c:pt idx="1">
                  <c:v>0.57946061956154971</c:v>
                </c:pt>
                <c:pt idx="2">
                  <c:v>0.59208037622650223</c:v>
                </c:pt>
                <c:pt idx="3">
                  <c:v>0.69124387699275114</c:v>
                </c:pt>
                <c:pt idx="4">
                  <c:v>0.57946061956157002</c:v>
                </c:pt>
                <c:pt idx="5">
                  <c:v>0.55422110623170573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5F8-4EE9-82BA-45549B1A6DBC}"/>
            </c:ext>
          </c:extLst>
        </c:ser>
        <c:ser>
          <c:idx val="10"/>
          <c:order val="10"/>
          <c:tx>
            <c:v>Gxy</c:v>
          </c:tx>
          <c:spPr>
            <a:ln w="19050" cap="rnd" cmpd="sng" algn="ctr">
              <a:solidFill>
                <a:schemeClr val="accent5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5">
                  <a:lumMod val="80000"/>
                </a:schemeClr>
              </a:solidFill>
              <a:ln w="6350" cap="flat" cmpd="sng" algn="ctr">
                <a:solidFill>
                  <a:schemeClr val="accent5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anisogrid15!$C$112:$E$112</c:f>
              <c:numCache>
                <c:formatCode>General</c:formatCode>
                <c:ptCount val="3"/>
                <c:pt idx="0">
                  <c:v>2</c:v>
                </c:pt>
                <c:pt idx="1">
                  <c:v>4</c:v>
                </c:pt>
                <c:pt idx="2">
                  <c:v>8</c:v>
                </c:pt>
              </c:numCache>
            </c:numRef>
          </c:xVal>
          <c:yVal>
            <c:numRef>
              <c:f>anisogrid15!$C$125:$E$125</c:f>
              <c:numCache>
                <c:formatCode>General</c:formatCode>
                <c:ptCount val="3"/>
                <c:pt idx="0">
                  <c:v>2.4922524965883701</c:v>
                </c:pt>
                <c:pt idx="1">
                  <c:v>1.9871348433590568</c:v>
                </c:pt>
                <c:pt idx="2">
                  <c:v>1.8981667117713572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5F8-4EE9-82BA-45549B1A6DBC}"/>
            </c:ext>
          </c:extLst>
        </c:ser>
        <c:ser>
          <c:idx val="11"/>
          <c:order val="11"/>
          <c:tx>
            <c:v>Gxz</c:v>
          </c:tx>
          <c:spPr>
            <a:ln w="19050" cap="rnd" cmpd="sng" algn="ctr">
              <a:solidFill>
                <a:schemeClr val="accent4">
                  <a:lumMod val="80000"/>
                </a:schemeClr>
              </a:solidFill>
              <a:prstDash val="solid"/>
              <a:round/>
            </a:ln>
            <a:effectLst/>
          </c:spPr>
          <c:marker>
            <c:spPr>
              <a:solidFill>
                <a:schemeClr val="accent4">
                  <a:lumMod val="80000"/>
                </a:schemeClr>
              </a:solidFill>
              <a:ln w="6350" cap="flat" cmpd="sng" algn="ctr">
                <a:solidFill>
                  <a:schemeClr val="accent4">
                    <a:lumMod val="8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anisogrid!$C$141:$F$141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</c:numCache>
            </c:numRef>
          </c:xVal>
          <c:yVal>
            <c:numRef>
              <c:f>anisogrid15!$C$144:$G$144</c:f>
              <c:numCache>
                <c:formatCode>General</c:formatCode>
                <c:ptCount val="5"/>
                <c:pt idx="0">
                  <c:v>4.5257027960526148</c:v>
                </c:pt>
                <c:pt idx="1">
                  <c:v>0.95401348684211562</c:v>
                </c:pt>
                <c:pt idx="2">
                  <c:v>0.55237774122804872</c:v>
                </c:pt>
                <c:pt idx="3">
                  <c:v>0.42686657072369144</c:v>
                </c:pt>
                <c:pt idx="4">
                  <c:v>0.2654950657894628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5F8-4EE9-82BA-45549B1A6DBC}"/>
            </c:ext>
          </c:extLst>
        </c:ser>
        <c:ser>
          <c:idx val="12"/>
          <c:order val="12"/>
          <c:tx>
            <c:v>Gyz</c:v>
          </c:tx>
          <c:spPr>
            <a:ln w="19050" cap="rnd" cmpd="sng" algn="ctr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pPr>
              <a:noFill/>
              <a:ln w="6350" cap="flat" cmpd="sng" algn="ctr">
                <a:solidFill>
                  <a:schemeClr val="accent6">
                    <a:lumMod val="60000"/>
                    <a:lumOff val="40000"/>
                  </a:schemeClr>
                </a:solidFill>
                <a:prstDash val="solid"/>
                <a:round/>
              </a:ln>
              <a:effectLst/>
            </c:spPr>
          </c:marker>
          <c:xVal>
            <c:numRef>
              <c:f>anisogrid15!$C$81:$H$81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xVal>
          <c:yVal>
            <c:numRef>
              <c:f>anisogrid15!$C$165:$F$165</c:f>
              <c:numCache>
                <c:formatCode>General</c:formatCode>
                <c:ptCount val="4"/>
                <c:pt idx="0">
                  <c:v>1.0552919407894694</c:v>
                </c:pt>
                <c:pt idx="1">
                  <c:v>2.345645448879377</c:v>
                </c:pt>
                <c:pt idx="2">
                  <c:v>1.1423789062499954</c:v>
                </c:pt>
                <c:pt idx="3">
                  <c:v>0.10928577302633323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5F8-4EE9-82BA-45549B1A6D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spPr>
                  <a:ln w="19050" cap="rnd" cmpd="sng" algn="ctr">
                    <a:solidFill>
                      <a:schemeClr val="accent5"/>
                    </a:solidFill>
                    <a:prstDash val="solid"/>
                    <a:round/>
                  </a:ln>
                  <a:effectLst/>
                </c:spPr>
                <c:marker>
                  <c:spPr>
                    <a:solidFill>
                      <a:schemeClr val="accent5"/>
                    </a:solidFill>
                    <a:ln w="6350" cap="flat" cmpd="sng" algn="ctr">
                      <a:solidFill>
                        <a:schemeClr val="accent5"/>
                      </a:solidFill>
                      <a:prstDash val="solid"/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75F8-4EE9-82BA-45549B1A6DBC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effectLst/>
                  </a:rPr>
                  <a:t>Model dimensions in number of cells</a:t>
                </a:r>
              </a:p>
            </c:rich>
          </c:tx>
          <c:layout>
            <c:manualLayout>
              <c:xMode val="edge"/>
              <c:yMode val="edge"/>
              <c:x val="0.29151689435825512"/>
              <c:y val="0.803225636011184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1"/>
        <c:minorUnit val="0.1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23153423896636"/>
          <c:y val="0.86074653775977361"/>
          <c:w val="0.75659697163033179"/>
          <c:h val="3.70231089463164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/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Изменение Ех от количества ячеек</a:t>
            </a:r>
            <a:r>
              <a:rPr lang="ru-RU" baseline="0"/>
              <a:t> по </a:t>
            </a:r>
            <a:r>
              <a:rPr lang="en-US" baseline="0"/>
              <a:t>Y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'Сравнение КПО'!$G$74:$L$74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cat>
          <c:val>
            <c:numRef>
              <c:f>'Сравнение КПО'!$G$82:$L$82</c:f>
              <c:numCache>
                <c:formatCode>General</c:formatCode>
                <c:ptCount val="6"/>
                <c:pt idx="0">
                  <c:v>13011.399266352939</c:v>
                </c:pt>
                <c:pt idx="1">
                  <c:v>17325.339130063534</c:v>
                </c:pt>
                <c:pt idx="2">
                  <c:v>18781.671984474673</c:v>
                </c:pt>
                <c:pt idx="3">
                  <c:v>19481.89066339075</c:v>
                </c:pt>
                <c:pt idx="4">
                  <c:v>19916.01916288232</c:v>
                </c:pt>
                <c:pt idx="5">
                  <c:v>20208.572962337079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43-44E6-BE92-4BFEE73F9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5320975"/>
        <c:axId val="985301295"/>
      </c:lineChart>
      <c:catAx>
        <c:axId val="98532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301295"/>
        <c:crosses val="autoZero"/>
        <c:auto val="1"/>
        <c:lblAlgn val="ctr"/>
        <c:lblOffset val="100"/>
        <c:noMultiLvlLbl val="0"/>
      </c:catAx>
      <c:valAx>
        <c:axId val="985301295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8532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Difference for model</a:t>
            </a:r>
            <a:r>
              <a:rPr lang="en-US" baseline="0">
                <a:solidFill>
                  <a:sysClr val="windowText" lastClr="000000"/>
                </a:solidFill>
              </a:rPr>
              <a:t> with idealized continuity conditions</a:t>
            </a:r>
            <a:endParaRPr lang="ru-RU" u="none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716111111111111"/>
          <c:y val="3.2404867655823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'Сравнение КПО'!$I$219</c:f>
              <c:numCache>
                <c:formatCode>General</c:formatCode>
                <c:ptCount val="1"/>
                <c:pt idx="0">
                  <c:v>0.22331105413158958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7-4E0A-8CF4-D65F984E53F1}"/>
            </c:ext>
          </c:extLst>
        </c:ser>
        <c:ser>
          <c:idx val="1"/>
          <c:order val="1"/>
          <c:tx>
            <c:v>Vyx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'Сравнение КПО'!$M$214</c:f>
              <c:numCache>
                <c:formatCode>General</c:formatCode>
                <c:ptCount val="1"/>
                <c:pt idx="0">
                  <c:v>0.10599763569079025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7-4E0A-8CF4-D65F984E53F1}"/>
            </c:ext>
          </c:extLst>
        </c:ser>
        <c:ser>
          <c:idx val="2"/>
          <c:order val="2"/>
          <c:tx>
            <c:v>Vzx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'Сравнение КПО'!$M$217</c:f>
              <c:numCache>
                <c:formatCode>General</c:formatCode>
                <c:ptCount val="1"/>
                <c:pt idx="0">
                  <c:v>7.1640080236888906E-2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97-4E0A-8CF4-D65F984E5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155824"/>
        <c:axId val="1596157264"/>
      </c:barChart>
      <c:catAx>
        <c:axId val="15961558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596157264"/>
        <c:crosses val="autoZero"/>
        <c:auto val="1"/>
        <c:lblAlgn val="ctr"/>
        <c:lblOffset val="100"/>
        <c:noMultiLvlLbl val="0"/>
      </c:catAx>
      <c:valAx>
        <c:axId val="15961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Difference,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61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Difference for model</a:t>
            </a:r>
            <a:r>
              <a:rPr lang="en-US" baseline="0">
                <a:solidFill>
                  <a:sysClr val="windowText" lastClr="000000"/>
                </a:solidFill>
              </a:rPr>
              <a:t> with free faces</a:t>
            </a:r>
            <a:endParaRPr lang="ru-RU" u="none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'Сравнение КПО'!$I$232</c:f>
              <c:numCache>
                <c:formatCode>General</c:formatCode>
                <c:ptCount val="1"/>
                <c:pt idx="0">
                  <c:v>0.7113651889210465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E-4369-BFE2-F1CFA01429F8}"/>
            </c:ext>
          </c:extLst>
        </c:ser>
        <c:ser>
          <c:idx val="1"/>
          <c:order val="1"/>
          <c:tx>
            <c:v>Vyx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'Сравнение КПО'!$M$227</c:f>
              <c:numCache>
                <c:formatCode>General</c:formatCode>
                <c:ptCount val="1"/>
                <c:pt idx="0">
                  <c:v>6.8936605593187243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E-4369-BFE2-F1CFA01429F8}"/>
            </c:ext>
          </c:extLst>
        </c:ser>
        <c:ser>
          <c:idx val="2"/>
          <c:order val="2"/>
          <c:tx>
            <c:v>Vzx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'Сравнение КПО'!$M$230</c:f>
              <c:numCache>
                <c:formatCode>General</c:formatCode>
                <c:ptCount val="1"/>
                <c:pt idx="0">
                  <c:v>26.443111455108376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9E-4369-BFE2-F1CFA014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155824"/>
        <c:axId val="1596157264"/>
      </c:barChart>
      <c:catAx>
        <c:axId val="15961558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596157264"/>
        <c:crosses val="autoZero"/>
        <c:auto val="1"/>
        <c:lblAlgn val="ctr"/>
        <c:lblOffset val="100"/>
        <c:noMultiLvlLbl val="0"/>
      </c:catAx>
      <c:valAx>
        <c:axId val="159615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Difference,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9615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</a:t>
            </a:r>
            <a:r>
              <a:rPr lang="en-US" sz="1600" b="1" i="1" baseline="0">
                <a:latin typeface="GOST Common" panose="020B0604020202020204" pitchFamily="34" charset="0"/>
              </a:rPr>
              <a:t>E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47231933615048172"/>
          <c:y val="3.04588806037426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68716047153643"/>
          <c:y val="8.8255000452555951E-2"/>
          <c:w val="0.8643750240769188"/>
          <c:h val="0.76441119369530441"/>
        </c:manualLayout>
      </c:layout>
      <c:scatterChart>
        <c:scatterStyle val="lineMarker"/>
        <c:varyColors val="0"/>
        <c:ser>
          <c:idx val="0"/>
          <c:order val="1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Шестигранник!$B$18:$G$18</c:f>
              <c:numCache>
                <c:formatCode>General</c:formatCode>
                <c:ptCount val="6"/>
                <c:pt idx="0">
                  <c:v>15141</c:v>
                </c:pt>
                <c:pt idx="1">
                  <c:v>15141</c:v>
                </c:pt>
                <c:pt idx="2">
                  <c:v>15141</c:v>
                </c:pt>
                <c:pt idx="3">
                  <c:v>15141</c:v>
                </c:pt>
                <c:pt idx="4">
                  <c:v>15141</c:v>
                </c:pt>
                <c:pt idx="5">
                  <c:v>15141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E-4937-B19A-73BC6A89327B}"/>
            </c:ext>
          </c:extLst>
        </c:ser>
        <c:ser>
          <c:idx val="2"/>
          <c:order val="2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Шестигранник!$B$17:$G$17</c:f>
              <c:numCache>
                <c:formatCode>General</c:formatCode>
                <c:ptCount val="6"/>
                <c:pt idx="0">
                  <c:v>4471.8952913719868</c:v>
                </c:pt>
                <c:pt idx="1">
                  <c:v>9445.7380134081741</c:v>
                </c:pt>
                <c:pt idx="2">
                  <c:v>11368.028556487736</c:v>
                </c:pt>
                <c:pt idx="3">
                  <c:v>12365.98526182826</c:v>
                </c:pt>
                <c:pt idx="4">
                  <c:v>12959.552554396018</c:v>
                </c:pt>
                <c:pt idx="5">
                  <c:v>13332.872998349814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CE-4937-B19A-73BC6A893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3CE-4937-B19A-73BC6A89327B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Y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000"/>
        <c:minorUnit val="10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Ex difference</a:t>
            </a:r>
            <a:r>
              <a:rPr lang="en-US" sz="2400" b="0" i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 for nonideal model with mid intersictions </a:t>
            </a:r>
            <a:endParaRPr lang="ru-RU" sz="2400" b="0" i="0">
              <a:solidFill>
                <a:sysClr val="windowText" lastClr="000000"/>
              </a:solidFill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25527327124012872"/>
          <c:y val="4.78588417386212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6904144967799043"/>
          <c:h val="0.47332718400949358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Шестигранник!$B$19:$G$19</c:f>
              <c:numCache>
                <c:formatCode>General</c:formatCode>
                <c:ptCount val="6"/>
                <c:pt idx="0">
                  <c:v>238.58127289368417</c:v>
                </c:pt>
                <c:pt idx="1">
                  <c:v>60.294515669473704</c:v>
                </c:pt>
                <c:pt idx="2">
                  <c:v>33.189320599999981</c:v>
                </c:pt>
                <c:pt idx="3">
                  <c:v>22.440708762105263</c:v>
                </c:pt>
                <c:pt idx="4">
                  <c:v>16.832737368421043</c:v>
                </c:pt>
                <c:pt idx="5">
                  <c:v>13.561420722105238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9-473C-9535-920DDEF29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B-4489-473C-9535-920DDEF29151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1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solidFill>
                      <a:sysClr val="windowText" lastClr="000000"/>
                    </a:solidFill>
                    <a:effectLst/>
                  </a:rPr>
                  <a:t>Number of cells in Y direction</a:t>
                </a:r>
              </a:p>
            </c:rich>
          </c:tx>
          <c:layout>
            <c:manualLayout>
              <c:xMode val="edge"/>
              <c:yMode val="edge"/>
              <c:x val="0.36675302241253299"/>
              <c:y val="0.784107677561725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3200">
                    <a:solidFill>
                      <a:sysClr val="windowText" lastClr="000000"/>
                    </a:solidFill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/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0"/>
        <c:minorUnit val="0.1"/>
      </c:valAx>
    </c:plotArea>
    <c:legend>
      <c:legendPos val="b"/>
      <c:layout>
        <c:manualLayout>
          <c:xMode val="edge"/>
          <c:yMode val="edge"/>
          <c:x val="0.21784898639083583"/>
          <c:y val="0.87072627574647055"/>
          <c:w val="0.65422976961467005"/>
          <c:h val="3.7497621957377644E-2"/>
        </c:manualLayout>
      </c:layout>
      <c:overlay val="0"/>
      <c:txPr>
        <a:bodyPr/>
        <a:lstStyle/>
        <a:p>
          <a:pPr>
            <a:defRPr sz="20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ru-RU" sz="1600" b="1" i="1" baseline="0">
                <a:latin typeface="GOST Common" panose="020B0604020202020204" pitchFamily="34" charset="0"/>
              </a:rPr>
              <a:t> </a:t>
            </a:r>
            <a:r>
              <a:rPr lang="en-US" sz="1600" b="1" i="1" baseline="0">
                <a:latin typeface="GOST Common" panose="020B0604020202020204" pitchFamily="34" charset="0"/>
              </a:rPr>
              <a:t>E</a:t>
            </a:r>
            <a:r>
              <a:rPr lang="ru-RU" sz="1600" b="1" i="1" baseline="0">
                <a:latin typeface="GOST Common" panose="020B0604020202020204" pitchFamily="34" charset="0"/>
              </a:rPr>
              <a:t>х</a:t>
            </a:r>
            <a:endParaRPr lang="ru-RU" sz="1600" b="1" i="1"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47231933615048172"/>
          <c:y val="3.045888060374262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68716047153643"/>
          <c:y val="8.8255000452555951E-2"/>
          <c:w val="0.8643750240769188"/>
          <c:h val="0.76441119369530441"/>
        </c:manualLayout>
      </c:layout>
      <c:scatterChart>
        <c:scatterStyle val="lineMarker"/>
        <c:varyColors val="0"/>
        <c:ser>
          <c:idx val="0"/>
          <c:order val="1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Шестигранник!$B$18:$G$18</c:f>
              <c:numCache>
                <c:formatCode>General</c:formatCode>
                <c:ptCount val="6"/>
                <c:pt idx="0">
                  <c:v>15141</c:v>
                </c:pt>
                <c:pt idx="1">
                  <c:v>15141</c:v>
                </c:pt>
                <c:pt idx="2">
                  <c:v>15141</c:v>
                </c:pt>
                <c:pt idx="3">
                  <c:v>15141</c:v>
                </c:pt>
                <c:pt idx="4">
                  <c:v>15141</c:v>
                </c:pt>
                <c:pt idx="5">
                  <c:v>15141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5-47BC-878F-CAC384654631}"/>
            </c:ext>
          </c:extLst>
        </c:ser>
        <c:ser>
          <c:idx val="2"/>
          <c:order val="2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Шестигранник!$B$17:$G$17</c:f>
              <c:numCache>
                <c:formatCode>General</c:formatCode>
                <c:ptCount val="6"/>
                <c:pt idx="0">
                  <c:v>4471.8952913719868</c:v>
                </c:pt>
                <c:pt idx="1">
                  <c:v>9445.7380134081741</c:v>
                </c:pt>
                <c:pt idx="2">
                  <c:v>11368.028556487736</c:v>
                </c:pt>
                <c:pt idx="3">
                  <c:v>12365.98526182826</c:v>
                </c:pt>
                <c:pt idx="4">
                  <c:v>12959.552554396018</c:v>
                </c:pt>
                <c:pt idx="5">
                  <c:v>13332.872998349814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85-47BC-878F-CAC384654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585-47BC-878F-CAC384654631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Кол-во ячеек</a:t>
                </a:r>
                <a:r>
                  <a:rPr lang="en-US" sz="1400"/>
                  <a:t> </a:t>
                </a:r>
                <a:r>
                  <a:rPr lang="ru-RU" sz="1400"/>
                  <a:t>вдоль</a:t>
                </a:r>
                <a:r>
                  <a:rPr lang="ru-RU" sz="1400" baseline="0"/>
                  <a:t> </a:t>
                </a:r>
                <a:r>
                  <a:rPr lang="en-US" sz="1400" baseline="0"/>
                  <a:t>Y</a:t>
                </a:r>
                <a:endParaRPr lang="ru-RU" sz="14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000"/>
        <c:minorUnit val="100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24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  <a:ea typeface="+mn-ea"/>
                <a:cs typeface="+mn-cs"/>
              </a:defRPr>
            </a:pPr>
            <a:r>
              <a:rPr lang="en-US" sz="2400" b="0" i="0" u="none" strike="noStrike" kern="1200" spc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Ex difference</a:t>
            </a:r>
            <a:r>
              <a:rPr lang="en-US" sz="2400" b="0" i="0" baseline="0">
                <a:solidFill>
                  <a:sysClr val="windowText" lastClr="000000"/>
                </a:solidFill>
                <a:latin typeface="GOST Common" panose="020B0604020202020204" pitchFamily="34" charset="0"/>
              </a:rPr>
              <a:t> for nonideal model with mid intersictions </a:t>
            </a:r>
            <a:endParaRPr lang="ru-RU" sz="2400" b="0" i="0">
              <a:solidFill>
                <a:sysClr val="windowText" lastClr="000000"/>
              </a:solidFill>
              <a:latin typeface="GOST Common" panose="020B0604020202020204" pitchFamily="34" charset="0"/>
            </a:endParaRPr>
          </a:p>
        </c:rich>
      </c:tx>
      <c:layout>
        <c:manualLayout>
          <c:xMode val="edge"/>
          <c:yMode val="edge"/>
          <c:x val="0.25527327124012872"/>
          <c:y val="4.785884173862121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403039029359513"/>
          <c:y val="0.10540147545286196"/>
          <c:w val="0.6904144967799043"/>
          <c:h val="0.47332718400949358"/>
        </c:manualLayout>
      </c:layout>
      <c:scatterChart>
        <c:scatterStyle val="lineMarker"/>
        <c:varyColors val="0"/>
        <c:ser>
          <c:idx val="0"/>
          <c:order val="1"/>
          <c:tx>
            <c:v>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Шестигранник!$B$13:$G$13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Шестигранник!$B$19:$G$19</c:f>
              <c:numCache>
                <c:formatCode>General</c:formatCode>
                <c:ptCount val="6"/>
                <c:pt idx="0">
                  <c:v>238.58127289368417</c:v>
                </c:pt>
                <c:pt idx="1">
                  <c:v>60.294515669473704</c:v>
                </c:pt>
                <c:pt idx="2">
                  <c:v>33.189320599999981</c:v>
                </c:pt>
                <c:pt idx="3">
                  <c:v>22.440708762105263</c:v>
                </c:pt>
                <c:pt idx="4">
                  <c:v>16.832737368421043</c:v>
                </c:pt>
                <c:pt idx="5">
                  <c:v>13.561420722105238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F7-4E92-94EF-34C98D97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36975"/>
        <c:axId val="4884340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xVal>
                  <c:numRef>
                    <c:extLst>
                      <c:ext uri="{02D57815-91ED-43cb-92C2-25804820EDAC}">
                        <c15:formulaRef>
                          <c15:sqref>isogrid!$C$11:$J$11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</c:v>
                      </c:pt>
                      <c:pt idx="1">
                        <c:v>4</c:v>
                      </c:pt>
                      <c:pt idx="2">
                        <c:v>6</c:v>
                      </c:pt>
                      <c:pt idx="3">
                        <c:v>8</c:v>
                      </c:pt>
                      <c:pt idx="4">
                        <c:v>10</c:v>
                      </c:pt>
                      <c:pt idx="5">
                        <c:v>14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isogrid!$C$19:$J$19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3.8368195023999965</c:v>
                      </c:pt>
                      <c:pt idx="1">
                        <c:v>2.3199924440000181</c:v>
                      </c:pt>
                      <c:pt idx="2">
                        <c:v>1.9240335733333482</c:v>
                      </c:pt>
                      <c:pt idx="3">
                        <c:v>1.3148660800000169</c:v>
                      </c:pt>
                      <c:pt idx="4">
                        <c:v>1.3148660800000338</c:v>
                      </c:pt>
                      <c:pt idx="5">
                        <c:v>0.79272251428572327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BF7-4E92-94EF-34C98D97B7C2}"/>
                  </c:ext>
                </c:extLst>
              </c15:ser>
            </c15:filteredScatterSeries>
          </c:ext>
        </c:extLst>
      </c:scatterChart>
      <c:valAx>
        <c:axId val="488436975"/>
        <c:scaling>
          <c:orientation val="minMax"/>
          <c:max val="18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0" i="0">
                    <a:solidFill>
                      <a:sysClr val="windowText" lastClr="000000"/>
                    </a:solidFill>
                    <a:effectLst/>
                  </a:rPr>
                  <a:t>Number of cells in Y direction</a:t>
                </a:r>
              </a:p>
            </c:rich>
          </c:tx>
          <c:layout>
            <c:manualLayout>
              <c:xMode val="edge"/>
              <c:yMode val="edge"/>
              <c:x val="0.36675302241253299"/>
              <c:y val="0.784107677561725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4095"/>
        <c:crosses val="autoZero"/>
        <c:crossBetween val="midCat"/>
      </c:valAx>
      <c:valAx>
        <c:axId val="488434095"/>
        <c:scaling>
          <c:orientation val="minMax"/>
          <c:max val="2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3200">
                    <a:solidFill>
                      <a:sysClr val="windowText" lastClr="000000"/>
                    </a:solidFill>
                  </a:defRPr>
                </a:pPr>
                <a:r>
                  <a:rPr lang="en-US" sz="3200" b="0" i="0" u="none" strike="noStrike" kern="1200" baseline="0">
                    <a:solidFill>
                      <a:sysClr val="windowText" lastClr="000000"/>
                    </a:solidFill>
                  </a:rPr>
                  <a:t>Difference,%</a:t>
                </a:r>
                <a:endParaRPr lang="ru-RU" sz="3200" b="0" i="0" u="none" strike="noStrike" kern="1200" baseline="0">
                  <a:solidFill>
                    <a:sysClr val="windowText" lastClr="000000"/>
                  </a:solidFill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8436975"/>
        <c:crosses val="autoZero"/>
        <c:crossBetween val="midCat"/>
        <c:majorUnit val="50"/>
        <c:minorUnit val="0.1"/>
      </c:valAx>
    </c:plotArea>
    <c:legend>
      <c:legendPos val="b"/>
      <c:layout>
        <c:manualLayout>
          <c:xMode val="edge"/>
          <c:yMode val="edge"/>
          <c:x val="0.21784898639083583"/>
          <c:y val="0.87072627574647055"/>
          <c:w val="0.65422976961467005"/>
          <c:h val="3.7497621957377644E-2"/>
        </c:manualLayout>
      </c:layout>
      <c:overlay val="0"/>
      <c:txPr>
        <a:bodyPr/>
        <a:lstStyle/>
        <a:p>
          <a:pPr>
            <a:defRPr sz="2000"/>
          </a:pPr>
          <a:endParaRPr lang="ru-RU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4803149606299214E-2"/>
          <c:y val="0.17171296296296298"/>
          <c:w val="0.89019685039370078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'сводная табл напряжения'!$A$2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табл напряжения'!$B$1:$G$1</c:f>
              <c:strCache>
                <c:ptCount val="6"/>
                <c:pt idx="0">
                  <c:v>x</c:v>
                </c:pt>
                <c:pt idx="1">
                  <c:v>y</c:v>
                </c:pt>
                <c:pt idx="2">
                  <c:v>z</c:v>
                </c:pt>
                <c:pt idx="3">
                  <c:v>xy</c:v>
                </c:pt>
                <c:pt idx="4">
                  <c:v>xz</c:v>
                </c:pt>
                <c:pt idx="5">
                  <c:v>yz</c:v>
                </c:pt>
              </c:strCache>
            </c:strRef>
          </c:cat>
          <c:val>
            <c:numRef>
              <c:f>'сводная табл напряжения'!$B$2:$G$2</c:f>
              <c:numCache>
                <c:formatCode>0</c:formatCode>
                <c:ptCount val="6"/>
                <c:pt idx="0">
                  <c:v>84.27</c:v>
                </c:pt>
                <c:pt idx="1">
                  <c:v>303.73</c:v>
                </c:pt>
                <c:pt idx="2">
                  <c:v>62.493000000000002</c:v>
                </c:pt>
                <c:pt idx="3">
                  <c:v>155.61000000000001</c:v>
                </c:pt>
                <c:pt idx="4">
                  <c:v>1.63</c:v>
                </c:pt>
                <c:pt idx="5">
                  <c:v>1.26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2-471D-9B5B-88AAFB180F39}"/>
            </c:ext>
          </c:extLst>
        </c:ser>
        <c:ser>
          <c:idx val="1"/>
          <c:order val="1"/>
          <c:tx>
            <c:strRef>
              <c:f>'сводная табл напряжения'!$A$3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табл напряжения'!$B$1:$G$1</c:f>
              <c:strCache>
                <c:ptCount val="6"/>
                <c:pt idx="0">
                  <c:v>x</c:v>
                </c:pt>
                <c:pt idx="1">
                  <c:v>y</c:v>
                </c:pt>
                <c:pt idx="2">
                  <c:v>z</c:v>
                </c:pt>
                <c:pt idx="3">
                  <c:v>xy</c:v>
                </c:pt>
                <c:pt idx="4">
                  <c:v>xz</c:v>
                </c:pt>
                <c:pt idx="5">
                  <c:v>yz</c:v>
                </c:pt>
              </c:strCache>
            </c:strRef>
          </c:cat>
          <c:val>
            <c:numRef>
              <c:f>'сводная табл напряжения'!$B$3:$G$3</c:f>
              <c:numCache>
                <c:formatCode>0</c:formatCode>
                <c:ptCount val="6"/>
                <c:pt idx="0">
                  <c:v>124.87</c:v>
                </c:pt>
                <c:pt idx="1">
                  <c:v>187.5</c:v>
                </c:pt>
                <c:pt idx="2">
                  <c:v>62.5</c:v>
                </c:pt>
                <c:pt idx="3">
                  <c:v>110.88</c:v>
                </c:pt>
                <c:pt idx="4">
                  <c:v>2.2559999999999998</c:v>
                </c:pt>
                <c:pt idx="5">
                  <c:v>1.262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2-471D-9B5B-88AAFB180F39}"/>
            </c:ext>
          </c:extLst>
        </c:ser>
        <c:ser>
          <c:idx val="2"/>
          <c:order val="2"/>
          <c:tx>
            <c:strRef>
              <c:f>'сводная табл напряжения'!$A$4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'сводная табл напряжения'!$B$1:$G$1</c:f>
              <c:strCache>
                <c:ptCount val="6"/>
                <c:pt idx="0">
                  <c:v>x</c:v>
                </c:pt>
                <c:pt idx="1">
                  <c:v>y</c:v>
                </c:pt>
                <c:pt idx="2">
                  <c:v>z</c:v>
                </c:pt>
                <c:pt idx="3">
                  <c:v>xy</c:v>
                </c:pt>
                <c:pt idx="4">
                  <c:v>xz</c:v>
                </c:pt>
                <c:pt idx="5">
                  <c:v>yz</c:v>
                </c:pt>
              </c:strCache>
            </c:strRef>
          </c:cat>
          <c:val>
            <c:numRef>
              <c:f>'сводная табл напряжения'!$B$4:$G$4</c:f>
              <c:numCache>
                <c:formatCode>0</c:formatCode>
                <c:ptCount val="6"/>
                <c:pt idx="0">
                  <c:v>453.55799999999999</c:v>
                </c:pt>
                <c:pt idx="1">
                  <c:v>131.69999999999999</c:v>
                </c:pt>
                <c:pt idx="2">
                  <c:v>62.478000000000002</c:v>
                </c:pt>
                <c:pt idx="3">
                  <c:v>136.66999999999999</c:v>
                </c:pt>
                <c:pt idx="4">
                  <c:v>4.76</c:v>
                </c:pt>
                <c:pt idx="5">
                  <c:v>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02-471D-9B5B-88AAFB180F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86193152"/>
        <c:axId val="1986191712"/>
      </c:barChart>
      <c:catAx>
        <c:axId val="198619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6191712"/>
        <c:crosses val="autoZero"/>
        <c:auto val="1"/>
        <c:lblAlgn val="ctr"/>
        <c:lblOffset val="100"/>
        <c:noMultiLvlLbl val="0"/>
      </c:catAx>
      <c:valAx>
        <c:axId val="19861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619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648689622366648"/>
          <c:y val="0.88206260609167464"/>
          <c:w val="0.13517285063115186"/>
          <c:h val="5.1194891451465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4.xml"/><Relationship Id="rId3" Type="http://schemas.openxmlformats.org/officeDocument/2006/relationships/chart" Target="../charts/chart39.xml"/><Relationship Id="rId7" Type="http://schemas.openxmlformats.org/officeDocument/2006/relationships/chart" Target="../charts/chart43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3.xml"/><Relationship Id="rId1" Type="http://schemas.openxmlformats.org/officeDocument/2006/relationships/chart" Target="../charts/chart5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133350</xdr:rowOff>
    </xdr:from>
    <xdr:to>
      <xdr:col>10</xdr:col>
      <xdr:colOff>121920</xdr:colOff>
      <xdr:row>16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133350"/>
          <a:ext cx="4884420" cy="29337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351065</xdr:colOff>
      <xdr:row>1</xdr:row>
      <xdr:rowOff>191860</xdr:rowOff>
    </xdr:from>
    <xdr:to>
      <xdr:col>27</xdr:col>
      <xdr:colOff>201386</xdr:colOff>
      <xdr:row>17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451139</xdr:colOff>
      <xdr:row>19</xdr:row>
      <xdr:rowOff>100446</xdr:rowOff>
    </xdr:from>
    <xdr:to>
      <xdr:col>27</xdr:col>
      <xdr:colOff>301460</xdr:colOff>
      <xdr:row>44</xdr:row>
      <xdr:rowOff>9279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2039</xdr:colOff>
      <xdr:row>1</xdr:row>
      <xdr:rowOff>159938</xdr:rowOff>
    </xdr:from>
    <xdr:to>
      <xdr:col>37</xdr:col>
      <xdr:colOff>484910</xdr:colOff>
      <xdr:row>17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312964</xdr:colOff>
      <xdr:row>19</xdr:row>
      <xdr:rowOff>122464</xdr:rowOff>
    </xdr:from>
    <xdr:to>
      <xdr:col>38</xdr:col>
      <xdr:colOff>163286</xdr:colOff>
      <xdr:row>44</xdr:row>
      <xdr:rowOff>31297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462643</xdr:colOff>
      <xdr:row>45</xdr:row>
      <xdr:rowOff>0</xdr:rowOff>
    </xdr:from>
    <xdr:to>
      <xdr:col>27</xdr:col>
      <xdr:colOff>312964</xdr:colOff>
      <xdr:row>70</xdr:row>
      <xdr:rowOff>153762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312964</xdr:colOff>
      <xdr:row>45</xdr:row>
      <xdr:rowOff>40820</xdr:rowOff>
    </xdr:from>
    <xdr:to>
      <xdr:col>38</xdr:col>
      <xdr:colOff>163286</xdr:colOff>
      <xdr:row>70</xdr:row>
      <xdr:rowOff>194582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191060</xdr:colOff>
      <xdr:row>1</xdr:row>
      <xdr:rowOff>143995</xdr:rowOff>
    </xdr:from>
    <xdr:to>
      <xdr:col>48</xdr:col>
      <xdr:colOff>64330</xdr:colOff>
      <xdr:row>17</xdr:row>
      <xdr:rowOff>31937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381000</xdr:colOff>
      <xdr:row>19</xdr:row>
      <xdr:rowOff>145677</xdr:rowOff>
    </xdr:from>
    <xdr:to>
      <xdr:col>48</xdr:col>
      <xdr:colOff>231323</xdr:colOff>
      <xdr:row>44</xdr:row>
      <xdr:rowOff>54510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432954</xdr:colOff>
      <xdr:row>45</xdr:row>
      <xdr:rowOff>121227</xdr:rowOff>
    </xdr:from>
    <xdr:to>
      <xdr:col>48</xdr:col>
      <xdr:colOff>283277</xdr:colOff>
      <xdr:row>70</xdr:row>
      <xdr:rowOff>30061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238371</xdr:colOff>
      <xdr:row>134</xdr:row>
      <xdr:rowOff>141637</xdr:rowOff>
    </xdr:from>
    <xdr:to>
      <xdr:col>19</xdr:col>
      <xdr:colOff>486271</xdr:colOff>
      <xdr:row>152</xdr:row>
      <xdr:rowOff>32780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247402</xdr:colOff>
      <xdr:row>100</xdr:row>
      <xdr:rowOff>105146</xdr:rowOff>
    </xdr:from>
    <xdr:to>
      <xdr:col>15</xdr:col>
      <xdr:colOff>46265</xdr:colOff>
      <xdr:row>117</xdr:row>
      <xdr:rowOff>241216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40</xdr:col>
      <xdr:colOff>298958</xdr:colOff>
      <xdr:row>70</xdr:row>
      <xdr:rowOff>223823</xdr:rowOff>
    </xdr:from>
    <xdr:to>
      <xdr:col>53</xdr:col>
      <xdr:colOff>186751</xdr:colOff>
      <xdr:row>91</xdr:row>
      <xdr:rowOff>74520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666750</xdr:colOff>
      <xdr:row>72</xdr:row>
      <xdr:rowOff>166688</xdr:rowOff>
    </xdr:from>
    <xdr:to>
      <xdr:col>26</xdr:col>
      <xdr:colOff>537050</xdr:colOff>
      <xdr:row>90</xdr:row>
      <xdr:rowOff>64633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166688</xdr:colOff>
      <xdr:row>72</xdr:row>
      <xdr:rowOff>190500</xdr:rowOff>
    </xdr:from>
    <xdr:to>
      <xdr:col>39</xdr:col>
      <xdr:colOff>414588</xdr:colOff>
      <xdr:row>90</xdr:row>
      <xdr:rowOff>81643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149678</xdr:colOff>
      <xdr:row>98</xdr:row>
      <xdr:rowOff>136071</xdr:rowOff>
    </xdr:from>
    <xdr:to>
      <xdr:col>26</xdr:col>
      <xdr:colOff>0</xdr:colOff>
      <xdr:row>113</xdr:row>
      <xdr:rowOff>200345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3147D1B6-919C-4D37-8130-A91B81653D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26</xdr:col>
      <xdr:colOff>364191</xdr:colOff>
      <xdr:row>99</xdr:row>
      <xdr:rowOff>127267</xdr:rowOff>
    </xdr:from>
    <xdr:to>
      <xdr:col>36</xdr:col>
      <xdr:colOff>214512</xdr:colOff>
      <xdr:row>114</xdr:row>
      <xdr:rowOff>191541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325135DB-925B-44A2-BA97-10FDEAEEC8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26</xdr:col>
      <xdr:colOff>403411</xdr:colOff>
      <xdr:row>115</xdr:row>
      <xdr:rowOff>224117</xdr:rowOff>
    </xdr:from>
    <xdr:to>
      <xdr:col>36</xdr:col>
      <xdr:colOff>253732</xdr:colOff>
      <xdr:row>131</xdr:row>
      <xdr:rowOff>53068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9E20EF81-1B12-4108-85A1-9B3706F37E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351065</xdr:colOff>
      <xdr:row>1</xdr:row>
      <xdr:rowOff>191860</xdr:rowOff>
    </xdr:from>
    <xdr:to>
      <xdr:col>27</xdr:col>
      <xdr:colOff>201386</xdr:colOff>
      <xdr:row>17</xdr:row>
      <xdr:rowOff>11206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451139</xdr:colOff>
      <xdr:row>19</xdr:row>
      <xdr:rowOff>100446</xdr:rowOff>
    </xdr:from>
    <xdr:to>
      <xdr:col>27</xdr:col>
      <xdr:colOff>301460</xdr:colOff>
      <xdr:row>44</xdr:row>
      <xdr:rowOff>9279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53993</xdr:colOff>
      <xdr:row>1</xdr:row>
      <xdr:rowOff>142620</xdr:rowOff>
    </xdr:from>
    <xdr:to>
      <xdr:col>37</xdr:col>
      <xdr:colOff>536864</xdr:colOff>
      <xdr:row>16</xdr:row>
      <xdr:rowOff>225136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312964</xdr:colOff>
      <xdr:row>19</xdr:row>
      <xdr:rowOff>122464</xdr:rowOff>
    </xdr:from>
    <xdr:to>
      <xdr:col>38</xdr:col>
      <xdr:colOff>163286</xdr:colOff>
      <xdr:row>44</xdr:row>
      <xdr:rowOff>31297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462643</xdr:colOff>
      <xdr:row>45</xdr:row>
      <xdr:rowOff>0</xdr:rowOff>
    </xdr:from>
    <xdr:to>
      <xdr:col>27</xdr:col>
      <xdr:colOff>312964</xdr:colOff>
      <xdr:row>70</xdr:row>
      <xdr:rowOff>153762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312964</xdr:colOff>
      <xdr:row>45</xdr:row>
      <xdr:rowOff>40820</xdr:rowOff>
    </xdr:from>
    <xdr:to>
      <xdr:col>38</xdr:col>
      <xdr:colOff>163286</xdr:colOff>
      <xdr:row>70</xdr:row>
      <xdr:rowOff>194582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67235</xdr:colOff>
      <xdr:row>1</xdr:row>
      <xdr:rowOff>134470</xdr:rowOff>
    </xdr:from>
    <xdr:to>
      <xdr:col>47</xdr:col>
      <xdr:colOff>550105</xdr:colOff>
      <xdr:row>17</xdr:row>
      <xdr:rowOff>22412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381000</xdr:colOff>
      <xdr:row>19</xdr:row>
      <xdr:rowOff>145677</xdr:rowOff>
    </xdr:from>
    <xdr:to>
      <xdr:col>48</xdr:col>
      <xdr:colOff>231323</xdr:colOff>
      <xdr:row>44</xdr:row>
      <xdr:rowOff>54510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432954</xdr:colOff>
      <xdr:row>45</xdr:row>
      <xdr:rowOff>121227</xdr:rowOff>
    </xdr:from>
    <xdr:to>
      <xdr:col>48</xdr:col>
      <xdr:colOff>283277</xdr:colOff>
      <xdr:row>70</xdr:row>
      <xdr:rowOff>30061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49231</xdr:colOff>
      <xdr:row>135</xdr:row>
      <xdr:rowOff>141266</xdr:rowOff>
    </xdr:from>
    <xdr:to>
      <xdr:col>21</xdr:col>
      <xdr:colOff>230456</xdr:colOff>
      <xdr:row>152</xdr:row>
      <xdr:rowOff>99084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173566</xdr:colOff>
      <xdr:row>135</xdr:row>
      <xdr:rowOff>181329</xdr:rowOff>
    </xdr:from>
    <xdr:to>
      <xdr:col>39</xdr:col>
      <xdr:colOff>146166</xdr:colOff>
      <xdr:row>160</xdr:row>
      <xdr:rowOff>178980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450272</xdr:colOff>
      <xdr:row>72</xdr:row>
      <xdr:rowOff>0</xdr:rowOff>
    </xdr:from>
    <xdr:to>
      <xdr:col>38</xdr:col>
      <xdr:colOff>571500</xdr:colOff>
      <xdr:row>89</xdr:row>
      <xdr:rowOff>173181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259772</xdr:colOff>
      <xdr:row>71</xdr:row>
      <xdr:rowOff>69272</xdr:rowOff>
    </xdr:from>
    <xdr:to>
      <xdr:col>51</xdr:col>
      <xdr:colOff>450272</xdr:colOff>
      <xdr:row>89</xdr:row>
      <xdr:rowOff>105759</xdr:rowOff>
    </xdr:to>
    <xdr:graphicFrame macro="">
      <xdr:nvGraphicFramePr>
        <xdr:cNvPr id="19" name="Диаграмма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465118</xdr:colOff>
      <xdr:row>72</xdr:row>
      <xdr:rowOff>89065</xdr:rowOff>
    </xdr:from>
    <xdr:to>
      <xdr:col>26</xdr:col>
      <xdr:colOff>455720</xdr:colOff>
      <xdr:row>90</xdr:row>
      <xdr:rowOff>22265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F9052486-6A8E-4EED-922E-AE75E4F82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547689</xdr:colOff>
      <xdr:row>94</xdr:row>
      <xdr:rowOff>166687</xdr:rowOff>
    </xdr:from>
    <xdr:to>
      <xdr:col>40</xdr:col>
      <xdr:colOff>309562</xdr:colOff>
      <xdr:row>125</xdr:row>
      <xdr:rowOff>23811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1EDE2FAC-99AD-418D-A432-AD1CC5EBD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5251</xdr:colOff>
      <xdr:row>159</xdr:row>
      <xdr:rowOff>15708</xdr:rowOff>
    </xdr:from>
    <xdr:to>
      <xdr:col>10</xdr:col>
      <xdr:colOff>1000123</xdr:colOff>
      <xdr:row>181</xdr:row>
      <xdr:rowOff>23812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11C3C943-46BF-86DA-22DA-B0AF59736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600729</xdr:colOff>
      <xdr:row>164</xdr:row>
      <xdr:rowOff>158352</xdr:rowOff>
    </xdr:from>
    <xdr:to>
      <xdr:col>28</xdr:col>
      <xdr:colOff>166687</xdr:colOff>
      <xdr:row>199</xdr:row>
      <xdr:rowOff>173182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9E926D56-E5A7-4244-8E1C-0FD58CBB7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646023</xdr:colOff>
      <xdr:row>182</xdr:row>
      <xdr:rowOff>20037</xdr:rowOff>
    </xdr:from>
    <xdr:to>
      <xdr:col>8</xdr:col>
      <xdr:colOff>978476</xdr:colOff>
      <xdr:row>205</xdr:row>
      <xdr:rowOff>199158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40BDB171-B67A-4651-99B4-CAED07105F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158097</xdr:colOff>
      <xdr:row>8</xdr:row>
      <xdr:rowOff>203175</xdr:rowOff>
    </xdr:from>
    <xdr:to>
      <xdr:col>39</xdr:col>
      <xdr:colOff>200305</xdr:colOff>
      <xdr:row>47</xdr:row>
      <xdr:rowOff>218005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5CF1E186-7988-4F0F-9B21-FEF3B7D1E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646023</xdr:colOff>
      <xdr:row>182</xdr:row>
      <xdr:rowOff>20037</xdr:rowOff>
    </xdr:from>
    <xdr:to>
      <xdr:col>8</xdr:col>
      <xdr:colOff>978476</xdr:colOff>
      <xdr:row>205</xdr:row>
      <xdr:rowOff>199158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A43AC81-2F8F-407F-8702-BDA8DA9F8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144675</xdr:colOff>
      <xdr:row>34</xdr:row>
      <xdr:rowOff>12676</xdr:rowOff>
    </xdr:from>
    <xdr:to>
      <xdr:col>47</xdr:col>
      <xdr:colOff>574810</xdr:colOff>
      <xdr:row>75</xdr:row>
      <xdr:rowOff>13651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6F4CDE5-3EC5-4CF2-B587-0505E7974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172931</xdr:colOff>
      <xdr:row>32</xdr:row>
      <xdr:rowOff>17320</xdr:rowOff>
    </xdr:from>
    <xdr:to>
      <xdr:col>15</xdr:col>
      <xdr:colOff>387241</xdr:colOff>
      <xdr:row>52</xdr:row>
      <xdr:rowOff>173184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537F9F23-D104-35EE-49BC-0C1B04BBA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197760</xdr:colOff>
      <xdr:row>54</xdr:row>
      <xdr:rowOff>64942</xdr:rowOff>
    </xdr:from>
    <xdr:to>
      <xdr:col>15</xdr:col>
      <xdr:colOff>377050</xdr:colOff>
      <xdr:row>74</xdr:row>
      <xdr:rowOff>227938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18CDB36-97E4-45E1-B5DE-B52B0CA86A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1229591</xdr:colOff>
      <xdr:row>31</xdr:row>
      <xdr:rowOff>207818</xdr:rowOff>
    </xdr:from>
    <xdr:to>
      <xdr:col>25</xdr:col>
      <xdr:colOff>352473</xdr:colOff>
      <xdr:row>52</xdr:row>
      <xdr:rowOff>128360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925187A-A55D-4B07-AC16-5994461E5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1212273</xdr:colOff>
      <xdr:row>54</xdr:row>
      <xdr:rowOff>138546</xdr:rowOff>
    </xdr:from>
    <xdr:to>
      <xdr:col>25</xdr:col>
      <xdr:colOff>335155</xdr:colOff>
      <xdr:row>75</xdr:row>
      <xdr:rowOff>59087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37FD37E-9906-40E8-9300-A4905F81A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149678</xdr:colOff>
      <xdr:row>76</xdr:row>
      <xdr:rowOff>190500</xdr:rowOff>
    </xdr:from>
    <xdr:to>
      <xdr:col>15</xdr:col>
      <xdr:colOff>347525</xdr:colOff>
      <xdr:row>97</xdr:row>
      <xdr:rowOff>111041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3147C945-FA8B-4BC8-A472-C972ADDAD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1238251</xdr:colOff>
      <xdr:row>76</xdr:row>
      <xdr:rowOff>217714</xdr:rowOff>
    </xdr:from>
    <xdr:to>
      <xdr:col>25</xdr:col>
      <xdr:colOff>361133</xdr:colOff>
      <xdr:row>97</xdr:row>
      <xdr:rowOff>138255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29EAE59-3794-4E85-8BA6-1B51F6833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646023</xdr:colOff>
      <xdr:row>182</xdr:row>
      <xdr:rowOff>20037</xdr:rowOff>
    </xdr:from>
    <xdr:to>
      <xdr:col>8</xdr:col>
      <xdr:colOff>978476</xdr:colOff>
      <xdr:row>205</xdr:row>
      <xdr:rowOff>199158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AF6F44E-D0AA-4704-85F1-1CC73EB54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158097</xdr:colOff>
      <xdr:row>8</xdr:row>
      <xdr:rowOff>203175</xdr:rowOff>
    </xdr:from>
    <xdr:to>
      <xdr:col>39</xdr:col>
      <xdr:colOff>200305</xdr:colOff>
      <xdr:row>47</xdr:row>
      <xdr:rowOff>218005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0E7C936-0F2D-4DBA-B8AA-3E602F8A1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28014</xdr:colOff>
      <xdr:row>84</xdr:row>
      <xdr:rowOff>190498</xdr:rowOff>
    </xdr:from>
    <xdr:to>
      <xdr:col>11</xdr:col>
      <xdr:colOff>1266265</xdr:colOff>
      <xdr:row>104</xdr:row>
      <xdr:rowOff>67233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D080DAD-14B8-4C5F-41A5-49882F09B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126495</xdr:colOff>
      <xdr:row>208</xdr:row>
      <xdr:rowOff>4567</xdr:rowOff>
    </xdr:from>
    <xdr:to>
      <xdr:col>19</xdr:col>
      <xdr:colOff>227348</xdr:colOff>
      <xdr:row>223</xdr:row>
      <xdr:rowOff>58571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71F39E2-B93A-7F39-FD9D-1AF88C87E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52388</xdr:colOff>
      <xdr:row>226</xdr:row>
      <xdr:rowOff>95250</xdr:rowOff>
    </xdr:from>
    <xdr:to>
      <xdr:col>19</xdr:col>
      <xdr:colOff>153241</xdr:colOff>
      <xdr:row>241</xdr:row>
      <xdr:rowOff>149254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4FAF7127-091C-4BAF-9DBA-E95E3BCEB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272142</xdr:colOff>
      <xdr:row>36</xdr:row>
      <xdr:rowOff>81642</xdr:rowOff>
    </xdr:from>
    <xdr:to>
      <xdr:col>7</xdr:col>
      <xdr:colOff>136070</xdr:colOff>
      <xdr:row>64</xdr:row>
      <xdr:rowOff>149679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3E3F4DC-381E-4F7D-8DC6-7B0C3E474C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623454</xdr:colOff>
      <xdr:row>8</xdr:row>
      <xdr:rowOff>147205</xdr:rowOff>
    </xdr:from>
    <xdr:to>
      <xdr:col>27</xdr:col>
      <xdr:colOff>129885</xdr:colOff>
      <xdr:row>55</xdr:row>
      <xdr:rowOff>69271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83BF16-CCC9-49A1-95A4-13F2C4B23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272142</xdr:colOff>
      <xdr:row>36</xdr:row>
      <xdr:rowOff>81642</xdr:rowOff>
    </xdr:from>
    <xdr:to>
      <xdr:col>7</xdr:col>
      <xdr:colOff>136070</xdr:colOff>
      <xdr:row>64</xdr:row>
      <xdr:rowOff>149679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EA4B35-D157-4594-87C3-B022A7C7B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623454</xdr:colOff>
      <xdr:row>8</xdr:row>
      <xdr:rowOff>147205</xdr:rowOff>
    </xdr:from>
    <xdr:to>
      <xdr:col>27</xdr:col>
      <xdr:colOff>129885</xdr:colOff>
      <xdr:row>55</xdr:row>
      <xdr:rowOff>69271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1743011-50A5-41D3-8834-A7C04184F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13</xdr:row>
      <xdr:rowOff>161925</xdr:rowOff>
    </xdr:from>
    <xdr:to>
      <xdr:col>0</xdr:col>
      <xdr:colOff>2590529</xdr:colOff>
      <xdr:row>16</xdr:row>
      <xdr:rowOff>114235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4AEC372-48BD-1F07-789F-2A77A04A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3114675"/>
          <a:ext cx="2171429" cy="5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2102070</xdr:colOff>
      <xdr:row>21</xdr:row>
      <xdr:rowOff>151086</xdr:rowOff>
    </xdr:from>
    <xdr:to>
      <xdr:col>0</xdr:col>
      <xdr:colOff>2778439</xdr:colOff>
      <xdr:row>25</xdr:row>
      <xdr:rowOff>122613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0B4DE4E-A09F-6CC2-3C3D-5F1D44A1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0" y="4611414"/>
          <a:ext cx="676369" cy="733527"/>
        </a:xfrm>
        <a:prstGeom prst="rect">
          <a:avLst/>
        </a:prstGeom>
      </xdr:spPr>
    </xdr:pic>
    <xdr:clientData/>
  </xdr:twoCellAnchor>
  <xdr:twoCellAnchor editAs="oneCell">
    <xdr:from>
      <xdr:col>0</xdr:col>
      <xdr:colOff>1635673</xdr:colOff>
      <xdr:row>25</xdr:row>
      <xdr:rowOff>164224</xdr:rowOff>
    </xdr:from>
    <xdr:to>
      <xdr:col>0</xdr:col>
      <xdr:colOff>2721675</xdr:colOff>
      <xdr:row>29</xdr:row>
      <xdr:rowOff>2383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56D9C05-91E7-79F3-0F69-2DC05DE4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5673" y="5386552"/>
          <a:ext cx="1086002" cy="60015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135547</xdr:colOff>
      <xdr:row>11</xdr:row>
      <xdr:rowOff>116864</xdr:rowOff>
    </xdr:from>
    <xdr:to>
      <xdr:col>12</xdr:col>
      <xdr:colOff>116498</xdr:colOff>
      <xdr:row>33</xdr:row>
      <xdr:rowOff>112102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B7E75E7-E839-6431-95A6-784154792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Стандартная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Стандартная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zoomScaleNormal="100" workbookViewId="0">
      <selection activeCell="B39" sqref="B39:I39"/>
    </sheetView>
  </sheetViews>
  <sheetFormatPr defaultRowHeight="14.25" x14ac:dyDescent="0.45"/>
  <cols>
    <col min="1" max="1" width="29.59765625" customWidth="1"/>
    <col min="2" max="2" width="12.73046875" bestFit="1" customWidth="1"/>
    <col min="3" max="3" width="12" bestFit="1" customWidth="1"/>
    <col min="7" max="7" width="25.86328125" customWidth="1"/>
    <col min="8" max="8" width="12.73046875" bestFit="1" customWidth="1"/>
    <col min="14" max="14" width="25.86328125" customWidth="1"/>
  </cols>
  <sheetData>
    <row r="1" spans="1:3" x14ac:dyDescent="0.45">
      <c r="A1" t="s">
        <v>0</v>
      </c>
      <c r="B1">
        <v>1</v>
      </c>
    </row>
    <row r="2" spans="1:3" x14ac:dyDescent="0.45">
      <c r="A2" t="s">
        <v>1</v>
      </c>
      <c r="B2">
        <v>0.2</v>
      </c>
    </row>
    <row r="3" spans="1:3" x14ac:dyDescent="0.45">
      <c r="A3" t="s">
        <v>3</v>
      </c>
      <c r="B3">
        <v>30</v>
      </c>
    </row>
    <row r="5" spans="1:3" x14ac:dyDescent="0.45">
      <c r="A5" t="s">
        <v>2</v>
      </c>
      <c r="B5">
        <v>15</v>
      </c>
    </row>
    <row r="6" spans="1:3" x14ac:dyDescent="0.45">
      <c r="A6" t="s">
        <v>4</v>
      </c>
      <c r="B6">
        <v>15</v>
      </c>
    </row>
    <row r="9" spans="1:3" x14ac:dyDescent="0.45">
      <c r="A9" t="s">
        <v>5</v>
      </c>
      <c r="B9">
        <v>17.320508075688799</v>
      </c>
    </row>
    <row r="10" spans="1:3" x14ac:dyDescent="0.45">
      <c r="A10" t="s">
        <v>6</v>
      </c>
      <c r="B10">
        <v>17.320508075688799</v>
      </c>
    </row>
    <row r="14" spans="1:3" x14ac:dyDescent="0.45">
      <c r="A14" t="s">
        <v>7</v>
      </c>
      <c r="B14">
        <v>30</v>
      </c>
      <c r="C14">
        <f>B14/1000</f>
        <v>0.03</v>
      </c>
    </row>
    <row r="15" spans="1:3" x14ac:dyDescent="0.45">
      <c r="A15" t="s">
        <v>8</v>
      </c>
      <c r="B15">
        <v>34.6</v>
      </c>
      <c r="C15">
        <f>B15/1000</f>
        <v>3.4599999999999999E-2</v>
      </c>
    </row>
    <row r="16" spans="1:3" x14ac:dyDescent="0.45">
      <c r="A16" t="s">
        <v>9</v>
      </c>
      <c r="B16">
        <v>34.6</v>
      </c>
      <c r="C16">
        <f t="shared" ref="C16:C18" si="0">B16/1000</f>
        <v>3.4599999999999999E-2</v>
      </c>
    </row>
    <row r="17" spans="1:15" x14ac:dyDescent="0.45">
      <c r="A17" t="s">
        <v>10</v>
      </c>
      <c r="B17">
        <f>(B15+B16)/2</f>
        <v>34.6</v>
      </c>
      <c r="C17">
        <f t="shared" si="0"/>
        <v>3.4599999999999999E-2</v>
      </c>
    </row>
    <row r="18" spans="1:15" x14ac:dyDescent="0.45">
      <c r="A18" t="s">
        <v>11</v>
      </c>
      <c r="B18">
        <v>30</v>
      </c>
      <c r="C18">
        <f t="shared" si="0"/>
        <v>0.03</v>
      </c>
    </row>
    <row r="19" spans="1:15" x14ac:dyDescent="0.45">
      <c r="B19" t="s">
        <v>13</v>
      </c>
      <c r="C19" t="s">
        <v>14</v>
      </c>
    </row>
    <row r="21" spans="1:15" ht="28.5" x14ac:dyDescent="0.45">
      <c r="A21" s="1" t="s">
        <v>12</v>
      </c>
      <c r="B21">
        <f>B15*B18</f>
        <v>1038</v>
      </c>
      <c r="C21">
        <f>C15*C18</f>
        <v>1.0379999999999999E-3</v>
      </c>
      <c r="G21" s="1" t="s">
        <v>29</v>
      </c>
      <c r="H21">
        <f>B14*B18</f>
        <v>900</v>
      </c>
      <c r="I21">
        <f>C14*C18</f>
        <v>8.9999999999999998E-4</v>
      </c>
    </row>
    <row r="22" spans="1:15" x14ac:dyDescent="0.45">
      <c r="B22" t="s">
        <v>15</v>
      </c>
      <c r="C22" t="s">
        <v>16</v>
      </c>
    </row>
    <row r="25" spans="1:15" ht="23.25" x14ac:dyDescent="0.7">
      <c r="A25" s="2" t="s">
        <v>26</v>
      </c>
      <c r="G25" s="2" t="s">
        <v>28</v>
      </c>
      <c r="N25" s="5" t="s">
        <v>48</v>
      </c>
    </row>
    <row r="26" spans="1:15" ht="28.5" x14ac:dyDescent="0.45">
      <c r="A26" s="1" t="s">
        <v>25</v>
      </c>
      <c r="B26">
        <v>6.6059999999999999E-3</v>
      </c>
      <c r="C26">
        <f>B26/1000</f>
        <v>6.6059999999999999E-6</v>
      </c>
      <c r="G26" s="1" t="s">
        <v>42</v>
      </c>
      <c r="H26">
        <v>5.9979999999999999E-3</v>
      </c>
      <c r="I26">
        <f>H26/1000</f>
        <v>5.998E-6</v>
      </c>
      <c r="N26" t="s">
        <v>49</v>
      </c>
      <c r="O26">
        <v>10</v>
      </c>
    </row>
    <row r="27" spans="1:15" x14ac:dyDescent="0.45">
      <c r="B27" t="s">
        <v>13</v>
      </c>
      <c r="C27" t="s">
        <v>14</v>
      </c>
      <c r="H27" t="s">
        <v>13</v>
      </c>
      <c r="I27" t="s">
        <v>14</v>
      </c>
    </row>
    <row r="28" spans="1:15" x14ac:dyDescent="0.45">
      <c r="N28" t="s">
        <v>50</v>
      </c>
      <c r="O28">
        <f>O26*(B14*B18)</f>
        <v>9000</v>
      </c>
    </row>
    <row r="29" spans="1:15" x14ac:dyDescent="0.45">
      <c r="A29" t="s">
        <v>17</v>
      </c>
      <c r="B29">
        <v>1000</v>
      </c>
      <c r="G29" t="s">
        <v>17</v>
      </c>
      <c r="H29">
        <v>1000</v>
      </c>
      <c r="N29" t="s">
        <v>51</v>
      </c>
      <c r="O29">
        <f>O26*(B15*B18)</f>
        <v>10380</v>
      </c>
    </row>
    <row r="30" spans="1:15" x14ac:dyDescent="0.45">
      <c r="B30" t="s">
        <v>18</v>
      </c>
      <c r="H30" t="s">
        <v>18</v>
      </c>
    </row>
    <row r="32" spans="1:15" x14ac:dyDescent="0.45">
      <c r="N32" t="s">
        <v>52</v>
      </c>
      <c r="O32">
        <v>0.73099999999999998</v>
      </c>
    </row>
    <row r="33" spans="1:15" x14ac:dyDescent="0.45">
      <c r="A33" t="s">
        <v>23</v>
      </c>
      <c r="B33">
        <f>B29*C14/(C21*C26)</f>
        <v>4375073282.4774818</v>
      </c>
      <c r="G33" t="s">
        <v>27</v>
      </c>
      <c r="H33">
        <f>H29*C15/(I21*I26)</f>
        <v>6409543922.0480909</v>
      </c>
      <c r="N33" t="s">
        <v>53</v>
      </c>
      <c r="O33">
        <v>117.126</v>
      </c>
    </row>
    <row r="34" spans="1:15" x14ac:dyDescent="0.45">
      <c r="B34" t="s">
        <v>19</v>
      </c>
      <c r="H34" t="s">
        <v>19</v>
      </c>
    </row>
    <row r="35" spans="1:15" x14ac:dyDescent="0.45">
      <c r="N35" t="s">
        <v>54</v>
      </c>
      <c r="O35">
        <f>O32/O33</f>
        <v>6.2411420179977117E-3</v>
      </c>
    </row>
    <row r="36" spans="1:15" x14ac:dyDescent="0.45">
      <c r="B36">
        <f>B33/10^6</f>
        <v>4375.0732824774823</v>
      </c>
      <c r="H36">
        <f>H33/10^6</f>
        <v>6409.5439220480912</v>
      </c>
    </row>
    <row r="37" spans="1:15" x14ac:dyDescent="0.45">
      <c r="B37" t="s">
        <v>20</v>
      </c>
      <c r="H37" t="s">
        <v>20</v>
      </c>
      <c r="N37" t="s">
        <v>57</v>
      </c>
      <c r="O37">
        <f>ATAN(O35)</f>
        <v>6.2410609852079513E-3</v>
      </c>
    </row>
    <row r="39" spans="1:15" x14ac:dyDescent="0.45">
      <c r="A39" t="s">
        <v>24</v>
      </c>
      <c r="B39">
        <f>4.2795051822133*1000</f>
        <v>4279.5051822133</v>
      </c>
      <c r="G39" t="s">
        <v>59</v>
      </c>
      <c r="H39">
        <f>4.2795051822133*1000</f>
        <v>4279.5051822133</v>
      </c>
    </row>
    <row r="40" spans="1:15" x14ac:dyDescent="0.45">
      <c r="N40" t="s">
        <v>55</v>
      </c>
      <c r="O40">
        <f>O26/(O37)</f>
        <v>1602.2916654237438</v>
      </c>
    </row>
    <row r="42" spans="1:15" x14ac:dyDescent="0.45">
      <c r="A42" s="3" t="s">
        <v>40</v>
      </c>
      <c r="B42">
        <f>(B36-B39)/B36*100</f>
        <v>2.1843771313943496</v>
      </c>
      <c r="C42" t="s">
        <v>22</v>
      </c>
      <c r="G42" s="3" t="s">
        <v>60</v>
      </c>
      <c r="H42">
        <f>(H36-H39)/H39*100</f>
        <v>49.773014615983357</v>
      </c>
      <c r="I42" t="s">
        <v>22</v>
      </c>
    </row>
    <row r="43" spans="1:15" x14ac:dyDescent="0.45">
      <c r="N43" t="s">
        <v>56</v>
      </c>
      <c r="O43">
        <v>1607.2</v>
      </c>
    </row>
    <row r="44" spans="1:15" ht="18" x14ac:dyDescent="0.55000000000000004">
      <c r="A44" s="4" t="s">
        <v>41</v>
      </c>
      <c r="G44" s="4" t="s">
        <v>41</v>
      </c>
    </row>
    <row r="45" spans="1:15" ht="28.5" x14ac:dyDescent="0.45">
      <c r="A45" s="1" t="s">
        <v>30</v>
      </c>
      <c r="B45">
        <f>0.006621/$B$14</f>
        <v>2.207E-4</v>
      </c>
      <c r="G45" s="1" t="s">
        <v>43</v>
      </c>
      <c r="H45">
        <f>0.006009/B15</f>
        <v>1.7367052023121386E-4</v>
      </c>
      <c r="N45">
        <f>(O43-O40)/O43*100</f>
        <v>0.30539662619812502</v>
      </c>
    </row>
    <row r="47" spans="1:15" ht="28.5" x14ac:dyDescent="0.45">
      <c r="A47" s="1" t="s">
        <v>32</v>
      </c>
      <c r="B47">
        <f>-0.002122</f>
        <v>-2.1220000000000002E-3</v>
      </c>
      <c r="G47" s="1" t="s">
        <v>44</v>
      </c>
      <c r="H47">
        <f>-0.001741</f>
        <v>-1.7409999999999999E-3</v>
      </c>
      <c r="I47">
        <f>-2*0.0005289</f>
        <v>-1.0578E-3</v>
      </c>
    </row>
    <row r="49" spans="1:9" ht="28.5" x14ac:dyDescent="0.45">
      <c r="A49" s="1" t="s">
        <v>31</v>
      </c>
      <c r="B49">
        <f>B47/$B$15</f>
        <v>-6.1329479768786136E-5</v>
      </c>
      <c r="G49" s="1" t="s">
        <v>45</v>
      </c>
      <c r="H49">
        <f>I47/B14</f>
        <v>-3.5259999999999998E-5</v>
      </c>
    </row>
    <row r="52" spans="1:9" x14ac:dyDescent="0.45">
      <c r="A52" t="s">
        <v>37</v>
      </c>
      <c r="B52">
        <f>-B49/B45</f>
        <v>0.27788617928765807</v>
      </c>
      <c r="G52" t="s">
        <v>37</v>
      </c>
      <c r="H52">
        <f>-H49/H45</f>
        <v>0.20302812447994675</v>
      </c>
    </row>
    <row r="54" spans="1:9" x14ac:dyDescent="0.45">
      <c r="A54" t="s">
        <v>34</v>
      </c>
      <c r="B54">
        <v>0.33179999999999998</v>
      </c>
      <c r="G54" t="s">
        <v>34</v>
      </c>
      <c r="H54">
        <v>0.33179999999999998</v>
      </c>
    </row>
    <row r="56" spans="1:9" x14ac:dyDescent="0.45">
      <c r="A56" t="s">
        <v>21</v>
      </c>
      <c r="B56">
        <f>(B52-B54)/B52*100</f>
        <v>-19.40140414703108</v>
      </c>
      <c r="C56" t="s">
        <v>22</v>
      </c>
      <c r="G56" t="s">
        <v>21</v>
      </c>
      <c r="H56">
        <f>(H52-H54)/H52*100</f>
        <v>-63.425634182407144</v>
      </c>
      <c r="I56" t="s">
        <v>22</v>
      </c>
    </row>
    <row r="59" spans="1:9" x14ac:dyDescent="0.45">
      <c r="A59" s="1"/>
      <c r="G59" s="1"/>
    </row>
    <row r="61" spans="1:9" ht="28.5" x14ac:dyDescent="0.45">
      <c r="A61" s="1" t="s">
        <v>35</v>
      </c>
      <c r="B61">
        <f>-0.0005694</f>
        <v>-5.6939999999999996E-4</v>
      </c>
      <c r="G61" s="1" t="s">
        <v>35</v>
      </c>
      <c r="H61">
        <f>-2.964*10^(-5)</f>
        <v>-2.9640000000000001E-5</v>
      </c>
    </row>
    <row r="63" spans="1:9" ht="28.5" x14ac:dyDescent="0.45">
      <c r="A63" s="1" t="s">
        <v>36</v>
      </c>
      <c r="B63">
        <f>B61/$B$18</f>
        <v>-1.8979999999999998E-5</v>
      </c>
      <c r="G63" s="1" t="s">
        <v>36</v>
      </c>
      <c r="H63">
        <f>H61/$B$18</f>
        <v>-9.8800000000000011E-7</v>
      </c>
    </row>
    <row r="66" spans="1:9" x14ac:dyDescent="0.45">
      <c r="A66" t="s">
        <v>33</v>
      </c>
      <c r="B66">
        <f>-B63/B45</f>
        <v>8.599909379247847E-2</v>
      </c>
      <c r="G66" t="s">
        <v>33</v>
      </c>
      <c r="H66">
        <f>-H63/H45</f>
        <v>5.6889332667665179E-3</v>
      </c>
    </row>
    <row r="68" spans="1:9" x14ac:dyDescent="0.45">
      <c r="A68" t="s">
        <v>34</v>
      </c>
      <c r="B68">
        <v>4.0099999999999997E-2</v>
      </c>
      <c r="G68" t="s">
        <v>34</v>
      </c>
      <c r="H68">
        <v>4.0099999999999997E-2</v>
      </c>
    </row>
    <row r="70" spans="1:9" x14ac:dyDescent="0.45">
      <c r="A70" t="s">
        <v>21</v>
      </c>
      <c r="B70">
        <f>(B68-B66)/B68*100</f>
        <v>-114.46158052987153</v>
      </c>
      <c r="C70" t="s">
        <v>22</v>
      </c>
      <c r="G70" t="s">
        <v>21</v>
      </c>
      <c r="H70">
        <f>(H68-H66)/H68*100</f>
        <v>85.813133998088475</v>
      </c>
      <c r="I70" t="s">
        <v>22</v>
      </c>
    </row>
    <row r="73" spans="1:9" ht="23.25" x14ac:dyDescent="0.7">
      <c r="A73" s="5" t="s">
        <v>38</v>
      </c>
      <c r="G73" s="5" t="s">
        <v>38</v>
      </c>
    </row>
    <row r="74" spans="1:9" x14ac:dyDescent="0.45">
      <c r="A74" t="s">
        <v>39</v>
      </c>
      <c r="B74">
        <f>B26</f>
        <v>6.6059999999999999E-3</v>
      </c>
      <c r="C74">
        <f>B74/1000</f>
        <v>6.6059999999999999E-6</v>
      </c>
      <c r="D74" t="s">
        <v>58</v>
      </c>
      <c r="E74">
        <f>B29*C14/(C21*C74)</f>
        <v>4375073282.4774818</v>
      </c>
      <c r="G74" t="s">
        <v>46</v>
      </c>
      <c r="H74">
        <f>H26</f>
        <v>5.9979999999999999E-3</v>
      </c>
    </row>
    <row r="75" spans="1:9" x14ac:dyDescent="0.45">
      <c r="E75">
        <f>E74/10^6</f>
        <v>4375.0732824774823</v>
      </c>
    </row>
    <row r="76" spans="1:9" ht="28.5" x14ac:dyDescent="0.45">
      <c r="A76" s="1" t="s">
        <v>30</v>
      </c>
      <c r="B76">
        <f>B74/$B$14</f>
        <v>2.2019999999999999E-4</v>
      </c>
      <c r="E76">
        <f>(E75-B39)/B39*100</f>
        <v>2.2331577178919497</v>
      </c>
      <c r="G76" s="1" t="s">
        <v>43</v>
      </c>
      <c r="H76">
        <f>H74/B15</f>
        <v>1.7335260115606936E-4</v>
      </c>
    </row>
    <row r="78" spans="1:9" ht="28.5" x14ac:dyDescent="0.45">
      <c r="A78" s="1" t="s">
        <v>32</v>
      </c>
      <c r="B78">
        <f>-0.002107</f>
        <v>-2.1069999999999999E-3</v>
      </c>
      <c r="G78" s="1" t="s">
        <v>47</v>
      </c>
      <c r="H78">
        <f>-0.001718</f>
        <v>-1.7179999999999999E-3</v>
      </c>
    </row>
    <row r="80" spans="1:9" ht="28.5" x14ac:dyDescent="0.45">
      <c r="A80" s="1" t="s">
        <v>31</v>
      </c>
      <c r="B80">
        <f>B78/$B$15</f>
        <v>-6.0895953757225431E-5</v>
      </c>
      <c r="G80" s="1" t="s">
        <v>31</v>
      </c>
      <c r="H80">
        <f>H78/B14</f>
        <v>-5.7266666666666665E-5</v>
      </c>
    </row>
    <row r="83" spans="1:9" x14ac:dyDescent="0.45">
      <c r="A83" t="s">
        <v>37</v>
      </c>
      <c r="B83">
        <f>-B80/B76</f>
        <v>0.27654838218540162</v>
      </c>
      <c r="G83" t="s">
        <v>37</v>
      </c>
      <c r="H83">
        <f>-H80/H76</f>
        <v>0.33034789374235857</v>
      </c>
    </row>
    <row r="85" spans="1:9" x14ac:dyDescent="0.45">
      <c r="A85" t="s">
        <v>34</v>
      </c>
      <c r="B85">
        <v>0.33179999999999998</v>
      </c>
      <c r="G85" t="s">
        <v>34</v>
      </c>
      <c r="H85">
        <v>0.33179999999999998</v>
      </c>
    </row>
    <row r="87" spans="1:9" x14ac:dyDescent="0.45">
      <c r="A87" t="s">
        <v>21</v>
      </c>
      <c r="B87">
        <f>(B83-B85)/B83*100</f>
        <v>-19.979005980066432</v>
      </c>
      <c r="C87" t="s">
        <v>22</v>
      </c>
      <c r="G87" t="s">
        <v>21</v>
      </c>
      <c r="H87">
        <f>(H83-H85)/H83*100</f>
        <v>-0.43956879554798312</v>
      </c>
      <c r="I87" t="s">
        <v>22</v>
      </c>
    </row>
    <row r="90" spans="1:9" x14ac:dyDescent="0.45">
      <c r="A90" s="1"/>
      <c r="G90" s="1"/>
    </row>
    <row r="92" spans="1:9" ht="28.5" x14ac:dyDescent="0.45">
      <c r="A92" s="1" t="s">
        <v>35</v>
      </c>
      <c r="B92">
        <f>-0.0002467</f>
        <v>-2.4669999999999998E-4</v>
      </c>
      <c r="G92" s="1" t="s">
        <v>35</v>
      </c>
      <c r="H92">
        <f>-7.5287*10^(-6)</f>
        <v>-7.5286999999999996E-6</v>
      </c>
    </row>
    <row r="94" spans="1:9" ht="28.5" x14ac:dyDescent="0.45">
      <c r="A94" s="1" t="s">
        <v>36</v>
      </c>
      <c r="B94">
        <f>B92/$B$18</f>
        <v>-8.2233333333333331E-6</v>
      </c>
      <c r="G94" s="1" t="s">
        <v>36</v>
      </c>
      <c r="H94">
        <f>H92/$B$18</f>
        <v>-2.5095666666666665E-7</v>
      </c>
    </row>
    <row r="97" spans="1:9" x14ac:dyDescent="0.45">
      <c r="A97" t="s">
        <v>33</v>
      </c>
      <c r="B97">
        <f>-B94/B76</f>
        <v>3.7344838026036935E-2</v>
      </c>
      <c r="G97" t="s">
        <v>33</v>
      </c>
      <c r="H97">
        <f>-H94/H76</f>
        <v>1.4476659997777037E-3</v>
      </c>
    </row>
    <row r="99" spans="1:9" x14ac:dyDescent="0.45">
      <c r="A99" t="s">
        <v>34</v>
      </c>
      <c r="B99">
        <v>4.0099999999999997E-2</v>
      </c>
      <c r="G99" t="s">
        <v>34</v>
      </c>
      <c r="H99">
        <v>4.0099999999999997E-2</v>
      </c>
    </row>
    <row r="101" spans="1:9" x14ac:dyDescent="0.45">
      <c r="A101" t="s">
        <v>21</v>
      </c>
      <c r="B101">
        <f>(B99-B97)/B99*100</f>
        <v>6.8707281146211026</v>
      </c>
      <c r="C101" t="s">
        <v>22</v>
      </c>
      <c r="G101" t="s">
        <v>21</v>
      </c>
      <c r="H101">
        <f>(H99-H97)/H99*100</f>
        <v>96.389860349681527</v>
      </c>
      <c r="I101" t="s"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5"/>
  <sheetViews>
    <sheetView zoomScale="10" zoomScaleNormal="10" workbookViewId="0">
      <selection activeCell="K28" sqref="K28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3" width="9.1328125" style="6"/>
    <col min="14" max="14" width="19.398437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6" x14ac:dyDescent="0.55000000000000004">
      <c r="A1" s="6" t="s">
        <v>131</v>
      </c>
      <c r="B1" s="7">
        <v>1</v>
      </c>
      <c r="C1" s="7">
        <v>1</v>
      </c>
      <c r="D1" s="6" t="s">
        <v>17</v>
      </c>
      <c r="E1" s="7">
        <v>1000</v>
      </c>
      <c r="F1" s="6" t="s">
        <v>132</v>
      </c>
      <c r="G1" s="6">
        <v>1.5</v>
      </c>
    </row>
    <row r="2" spans="1:16" x14ac:dyDescent="0.55000000000000004">
      <c r="A2" s="6" t="s">
        <v>129</v>
      </c>
      <c r="B2" s="7">
        <v>0.2</v>
      </c>
      <c r="C2" s="7">
        <v>0.2</v>
      </c>
      <c r="F2" s="8" t="s">
        <v>130</v>
      </c>
      <c r="G2" s="6">
        <f>(G1/B4)+(2*G1/B5)</f>
        <v>0.30000000000000004</v>
      </c>
    </row>
    <row r="3" spans="1:16" x14ac:dyDescent="0.55000000000000004">
      <c r="A3" s="6" t="s">
        <v>3</v>
      </c>
      <c r="B3" s="7">
        <v>30</v>
      </c>
      <c r="C3" s="7">
        <f>D3*3.1415/180</f>
        <v>0.5235833333333334</v>
      </c>
      <c r="D3" s="6">
        <v>30</v>
      </c>
    </row>
    <row r="4" spans="1:16" x14ac:dyDescent="0.55000000000000004">
      <c r="A4" s="6" t="s">
        <v>2</v>
      </c>
      <c r="B4" s="7">
        <v>15</v>
      </c>
      <c r="C4" s="8">
        <f>3.75</f>
        <v>3.75</v>
      </c>
      <c r="D4" s="7">
        <f>C1*(1+SIN(C3))/(C2*SIN(C3))</f>
        <v>15.000267476221509</v>
      </c>
    </row>
    <row r="5" spans="1:16" x14ac:dyDescent="0.55000000000000004">
      <c r="A5" s="6" t="s">
        <v>4</v>
      </c>
      <c r="B5" s="7">
        <v>15</v>
      </c>
      <c r="C5" s="8">
        <f>3.75</f>
        <v>3.75</v>
      </c>
      <c r="D5" s="7">
        <f>2*C1*(1+SIN(C3))/C2</f>
        <v>14.999866265466325</v>
      </c>
    </row>
    <row r="6" spans="1:16" x14ac:dyDescent="0.55000000000000004">
      <c r="A6" s="6" t="s">
        <v>11</v>
      </c>
      <c r="B6" s="7">
        <v>30</v>
      </c>
      <c r="C6" s="8">
        <f>3.75*2</f>
        <v>7.5</v>
      </c>
    </row>
    <row r="7" spans="1:16" x14ac:dyDescent="0.55000000000000004">
      <c r="A7" s="6" t="s">
        <v>5</v>
      </c>
      <c r="B7" s="8">
        <v>17.32</v>
      </c>
      <c r="C7" s="8">
        <v>4.33</v>
      </c>
      <c r="D7" s="7">
        <f>2*TAN(C3)*C4</f>
        <v>4.3299725976492844</v>
      </c>
    </row>
    <row r="8" spans="1:16" x14ac:dyDescent="0.55000000000000004">
      <c r="A8" s="6" t="s">
        <v>6</v>
      </c>
      <c r="B8" s="8">
        <v>17.32</v>
      </c>
      <c r="C8" s="8">
        <f>C7</f>
        <v>4.33</v>
      </c>
      <c r="D8" s="7">
        <f>C4/COS(C3)</f>
        <v>4.33008841412025</v>
      </c>
    </row>
    <row r="9" spans="1:16" x14ac:dyDescent="0.55000000000000004">
      <c r="A9" s="6" t="s">
        <v>61</v>
      </c>
      <c r="B9" s="8">
        <f>B4</f>
        <v>15</v>
      </c>
      <c r="C9" s="8">
        <f>D4</f>
        <v>15.000267476221509</v>
      </c>
    </row>
    <row r="10" spans="1:16" x14ac:dyDescent="0.55000000000000004">
      <c r="A10" s="6" t="s">
        <v>62</v>
      </c>
      <c r="B10" s="8">
        <f>B7</f>
        <v>17.32</v>
      </c>
      <c r="C10" s="8">
        <f>D7</f>
        <v>4.3299725976492844</v>
      </c>
    </row>
    <row r="11" spans="1:16" x14ac:dyDescent="0.55000000000000004">
      <c r="A11" s="6" t="s">
        <v>63</v>
      </c>
      <c r="B11" s="6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14</v>
      </c>
      <c r="L11" s="6">
        <v>2</v>
      </c>
    </row>
    <row r="12" spans="1:16" x14ac:dyDescent="0.55000000000000004">
      <c r="A12" s="6" t="s">
        <v>64</v>
      </c>
      <c r="B12" s="8">
        <f>$B$9*B11</f>
        <v>15</v>
      </c>
      <c r="C12" s="8">
        <f t="shared" ref="C12:P12" si="0">$B$9*C11</f>
        <v>30</v>
      </c>
      <c r="D12" s="8">
        <f t="shared" ref="D12:H12" si="1">$B$9*D11</f>
        <v>60</v>
      </c>
      <c r="E12" s="8">
        <f t="shared" si="1"/>
        <v>90</v>
      </c>
      <c r="F12" s="8">
        <f t="shared" si="1"/>
        <v>120</v>
      </c>
      <c r="G12" s="8">
        <f t="shared" si="1"/>
        <v>150</v>
      </c>
      <c r="H12" s="8">
        <f t="shared" si="1"/>
        <v>210</v>
      </c>
      <c r="I12" s="8"/>
      <c r="J12" s="8"/>
      <c r="K12" s="8">
        <f t="shared" si="0"/>
        <v>0</v>
      </c>
      <c r="L12" s="8">
        <f t="shared" si="0"/>
        <v>30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 x14ac:dyDescent="0.55000000000000004">
      <c r="A13" s="6" t="s">
        <v>77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 x14ac:dyDescent="0.55000000000000004">
      <c r="A14" s="6" t="s">
        <v>65</v>
      </c>
      <c r="B14" s="8">
        <f>$B$10*B13</f>
        <v>34.64</v>
      </c>
      <c r="C14" s="8">
        <f t="shared" ref="C14:P14" si="2">$B$10*C13</f>
        <v>34.64</v>
      </c>
      <c r="D14" s="8">
        <f t="shared" ref="D14:H14" si="3">$B$10*D13</f>
        <v>34.64</v>
      </c>
      <c r="E14" s="8">
        <f t="shared" si="3"/>
        <v>34.64</v>
      </c>
      <c r="F14" s="8">
        <f t="shared" si="3"/>
        <v>34.64</v>
      </c>
      <c r="G14" s="8">
        <f t="shared" si="3"/>
        <v>34.64</v>
      </c>
      <c r="H14" s="8">
        <f t="shared" si="3"/>
        <v>34.64</v>
      </c>
      <c r="I14" s="8"/>
      <c r="J14" s="8"/>
      <c r="K14" s="8">
        <f t="shared" si="2"/>
        <v>34.64</v>
      </c>
      <c r="L14" s="8">
        <f t="shared" si="2"/>
        <v>138.56</v>
      </c>
      <c r="M14" s="8">
        <f t="shared" si="2"/>
        <v>34.64</v>
      </c>
      <c r="N14" s="8">
        <f t="shared" si="2"/>
        <v>34.64</v>
      </c>
      <c r="O14" s="8">
        <f t="shared" si="2"/>
        <v>34.64</v>
      </c>
      <c r="P14" s="8">
        <f t="shared" si="2"/>
        <v>34.64</v>
      </c>
    </row>
    <row r="15" spans="1:16" x14ac:dyDescent="0.55000000000000004">
      <c r="A15" s="6" t="s">
        <v>67</v>
      </c>
      <c r="B15" s="8">
        <f>B14/1000*$B$6/1000</f>
        <v>1.0391999999999999E-3</v>
      </c>
      <c r="C15" s="8">
        <f t="shared" ref="C15:P15" si="4">C14/1000*$B$6/1000</f>
        <v>1.0391999999999999E-3</v>
      </c>
      <c r="D15" s="8">
        <f t="shared" ref="D15:H15" si="5">D14/1000*$B$6/1000</f>
        <v>1.0391999999999999E-3</v>
      </c>
      <c r="E15" s="8">
        <f t="shared" si="5"/>
        <v>1.0391999999999999E-3</v>
      </c>
      <c r="F15" s="8">
        <f t="shared" si="5"/>
        <v>1.0391999999999999E-3</v>
      </c>
      <c r="G15" s="8">
        <f t="shared" si="5"/>
        <v>1.0391999999999999E-3</v>
      </c>
      <c r="H15" s="8">
        <f t="shared" si="5"/>
        <v>1.0391999999999999E-3</v>
      </c>
      <c r="I15" s="8"/>
      <c r="J15" s="8"/>
      <c r="K15" s="8">
        <f t="shared" si="4"/>
        <v>1.0391999999999999E-3</v>
      </c>
      <c r="L15" s="8">
        <f t="shared" si="4"/>
        <v>4.1567999999999996E-3</v>
      </c>
      <c r="M15" s="8">
        <f t="shared" si="4"/>
        <v>1.0391999999999999E-3</v>
      </c>
      <c r="N15" s="8">
        <f t="shared" si="4"/>
        <v>1.0391999999999999E-3</v>
      </c>
      <c r="O15" s="8">
        <f t="shared" si="4"/>
        <v>1.0391999999999999E-3</v>
      </c>
      <c r="P15" s="8">
        <f t="shared" si="4"/>
        <v>1.0391999999999999E-3</v>
      </c>
    </row>
    <row r="16" spans="1:16" x14ac:dyDescent="0.55000000000000004">
      <c r="A16" s="6" t="s">
        <v>73</v>
      </c>
      <c r="B16" s="7">
        <v>0</v>
      </c>
      <c r="C16" s="7">
        <v>5.2620000000000002E-3</v>
      </c>
      <c r="D16" s="7">
        <v>1.069E-2</v>
      </c>
      <c r="E16" s="7">
        <v>1.61E-2</v>
      </c>
      <c r="F16" s="7">
        <v>2.1600000000000001E-2</v>
      </c>
      <c r="G16" s="7">
        <v>2.7E-2</v>
      </c>
      <c r="H16" s="7">
        <v>3.7999999999999999E-2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 x14ac:dyDescent="0.55000000000000004">
      <c r="A17" s="9" t="s">
        <v>66</v>
      </c>
      <c r="C17" s="10">
        <f t="shared" ref="C17:P17" si="6">($E$1*(C12/1000)/(C15*C16/1000))/(10^6)</f>
        <v>5486.1954156473312</v>
      </c>
      <c r="D17" s="10">
        <f t="shared" ref="D17:H17" si="7">($E$1*(D12/1000)/(D15*D16/1000))/(10^6)</f>
        <v>5401.0028582107134</v>
      </c>
      <c r="E17" s="10">
        <f t="shared" si="7"/>
        <v>5379.1975671682476</v>
      </c>
      <c r="F17" s="10">
        <f t="shared" si="7"/>
        <v>5345.9926439141227</v>
      </c>
      <c r="G17" s="10">
        <f t="shared" si="7"/>
        <v>5345.9926439141236</v>
      </c>
      <c r="H17" s="10">
        <f t="shared" si="7"/>
        <v>5317.8558405251006</v>
      </c>
      <c r="I17" s="10"/>
      <c r="J17" s="10"/>
      <c r="K17" s="9" t="e">
        <f t="shared" si="6"/>
        <v>#DIV/0!</v>
      </c>
      <c r="L17" s="9">
        <f t="shared" si="6"/>
        <v>4444.0209786231926</v>
      </c>
      <c r="M17" s="9" t="e">
        <f t="shared" si="6"/>
        <v>#DIV/0!</v>
      </c>
      <c r="N17" s="9" t="e">
        <f t="shared" si="6"/>
        <v>#DIV/0!</v>
      </c>
      <c r="O17" s="9" t="e">
        <f t="shared" si="6"/>
        <v>#DIV/0!</v>
      </c>
      <c r="P17" s="9" t="e">
        <f t="shared" si="6"/>
        <v>#DIV/0!</v>
      </c>
    </row>
    <row r="18" spans="1:16" x14ac:dyDescent="0.55000000000000004">
      <c r="A18" s="6" t="s">
        <v>68</v>
      </c>
      <c r="B18" s="7">
        <f>5275.7</f>
        <v>5275.7</v>
      </c>
    </row>
    <row r="19" spans="1:16" s="8" customFormat="1" x14ac:dyDescent="0.55000000000000004">
      <c r="A19" s="8" t="s">
        <v>69</v>
      </c>
      <c r="C19" s="8">
        <f>ABS($B$18-C17)/C17*100</f>
        <v>3.8368195023999965</v>
      </c>
      <c r="D19" s="8">
        <f t="shared" ref="D19:H19" si="8">ABS($B$18-D17)/D17*100</f>
        <v>2.3199924440000181</v>
      </c>
      <c r="E19" s="8">
        <f t="shared" si="8"/>
        <v>1.9240335733333482</v>
      </c>
      <c r="F19" s="8">
        <f t="shared" si="8"/>
        <v>1.3148660800000169</v>
      </c>
      <c r="G19" s="8">
        <f t="shared" si="8"/>
        <v>1.3148660800000338</v>
      </c>
      <c r="H19" s="8">
        <f t="shared" si="8"/>
        <v>0.79272251428572327</v>
      </c>
      <c r="K19" s="8" t="e">
        <f t="shared" ref="K19:P19" si="9">ABS($B$18-K17)/$B$18*100</f>
        <v>#DIV/0!</v>
      </c>
      <c r="L19" s="8">
        <f t="shared" si="9"/>
        <v>15.764334995864193</v>
      </c>
      <c r="M19" s="8" t="e">
        <f t="shared" si="9"/>
        <v>#DIV/0!</v>
      </c>
      <c r="N19" s="8" t="e">
        <f t="shared" si="9"/>
        <v>#DIV/0!</v>
      </c>
      <c r="O19" s="8" t="e">
        <f>ABS($B$18-O17)/$B$18*100</f>
        <v>#DIV/0!</v>
      </c>
      <c r="P19" s="8" t="e">
        <f t="shared" si="9"/>
        <v>#DIV/0!</v>
      </c>
    </row>
    <row r="20" spans="1:16" x14ac:dyDescent="0.55000000000000004">
      <c r="A20" s="6" t="s">
        <v>72</v>
      </c>
      <c r="B20" s="7"/>
      <c r="C20" s="7">
        <v>1.3960000000000001E-3</v>
      </c>
      <c r="D20" s="7">
        <v>1.676E-3</v>
      </c>
      <c r="E20" s="7">
        <v>1.7960000000000001E-3</v>
      </c>
      <c r="F20" s="7">
        <v>1.8630000000000001E-3</v>
      </c>
      <c r="G20" s="7">
        <v>1.905E-3</v>
      </c>
      <c r="H20" s="7">
        <v>1.9559999999999998E-3</v>
      </c>
      <c r="I20" s="7"/>
      <c r="J20" s="7"/>
      <c r="K20" s="7"/>
      <c r="L20" s="7"/>
      <c r="M20" s="7"/>
      <c r="N20" s="7"/>
      <c r="O20" s="7"/>
    </row>
    <row r="21" spans="1:16" x14ac:dyDescent="0.55000000000000004">
      <c r="A21" s="6" t="s">
        <v>70</v>
      </c>
      <c r="B21" s="8"/>
      <c r="C21" s="8">
        <f>C16/C12</f>
        <v>1.7540000000000001E-4</v>
      </c>
      <c r="D21" s="8">
        <f t="shared" ref="D21:H21" si="10">D16/D12</f>
        <v>1.7816666666666667E-4</v>
      </c>
      <c r="E21" s="8">
        <f t="shared" si="10"/>
        <v>1.7888888888888889E-4</v>
      </c>
      <c r="F21" s="8">
        <f t="shared" si="10"/>
        <v>1.8000000000000001E-4</v>
      </c>
      <c r="G21" s="8">
        <f t="shared" si="10"/>
        <v>1.8000000000000001E-4</v>
      </c>
      <c r="H21" s="8">
        <f t="shared" si="10"/>
        <v>1.8095238095238095E-4</v>
      </c>
      <c r="I21" s="8"/>
      <c r="J21" s="8"/>
      <c r="K21" s="8" t="e">
        <f t="shared" ref="K21:P21" si="11">K16/K12</f>
        <v>#DIV/0!</v>
      </c>
      <c r="L21" s="8">
        <f t="shared" si="11"/>
        <v>5.4133333333333332E-5</v>
      </c>
      <c r="M21" s="8" t="e">
        <f t="shared" si="11"/>
        <v>#DIV/0!</v>
      </c>
      <c r="N21" s="8" t="e">
        <f t="shared" si="11"/>
        <v>#DIV/0!</v>
      </c>
      <c r="O21" s="8" t="e">
        <f t="shared" si="11"/>
        <v>#DIV/0!</v>
      </c>
      <c r="P21" s="8" t="e">
        <f t="shared" si="11"/>
        <v>#DIV/0!</v>
      </c>
    </row>
    <row r="22" spans="1:16" x14ac:dyDescent="0.55000000000000004">
      <c r="A22" s="6" t="s">
        <v>71</v>
      </c>
      <c r="B22" s="8"/>
      <c r="C22" s="8">
        <f>C20/C14</f>
        <v>4.0300230946882221E-5</v>
      </c>
      <c r="D22" s="8">
        <f t="shared" ref="D22:H22" si="12">D20/D14</f>
        <v>4.8383371824480365E-5</v>
      </c>
      <c r="E22" s="8">
        <f t="shared" si="12"/>
        <v>5.184757505773672E-5</v>
      </c>
      <c r="F22" s="8">
        <f t="shared" si="12"/>
        <v>5.378175519630485E-5</v>
      </c>
      <c r="G22" s="8">
        <f t="shared" si="12"/>
        <v>5.4994226327944574E-5</v>
      </c>
      <c r="H22" s="8">
        <f t="shared" si="12"/>
        <v>5.6466512702078517E-5</v>
      </c>
      <c r="I22" s="8"/>
      <c r="J22" s="8"/>
      <c r="K22" s="8">
        <f t="shared" ref="K22:P22" si="13">K20/K14</f>
        <v>0</v>
      </c>
      <c r="L22" s="8">
        <f t="shared" si="13"/>
        <v>0</v>
      </c>
      <c r="M22" s="8">
        <f t="shared" si="13"/>
        <v>0</v>
      </c>
      <c r="N22" s="8">
        <f t="shared" si="13"/>
        <v>0</v>
      </c>
      <c r="O22" s="8">
        <f t="shared" si="13"/>
        <v>0</v>
      </c>
      <c r="P22" s="8">
        <f t="shared" si="13"/>
        <v>0</v>
      </c>
    </row>
    <row r="23" spans="1:16" x14ac:dyDescent="0.55000000000000004">
      <c r="A23" s="6" t="s">
        <v>74</v>
      </c>
      <c r="B23" s="8"/>
      <c r="C23" s="8">
        <f>C22/C21</f>
        <v>0.22976186400731025</v>
      </c>
      <c r="D23" s="8">
        <f t="shared" ref="D23:E23" si="14">D22/D21</f>
        <v>0.27156242371083461</v>
      </c>
      <c r="E23" s="8">
        <f t="shared" si="14"/>
        <v>0.28983116491902516</v>
      </c>
      <c r="F23" s="8">
        <f t="shared" ref="F23" si="15">F22/F21</f>
        <v>0.29878752886836024</v>
      </c>
      <c r="G23" s="8">
        <f t="shared" ref="G23" si="16">G22/G21</f>
        <v>0.30552347959969206</v>
      </c>
      <c r="H23" s="8">
        <f t="shared" ref="H23" si="17">H22/H21</f>
        <v>0.31205178072201284</v>
      </c>
      <c r="I23" s="8"/>
      <c r="J23" s="8"/>
      <c r="K23" s="8" t="e">
        <f t="shared" ref="K23" si="18">K22/K21</f>
        <v>#DIV/0!</v>
      </c>
      <c r="L23" s="8">
        <f t="shared" ref="L23" si="19">L22/L21</f>
        <v>0</v>
      </c>
      <c r="M23" s="8" t="e">
        <f t="shared" ref="M23" si="20">M22/M21</f>
        <v>#DIV/0!</v>
      </c>
      <c r="N23" s="8" t="e">
        <f t="shared" ref="N23" si="21">N22/N21</f>
        <v>#DIV/0!</v>
      </c>
      <c r="O23" s="8" t="e">
        <f t="shared" ref="O23" si="22">O22/O21</f>
        <v>#DIV/0!</v>
      </c>
      <c r="P23" s="8" t="e">
        <f t="shared" ref="P23" si="23">P22/P21</f>
        <v>#DIV/0!</v>
      </c>
    </row>
    <row r="24" spans="1:16" x14ac:dyDescent="0.55000000000000004">
      <c r="A24" s="6" t="s">
        <v>75</v>
      </c>
      <c r="B24" s="7">
        <v>0.3322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55000000000000004">
      <c r="A25" s="6" t="s">
        <v>76</v>
      </c>
      <c r="B25" s="7">
        <f>B24</f>
        <v>0.3322</v>
      </c>
      <c r="C25" s="8">
        <f>(ABS(C23-$B$25)/C23)*100</f>
        <v>44.584481604584525</v>
      </c>
      <c r="D25" s="8">
        <f t="shared" ref="D25:H25" si="24">(ABS(D23-$B$25)/D23)*100</f>
        <v>22.329148289578367</v>
      </c>
      <c r="E25" s="8">
        <f t="shared" si="24"/>
        <v>14.618453848057403</v>
      </c>
      <c r="F25" s="8">
        <f t="shared" si="24"/>
        <v>11.182685990338175</v>
      </c>
      <c r="G25" s="8">
        <f t="shared" si="24"/>
        <v>8.7314141732283481</v>
      </c>
      <c r="H25" s="8">
        <f t="shared" si="24"/>
        <v>6.4566910117830503</v>
      </c>
      <c r="I25" s="8"/>
      <c r="J25" s="8"/>
      <c r="K25" s="8" t="e">
        <f t="shared" ref="K25:P25" si="25">(ABS(K23-$B$25)/$B$25)*100</f>
        <v>#DIV/0!</v>
      </c>
      <c r="L25" s="8">
        <f t="shared" si="25"/>
        <v>100</v>
      </c>
      <c r="M25" s="8" t="e">
        <f t="shared" si="25"/>
        <v>#DIV/0!</v>
      </c>
      <c r="N25" s="8" t="e">
        <f t="shared" si="25"/>
        <v>#DIV/0!</v>
      </c>
      <c r="O25" s="8" t="e">
        <f t="shared" si="25"/>
        <v>#DIV/0!</v>
      </c>
      <c r="P25" s="8" t="e">
        <f t="shared" si="25"/>
        <v>#DIV/0!</v>
      </c>
    </row>
    <row r="27" spans="1:16" x14ac:dyDescent="0.55000000000000004">
      <c r="A27" s="6" t="s">
        <v>90</v>
      </c>
      <c r="C27" s="7">
        <f>8.806*10^(-4)</f>
        <v>8.8059999999999994E-4</v>
      </c>
      <c r="D27" s="7">
        <f>9.483*10^(-4)</f>
        <v>9.4830000000000012E-4</v>
      </c>
      <c r="E27" s="7">
        <f>9.733*10^(-4)</f>
        <v>9.7330000000000008E-4</v>
      </c>
      <c r="F27" s="7">
        <f>9.862*10^(-4)</f>
        <v>9.8620000000000001E-4</v>
      </c>
      <c r="G27" s="7">
        <f>9.942*10^(-4)</f>
        <v>9.9419999999999999E-4</v>
      </c>
      <c r="H27" s="7">
        <f>1.003*10^(-3)</f>
        <v>1.003E-3</v>
      </c>
      <c r="I27" s="7"/>
      <c r="J27" s="7"/>
    </row>
    <row r="28" spans="1:16" x14ac:dyDescent="0.55000000000000004">
      <c r="A28" s="6" t="s">
        <v>91</v>
      </c>
      <c r="C28" s="8">
        <f>C27/$B$6</f>
        <v>2.9353333333333332E-5</v>
      </c>
      <c r="D28" s="8">
        <f t="shared" ref="D28:H28" si="26">D27/$B$6</f>
        <v>3.1610000000000004E-5</v>
      </c>
      <c r="E28" s="8">
        <f t="shared" si="26"/>
        <v>3.2443333333333335E-5</v>
      </c>
      <c r="F28" s="8">
        <f t="shared" si="26"/>
        <v>3.2873333333333336E-5</v>
      </c>
      <c r="G28" s="8">
        <f t="shared" si="26"/>
        <v>3.3139999999999998E-5</v>
      </c>
      <c r="H28" s="8">
        <f t="shared" si="26"/>
        <v>3.3433333333333331E-5</v>
      </c>
      <c r="I28" s="8"/>
      <c r="J28" s="8"/>
    </row>
    <row r="29" spans="1:16" x14ac:dyDescent="0.55000000000000004">
      <c r="A29" s="6" t="s">
        <v>92</v>
      </c>
      <c r="C29" s="8">
        <f>C28/C21</f>
        <v>0.16735081717977954</v>
      </c>
      <c r="D29" s="8">
        <f t="shared" ref="D29:H29" si="27">D28/D21</f>
        <v>0.17741814780168383</v>
      </c>
      <c r="E29" s="8">
        <f t="shared" si="27"/>
        <v>0.18136024844720497</v>
      </c>
      <c r="F29" s="8">
        <f t="shared" si="27"/>
        <v>0.18262962962962964</v>
      </c>
      <c r="G29" s="8">
        <f t="shared" si="27"/>
        <v>0.18411111111111109</v>
      </c>
      <c r="H29" s="8">
        <f t="shared" si="27"/>
        <v>0.18476315789473682</v>
      </c>
      <c r="I29" s="8"/>
      <c r="J29" s="8"/>
    </row>
    <row r="30" spans="1:16" x14ac:dyDescent="0.55000000000000004">
      <c r="A30" s="6" t="s">
        <v>93</v>
      </c>
      <c r="B30" s="7">
        <v>0.188</v>
      </c>
    </row>
    <row r="31" spans="1:16" x14ac:dyDescent="0.55000000000000004">
      <c r="A31" s="6" t="s">
        <v>94</v>
      </c>
      <c r="B31" s="7">
        <f>B30</f>
        <v>0.188</v>
      </c>
      <c r="C31" s="8">
        <f>ABS($B$31-C29)/C29*100</f>
        <v>12.338859868271642</v>
      </c>
      <c r="D31" s="8">
        <f t="shared" ref="D31:H31" si="28">ABS($B$31-D29)/D29*100</f>
        <v>5.9643572709058246</v>
      </c>
      <c r="E31" s="8">
        <f t="shared" si="28"/>
        <v>3.6610842837083464</v>
      </c>
      <c r="F31" s="8">
        <f t="shared" si="28"/>
        <v>2.940580004055966</v>
      </c>
      <c r="G31" s="8">
        <f t="shared" si="28"/>
        <v>2.1122510561255416</v>
      </c>
      <c r="H31" s="8">
        <f t="shared" si="28"/>
        <v>1.751887195556199</v>
      </c>
      <c r="I31" s="8"/>
      <c r="J31" s="8"/>
    </row>
    <row r="33" spans="1:11" x14ac:dyDescent="0.55000000000000004">
      <c r="A33" s="6" t="s">
        <v>79</v>
      </c>
      <c r="B33" s="15" t="s">
        <v>97</v>
      </c>
    </row>
    <row r="34" spans="1:11" x14ac:dyDescent="0.55000000000000004">
      <c r="A34" s="6" t="s">
        <v>77</v>
      </c>
      <c r="C34" s="6">
        <v>2</v>
      </c>
      <c r="D34" s="6">
        <v>4</v>
      </c>
      <c r="E34" s="6">
        <v>6</v>
      </c>
      <c r="F34" s="6">
        <v>8</v>
      </c>
      <c r="G34" s="6">
        <v>10</v>
      </c>
      <c r="H34" s="6">
        <v>14</v>
      </c>
    </row>
    <row r="35" spans="1:11" x14ac:dyDescent="0.55000000000000004">
      <c r="A35" s="6" t="s">
        <v>82</v>
      </c>
      <c r="C35" s="6">
        <f>$B$8*C34</f>
        <v>34.64</v>
      </c>
      <c r="D35" s="6">
        <f t="shared" ref="D35:H35" si="29">$B$8*D34</f>
        <v>69.28</v>
      </c>
      <c r="E35" s="6">
        <f t="shared" si="29"/>
        <v>103.92</v>
      </c>
      <c r="F35" s="6">
        <f t="shared" si="29"/>
        <v>138.56</v>
      </c>
      <c r="G35" s="6">
        <f t="shared" si="29"/>
        <v>173.2</v>
      </c>
      <c r="H35" s="6">
        <f t="shared" si="29"/>
        <v>242.48000000000002</v>
      </c>
    </row>
    <row r="36" spans="1:11" x14ac:dyDescent="0.55000000000000004">
      <c r="A36" s="6" t="s">
        <v>63</v>
      </c>
      <c r="C36" s="6">
        <v>2</v>
      </c>
      <c r="D36" s="6">
        <v>2</v>
      </c>
      <c r="E36" s="6">
        <v>2</v>
      </c>
      <c r="F36" s="6">
        <v>2</v>
      </c>
      <c r="G36" s="6">
        <v>2</v>
      </c>
      <c r="H36" s="6">
        <v>2</v>
      </c>
    </row>
    <row r="37" spans="1:11" x14ac:dyDescent="0.55000000000000004">
      <c r="A37" s="6" t="s">
        <v>64</v>
      </c>
      <c r="C37" s="6">
        <f>$B$9*C36</f>
        <v>30</v>
      </c>
      <c r="D37" s="6">
        <f t="shared" ref="D37:H37" si="30">$B$9*D36</f>
        <v>30</v>
      </c>
      <c r="E37" s="6">
        <f t="shared" si="30"/>
        <v>30</v>
      </c>
      <c r="F37" s="6">
        <f t="shared" si="30"/>
        <v>30</v>
      </c>
      <c r="G37" s="6">
        <f t="shared" si="30"/>
        <v>30</v>
      </c>
      <c r="H37" s="6">
        <f t="shared" si="30"/>
        <v>30</v>
      </c>
    </row>
    <row r="38" spans="1:11" x14ac:dyDescent="0.55000000000000004">
      <c r="A38" s="6" t="s">
        <v>83</v>
      </c>
      <c r="C38" s="6">
        <f>C37*$B$6/1000000</f>
        <v>8.9999999999999998E-4</v>
      </c>
      <c r="D38" s="6">
        <f t="shared" ref="D38:H38" si="31">D37*$B$6/1000000</f>
        <v>8.9999999999999998E-4</v>
      </c>
      <c r="E38" s="6">
        <f t="shared" si="31"/>
        <v>8.9999999999999998E-4</v>
      </c>
      <c r="F38" s="6">
        <f t="shared" si="31"/>
        <v>8.9999999999999998E-4</v>
      </c>
      <c r="G38" s="6">
        <f t="shared" si="31"/>
        <v>8.9999999999999998E-4</v>
      </c>
      <c r="H38" s="6">
        <f t="shared" si="31"/>
        <v>8.9999999999999998E-4</v>
      </c>
    </row>
    <row r="39" spans="1:11" x14ac:dyDescent="0.55000000000000004">
      <c r="A39" s="6" t="s">
        <v>78</v>
      </c>
      <c r="C39" s="6">
        <v>5.9979999999999999E-3</v>
      </c>
      <c r="D39" s="6">
        <v>1.21E-2</v>
      </c>
      <c r="E39" s="6">
        <v>1.7999999999999999E-2</v>
      </c>
      <c r="F39" s="6">
        <v>2.4E-2</v>
      </c>
      <c r="G39" s="6">
        <v>0.03</v>
      </c>
      <c r="H39" s="6">
        <v>4.2000000000000003E-2</v>
      </c>
    </row>
    <row r="40" spans="1:11" x14ac:dyDescent="0.55000000000000004">
      <c r="A40" s="6" t="s">
        <v>80</v>
      </c>
      <c r="C40" s="10">
        <f t="shared" ref="C40:H40" si="32">($E$1*(C35/1000)/(C38*C39/1000))/(10^6)</f>
        <v>6416.9537994146212</v>
      </c>
      <c r="D40" s="10">
        <f t="shared" si="32"/>
        <v>6361.7998163452721</v>
      </c>
      <c r="E40" s="10">
        <f t="shared" si="32"/>
        <v>6414.8148148148166</v>
      </c>
      <c r="F40" s="10">
        <f t="shared" si="32"/>
        <v>6414.8148148148148</v>
      </c>
      <c r="G40" s="10">
        <f t="shared" si="32"/>
        <v>6414.8148148148148</v>
      </c>
      <c r="H40" s="10">
        <f t="shared" si="32"/>
        <v>6414.8148148148157</v>
      </c>
    </row>
    <row r="41" spans="1:11" x14ac:dyDescent="0.55000000000000004">
      <c r="A41" s="6" t="s">
        <v>81</v>
      </c>
      <c r="B41" s="7">
        <f>4269.832769697</f>
        <v>4269.832769697</v>
      </c>
    </row>
    <row r="42" spans="1:11" x14ac:dyDescent="0.55000000000000004">
      <c r="A42" s="6" t="s">
        <v>21</v>
      </c>
      <c r="C42" s="6">
        <f>ABS($B$41-C40)/$B$41*100</f>
        <v>50.28583425926508</v>
      </c>
      <c r="D42" s="6">
        <f t="shared" ref="D42:H42" si="33">ABS($B$41-D40)/$B$41*100</f>
        <v>48.994121303648249</v>
      </c>
      <c r="E42" s="6">
        <f t="shared" si="33"/>
        <v>50.23573898117867</v>
      </c>
      <c r="F42" s="6">
        <f t="shared" si="33"/>
        <v>50.235738981178621</v>
      </c>
      <c r="G42" s="6">
        <f t="shared" si="33"/>
        <v>50.235738981178621</v>
      </c>
      <c r="H42" s="6">
        <f t="shared" si="33"/>
        <v>50.235738981178649</v>
      </c>
    </row>
    <row r="45" spans="1:11" x14ac:dyDescent="0.55000000000000004">
      <c r="A45" s="6" t="s">
        <v>79</v>
      </c>
      <c r="B45" s="15" t="s">
        <v>98</v>
      </c>
      <c r="F45" s="12"/>
      <c r="G45" s="11"/>
      <c r="H45" s="11"/>
      <c r="I45" s="12"/>
      <c r="J45" s="13" t="s">
        <v>84</v>
      </c>
      <c r="K45" s="13" t="s">
        <v>85</v>
      </c>
    </row>
    <row r="46" spans="1:11" x14ac:dyDescent="0.55000000000000004">
      <c r="A46" s="6" t="s">
        <v>77</v>
      </c>
      <c r="C46" s="7">
        <v>2</v>
      </c>
      <c r="D46" s="7">
        <v>2</v>
      </c>
      <c r="E46" s="7">
        <v>2</v>
      </c>
      <c r="F46" s="7">
        <v>2</v>
      </c>
      <c r="G46" s="7">
        <v>2</v>
      </c>
      <c r="H46" s="7">
        <v>2</v>
      </c>
      <c r="I46" s="13">
        <v>8</v>
      </c>
      <c r="J46" s="13">
        <v>13</v>
      </c>
      <c r="K46" s="13">
        <v>13</v>
      </c>
    </row>
    <row r="47" spans="1:11" x14ac:dyDescent="0.55000000000000004">
      <c r="A47" s="6" t="s">
        <v>82</v>
      </c>
      <c r="C47" s="8">
        <f>$B$8*C46</f>
        <v>34.64</v>
      </c>
      <c r="D47" s="8">
        <f t="shared" ref="D47" si="34">$B$8*D46</f>
        <v>34.64</v>
      </c>
      <c r="E47" s="8">
        <f t="shared" ref="E47" si="35">$B$8*E46</f>
        <v>34.64</v>
      </c>
      <c r="F47" s="8">
        <f t="shared" ref="F47" si="36">$B$8*F46</f>
        <v>34.64</v>
      </c>
      <c r="G47" s="8">
        <f t="shared" ref="G47" si="37">$B$8*G46</f>
        <v>34.64</v>
      </c>
      <c r="H47" s="8">
        <f t="shared" ref="H47:J47" si="38">$B$8*H46</f>
        <v>34.64</v>
      </c>
      <c r="I47" s="13">
        <f t="shared" si="38"/>
        <v>138.56</v>
      </c>
      <c r="J47" s="13">
        <f t="shared" si="38"/>
        <v>225.16</v>
      </c>
      <c r="K47" s="13">
        <f t="shared" ref="K47" si="39">$B$8*K46</f>
        <v>225.16</v>
      </c>
    </row>
    <row r="48" spans="1:11" x14ac:dyDescent="0.55000000000000004">
      <c r="A48" s="6" t="s">
        <v>63</v>
      </c>
      <c r="C48" s="7">
        <v>2</v>
      </c>
      <c r="D48" s="7">
        <v>4</v>
      </c>
      <c r="E48" s="7">
        <v>6</v>
      </c>
      <c r="F48" s="7">
        <v>8</v>
      </c>
      <c r="G48" s="7">
        <v>10</v>
      </c>
      <c r="H48" s="7">
        <v>14</v>
      </c>
      <c r="I48" s="13">
        <v>8</v>
      </c>
      <c r="J48" s="13">
        <v>12</v>
      </c>
      <c r="K48" s="13">
        <v>12</v>
      </c>
    </row>
    <row r="49" spans="1:12" x14ac:dyDescent="0.55000000000000004">
      <c r="A49" s="6" t="s">
        <v>64</v>
      </c>
      <c r="C49" s="8">
        <f>$B$9*C48</f>
        <v>30</v>
      </c>
      <c r="D49" s="8">
        <f t="shared" ref="D49" si="40">$B$9*D48</f>
        <v>60</v>
      </c>
      <c r="E49" s="8">
        <f t="shared" ref="E49" si="41">$B$9*E48</f>
        <v>90</v>
      </c>
      <c r="F49" s="8">
        <f t="shared" ref="F49" si="42">$B$9*F48</f>
        <v>120</v>
      </c>
      <c r="G49" s="8">
        <f t="shared" ref="G49" si="43">$B$9*G48</f>
        <v>150</v>
      </c>
      <c r="H49" s="8">
        <f t="shared" ref="H49:J49" si="44">$B$9*H48</f>
        <v>210</v>
      </c>
      <c r="I49" s="13">
        <f t="shared" si="44"/>
        <v>120</v>
      </c>
      <c r="J49" s="13">
        <f t="shared" si="44"/>
        <v>180</v>
      </c>
      <c r="K49" s="13">
        <f t="shared" ref="K49" si="45">$B$9*K48</f>
        <v>180</v>
      </c>
    </row>
    <row r="50" spans="1:12" x14ac:dyDescent="0.55000000000000004">
      <c r="A50" s="6" t="s">
        <v>83</v>
      </c>
      <c r="C50" s="8">
        <f>C49*$B$6/1000000</f>
        <v>8.9999999999999998E-4</v>
      </c>
      <c r="D50" s="8">
        <f t="shared" ref="D50" si="46">D49*$B$6/1000000</f>
        <v>1.8E-3</v>
      </c>
      <c r="E50" s="8">
        <f t="shared" ref="E50" si="47">E49*$B$6/1000000</f>
        <v>2.7000000000000001E-3</v>
      </c>
      <c r="F50" s="8">
        <f t="shared" ref="F50" si="48">F49*$B$6/1000000</f>
        <v>3.5999999999999999E-3</v>
      </c>
      <c r="G50" s="8">
        <f t="shared" ref="G50" si="49">G49*$B$6/1000000</f>
        <v>4.4999999999999997E-3</v>
      </c>
      <c r="H50" s="8">
        <f t="shared" ref="H50:I50" si="50">H49*$B$6/1000000</f>
        <v>6.3E-3</v>
      </c>
      <c r="I50" s="13">
        <f t="shared" si="50"/>
        <v>3.5999999999999999E-3</v>
      </c>
      <c r="J50" s="13">
        <f>J49*7/1000000</f>
        <v>1.2600000000000001E-3</v>
      </c>
      <c r="K50" s="13">
        <f>K49*7/1000000</f>
        <v>1.2600000000000001E-3</v>
      </c>
    </row>
    <row r="51" spans="1:12" x14ac:dyDescent="0.55000000000000004">
      <c r="A51" s="6" t="s">
        <v>78</v>
      </c>
      <c r="C51" s="7">
        <v>4.8586000000000002E-3</v>
      </c>
      <c r="D51" s="7">
        <v>2.9150000000000001E-3</v>
      </c>
      <c r="E51" s="7">
        <v>2.0820000000000001E-3</v>
      </c>
      <c r="F51" s="7">
        <v>1.619E-3</v>
      </c>
      <c r="G51" s="7">
        <v>1.325E-3</v>
      </c>
      <c r="H51" s="7">
        <f>9.715*10^(-4)</f>
        <v>9.7150000000000003E-4</v>
      </c>
      <c r="I51" s="13">
        <v>7.9950000000000004E-3</v>
      </c>
      <c r="J51" s="13">
        <v>3.8699999999999998E-2</v>
      </c>
      <c r="K51" s="13">
        <v>3.85E-2</v>
      </c>
    </row>
    <row r="52" spans="1:12" x14ac:dyDescent="0.55000000000000004">
      <c r="A52" s="6" t="s">
        <v>80</v>
      </c>
      <c r="C52" s="10">
        <f t="shared" ref="C52:I52" si="51">($E$1*(C47/1000)/(C50*C51/1000))/(10^6)</f>
        <v>7921.8064645965696</v>
      </c>
      <c r="D52" s="10">
        <f t="shared" si="51"/>
        <v>6601.8677339432061</v>
      </c>
      <c r="E52" s="10">
        <f t="shared" si="51"/>
        <v>6162.1660084676396</v>
      </c>
      <c r="F52" s="10">
        <f t="shared" si="51"/>
        <v>5943.3120581977901</v>
      </c>
      <c r="G52" s="10">
        <f t="shared" si="51"/>
        <v>5809.6436058700219</v>
      </c>
      <c r="H52" s="10">
        <f t="shared" si="51"/>
        <v>5659.7145634716408</v>
      </c>
      <c r="I52" s="14">
        <f t="shared" si="51"/>
        <v>4814.1199360711553</v>
      </c>
      <c r="J52" s="14">
        <f>($E$1*(J47/1000)/(J50*J51/1000))/(10^6)</f>
        <v>4617.5300438866325</v>
      </c>
      <c r="K52" s="14">
        <f>($E$1*(K47/1000)/(K50*K51/1000))/(10^6)</f>
        <v>4641.5172129457833</v>
      </c>
    </row>
    <row r="53" spans="1:12" x14ac:dyDescent="0.55000000000000004">
      <c r="A53" s="6" t="s">
        <v>81</v>
      </c>
      <c r="B53" s="7">
        <f>5275.7</f>
        <v>5275.7</v>
      </c>
      <c r="I53" s="13"/>
      <c r="J53" s="13"/>
      <c r="K53" s="13"/>
    </row>
    <row r="54" spans="1:12" x14ac:dyDescent="0.55000000000000004">
      <c r="A54" s="6" t="s">
        <v>21</v>
      </c>
      <c r="C54" s="8">
        <f>ABS($B$41-C52)/C52*100</f>
        <v>46.100264014535632</v>
      </c>
      <c r="D54" s="8">
        <f t="shared" ref="D54:H54" si="52">ABS($B$41-D52)/D52*100</f>
        <v>35.323866793879453</v>
      </c>
      <c r="E54" s="8">
        <f t="shared" si="52"/>
        <v>30.708897426169969</v>
      </c>
      <c r="F54" s="8">
        <f t="shared" si="52"/>
        <v>28.157351862292163</v>
      </c>
      <c r="G54" s="8">
        <f t="shared" si="52"/>
        <v>26.50439408395393</v>
      </c>
      <c r="H54" s="8">
        <f t="shared" si="52"/>
        <v>24.557453881951499</v>
      </c>
      <c r="I54" s="13">
        <f t="shared" ref="I54" si="53">ABS($B$41-I52)/$B$41*100</f>
        <v>12.747271280434234</v>
      </c>
      <c r="J54" s="13">
        <f t="shared" ref="J54:K54" si="54">ABS($B$41-J52)/$B$41*100</f>
        <v>8.1431122234397506</v>
      </c>
      <c r="K54" s="13">
        <f t="shared" si="54"/>
        <v>8.704894624600465</v>
      </c>
    </row>
    <row r="55" spans="1:12" x14ac:dyDescent="0.55000000000000004">
      <c r="C55" s="8"/>
      <c r="D55" s="8"/>
      <c r="E55" s="8"/>
      <c r="F55" s="8"/>
      <c r="G55" s="8"/>
      <c r="H55" s="8"/>
      <c r="I55" s="13"/>
      <c r="J55" s="13"/>
      <c r="K55" s="13"/>
    </row>
    <row r="56" spans="1:12" x14ac:dyDescent="0.55000000000000004">
      <c r="A56" s="6" t="s">
        <v>73</v>
      </c>
      <c r="C56" s="7">
        <f>1.396*10^(-3)</f>
        <v>1.3959999999999999E-3</v>
      </c>
      <c r="D56" s="7">
        <f>1.676*10^(-3)</f>
        <v>1.676E-3</v>
      </c>
      <c r="E56" s="7">
        <f>1.796*10^(-3)</f>
        <v>1.7960000000000001E-3</v>
      </c>
      <c r="F56" s="7">
        <f>1.863*10^(-3)</f>
        <v>1.8630000000000001E-3</v>
      </c>
      <c r="G56" s="7">
        <f>1.905*10^(-3)</f>
        <v>1.905E-3</v>
      </c>
      <c r="H56" s="7">
        <f>2.408*10^(-3)</f>
        <v>2.408E-3</v>
      </c>
    </row>
    <row r="57" spans="1:12" x14ac:dyDescent="0.55000000000000004">
      <c r="A57" s="6" t="s">
        <v>71</v>
      </c>
      <c r="C57" s="8">
        <f>C51/C47</f>
        <v>1.4025981524249423E-4</v>
      </c>
      <c r="D57" s="8">
        <f t="shared" ref="D57:H57" si="55">D51/D47</f>
        <v>8.4151270207852188E-5</v>
      </c>
      <c r="E57" s="8">
        <f t="shared" si="55"/>
        <v>6.010392609699769E-5</v>
      </c>
      <c r="F57" s="8">
        <f t="shared" si="55"/>
        <v>4.6737875288683604E-5</v>
      </c>
      <c r="G57" s="8">
        <f t="shared" si="55"/>
        <v>3.825057736720554E-5</v>
      </c>
      <c r="H57" s="8">
        <f t="shared" si="55"/>
        <v>2.8045612009237874E-5</v>
      </c>
    </row>
    <row r="58" spans="1:12" x14ac:dyDescent="0.55000000000000004">
      <c r="A58" s="6" t="s">
        <v>86</v>
      </c>
      <c r="C58" s="8">
        <f>C56/C49</f>
        <v>4.6533333333333331E-5</v>
      </c>
      <c r="D58" s="8">
        <f t="shared" ref="D58:G58" si="56">D56/D49</f>
        <v>2.7933333333333332E-5</v>
      </c>
      <c r="E58" s="8">
        <f t="shared" si="56"/>
        <v>1.9955555555555557E-5</v>
      </c>
      <c r="F58" s="8">
        <f t="shared" si="56"/>
        <v>1.5525000000000001E-5</v>
      </c>
      <c r="G58" s="8">
        <f t="shared" si="56"/>
        <v>1.27E-5</v>
      </c>
      <c r="H58" s="8">
        <f>H56/H49</f>
        <v>1.1466666666666666E-5</v>
      </c>
    </row>
    <row r="59" spans="1:12" x14ac:dyDescent="0.55000000000000004">
      <c r="A59" s="6" t="s">
        <v>87</v>
      </c>
      <c r="C59" s="8">
        <f>C58/C57</f>
        <v>0.33176525473730428</v>
      </c>
      <c r="D59" s="8">
        <f t="shared" ref="D59:H59" si="57">D58/D57</f>
        <v>0.3319419096626644</v>
      </c>
      <c r="E59" s="8">
        <f t="shared" si="57"/>
        <v>0.33201750453623657</v>
      </c>
      <c r="F59" s="8">
        <f t="shared" si="57"/>
        <v>0.3321717109326745</v>
      </c>
      <c r="G59" s="8">
        <f t="shared" si="57"/>
        <v>0.33202113207547174</v>
      </c>
      <c r="H59" s="8">
        <f t="shared" si="57"/>
        <v>0.4088577800651913</v>
      </c>
      <c r="J59" s="6">
        <f>C52/B53</f>
        <v>1.5015649988810149</v>
      </c>
    </row>
    <row r="60" spans="1:12" x14ac:dyDescent="0.55000000000000004">
      <c r="A60" s="6" t="s">
        <v>88</v>
      </c>
      <c r="B60" s="7">
        <v>0.3322</v>
      </c>
    </row>
    <row r="61" spans="1:12" x14ac:dyDescent="0.55000000000000004">
      <c r="A61" s="6" t="s">
        <v>89</v>
      </c>
      <c r="B61" s="6">
        <f>B60</f>
        <v>0.3322</v>
      </c>
      <c r="C61" s="8">
        <f>(ABS(C59-$B$61)/C59)*100</f>
        <v>0.13104002196973555</v>
      </c>
      <c r="D61" s="8">
        <f t="shared" ref="D61:H61" si="58">(ABS(D59-$B$61)/D59)*100</f>
        <v>7.7751657691514917E-2</v>
      </c>
      <c r="E61" s="8">
        <f t="shared" si="58"/>
        <v>5.4965615146807305E-2</v>
      </c>
      <c r="F61" s="8">
        <f t="shared" si="58"/>
        <v>8.5163987162130417E-3</v>
      </c>
      <c r="G61" s="8">
        <f t="shared" si="58"/>
        <v>5.3872451855745206E-2</v>
      </c>
      <c r="H61" s="8">
        <f t="shared" si="58"/>
        <v>18.749253115097485</v>
      </c>
    </row>
    <row r="62" spans="1:12" x14ac:dyDescent="0.55000000000000004">
      <c r="L62" s="7">
        <v>4.8586000000000002E-3</v>
      </c>
    </row>
    <row r="63" spans="1:12" x14ac:dyDescent="0.55000000000000004">
      <c r="A63" s="6" t="s">
        <v>90</v>
      </c>
      <c r="C63" s="7">
        <f>1.017*10^(-3)</f>
        <v>1.0169999999999999E-3</v>
      </c>
      <c r="D63" s="7">
        <f>5.475*10^(-4)</f>
        <v>5.4750000000000003E-4</v>
      </c>
      <c r="E63" s="7">
        <f>3.746*10^(-4)</f>
        <v>3.746E-4</v>
      </c>
      <c r="F63" s="7">
        <f>2.847*10^(-4)</f>
        <v>2.8470000000000004E-4</v>
      </c>
      <c r="G63" s="7">
        <f>2.296*10^(-4)</f>
        <v>2.296E-4</v>
      </c>
      <c r="H63" s="7">
        <f>4.36*10^(-5)</f>
        <v>4.3600000000000009E-5</v>
      </c>
      <c r="I63" s="12"/>
      <c r="J63" s="12"/>
    </row>
    <row r="64" spans="1:12" x14ac:dyDescent="0.55000000000000004">
      <c r="A64" s="6" t="s">
        <v>91</v>
      </c>
      <c r="C64" s="8">
        <f>C63/$B$6</f>
        <v>3.3899999999999997E-5</v>
      </c>
      <c r="D64" s="8">
        <f t="shared" ref="D64" si="59">D63/$B$6</f>
        <v>1.825E-5</v>
      </c>
      <c r="E64" s="8">
        <f t="shared" ref="E64" si="60">E63/$B$6</f>
        <v>1.2486666666666667E-5</v>
      </c>
      <c r="F64" s="8">
        <f t="shared" ref="F64" si="61">F63/$B$6</f>
        <v>9.4900000000000006E-6</v>
      </c>
      <c r="G64" s="8">
        <f t="shared" ref="G64" si="62">G63/$B$6</f>
        <v>7.6533333333333335E-6</v>
      </c>
      <c r="H64" s="8">
        <f t="shared" ref="H64" si="63">H63/$B$6</f>
        <v>1.4533333333333337E-6</v>
      </c>
      <c r="I64" s="12"/>
      <c r="J64" s="12"/>
    </row>
    <row r="65" spans="1:10" x14ac:dyDescent="0.55000000000000004">
      <c r="A65" s="6" t="s">
        <v>99</v>
      </c>
      <c r="C65" s="8">
        <f>C64/C57</f>
        <v>0.24169431523484131</v>
      </c>
      <c r="D65" s="8">
        <f t="shared" ref="D65" si="64">D64/D57</f>
        <v>0.21687135506003433</v>
      </c>
      <c r="E65" s="8">
        <f t="shared" ref="E65" si="65">E64/E57</f>
        <v>0.20775126480947806</v>
      </c>
      <c r="F65" s="8">
        <f t="shared" ref="F65" si="66">F64/F57</f>
        <v>0.20304731315626931</v>
      </c>
      <c r="G65" s="8">
        <f t="shared" ref="G65" si="67">G64/G57</f>
        <v>0.20008412578616355</v>
      </c>
      <c r="H65" s="8">
        <f t="shared" ref="H65" si="68">H64/H57</f>
        <v>5.1820346543146351E-2</v>
      </c>
      <c r="I65" s="12"/>
      <c r="J65" s="12"/>
    </row>
    <row r="66" spans="1:10" x14ac:dyDescent="0.55000000000000004">
      <c r="A66" s="6" t="s">
        <v>100</v>
      </c>
      <c r="B66" s="7">
        <v>0.188</v>
      </c>
      <c r="I66" s="12"/>
      <c r="J66" s="12"/>
    </row>
    <row r="67" spans="1:10" x14ac:dyDescent="0.55000000000000004">
      <c r="A67" s="6" t="s">
        <v>101</v>
      </c>
      <c r="B67" s="7">
        <f>B66</f>
        <v>0.188</v>
      </c>
      <c r="C67" s="8">
        <f>ABS($B$67-C65)/C65*100</f>
        <v>22.215795676728863</v>
      </c>
      <c r="D67" s="8">
        <f t="shared" ref="D67:H67" si="69">ABS($B$67-D65)/D65*100</f>
        <v>13.312664114650898</v>
      </c>
      <c r="E67" s="8">
        <f t="shared" si="69"/>
        <v>9.5071694642106284</v>
      </c>
      <c r="F67" s="8">
        <f t="shared" si="69"/>
        <v>7.4107423153580934</v>
      </c>
      <c r="G67" s="8">
        <f t="shared" si="69"/>
        <v>6.0395224951919735</v>
      </c>
      <c r="H67" s="8">
        <f t="shared" si="69"/>
        <v>262.79186177087519</v>
      </c>
      <c r="I67" s="12"/>
      <c r="J67" s="12"/>
    </row>
    <row r="71" spans="1:10" x14ac:dyDescent="0.55000000000000004">
      <c r="A71" s="6" t="s">
        <v>102</v>
      </c>
      <c r="B71" s="15" t="s">
        <v>98</v>
      </c>
      <c r="F71" s="12"/>
      <c r="G71" s="11"/>
      <c r="H71" s="11"/>
    </row>
    <row r="72" spans="1:10" x14ac:dyDescent="0.55000000000000004">
      <c r="A72" s="6" t="s">
        <v>77</v>
      </c>
      <c r="C72" s="7">
        <v>2</v>
      </c>
      <c r="D72" s="7">
        <v>2</v>
      </c>
      <c r="E72" s="7">
        <v>2</v>
      </c>
      <c r="F72" s="7">
        <v>2</v>
      </c>
      <c r="G72" s="7">
        <v>2</v>
      </c>
      <c r="H72" s="7">
        <v>2</v>
      </c>
    </row>
    <row r="73" spans="1:10" x14ac:dyDescent="0.55000000000000004">
      <c r="A73" s="6" t="s">
        <v>82</v>
      </c>
      <c r="C73" s="8">
        <f>$B$8*C72</f>
        <v>34.64</v>
      </c>
      <c r="D73" s="8">
        <f t="shared" ref="D73:H73" si="70">$B$8*D72</f>
        <v>34.64</v>
      </c>
      <c r="E73" s="8">
        <f t="shared" si="70"/>
        <v>34.64</v>
      </c>
      <c r="F73" s="8">
        <f t="shared" si="70"/>
        <v>34.64</v>
      </c>
      <c r="G73" s="8">
        <f t="shared" si="70"/>
        <v>34.64</v>
      </c>
      <c r="H73" s="8">
        <f t="shared" si="70"/>
        <v>34.64</v>
      </c>
    </row>
    <row r="74" spans="1:10" x14ac:dyDescent="0.55000000000000004">
      <c r="A74" s="6" t="s">
        <v>63</v>
      </c>
      <c r="C74" s="7">
        <v>2</v>
      </c>
      <c r="D74" s="7">
        <v>4</v>
      </c>
      <c r="E74" s="7">
        <v>6</v>
      </c>
      <c r="F74" s="7">
        <v>8</v>
      </c>
      <c r="G74" s="7">
        <v>10</v>
      </c>
      <c r="H74" s="7">
        <v>12</v>
      </c>
    </row>
    <row r="75" spans="1:10" x14ac:dyDescent="0.55000000000000004">
      <c r="A75" s="6" t="s">
        <v>64</v>
      </c>
      <c r="C75" s="8">
        <f>$B$9*C74</f>
        <v>30</v>
      </c>
      <c r="D75" s="8">
        <f t="shared" ref="D75:H75" si="71">$B$9*D74</f>
        <v>60</v>
      </c>
      <c r="E75" s="8">
        <f t="shared" si="71"/>
        <v>90</v>
      </c>
      <c r="F75" s="8">
        <f t="shared" si="71"/>
        <v>120</v>
      </c>
      <c r="G75" s="8">
        <f t="shared" si="71"/>
        <v>150</v>
      </c>
      <c r="H75" s="8">
        <f t="shared" si="71"/>
        <v>180</v>
      </c>
    </row>
    <row r="76" spans="1:10" x14ac:dyDescent="0.55000000000000004">
      <c r="A76" s="6" t="s">
        <v>103</v>
      </c>
      <c r="C76" s="8">
        <f>C73*C75/1000000</f>
        <v>1.0392000000000001E-3</v>
      </c>
      <c r="D76" s="8">
        <f t="shared" ref="D76:H76" si="72">D73*D75/1000000</f>
        <v>2.0784000000000002E-3</v>
      </c>
      <c r="E76" s="8">
        <f t="shared" si="72"/>
        <v>3.1175999999999999E-3</v>
      </c>
      <c r="F76" s="8">
        <f t="shared" si="72"/>
        <v>4.1568000000000004E-3</v>
      </c>
      <c r="G76" s="8">
        <f t="shared" si="72"/>
        <v>5.1960000000000001E-3</v>
      </c>
      <c r="H76" s="8">
        <f t="shared" si="72"/>
        <v>6.2351999999999998E-3</v>
      </c>
    </row>
    <row r="77" spans="1:10" x14ac:dyDescent="0.55000000000000004">
      <c r="A77" s="6" t="s">
        <v>104</v>
      </c>
      <c r="C77" s="7">
        <f>6.186*10^(-3)</f>
        <v>6.1859999999999997E-3</v>
      </c>
      <c r="D77" s="7">
        <f>3.331*10^(-3)</f>
        <v>3.3310000000000002E-3</v>
      </c>
      <c r="E77" s="7">
        <v>2.2790000000000002E-3</v>
      </c>
      <c r="F77" s="7">
        <f>1.732*10^(-3)</f>
        <v>1.732E-3</v>
      </c>
      <c r="G77" s="7">
        <v>1.3968299999999999E-3</v>
      </c>
      <c r="H77" s="7">
        <f>1.1703*10^(-3)</f>
        <v>1.1703E-3</v>
      </c>
    </row>
    <row r="78" spans="1:10" x14ac:dyDescent="0.55000000000000004">
      <c r="A78" s="6" t="s">
        <v>95</v>
      </c>
      <c r="C78" s="10">
        <f>($E$1*($B$6/1000)/(C76*C77/1000))/(10^6)</f>
        <v>4666.7249073935109</v>
      </c>
      <c r="D78" s="10">
        <f t="shared" ref="D78:H78" si="73">($E$1*($B$6/1000)/(D76*D77/1000))/(10^6)</f>
        <v>4333.287342710335</v>
      </c>
      <c r="E78" s="10">
        <f t="shared" si="73"/>
        <v>4222.3724260839927</v>
      </c>
      <c r="F78" s="10">
        <f t="shared" si="73"/>
        <v>4166.9111254526924</v>
      </c>
      <c r="G78" s="10">
        <f t="shared" si="73"/>
        <v>4133.4106909410966</v>
      </c>
      <c r="H78" s="10">
        <f t="shared" si="73"/>
        <v>4111.2478676601813</v>
      </c>
    </row>
    <row r="79" spans="1:10" x14ac:dyDescent="0.55000000000000004">
      <c r="A79" s="6" t="s">
        <v>96</v>
      </c>
      <c r="B79" s="7">
        <v>4000</v>
      </c>
    </row>
    <row r="80" spans="1:10" x14ac:dyDescent="0.55000000000000004">
      <c r="A80" s="6" t="s">
        <v>21</v>
      </c>
      <c r="C80" s="8">
        <f>ABS($B$79-C78)/C78*100</f>
        <v>14.286783999999999</v>
      </c>
      <c r="D80" s="8">
        <f t="shared" ref="D80:E80" si="74">ABS($B$79-D78)/D78*100</f>
        <v>7.6913279999999782</v>
      </c>
      <c r="E80" s="8">
        <f t="shared" si="74"/>
        <v>5.2665279999999965</v>
      </c>
      <c r="F80" s="8">
        <f t="shared" ref="F80:H80" si="75">ABS($B$41-F78)/$B$41*100</f>
        <v>2.4104373589228696</v>
      </c>
      <c r="G80" s="8">
        <f t="shared" si="75"/>
        <v>3.195021587826361</v>
      </c>
      <c r="H80" s="8">
        <f t="shared" si="75"/>
        <v>3.7140775901645515</v>
      </c>
    </row>
    <row r="82" spans="1:8" x14ac:dyDescent="0.55000000000000004">
      <c r="A82" s="6" t="s">
        <v>73</v>
      </c>
      <c r="C82" s="7">
        <f>2.32*10^(-4)</f>
        <v>2.32E-4</v>
      </c>
      <c r="D82" s="7">
        <f>2.498*10^(-4)</f>
        <v>2.4980000000000005E-4</v>
      </c>
      <c r="E82" s="7">
        <v>2.564E-4</v>
      </c>
      <c r="F82" s="7"/>
      <c r="G82" s="7"/>
      <c r="H82" s="7"/>
    </row>
    <row r="83" spans="1:8" x14ac:dyDescent="0.55000000000000004">
      <c r="A83" s="6" t="s">
        <v>105</v>
      </c>
      <c r="C83" s="8">
        <f>C77/$B$6</f>
        <v>2.062E-4</v>
      </c>
      <c r="D83" s="8">
        <f t="shared" ref="D83:H83" si="76">D77/$B$6</f>
        <v>1.1103333333333334E-4</v>
      </c>
      <c r="E83" s="8">
        <f t="shared" si="76"/>
        <v>7.5966666666666679E-5</v>
      </c>
      <c r="F83" s="8">
        <f t="shared" si="76"/>
        <v>5.7733333333333332E-5</v>
      </c>
      <c r="G83" s="8">
        <f t="shared" si="76"/>
        <v>4.6560999999999997E-5</v>
      </c>
      <c r="H83" s="8">
        <f t="shared" si="76"/>
        <v>3.9010000000000001E-5</v>
      </c>
    </row>
    <row r="84" spans="1:8" x14ac:dyDescent="0.55000000000000004">
      <c r="A84" s="6" t="s">
        <v>86</v>
      </c>
      <c r="C84" s="8">
        <f>C82/C75</f>
        <v>7.7333333333333327E-6</v>
      </c>
      <c r="D84" s="8">
        <f t="shared" ref="D84:G84" si="77">D82/D75</f>
        <v>4.1633333333333338E-6</v>
      </c>
      <c r="E84" s="8">
        <f t="shared" si="77"/>
        <v>2.848888888888889E-6</v>
      </c>
      <c r="F84" s="8">
        <f t="shared" si="77"/>
        <v>0</v>
      </c>
      <c r="G84" s="8">
        <f t="shared" si="77"/>
        <v>0</v>
      </c>
      <c r="H84" s="8">
        <f>H82/H75</f>
        <v>0</v>
      </c>
    </row>
    <row r="85" spans="1:8" x14ac:dyDescent="0.55000000000000004">
      <c r="A85" s="6" t="s">
        <v>106</v>
      </c>
      <c r="C85" s="8">
        <f>C84/C83</f>
        <v>3.7504041383769803E-2</v>
      </c>
      <c r="D85" s="8">
        <f t="shared" ref="D85" si="78">D84/D83</f>
        <v>3.7496247373161214E-2</v>
      </c>
      <c r="E85" s="8">
        <f t="shared" ref="E85" si="79">E84/E83</f>
        <v>3.7501828287260487E-2</v>
      </c>
      <c r="F85" s="8">
        <f t="shared" ref="F85" si="80">F84/F83</f>
        <v>0</v>
      </c>
      <c r="G85" s="8">
        <f t="shared" ref="G85" si="81">G84/G83</f>
        <v>0</v>
      </c>
      <c r="H85" s="8">
        <f t="shared" ref="H85" si="82">H84/H83</f>
        <v>0</v>
      </c>
    </row>
    <row r="86" spans="1:8" x14ac:dyDescent="0.55000000000000004">
      <c r="A86" s="6" t="s">
        <v>107</v>
      </c>
      <c r="B86" s="7">
        <v>3.7499999999999999E-2</v>
      </c>
    </row>
    <row r="87" spans="1:8" x14ac:dyDescent="0.55000000000000004">
      <c r="A87" s="6" t="s">
        <v>108</v>
      </c>
      <c r="B87" s="6">
        <f>B86</f>
        <v>3.7499999999999999E-2</v>
      </c>
      <c r="C87" s="8">
        <f>(ABS(C85-$B$87)/C85)*100</f>
        <v>1.0775862068968493E-2</v>
      </c>
      <c r="D87" s="8">
        <f t="shared" ref="D87:E87" si="83">(ABS(D85-$B$87)/D85)*100</f>
        <v>1.0008006405118276E-2</v>
      </c>
      <c r="E87" s="8">
        <f t="shared" si="83"/>
        <v>4.8751950077848211E-3</v>
      </c>
      <c r="F87" s="8">
        <f t="shared" ref="F87:H87" si="84">(ABS(F85-$B$87)/$B$87)*100</f>
        <v>100</v>
      </c>
      <c r="G87" s="8">
        <f t="shared" si="84"/>
        <v>100</v>
      </c>
      <c r="H87" s="8">
        <f t="shared" si="84"/>
        <v>100</v>
      </c>
    </row>
    <row r="89" spans="1:8" x14ac:dyDescent="0.55000000000000004">
      <c r="A89" s="6" t="s">
        <v>46</v>
      </c>
      <c r="C89" s="7">
        <f>2.679*10^(-4)</f>
        <v>2.6790000000000001E-4</v>
      </c>
      <c r="D89" s="7">
        <f>1.442*10^(-4)</f>
        <v>1.4420000000000001E-4</v>
      </c>
      <c r="E89" s="7">
        <v>9.8679999999999997E-5</v>
      </c>
      <c r="F89" s="7"/>
      <c r="G89" s="7"/>
      <c r="H89" s="7"/>
    </row>
    <row r="90" spans="1:8" x14ac:dyDescent="0.55000000000000004">
      <c r="A90" s="6" t="s">
        <v>109</v>
      </c>
      <c r="C90" s="8">
        <f>C89/C73</f>
        <v>7.7338337182448036E-6</v>
      </c>
      <c r="D90" s="8">
        <f t="shared" ref="D90:H90" si="85">D89/D73</f>
        <v>4.1628175519630485E-6</v>
      </c>
      <c r="E90" s="8">
        <f t="shared" si="85"/>
        <v>2.848729792147806E-6</v>
      </c>
      <c r="F90" s="8">
        <f t="shared" si="85"/>
        <v>0</v>
      </c>
      <c r="G90" s="8">
        <f t="shared" si="85"/>
        <v>0</v>
      </c>
      <c r="H90" s="8">
        <f t="shared" si="85"/>
        <v>0</v>
      </c>
    </row>
    <row r="91" spans="1:8" x14ac:dyDescent="0.55000000000000004">
      <c r="A91" s="6" t="s">
        <v>110</v>
      </c>
      <c r="C91" s="8">
        <f>C90/C83</f>
        <v>3.7506468080721646E-2</v>
      </c>
      <c r="D91" s="8">
        <f t="shared" ref="D91" si="86">D90/D83</f>
        <v>3.7491602089129827E-2</v>
      </c>
      <c r="E91" s="8">
        <f t="shared" ref="E91" si="87">E90/E83</f>
        <v>3.7499733990537153E-2</v>
      </c>
      <c r="F91" s="8">
        <f t="shared" ref="F91" si="88">F90/F83</f>
        <v>0</v>
      </c>
      <c r="G91" s="8">
        <f t="shared" ref="G91" si="89">G90/G83</f>
        <v>0</v>
      </c>
      <c r="H91" s="8">
        <f t="shared" ref="H91" si="90">H90/H83</f>
        <v>0</v>
      </c>
    </row>
    <row r="92" spans="1:8" x14ac:dyDescent="0.55000000000000004">
      <c r="A92" s="6" t="s">
        <v>111</v>
      </c>
      <c r="B92" s="7">
        <v>3.7499999999999999E-2</v>
      </c>
    </row>
    <row r="93" spans="1:8" x14ac:dyDescent="0.55000000000000004">
      <c r="A93" s="6" t="s">
        <v>112</v>
      </c>
      <c r="B93" s="7">
        <f>B92</f>
        <v>3.7499999999999999E-2</v>
      </c>
      <c r="C93" s="8">
        <f>ABS($B$93-C91)/C91*100</f>
        <v>1.7245240761477546E-2</v>
      </c>
      <c r="D93" s="8">
        <f t="shared" ref="D93:E93" si="91">ABS($B$93-D91)/D91*100</f>
        <v>2.2399445214975437E-2</v>
      </c>
      <c r="E93" s="8">
        <f t="shared" si="91"/>
        <v>7.0936359952064121E-4</v>
      </c>
      <c r="F93" s="8">
        <f t="shared" ref="F93:H93" si="92">ABS($B$93-F91)/$B$93*100</f>
        <v>100</v>
      </c>
      <c r="G93" s="8">
        <f t="shared" si="92"/>
        <v>100</v>
      </c>
      <c r="H93" s="8">
        <f t="shared" si="92"/>
        <v>100</v>
      </c>
    </row>
    <row r="100" spans="1:7" x14ac:dyDescent="0.55000000000000004">
      <c r="A100" s="6" t="s">
        <v>113</v>
      </c>
    </row>
    <row r="101" spans="1:7" x14ac:dyDescent="0.55000000000000004">
      <c r="A101" s="6" t="s">
        <v>114</v>
      </c>
      <c r="B101" s="6">
        <f>10*10^6</f>
        <v>10000000</v>
      </c>
    </row>
    <row r="102" spans="1:7" x14ac:dyDescent="0.55000000000000004">
      <c r="A102" s="6" t="s">
        <v>63</v>
      </c>
      <c r="C102" s="7">
        <v>2</v>
      </c>
      <c r="D102" s="7">
        <v>4</v>
      </c>
      <c r="E102" s="7">
        <v>6</v>
      </c>
      <c r="F102" s="7">
        <v>8</v>
      </c>
      <c r="G102" s="7">
        <v>10</v>
      </c>
    </row>
    <row r="103" spans="1:7" x14ac:dyDescent="0.55000000000000004">
      <c r="A103" s="6" t="s">
        <v>64</v>
      </c>
      <c r="C103" s="8">
        <f>$B$9*C102</f>
        <v>30</v>
      </c>
      <c r="D103" s="8">
        <f t="shared" ref="D103:G103" si="93">$B$9*D102</f>
        <v>60</v>
      </c>
      <c r="E103" s="8">
        <f t="shared" si="93"/>
        <v>90</v>
      </c>
      <c r="F103" s="8">
        <f t="shared" si="93"/>
        <v>120</v>
      </c>
      <c r="G103" s="8">
        <f t="shared" si="93"/>
        <v>150</v>
      </c>
    </row>
    <row r="104" spans="1:7" x14ac:dyDescent="0.55000000000000004">
      <c r="A104" s="6" t="s">
        <v>115</v>
      </c>
      <c r="C104" s="8">
        <f>C103*$B$6/1000000</f>
        <v>8.9999999999999998E-4</v>
      </c>
      <c r="D104" s="8">
        <f t="shared" ref="D104:G104" si="94">D103*$B$6/1000000</f>
        <v>1.8E-3</v>
      </c>
      <c r="E104" s="8">
        <f t="shared" si="94"/>
        <v>2.7000000000000001E-3</v>
      </c>
      <c r="F104" s="8">
        <f t="shared" si="94"/>
        <v>3.5999999999999999E-3</v>
      </c>
      <c r="G104" s="8">
        <f t="shared" si="94"/>
        <v>4.4999999999999997E-3</v>
      </c>
    </row>
    <row r="105" spans="1:7" x14ac:dyDescent="0.55000000000000004">
      <c r="A105" s="6" t="s">
        <v>77</v>
      </c>
      <c r="C105" s="7">
        <v>2</v>
      </c>
      <c r="D105" s="7">
        <v>2</v>
      </c>
      <c r="E105" s="7">
        <v>2</v>
      </c>
      <c r="F105" s="7">
        <v>2</v>
      </c>
      <c r="G105" s="7">
        <v>2</v>
      </c>
    </row>
    <row r="106" spans="1:7" x14ac:dyDescent="0.55000000000000004">
      <c r="A106" s="6" t="s">
        <v>82</v>
      </c>
      <c r="C106" s="8">
        <f>$B$8*C105</f>
        <v>34.64</v>
      </c>
      <c r="D106" s="8">
        <f t="shared" ref="D106:G106" si="95">$B$8*D105</f>
        <v>34.64</v>
      </c>
      <c r="E106" s="8">
        <f t="shared" si="95"/>
        <v>34.64</v>
      </c>
      <c r="F106" s="8">
        <f t="shared" si="95"/>
        <v>34.64</v>
      </c>
      <c r="G106" s="8">
        <f t="shared" si="95"/>
        <v>34.64</v>
      </c>
    </row>
    <row r="107" spans="1:7" x14ac:dyDescent="0.55000000000000004">
      <c r="A107" s="6" t="s">
        <v>116</v>
      </c>
      <c r="C107" s="8">
        <f>$B$6*C106/1000000</f>
        <v>1.0392000000000001E-3</v>
      </c>
      <c r="D107" s="8">
        <f t="shared" ref="D107:G107" si="96">$B$6*D106/1000000</f>
        <v>1.0392000000000001E-3</v>
      </c>
      <c r="E107" s="8">
        <f t="shared" si="96"/>
        <v>1.0392000000000001E-3</v>
      </c>
      <c r="F107" s="8">
        <f t="shared" si="96"/>
        <v>1.0392000000000001E-3</v>
      </c>
      <c r="G107" s="8">
        <f t="shared" si="96"/>
        <v>1.0392000000000001E-3</v>
      </c>
    </row>
    <row r="108" spans="1:7" x14ac:dyDescent="0.55000000000000004">
      <c r="A108" s="6" t="s">
        <v>117</v>
      </c>
      <c r="C108" s="8">
        <f>$B$101*C104</f>
        <v>9000</v>
      </c>
      <c r="D108" s="8">
        <f t="shared" ref="D108:G108" si="97">$B$101*D104</f>
        <v>18000</v>
      </c>
      <c r="E108" s="8">
        <f t="shared" si="97"/>
        <v>27000</v>
      </c>
      <c r="F108" s="8">
        <f t="shared" si="97"/>
        <v>36000</v>
      </c>
      <c r="G108" s="8">
        <f t="shared" si="97"/>
        <v>45000</v>
      </c>
    </row>
    <row r="109" spans="1:7" x14ac:dyDescent="0.55000000000000004">
      <c r="A109" s="6" t="s">
        <v>118</v>
      </c>
      <c r="C109" s="8">
        <f>$B$101*C107</f>
        <v>10392.000000000002</v>
      </c>
      <c r="D109" s="8">
        <f t="shared" ref="D109:G109" si="98">$B$101*D107</f>
        <v>10392.000000000002</v>
      </c>
      <c r="E109" s="8">
        <f t="shared" si="98"/>
        <v>10392.000000000002</v>
      </c>
      <c r="F109" s="8">
        <f t="shared" si="98"/>
        <v>10392.000000000002</v>
      </c>
      <c r="G109" s="8">
        <f t="shared" si="98"/>
        <v>10392.000000000002</v>
      </c>
    </row>
    <row r="110" spans="1:7" x14ac:dyDescent="0.55000000000000004">
      <c r="A110" s="6" t="s">
        <v>119</v>
      </c>
      <c r="C110" s="8">
        <f>C106</f>
        <v>34.64</v>
      </c>
      <c r="D110" s="8">
        <f t="shared" ref="D110:G110" si="99">D106</f>
        <v>34.64</v>
      </c>
      <c r="E110" s="8">
        <f t="shared" si="99"/>
        <v>34.64</v>
      </c>
      <c r="F110" s="8">
        <f t="shared" si="99"/>
        <v>34.64</v>
      </c>
      <c r="G110" s="8">
        <f t="shared" si="99"/>
        <v>34.64</v>
      </c>
    </row>
    <row r="111" spans="1:7" x14ac:dyDescent="0.55000000000000004">
      <c r="A111" s="6" t="s">
        <v>120</v>
      </c>
      <c r="C111" s="7">
        <f>0.18737865</f>
        <v>0.18737865000000001</v>
      </c>
      <c r="D111" s="7">
        <v>0.374749</v>
      </c>
      <c r="E111" s="6">
        <v>0.56200000000000006</v>
      </c>
      <c r="F111" s="6">
        <v>0.749</v>
      </c>
    </row>
    <row r="112" spans="1:7" x14ac:dyDescent="0.55000000000000004">
      <c r="A112" s="6" t="s">
        <v>121</v>
      </c>
      <c r="C112" s="8">
        <f>C111/C103</f>
        <v>6.2459550000000001E-3</v>
      </c>
      <c r="D112" s="8">
        <f>D111/D103</f>
        <v>6.2458166666666667E-3</v>
      </c>
      <c r="E112" s="8">
        <f t="shared" ref="E112:G112" si="100">E111/E103</f>
        <v>6.2444444444444448E-3</v>
      </c>
      <c r="F112" s="8">
        <f t="shared" si="100"/>
        <v>6.2416666666666671E-3</v>
      </c>
      <c r="G112" s="8">
        <f t="shared" si="100"/>
        <v>0</v>
      </c>
    </row>
    <row r="113" spans="1:16" x14ac:dyDescent="0.55000000000000004">
      <c r="A113" s="6" t="s">
        <v>113</v>
      </c>
      <c r="C113" s="8">
        <f>($B$101/C112)/10^6</f>
        <v>1601.036190622571</v>
      </c>
      <c r="D113" s="8">
        <f t="shared" ref="D113:G113" si="101">($B$101/D112)/10^6</f>
        <v>1601.0716506248182</v>
      </c>
      <c r="E113" s="8">
        <f t="shared" si="101"/>
        <v>1601.4234875444838</v>
      </c>
      <c r="F113" s="8">
        <f t="shared" si="101"/>
        <v>1602.1361815754337</v>
      </c>
      <c r="G113" s="8" t="e">
        <f t="shared" si="101"/>
        <v>#DIV/0!</v>
      </c>
    </row>
    <row r="114" spans="1:16" x14ac:dyDescent="0.55000000000000004">
      <c r="A114" s="6" t="s">
        <v>122</v>
      </c>
      <c r="B114" s="7">
        <v>1607.2</v>
      </c>
    </row>
    <row r="115" spans="1:16" x14ac:dyDescent="0.55000000000000004">
      <c r="A115" s="6" t="s">
        <v>22</v>
      </c>
      <c r="C115" s="8">
        <f>ABS($B$114-C113)/$B$114*100</f>
        <v>0.38351228082560113</v>
      </c>
      <c r="D115" s="8">
        <f t="shared" ref="D115:G115" si="102">ABS($B$114-D113)/$B$114*100</f>
        <v>0.38130595913276938</v>
      </c>
      <c r="E115" s="8">
        <f t="shared" si="102"/>
        <v>0.35941466248856646</v>
      </c>
      <c r="F115" s="8">
        <f t="shared" si="102"/>
        <v>0.31507083278784886</v>
      </c>
      <c r="G115" s="8" t="e">
        <f t="shared" si="102"/>
        <v>#DIV/0!</v>
      </c>
    </row>
    <row r="119" spans="1:16" x14ac:dyDescent="0.55000000000000004">
      <c r="A119" s="6" t="s">
        <v>125</v>
      </c>
    </row>
    <row r="120" spans="1:16" x14ac:dyDescent="0.55000000000000004">
      <c r="A120" s="6" t="s">
        <v>114</v>
      </c>
      <c r="B120" s="6">
        <f>10*10^6</f>
        <v>10000000</v>
      </c>
      <c r="H120" s="11"/>
    </row>
    <row r="121" spans="1:16" x14ac:dyDescent="0.55000000000000004">
      <c r="A121" s="6" t="s">
        <v>63</v>
      </c>
      <c r="C121" s="7">
        <v>2</v>
      </c>
      <c r="D121" s="7">
        <v>4</v>
      </c>
      <c r="E121" s="7">
        <v>6</v>
      </c>
      <c r="F121" s="7">
        <v>8</v>
      </c>
      <c r="G121" s="7">
        <v>10</v>
      </c>
      <c r="H121" s="7">
        <v>2</v>
      </c>
      <c r="I121" s="7">
        <v>4</v>
      </c>
      <c r="J121" s="7">
        <v>6</v>
      </c>
      <c r="K121" s="7">
        <v>8</v>
      </c>
      <c r="L121" s="7">
        <v>10</v>
      </c>
      <c r="M121" s="7">
        <v>14</v>
      </c>
      <c r="N121" s="7">
        <v>14</v>
      </c>
      <c r="O121" s="7">
        <v>2</v>
      </c>
      <c r="P121" s="7">
        <v>2</v>
      </c>
    </row>
    <row r="122" spans="1:16" x14ac:dyDescent="0.55000000000000004">
      <c r="A122" s="6" t="s">
        <v>64</v>
      </c>
      <c r="C122" s="8">
        <f>$B$9*C121</f>
        <v>30</v>
      </c>
      <c r="D122" s="8">
        <f t="shared" ref="D122:G122" si="103">$B$9*D121</f>
        <v>60</v>
      </c>
      <c r="E122" s="8">
        <f t="shared" si="103"/>
        <v>90</v>
      </c>
      <c r="F122" s="8">
        <f t="shared" si="103"/>
        <v>120</v>
      </c>
      <c r="G122" s="8">
        <f t="shared" si="103"/>
        <v>150</v>
      </c>
      <c r="H122" s="8">
        <f>$B$9*H121</f>
        <v>30</v>
      </c>
      <c r="I122" s="8">
        <f t="shared" ref="I122:M122" si="104">$B$9*I121</f>
        <v>60</v>
      </c>
      <c r="J122" s="8">
        <f t="shared" si="104"/>
        <v>90</v>
      </c>
      <c r="K122" s="8">
        <f t="shared" si="104"/>
        <v>120</v>
      </c>
      <c r="L122" s="8">
        <f t="shared" si="104"/>
        <v>150</v>
      </c>
      <c r="M122" s="8">
        <f t="shared" si="104"/>
        <v>210</v>
      </c>
      <c r="N122" s="8">
        <f t="shared" ref="N122" si="105">$B$9*N121</f>
        <v>210</v>
      </c>
      <c r="O122" s="8">
        <f>$B$9*O121</f>
        <v>30</v>
      </c>
      <c r="P122" s="8">
        <f>$B$9*P121</f>
        <v>30</v>
      </c>
    </row>
    <row r="123" spans="1:16" x14ac:dyDescent="0.55000000000000004">
      <c r="A123" s="6" t="s">
        <v>115</v>
      </c>
      <c r="C123" s="8">
        <f>C122*C125/1000000</f>
        <v>1.0392000000000001E-3</v>
      </c>
      <c r="D123" s="8">
        <f t="shared" ref="D123:G123" si="106">D122*D125/1000000</f>
        <v>2.0784000000000002E-3</v>
      </c>
      <c r="E123" s="8">
        <f t="shared" si="106"/>
        <v>3.1175999999999999E-3</v>
      </c>
      <c r="F123" s="8">
        <f t="shared" si="106"/>
        <v>4.1568000000000004E-3</v>
      </c>
      <c r="G123" s="8">
        <f t="shared" si="106"/>
        <v>5.1960000000000001E-3</v>
      </c>
      <c r="H123" s="8">
        <f>H122*H125/1000000</f>
        <v>1.0392000000000001E-3</v>
      </c>
      <c r="I123" s="8">
        <f t="shared" ref="I123:M123" si="107">I122*I125/1000000</f>
        <v>2.0784000000000002E-3</v>
      </c>
      <c r="J123" s="8">
        <f t="shared" si="107"/>
        <v>3.1175999999999999E-3</v>
      </c>
      <c r="K123" s="8">
        <f t="shared" si="107"/>
        <v>4.1568000000000004E-3</v>
      </c>
      <c r="L123" s="8">
        <f t="shared" si="107"/>
        <v>5.1960000000000001E-3</v>
      </c>
      <c r="M123" s="8">
        <f t="shared" si="107"/>
        <v>7.2744000000000003E-3</v>
      </c>
      <c r="N123" s="8">
        <f t="shared" ref="N123" si="108">N122*N125/1000000</f>
        <v>7.2744000000000003E-3</v>
      </c>
      <c r="O123" s="8">
        <f>O122*O125/1000000</f>
        <v>3.1175999999999999E-3</v>
      </c>
      <c r="P123" s="8">
        <f>P122*P125/1000000</f>
        <v>5.1960000000000001E-3</v>
      </c>
    </row>
    <row r="124" spans="1:16" x14ac:dyDescent="0.55000000000000004">
      <c r="A124" s="6" t="s">
        <v>77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>
        <v>2</v>
      </c>
      <c r="I124" s="7">
        <v>2</v>
      </c>
      <c r="J124" s="7">
        <v>2</v>
      </c>
      <c r="K124" s="7">
        <v>2</v>
      </c>
      <c r="L124" s="7">
        <v>2</v>
      </c>
      <c r="M124" s="7">
        <v>2</v>
      </c>
      <c r="N124" s="7">
        <v>2</v>
      </c>
      <c r="O124" s="7">
        <v>6</v>
      </c>
      <c r="P124" s="7">
        <v>10</v>
      </c>
    </row>
    <row r="125" spans="1:16" x14ac:dyDescent="0.55000000000000004">
      <c r="A125" s="6" t="s">
        <v>82</v>
      </c>
      <c r="C125" s="8">
        <f>$B$8*C124</f>
        <v>34.64</v>
      </c>
      <c r="D125" s="8">
        <f t="shared" ref="D125:G125" si="109">$B$8*D124</f>
        <v>34.64</v>
      </c>
      <c r="E125" s="8">
        <f t="shared" si="109"/>
        <v>34.64</v>
      </c>
      <c r="F125" s="8">
        <f t="shared" si="109"/>
        <v>34.64</v>
      </c>
      <c r="G125" s="8">
        <f t="shared" si="109"/>
        <v>34.64</v>
      </c>
      <c r="H125" s="8">
        <f>$B$8*H124</f>
        <v>34.64</v>
      </c>
      <c r="I125" s="8">
        <f t="shared" ref="I125:M125" si="110">$B$8*I124</f>
        <v>34.64</v>
      </c>
      <c r="J125" s="8">
        <f t="shared" si="110"/>
        <v>34.64</v>
      </c>
      <c r="K125" s="8">
        <f t="shared" si="110"/>
        <v>34.64</v>
      </c>
      <c r="L125" s="8">
        <f t="shared" si="110"/>
        <v>34.64</v>
      </c>
      <c r="M125" s="8">
        <f t="shared" si="110"/>
        <v>34.64</v>
      </c>
      <c r="N125" s="8">
        <f t="shared" ref="N125" si="111">$B$8*N124</f>
        <v>34.64</v>
      </c>
      <c r="O125" s="8">
        <f>$B$8*O124</f>
        <v>103.92</v>
      </c>
      <c r="P125" s="8">
        <f>$B$8*P124</f>
        <v>173.2</v>
      </c>
    </row>
    <row r="126" spans="1:16" x14ac:dyDescent="0.55000000000000004">
      <c r="A126" s="6" t="s">
        <v>116</v>
      </c>
      <c r="C126" s="8">
        <f>$B$6*C125/1000000</f>
        <v>1.0392000000000001E-3</v>
      </c>
      <c r="D126" s="8">
        <f t="shared" ref="D126:G126" si="112">$B$6*D125/1000000</f>
        <v>1.0392000000000001E-3</v>
      </c>
      <c r="E126" s="8">
        <f t="shared" si="112"/>
        <v>1.0392000000000001E-3</v>
      </c>
      <c r="F126" s="8">
        <f t="shared" si="112"/>
        <v>1.0392000000000001E-3</v>
      </c>
      <c r="G126" s="8">
        <f t="shared" si="112"/>
        <v>1.0392000000000001E-3</v>
      </c>
      <c r="H126" s="8">
        <f>$B$6*H125/1000000</f>
        <v>1.0392000000000001E-3</v>
      </c>
      <c r="I126" s="8">
        <f>I122*I125/1000000</f>
        <v>2.0784000000000002E-3</v>
      </c>
      <c r="J126" s="8">
        <f t="shared" ref="J126:M126" si="113">J122*J125/1000000</f>
        <v>3.1175999999999999E-3</v>
      </c>
      <c r="K126" s="8">
        <f t="shared" si="113"/>
        <v>4.1568000000000004E-3</v>
      </c>
      <c r="L126" s="8">
        <f t="shared" si="113"/>
        <v>5.1960000000000001E-3</v>
      </c>
      <c r="M126" s="8">
        <f t="shared" si="113"/>
        <v>7.2744000000000003E-3</v>
      </c>
      <c r="N126" s="8">
        <f>93*N125/1000000</f>
        <v>3.2215199999999999E-3</v>
      </c>
      <c r="O126" s="8">
        <f>$B$6*O125/1000000</f>
        <v>3.1175999999999999E-3</v>
      </c>
      <c r="P126" s="8">
        <f>$B$6*P125/1000000</f>
        <v>5.1960000000000001E-3</v>
      </c>
    </row>
    <row r="127" spans="1:16" x14ac:dyDescent="0.55000000000000004">
      <c r="A127" s="6" t="s">
        <v>117</v>
      </c>
      <c r="C127" s="8">
        <f>$B$101*C123</f>
        <v>10392.000000000002</v>
      </c>
      <c r="D127" s="8">
        <f t="shared" ref="D127:G127" si="114">$B$101*D123</f>
        <v>20784.000000000004</v>
      </c>
      <c r="E127" s="8">
        <f t="shared" si="114"/>
        <v>31176</v>
      </c>
      <c r="F127" s="8">
        <f t="shared" si="114"/>
        <v>41568.000000000007</v>
      </c>
      <c r="G127" s="8">
        <f t="shared" si="114"/>
        <v>51960</v>
      </c>
      <c r="H127" s="8">
        <f>$B$101*H123</f>
        <v>10392.000000000002</v>
      </c>
      <c r="I127" s="8">
        <f t="shared" ref="I127:M127" si="115">$B$101*I123</f>
        <v>20784.000000000004</v>
      </c>
      <c r="J127" s="8">
        <f t="shared" si="115"/>
        <v>31176</v>
      </c>
      <c r="K127" s="8">
        <f t="shared" si="115"/>
        <v>41568.000000000007</v>
      </c>
      <c r="L127" s="8">
        <f t="shared" si="115"/>
        <v>51960</v>
      </c>
      <c r="M127" s="8">
        <f t="shared" si="115"/>
        <v>72744</v>
      </c>
      <c r="N127" s="8">
        <f t="shared" ref="N127" si="116">$B$101*N123</f>
        <v>72744</v>
      </c>
      <c r="O127" s="8">
        <f>$B$101*O123</f>
        <v>31176</v>
      </c>
      <c r="P127" s="8">
        <f>$B$101*P123</f>
        <v>51960</v>
      </c>
    </row>
    <row r="128" spans="1:16" x14ac:dyDescent="0.55000000000000004">
      <c r="A128" s="6" t="s">
        <v>118</v>
      </c>
      <c r="C128" s="8">
        <f>$B$101*C126</f>
        <v>10392.000000000002</v>
      </c>
      <c r="D128" s="8">
        <f t="shared" ref="D128:G128" si="117">$B$101*D126</f>
        <v>10392.000000000002</v>
      </c>
      <c r="E128" s="8">
        <f t="shared" si="117"/>
        <v>10392.000000000002</v>
      </c>
      <c r="F128" s="8">
        <f t="shared" si="117"/>
        <v>10392.000000000002</v>
      </c>
      <c r="G128" s="8">
        <f t="shared" si="117"/>
        <v>10392.000000000002</v>
      </c>
      <c r="H128" s="8">
        <f>$B$101*H126</f>
        <v>10392.000000000002</v>
      </c>
      <c r="I128" s="8">
        <f t="shared" ref="I128:M128" si="118">$B$101*I126</f>
        <v>20784.000000000004</v>
      </c>
      <c r="J128" s="8">
        <f t="shared" si="118"/>
        <v>31176</v>
      </c>
      <c r="K128" s="8">
        <f t="shared" si="118"/>
        <v>41568.000000000007</v>
      </c>
      <c r="L128" s="8">
        <f t="shared" si="118"/>
        <v>51960</v>
      </c>
      <c r="M128" s="8">
        <f t="shared" si="118"/>
        <v>72744</v>
      </c>
      <c r="N128" s="16">
        <f t="shared" ref="N128" si="119">$B$101*N126</f>
        <v>32215.199999999997</v>
      </c>
      <c r="O128" s="8">
        <f>$B$101*O126</f>
        <v>31176</v>
      </c>
      <c r="P128" s="8">
        <f>$B$101*P126</f>
        <v>51960</v>
      </c>
    </row>
    <row r="129" spans="1:16" x14ac:dyDescent="0.55000000000000004">
      <c r="A129" s="6" t="s">
        <v>119</v>
      </c>
      <c r="C129" s="8">
        <f>C122</f>
        <v>30</v>
      </c>
      <c r="D129" s="8">
        <f t="shared" ref="D129:G129" si="120">D125</f>
        <v>34.64</v>
      </c>
      <c r="E129" s="8">
        <f t="shared" si="120"/>
        <v>34.64</v>
      </c>
      <c r="F129" s="8">
        <f t="shared" si="120"/>
        <v>34.64</v>
      </c>
      <c r="G129" s="8">
        <f t="shared" si="120"/>
        <v>34.64</v>
      </c>
      <c r="H129" s="8">
        <f>H122</f>
        <v>30</v>
      </c>
      <c r="I129" s="8">
        <f t="shared" ref="I129:M129" si="121">I125</f>
        <v>34.64</v>
      </c>
      <c r="J129" s="8">
        <f t="shared" si="121"/>
        <v>34.64</v>
      </c>
      <c r="K129" s="8">
        <f t="shared" si="121"/>
        <v>34.64</v>
      </c>
      <c r="L129" s="8">
        <f t="shared" si="121"/>
        <v>34.64</v>
      </c>
      <c r="M129" s="8">
        <f t="shared" si="121"/>
        <v>34.64</v>
      </c>
      <c r="N129" s="8">
        <f t="shared" ref="N129" si="122">N125</f>
        <v>34.64</v>
      </c>
      <c r="O129" s="8">
        <f>O122</f>
        <v>30</v>
      </c>
      <c r="P129" s="8">
        <f>P122</f>
        <v>30</v>
      </c>
    </row>
    <row r="130" spans="1:16" x14ac:dyDescent="0.55000000000000004">
      <c r="A130" s="6" t="s">
        <v>120</v>
      </c>
      <c r="C130" s="7">
        <v>6.1909999999999998</v>
      </c>
      <c r="D130" s="7">
        <v>12.41</v>
      </c>
      <c r="E130" s="7">
        <v>18.64</v>
      </c>
      <c r="F130" s="7">
        <v>24.86</v>
      </c>
      <c r="G130" s="7">
        <v>31.09</v>
      </c>
      <c r="H130" s="7">
        <v>6.1906689999999998</v>
      </c>
      <c r="I130" s="7">
        <v>12.014612</v>
      </c>
      <c r="J130" s="7">
        <v>18.164899999999999</v>
      </c>
      <c r="K130" s="7">
        <v>24.147855750000002</v>
      </c>
      <c r="L130" s="7">
        <v>30.129856109618999</v>
      </c>
      <c r="M130" s="6">
        <v>42.121096999999999</v>
      </c>
      <c r="N130" s="6">
        <v>42.28</v>
      </c>
      <c r="O130" s="7">
        <v>6.1840000000000002</v>
      </c>
      <c r="P130" s="7">
        <v>6.1820000000000004</v>
      </c>
    </row>
    <row r="131" spans="1:16" x14ac:dyDescent="0.55000000000000004">
      <c r="A131" s="6" t="s">
        <v>121</v>
      </c>
      <c r="C131" s="8">
        <f>ATAN(C130/C122)</f>
        <v>0.20350979242056641</v>
      </c>
      <c r="D131" s="8">
        <f t="shared" ref="D131:E131" si="123">ATAN(D130/D122)</f>
        <v>0.20395735549509522</v>
      </c>
      <c r="E131" s="8">
        <f t="shared" si="123"/>
        <v>0.20422372276338094</v>
      </c>
      <c r="F131" s="8">
        <f>ATAN(F130/F122)</f>
        <v>0.20427699269171731</v>
      </c>
      <c r="G131" s="8">
        <f>ATAN(G130/G122)</f>
        <v>0.20437287559972722</v>
      </c>
      <c r="H131" s="8">
        <f>ATAN(H130/H122)</f>
        <v>0.20349920974947952</v>
      </c>
      <c r="I131" s="8">
        <f t="shared" ref="I131:J131" si="124">ATAN(I130/I122)</f>
        <v>0.19762971554597597</v>
      </c>
      <c r="J131" s="8">
        <f t="shared" si="124"/>
        <v>0.19915668963039779</v>
      </c>
      <c r="K131" s="8">
        <f t="shared" ref="K131:P131" si="125">ATAN(K130/K122)</f>
        <v>0.19858002022648305</v>
      </c>
      <c r="L131" s="8">
        <f t="shared" si="125"/>
        <v>0.19822783205827813</v>
      </c>
      <c r="M131" s="8">
        <f t="shared" si="125"/>
        <v>0.19794997175495863</v>
      </c>
      <c r="N131" s="8">
        <f t="shared" si="125"/>
        <v>0.19867728178322636</v>
      </c>
      <c r="O131" s="8">
        <f t="shared" si="125"/>
        <v>0.20328597986439792</v>
      </c>
      <c r="P131" s="8">
        <f t="shared" si="125"/>
        <v>0.20322202962547919</v>
      </c>
    </row>
    <row r="132" spans="1:16" x14ac:dyDescent="0.55000000000000004">
      <c r="A132" s="6" t="s">
        <v>125</v>
      </c>
      <c r="C132" s="8">
        <f>($B$101/C131)/10^6</f>
        <v>49.137684634527758</v>
      </c>
      <c r="D132" s="8">
        <f t="shared" ref="D132" si="126">($B$101/D131)/10^6</f>
        <v>49.029857127366419</v>
      </c>
      <c r="E132" s="8">
        <f t="shared" ref="E132" si="127">($B$101/E131)/10^6</f>
        <v>48.965907900847874</v>
      </c>
      <c r="F132" s="8">
        <f t="shared" ref="F132" si="128">($B$101/F131)/10^6</f>
        <v>48.95313891315898</v>
      </c>
      <c r="G132" s="8">
        <f t="shared" ref="G132" si="129">($B$101/G131)/10^6</f>
        <v>48.930172219064019</v>
      </c>
      <c r="H132" s="8">
        <f>($B$101/H131)/10^6</f>
        <v>49.140239966094398</v>
      </c>
      <c r="I132" s="8">
        <f t="shared" ref="I132:K132" si="130">($B$101/I131)/10^6</f>
        <v>50.599678152517662</v>
      </c>
      <c r="J132" s="8">
        <f t="shared" si="130"/>
        <v>50.21172032211603</v>
      </c>
      <c r="K132" s="8">
        <f t="shared" si="130"/>
        <v>50.357533394320697</v>
      </c>
      <c r="L132" s="8">
        <f>($B$101/L131)/10^6</f>
        <v>50.447002805640551</v>
      </c>
      <c r="M132" s="8">
        <f>($B$101/M131)/10^6</f>
        <v>50.51781473542696</v>
      </c>
      <c r="N132" s="8">
        <f>($B$101/N131)/10^6</f>
        <v>50.332881093626206</v>
      </c>
      <c r="O132" s="8">
        <f>($B$101/O131)/10^6</f>
        <v>49.191783942357993</v>
      </c>
      <c r="P132" s="8">
        <f>($B$101/P131)/10^6</f>
        <v>49.207263692962542</v>
      </c>
    </row>
    <row r="133" spans="1:16" x14ac:dyDescent="0.55000000000000004">
      <c r="A133" s="6" t="s">
        <v>126</v>
      </c>
      <c r="B133" s="7">
        <v>50</v>
      </c>
    </row>
    <row r="134" spans="1:16" x14ac:dyDescent="0.55000000000000004">
      <c r="A134" s="6" t="s">
        <v>22</v>
      </c>
      <c r="C134" s="8">
        <f>ABS($B$133-C132)/$B$133*100</f>
        <v>1.724630730944483</v>
      </c>
      <c r="D134" s="8">
        <f t="shared" ref="D134:G134" si="131">ABS($B$133-D132)/$B$133*100</f>
        <v>1.9402857452671611</v>
      </c>
      <c r="E134" s="8">
        <f t="shared" si="131"/>
        <v>2.0681841983042517</v>
      </c>
      <c r="F134" s="8">
        <f t="shared" si="131"/>
        <v>2.0937221736820391</v>
      </c>
      <c r="G134" s="8">
        <f t="shared" si="131"/>
        <v>2.1396555618719617</v>
      </c>
      <c r="H134" s="8">
        <f>ABS($B$133-H132)/$B$133*100</f>
        <v>1.7195200678112028</v>
      </c>
      <c r="I134" s="8">
        <f t="shared" ref="I134:K134" si="132">ABS($B$133-I132)/$B$133*100</f>
        <v>1.1993563050353231</v>
      </c>
      <c r="J134" s="8">
        <f t="shared" si="132"/>
        <v>0.42344064423205902</v>
      </c>
      <c r="K134" s="8">
        <f t="shared" si="132"/>
        <v>0.71506678864139417</v>
      </c>
      <c r="L134" s="8">
        <f>ABS($B$133-L132)/$B$133*100</f>
        <v>0.89400561128110212</v>
      </c>
      <c r="M134" s="8">
        <f>ABS($B$133-M132)/$B$133*100</f>
        <v>1.0356294708539195</v>
      </c>
      <c r="N134" s="8">
        <f>ABS($B$133-N132)/$B$133*100</f>
        <v>0.66576218725241176</v>
      </c>
      <c r="O134" s="8">
        <f>ABS($B$133-O132)/$B$133*100</f>
        <v>1.6164321152840131</v>
      </c>
      <c r="P134" s="8">
        <f>ABS($B$133-P132)/$B$133*100</f>
        <v>1.5854726140749165</v>
      </c>
    </row>
    <row r="139" spans="1:16" x14ac:dyDescent="0.55000000000000004">
      <c r="A139" s="6" t="s">
        <v>123</v>
      </c>
    </row>
    <row r="140" spans="1:16" x14ac:dyDescent="0.55000000000000004">
      <c r="A140" s="6" t="s">
        <v>114</v>
      </c>
      <c r="B140" s="6">
        <f>10*10^6</f>
        <v>10000000</v>
      </c>
    </row>
    <row r="141" spans="1:16" x14ac:dyDescent="0.55000000000000004">
      <c r="A141" s="6" t="s">
        <v>63</v>
      </c>
      <c r="C141" s="7">
        <v>2</v>
      </c>
      <c r="D141" s="7">
        <v>2</v>
      </c>
      <c r="E141" s="7">
        <v>2</v>
      </c>
      <c r="F141" s="7"/>
      <c r="G141" s="7"/>
      <c r="H141" s="7">
        <v>4</v>
      </c>
      <c r="I141" s="7">
        <v>6</v>
      </c>
      <c r="J141" s="7">
        <v>10</v>
      </c>
    </row>
    <row r="142" spans="1:16" x14ac:dyDescent="0.55000000000000004">
      <c r="A142" s="6" t="s">
        <v>64</v>
      </c>
      <c r="C142" s="8">
        <f>$B$9*C141</f>
        <v>30</v>
      </c>
      <c r="D142" s="8">
        <f t="shared" ref="D142:E142" si="133">$B$9*D141</f>
        <v>30</v>
      </c>
      <c r="E142" s="8">
        <f t="shared" si="133"/>
        <v>30</v>
      </c>
      <c r="F142" s="8"/>
      <c r="G142" s="8"/>
      <c r="H142" s="8">
        <f t="shared" ref="H142" si="134">$B$9*H141</f>
        <v>60</v>
      </c>
      <c r="I142" s="8">
        <f t="shared" ref="I142" si="135">$B$9*I141</f>
        <v>90</v>
      </c>
      <c r="J142" s="8">
        <f t="shared" ref="J142" si="136">$B$9*J141</f>
        <v>150</v>
      </c>
    </row>
    <row r="143" spans="1:16" x14ac:dyDescent="0.55000000000000004">
      <c r="A143" s="6" t="s">
        <v>115</v>
      </c>
      <c r="C143" s="8">
        <f>C142*C146/1000000</f>
        <v>9.8999999999999999E-4</v>
      </c>
      <c r="D143" s="8">
        <f>D142*D146/1000000</f>
        <v>3.1175999999999999E-3</v>
      </c>
      <c r="E143" s="8">
        <f>E142*E146/1000000</f>
        <v>5.1960000000000001E-3</v>
      </c>
      <c r="F143" s="8"/>
      <c r="G143" s="8"/>
      <c r="H143" s="8">
        <f>H142*H146/1000000</f>
        <v>1.8E-3</v>
      </c>
      <c r="I143" s="8">
        <f>I142*I146/1000000</f>
        <v>2.7000000000000001E-3</v>
      </c>
      <c r="J143" s="8">
        <f>J142*B6/1000000</f>
        <v>4.4999999999999997E-3</v>
      </c>
    </row>
    <row r="144" spans="1:16" x14ac:dyDescent="0.55000000000000004">
      <c r="A144" s="6" t="s">
        <v>77</v>
      </c>
      <c r="C144" s="7">
        <v>2</v>
      </c>
      <c r="D144" s="7">
        <v>6</v>
      </c>
      <c r="E144" s="7">
        <v>10</v>
      </c>
      <c r="F144" s="7"/>
      <c r="G144" s="7"/>
      <c r="H144" s="7">
        <v>2</v>
      </c>
      <c r="I144" s="7">
        <v>2</v>
      </c>
      <c r="J144" s="7">
        <v>2</v>
      </c>
    </row>
    <row r="145" spans="1:10" x14ac:dyDescent="0.55000000000000004">
      <c r="A145" s="6" t="s">
        <v>82</v>
      </c>
      <c r="C145" s="8">
        <f>$B$8*C144</f>
        <v>34.64</v>
      </c>
      <c r="D145" s="8">
        <f>$B$8*D144</f>
        <v>103.92</v>
      </c>
      <c r="E145" s="8">
        <f>$B$8*E144</f>
        <v>173.2</v>
      </c>
      <c r="F145" s="8"/>
      <c r="G145" s="8"/>
      <c r="H145" s="8">
        <f>$B$8*H144</f>
        <v>34.64</v>
      </c>
      <c r="I145" s="8">
        <f>$B$8*I144</f>
        <v>34.64</v>
      </c>
      <c r="J145" s="8">
        <f>$B$8*J144</f>
        <v>34.64</v>
      </c>
    </row>
    <row r="146" spans="1:10" x14ac:dyDescent="0.55000000000000004">
      <c r="A146" s="6" t="s">
        <v>124</v>
      </c>
      <c r="C146" s="8">
        <v>33</v>
      </c>
      <c r="D146" s="8">
        <f>D145</f>
        <v>103.92</v>
      </c>
      <c r="E146" s="8">
        <f>E145</f>
        <v>173.2</v>
      </c>
      <c r="F146" s="8">
        <f t="shared" ref="F146:G146" si="137">F145</f>
        <v>0</v>
      </c>
      <c r="G146" s="8">
        <f t="shared" si="137"/>
        <v>0</v>
      </c>
      <c r="H146" s="8">
        <v>30</v>
      </c>
      <c r="I146" s="8">
        <v>30</v>
      </c>
      <c r="J146" s="8">
        <v>30</v>
      </c>
    </row>
    <row r="147" spans="1:10" x14ac:dyDescent="0.55000000000000004">
      <c r="A147" s="6" t="s">
        <v>116</v>
      </c>
      <c r="C147" s="8">
        <f>C142*C145/1000000</f>
        <v>1.0392000000000001E-3</v>
      </c>
      <c r="D147" s="8">
        <f>D142*D145/1000000</f>
        <v>3.1175999999999999E-3</v>
      </c>
      <c r="E147" s="8">
        <f>E142*E145/1000000</f>
        <v>5.1960000000000001E-3</v>
      </c>
      <c r="F147" s="8"/>
      <c r="G147" s="8"/>
      <c r="H147" s="8">
        <f>H142*H145/1000000</f>
        <v>2.0784000000000002E-3</v>
      </c>
      <c r="I147" s="8">
        <f>I142*I145/1000000</f>
        <v>3.1175999999999999E-3</v>
      </c>
      <c r="J147" s="8">
        <f>J142*J145/1000000</f>
        <v>5.1960000000000001E-3</v>
      </c>
    </row>
    <row r="148" spans="1:10" x14ac:dyDescent="0.55000000000000004">
      <c r="A148" s="6" t="s">
        <v>117</v>
      </c>
      <c r="C148" s="8">
        <f>$B$101*C143</f>
        <v>9900</v>
      </c>
      <c r="D148" s="8">
        <f>$B$101*D143</f>
        <v>31176</v>
      </c>
      <c r="E148" s="8">
        <f>$B$101*E143</f>
        <v>51960</v>
      </c>
      <c r="F148" s="8"/>
      <c r="G148" s="8"/>
      <c r="H148" s="8">
        <f>$B$101*H143</f>
        <v>18000</v>
      </c>
      <c r="I148" s="8">
        <f>$B$101*I143</f>
        <v>27000</v>
      </c>
      <c r="J148" s="8">
        <f>$B$101*J143</f>
        <v>45000</v>
      </c>
    </row>
    <row r="149" spans="1:10" x14ac:dyDescent="0.55000000000000004">
      <c r="A149" s="6" t="s">
        <v>118</v>
      </c>
      <c r="C149" s="18">
        <f>$B$101*C147</f>
        <v>10392.000000000002</v>
      </c>
      <c r="D149" s="8">
        <f t="shared" ref="D149:E149" si="138">$B$101*D147</f>
        <v>31176</v>
      </c>
      <c r="E149" s="8">
        <f t="shared" si="138"/>
        <v>51960</v>
      </c>
      <c r="F149" s="8"/>
      <c r="G149" s="8"/>
      <c r="H149" s="8">
        <f t="shared" ref="H149" si="139">$B$101*H147</f>
        <v>20784.000000000004</v>
      </c>
      <c r="I149" s="8">
        <f t="shared" ref="I149" si="140">$B$101*I147</f>
        <v>31176</v>
      </c>
      <c r="J149" s="8">
        <f t="shared" ref="J149" si="141">$B$101*J147</f>
        <v>51960</v>
      </c>
    </row>
    <row r="150" spans="1:10" x14ac:dyDescent="0.55000000000000004">
      <c r="A150" s="6" t="s">
        <v>119</v>
      </c>
      <c r="C150" s="8">
        <v>33</v>
      </c>
      <c r="D150" s="8">
        <f>D146</f>
        <v>103.92</v>
      </c>
      <c r="E150" s="8">
        <f t="shared" ref="E150" si="142">E145</f>
        <v>173.2</v>
      </c>
      <c r="F150" s="8"/>
      <c r="G150" s="8"/>
      <c r="H150" s="8">
        <f t="shared" ref="H150" si="143">H145</f>
        <v>34.64</v>
      </c>
      <c r="I150" s="8">
        <f t="shared" ref="I150" si="144">I145</f>
        <v>34.64</v>
      </c>
      <c r="J150" s="8">
        <f t="shared" ref="J150" si="145">J145</f>
        <v>34.64</v>
      </c>
    </row>
    <row r="151" spans="1:10" x14ac:dyDescent="0.55000000000000004">
      <c r="A151" s="6" t="s">
        <v>120</v>
      </c>
      <c r="C151" s="7">
        <v>4.9729999999999999</v>
      </c>
      <c r="D151" s="7">
        <v>15.59</v>
      </c>
      <c r="E151" s="7">
        <v>26</v>
      </c>
      <c r="F151" s="7"/>
      <c r="G151" s="7"/>
      <c r="H151" s="7">
        <v>5.2</v>
      </c>
      <c r="I151" s="7">
        <v>5.4249999999999998</v>
      </c>
      <c r="J151" s="7">
        <v>5.649</v>
      </c>
    </row>
    <row r="152" spans="1:10" x14ac:dyDescent="0.55000000000000004">
      <c r="A152" s="6" t="s">
        <v>121</v>
      </c>
      <c r="C152" s="8">
        <f>ATAN(C151/C150)</f>
        <v>0.14957151077303585</v>
      </c>
      <c r="D152" s="8">
        <f>ATAN(D151/D150)</f>
        <v>0.14890876963314489</v>
      </c>
      <c r="E152" s="8">
        <f>ATAN(E151/E150)</f>
        <v>0.14900287815673036</v>
      </c>
      <c r="F152" s="8"/>
      <c r="G152" s="8"/>
      <c r="H152" s="8">
        <f>ATAN(H151/H146)</f>
        <v>0.17162806838087999</v>
      </c>
      <c r="I152" s="8">
        <f>ATAN(I151/I146)</f>
        <v>0.17890000147501378</v>
      </c>
      <c r="J152" s="8">
        <f>ATAN(J151/B6)</f>
        <v>0.18612066805933547</v>
      </c>
    </row>
    <row r="153" spans="1:10" x14ac:dyDescent="0.55000000000000004">
      <c r="A153" s="6" t="s">
        <v>123</v>
      </c>
      <c r="C153" s="8">
        <f>($B$101/C152)/10^6</f>
        <v>66.85765189050133</v>
      </c>
      <c r="D153" s="8">
        <f t="shared" ref="D153:E153" si="146">($B$101/D152)/10^6</f>
        <v>67.155212044503699</v>
      </c>
      <c r="E153" s="8">
        <f t="shared" si="146"/>
        <v>67.112797576174245</v>
      </c>
      <c r="F153" s="8"/>
      <c r="G153" s="8"/>
      <c r="H153" s="8">
        <f t="shared" ref="H153" si="147">($B$101/H152)/10^6</f>
        <v>58.265527861141145</v>
      </c>
      <c r="I153" s="8">
        <f t="shared" ref="I153" si="148">($B$101/I152)/10^6</f>
        <v>55.897148784521711</v>
      </c>
      <c r="J153" s="8">
        <f t="shared" ref="J153" si="149">($B$101/J152)/10^6</f>
        <v>53.728584279592148</v>
      </c>
    </row>
    <row r="154" spans="1:10" x14ac:dyDescent="0.55000000000000004">
      <c r="A154" s="6" t="s">
        <v>127</v>
      </c>
      <c r="B154" s="7">
        <v>50</v>
      </c>
    </row>
    <row r="155" spans="1:10" x14ac:dyDescent="0.55000000000000004">
      <c r="A155" s="6" t="s">
        <v>22</v>
      </c>
      <c r="C155" s="8">
        <f>ABS($B$133-C153)/$B$133*100</f>
        <v>33.71530378100266</v>
      </c>
      <c r="D155" s="8">
        <f t="shared" ref="D155:E155" si="150">ABS($B$133-D153)/$B$133*100</f>
        <v>34.310424089007398</v>
      </c>
      <c r="E155" s="8">
        <f t="shared" si="150"/>
        <v>34.22559515234849</v>
      </c>
      <c r="F155" s="8"/>
      <c r="G155" s="8"/>
      <c r="H155" s="8">
        <f t="shared" ref="H155" si="151">ABS($B$133-H153)/$B$133*100</f>
        <v>16.531055722282289</v>
      </c>
      <c r="I155" s="8">
        <f t="shared" ref="I155" si="152">ABS($B$133-I153)/$B$133*100</f>
        <v>11.794297569043422</v>
      </c>
      <c r="J155" s="8">
        <f t="shared" ref="J155" si="153">ABS($B$133-J153)/$B$133*100</f>
        <v>7.4571685591842964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7"/>
  <sheetViews>
    <sheetView zoomScale="10" zoomScaleNormal="10" workbookViewId="0">
      <selection activeCell="N158" sqref="N158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6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16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0.39994931231971909</v>
      </c>
    </row>
    <row r="3" spans="1:16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16" x14ac:dyDescent="0.55000000000000004">
      <c r="A4" s="6" t="s">
        <v>2</v>
      </c>
      <c r="B4" s="7">
        <f>C4</f>
        <v>24.32</v>
      </c>
      <c r="C4" s="8">
        <v>24.32</v>
      </c>
      <c r="D4" s="7">
        <f>C1*(1+SIN(C3))/(C2*SIN(C3))</f>
        <v>24.319073218177813</v>
      </c>
    </row>
    <row r="5" spans="1:16" x14ac:dyDescent="0.55000000000000004">
      <c r="A5" s="6" t="s">
        <v>4</v>
      </c>
      <c r="B5" s="7">
        <f>C5</f>
        <v>12.59</v>
      </c>
      <c r="C5" s="8">
        <v>12.59</v>
      </c>
      <c r="D5" s="7">
        <f>2*C1*(1+SIN(C3))/C2</f>
        <v>12.588115870535326</v>
      </c>
    </row>
    <row r="6" spans="1:16" x14ac:dyDescent="0.55000000000000004">
      <c r="A6" s="6" t="s">
        <v>11</v>
      </c>
      <c r="B6" s="7">
        <f>C4</f>
        <v>24.32</v>
      </c>
      <c r="C6" s="8">
        <f>3.75*2</f>
        <v>7.5</v>
      </c>
    </row>
    <row r="7" spans="1:16" x14ac:dyDescent="0.55000000000000004">
      <c r="A7" s="6" t="s">
        <v>5</v>
      </c>
      <c r="B7" s="8">
        <f>C7</f>
        <v>13.03</v>
      </c>
      <c r="C7" s="8">
        <v>13.03</v>
      </c>
      <c r="D7" s="7">
        <f>2*TAN(C3)*C4</f>
        <v>13.032646201099279</v>
      </c>
    </row>
    <row r="8" spans="1:16" x14ac:dyDescent="0.55000000000000004">
      <c r="A8" s="6" t="s">
        <v>6</v>
      </c>
      <c r="B8" s="8">
        <f>C8</f>
        <v>25.17</v>
      </c>
      <c r="C8" s="8">
        <v>25.17</v>
      </c>
      <c r="D8" s="7">
        <f>C4/COS(C3)</f>
        <v>25.177864618564399</v>
      </c>
    </row>
    <row r="9" spans="1:16" x14ac:dyDescent="0.55000000000000004">
      <c r="A9" s="6" t="s">
        <v>61</v>
      </c>
      <c r="B9" s="8">
        <f>B4</f>
        <v>24.32</v>
      </c>
      <c r="C9" s="8">
        <f>D4</f>
        <v>24.319073218177813</v>
      </c>
    </row>
    <row r="10" spans="1:16" x14ac:dyDescent="0.55000000000000004">
      <c r="A10" s="6" t="s">
        <v>62</v>
      </c>
      <c r="B10" s="8">
        <f>B7</f>
        <v>13.03</v>
      </c>
      <c r="C10" s="8">
        <f>D7</f>
        <v>13.032646201099279</v>
      </c>
    </row>
    <row r="11" spans="1:16" x14ac:dyDescent="0.55000000000000004">
      <c r="A11" s="6" t="s">
        <v>63</v>
      </c>
      <c r="B11" s="6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12</v>
      </c>
      <c r="L11" s="6">
        <v>2</v>
      </c>
    </row>
    <row r="12" spans="1:16" x14ac:dyDescent="0.55000000000000004">
      <c r="A12" s="6" t="s">
        <v>64</v>
      </c>
      <c r="B12" s="8">
        <f>$B$9*B11</f>
        <v>24.32</v>
      </c>
      <c r="C12" s="8">
        <f t="shared" ref="C12:P12" si="0">$B$9*C11</f>
        <v>48.64</v>
      </c>
      <c r="D12" s="8">
        <f t="shared" ref="D12:H12" si="1">$B$9*D11</f>
        <v>97.28</v>
      </c>
      <c r="E12" s="8">
        <f t="shared" si="1"/>
        <v>145.92000000000002</v>
      </c>
      <c r="F12" s="8">
        <f t="shared" si="1"/>
        <v>194.56</v>
      </c>
      <c r="G12" s="8">
        <f t="shared" si="1"/>
        <v>243.2</v>
      </c>
      <c r="H12" s="8">
        <f t="shared" si="1"/>
        <v>291.84000000000003</v>
      </c>
      <c r="I12" s="8"/>
      <c r="J12" s="8"/>
      <c r="K12" s="8">
        <f t="shared" si="0"/>
        <v>0</v>
      </c>
      <c r="L12" s="8">
        <f t="shared" si="0"/>
        <v>48.64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 x14ac:dyDescent="0.55000000000000004">
      <c r="A13" s="6" t="s">
        <v>77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 x14ac:dyDescent="0.55000000000000004">
      <c r="A14" s="6" t="s">
        <v>65</v>
      </c>
      <c r="B14" s="8">
        <f>$B$10*B13</f>
        <v>26.06</v>
      </c>
      <c r="C14" s="8">
        <f t="shared" ref="C14:P14" si="2">$B$10*C13</f>
        <v>26.06</v>
      </c>
      <c r="D14" s="8">
        <f t="shared" ref="D14:H14" si="3">$B$10*D13</f>
        <v>26.06</v>
      </c>
      <c r="E14" s="8">
        <f t="shared" si="3"/>
        <v>26.06</v>
      </c>
      <c r="F14" s="8">
        <f t="shared" si="3"/>
        <v>26.06</v>
      </c>
      <c r="G14" s="8">
        <f t="shared" si="3"/>
        <v>26.06</v>
      </c>
      <c r="H14" s="8">
        <f t="shared" si="3"/>
        <v>26.06</v>
      </c>
      <c r="I14" s="8"/>
      <c r="J14" s="8"/>
      <c r="K14" s="8">
        <f t="shared" si="2"/>
        <v>26.06</v>
      </c>
      <c r="L14" s="8">
        <f t="shared" si="2"/>
        <v>104.24</v>
      </c>
      <c r="M14" s="8">
        <f t="shared" si="2"/>
        <v>26.06</v>
      </c>
      <c r="N14" s="8">
        <f t="shared" si="2"/>
        <v>26.06</v>
      </c>
      <c r="O14" s="8">
        <f t="shared" si="2"/>
        <v>26.06</v>
      </c>
      <c r="P14" s="8">
        <f t="shared" si="2"/>
        <v>26.06</v>
      </c>
    </row>
    <row r="15" spans="1:16" x14ac:dyDescent="0.55000000000000004">
      <c r="A15" s="6" t="s">
        <v>67</v>
      </c>
      <c r="B15" s="8">
        <f>B14/1000*$B$6/1000</f>
        <v>6.3377919999999996E-4</v>
      </c>
      <c r="C15" s="8">
        <f t="shared" ref="C15:P15" si="4">C14/1000*$B$6/1000</f>
        <v>6.3377919999999996E-4</v>
      </c>
      <c r="D15" s="8">
        <f t="shared" ref="D15:H15" si="5">D14/1000*$B$6/1000</f>
        <v>6.3377919999999996E-4</v>
      </c>
      <c r="E15" s="8">
        <f t="shared" si="5"/>
        <v>6.3377919999999996E-4</v>
      </c>
      <c r="F15" s="8">
        <f t="shared" si="5"/>
        <v>6.3377919999999996E-4</v>
      </c>
      <c r="G15" s="8">
        <f t="shared" si="5"/>
        <v>6.3377919999999996E-4</v>
      </c>
      <c r="H15" s="8">
        <f t="shared" si="5"/>
        <v>6.3377919999999996E-4</v>
      </c>
      <c r="I15" s="8"/>
      <c r="J15" s="8"/>
      <c r="K15" s="8">
        <f t="shared" si="4"/>
        <v>6.3377919999999996E-4</v>
      </c>
      <c r="L15" s="8">
        <f t="shared" si="4"/>
        <v>2.5351167999999999E-3</v>
      </c>
      <c r="M15" s="8">
        <f t="shared" si="4"/>
        <v>6.3377919999999996E-4</v>
      </c>
      <c r="N15" s="8">
        <f t="shared" si="4"/>
        <v>6.3377919999999996E-4</v>
      </c>
      <c r="O15" s="8">
        <f t="shared" si="4"/>
        <v>6.3377919999999996E-4</v>
      </c>
      <c r="P15" s="8">
        <f t="shared" si="4"/>
        <v>6.3377919999999996E-4</v>
      </c>
    </row>
    <row r="16" spans="1:16" x14ac:dyDescent="0.55000000000000004">
      <c r="A16" s="6" t="s">
        <v>73</v>
      </c>
      <c r="B16" s="7">
        <v>0</v>
      </c>
      <c r="C16" s="7">
        <v>7.1290999999999993E-2</v>
      </c>
      <c r="D16" s="7">
        <v>0.14258199999999999</v>
      </c>
      <c r="E16" s="7">
        <v>0.21387400000000001</v>
      </c>
      <c r="F16" s="7">
        <v>0.28516599999999998</v>
      </c>
      <c r="G16" s="7">
        <v>0.356458</v>
      </c>
      <c r="H16" s="7">
        <v>0.42774899999999999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 x14ac:dyDescent="0.55000000000000004">
      <c r="A17" s="9" t="s">
        <v>66</v>
      </c>
      <c r="C17" s="10">
        <f>($E$1*(C12/1000)/(C15*C16/1000))/(10^6)</f>
        <v>10765.169633829109</v>
      </c>
      <c r="D17" s="10">
        <f t="shared" ref="D17:H17" si="6">($E$1*(D12/1000)/(D15*D16/1000))/(10^6)</f>
        <v>10765.169633829109</v>
      </c>
      <c r="E17" s="10">
        <f t="shared" si="6"/>
        <v>10765.119299662105</v>
      </c>
      <c r="F17" s="10">
        <f t="shared" si="6"/>
        <v>10765.09413275511</v>
      </c>
      <c r="G17" s="10">
        <f t="shared" si="6"/>
        <v>10765.079032667394</v>
      </c>
      <c r="H17" s="10">
        <f t="shared" si="6"/>
        <v>10765.094132755112</v>
      </c>
      <c r="I17" s="10"/>
      <c r="J17" s="10"/>
      <c r="K17" s="9" t="e">
        <f t="shared" ref="K17:P17" si="7">($E$1*(K12/1000)/(K15*K16/1000))/(10^6)</f>
        <v>#DIV/0!</v>
      </c>
      <c r="L17" s="9">
        <f t="shared" si="7"/>
        <v>118143.42801190131</v>
      </c>
      <c r="M17" s="9" t="e">
        <f t="shared" si="7"/>
        <v>#DIV/0!</v>
      </c>
      <c r="N17" s="9" t="e">
        <f t="shared" si="7"/>
        <v>#DIV/0!</v>
      </c>
      <c r="O17" s="9" t="e">
        <f t="shared" si="7"/>
        <v>#DIV/0!</v>
      </c>
      <c r="P17" s="9" t="e">
        <f t="shared" si="7"/>
        <v>#DIV/0!</v>
      </c>
    </row>
    <row r="18" spans="1:16" x14ac:dyDescent="0.55000000000000004">
      <c r="A18" s="6" t="s">
        <v>68</v>
      </c>
      <c r="B18" s="7">
        <v>10751</v>
      </c>
    </row>
    <row r="19" spans="1:16" s="8" customFormat="1" x14ac:dyDescent="0.55000000000000004">
      <c r="A19" s="8" t="s">
        <v>69</v>
      </c>
      <c r="C19" s="8">
        <f>ABS($B$18-C17)/C17*100</f>
        <v>0.13162480770002866</v>
      </c>
      <c r="D19" s="8">
        <f t="shared" ref="D19:H19" si="8">ABS($B$18-D17)/D17*100</f>
        <v>0.13162480770002866</v>
      </c>
      <c r="E19" s="8">
        <f t="shared" si="8"/>
        <v>0.13115785593335688</v>
      </c>
      <c r="F19" s="8">
        <f t="shared" si="8"/>
        <v>0.13092438005001317</v>
      </c>
      <c r="G19" s="8">
        <f t="shared" si="8"/>
        <v>0.13078429451999665</v>
      </c>
      <c r="H19" s="8">
        <f t="shared" si="8"/>
        <v>0.13092438005003001</v>
      </c>
      <c r="K19" s="8" t="e">
        <f t="shared" ref="K19:P19" si="9">ABS($B$18-K17)/$B$18*100</f>
        <v>#DIV/0!</v>
      </c>
      <c r="L19" s="8">
        <f t="shared" si="9"/>
        <v>998.90640881686647</v>
      </c>
      <c r="M19" s="8" t="e">
        <f t="shared" si="9"/>
        <v>#DIV/0!</v>
      </c>
      <c r="N19" s="8" t="e">
        <f t="shared" si="9"/>
        <v>#DIV/0!</v>
      </c>
      <c r="O19" s="8" t="e">
        <f>ABS($B$18-O17)/$B$18*100</f>
        <v>#DIV/0!</v>
      </c>
      <c r="P19" s="8" t="e">
        <f t="shared" si="9"/>
        <v>#DIV/0!</v>
      </c>
    </row>
    <row r="20" spans="1:16" x14ac:dyDescent="0.55000000000000004">
      <c r="A20" s="6" t="s">
        <v>72</v>
      </c>
      <c r="B20" s="7"/>
      <c r="C20" s="7">
        <v>8.9820000000000004E-3</v>
      </c>
      <c r="D20" s="7">
        <v>8.9820000000000004E-3</v>
      </c>
      <c r="E20" s="7">
        <v>8.9820000000000004E-3</v>
      </c>
      <c r="F20" s="7">
        <v>8.9820000000000004E-3</v>
      </c>
      <c r="G20" s="7">
        <v>8.9820000000000004E-3</v>
      </c>
      <c r="H20" s="7">
        <v>8.9820000000000004E-3</v>
      </c>
      <c r="I20" s="7"/>
      <c r="J20" s="7"/>
      <c r="K20" s="7"/>
      <c r="L20" s="7"/>
      <c r="M20" s="7"/>
      <c r="N20" s="7"/>
      <c r="O20" s="7"/>
    </row>
    <row r="21" spans="1:16" x14ac:dyDescent="0.55000000000000004">
      <c r="A21" s="6" t="s">
        <v>70</v>
      </c>
      <c r="B21" s="8"/>
      <c r="C21" s="8">
        <f>C16/C12</f>
        <v>1.4656866776315788E-3</v>
      </c>
      <c r="D21" s="8">
        <f t="shared" ref="D21:G21" si="10">D16/D12</f>
        <v>1.4656866776315788E-3</v>
      </c>
      <c r="E21" s="8">
        <f t="shared" si="10"/>
        <v>1.4656935307017544E-3</v>
      </c>
      <c r="F21" s="8">
        <f t="shared" si="10"/>
        <v>1.4656969572368419E-3</v>
      </c>
      <c r="G21" s="8">
        <f t="shared" si="10"/>
        <v>1.4656990131578947E-3</v>
      </c>
      <c r="H21" s="8">
        <f>H16/H12</f>
        <v>1.4656969572368419E-3</v>
      </c>
      <c r="I21" s="8"/>
      <c r="J21" s="8"/>
      <c r="K21" s="8" t="e">
        <f t="shared" ref="K21:P21" si="11">K16/K12</f>
        <v>#DIV/0!</v>
      </c>
      <c r="L21" s="8">
        <f t="shared" si="11"/>
        <v>3.3388157894736842E-5</v>
      </c>
      <c r="M21" s="8" t="e">
        <f t="shared" si="11"/>
        <v>#DIV/0!</v>
      </c>
      <c r="N21" s="8" t="e">
        <f t="shared" si="11"/>
        <v>#DIV/0!</v>
      </c>
      <c r="O21" s="8" t="e">
        <f t="shared" si="11"/>
        <v>#DIV/0!</v>
      </c>
      <c r="P21" s="8" t="e">
        <f t="shared" si="11"/>
        <v>#DIV/0!</v>
      </c>
    </row>
    <row r="22" spans="1:16" x14ac:dyDescent="0.55000000000000004">
      <c r="A22" s="6" t="s">
        <v>71</v>
      </c>
      <c r="B22" s="8"/>
      <c r="C22" s="8">
        <f>C20/C14</f>
        <v>3.4466615502686112E-4</v>
      </c>
      <c r="D22" s="8">
        <f t="shared" ref="D22:H22" si="12">D20/D14</f>
        <v>3.4466615502686112E-4</v>
      </c>
      <c r="E22" s="8">
        <f t="shared" si="12"/>
        <v>3.4466615502686112E-4</v>
      </c>
      <c r="F22" s="8">
        <f t="shared" si="12"/>
        <v>3.4466615502686112E-4</v>
      </c>
      <c r="G22" s="8">
        <f t="shared" si="12"/>
        <v>3.4466615502686112E-4</v>
      </c>
      <c r="H22" s="8">
        <f t="shared" si="12"/>
        <v>3.4466615502686112E-4</v>
      </c>
      <c r="I22" s="8"/>
      <c r="J22" s="8"/>
      <c r="K22" s="8">
        <f t="shared" ref="K22:P22" si="13">K20/K14</f>
        <v>0</v>
      </c>
      <c r="L22" s="8">
        <f t="shared" si="13"/>
        <v>0</v>
      </c>
      <c r="M22" s="8">
        <f t="shared" si="13"/>
        <v>0</v>
      </c>
      <c r="N22" s="8">
        <f t="shared" si="13"/>
        <v>0</v>
      </c>
      <c r="O22" s="8">
        <f t="shared" si="13"/>
        <v>0</v>
      </c>
      <c r="P22" s="8">
        <f t="shared" si="13"/>
        <v>0</v>
      </c>
    </row>
    <row r="23" spans="1:16" x14ac:dyDescent="0.55000000000000004">
      <c r="A23" s="6" t="s">
        <v>74</v>
      </c>
      <c r="B23" s="8"/>
      <c r="C23" s="8">
        <f>C22/C21</f>
        <v>0.23515677687936101</v>
      </c>
      <c r="D23" s="8">
        <f t="shared" ref="D23:H23" si="14">D22/D21</f>
        <v>0.23515677687936101</v>
      </c>
      <c r="E23" s="8">
        <f t="shared" si="14"/>
        <v>0.23515567736854212</v>
      </c>
      <c r="F23" s="8">
        <f t="shared" si="14"/>
        <v>0.23515512761698837</v>
      </c>
      <c r="G23" s="8">
        <f t="shared" si="14"/>
        <v>0.23515479776728992</v>
      </c>
      <c r="H23" s="8">
        <f t="shared" si="14"/>
        <v>0.23515512761698837</v>
      </c>
      <c r="I23" s="8"/>
      <c r="J23" s="8"/>
      <c r="K23" s="8" t="e">
        <f t="shared" ref="K23:P23" si="15">K22/K21</f>
        <v>#DIV/0!</v>
      </c>
      <c r="L23" s="8">
        <f t="shared" si="15"/>
        <v>0</v>
      </c>
      <c r="M23" s="8" t="e">
        <f t="shared" si="15"/>
        <v>#DIV/0!</v>
      </c>
      <c r="N23" s="8" t="e">
        <f t="shared" si="15"/>
        <v>#DIV/0!</v>
      </c>
      <c r="O23" s="8" t="e">
        <f t="shared" si="15"/>
        <v>#DIV/0!</v>
      </c>
      <c r="P23" s="8" t="e">
        <f t="shared" si="15"/>
        <v>#DIV/0!</v>
      </c>
    </row>
    <row r="24" spans="1:16" x14ac:dyDescent="0.55000000000000004">
      <c r="A24" s="6" t="s">
        <v>75</v>
      </c>
      <c r="B24" s="7">
        <v>0.23519999999999999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55000000000000004">
      <c r="A25" s="6" t="s">
        <v>76</v>
      </c>
      <c r="B25" s="7">
        <f>B24</f>
        <v>0.23519999999999999</v>
      </c>
      <c r="C25" s="8">
        <f>(ABS(C23-$B$25)/$B$25)*100</f>
        <v>1.8377177142423439E-2</v>
      </c>
      <c r="D25" s="8">
        <f t="shared" ref="D25:H25" si="16">(ABS(D23-$B$25)/$B$25)*100</f>
        <v>1.8377177142423439E-2</v>
      </c>
      <c r="E25" s="8">
        <f t="shared" si="16"/>
        <v>1.8844656232088232E-2</v>
      </c>
      <c r="F25" s="8">
        <f t="shared" si="16"/>
        <v>1.9078394137595142E-2</v>
      </c>
      <c r="G25" s="8">
        <f t="shared" si="16"/>
        <v>1.9218636356321268E-2</v>
      </c>
      <c r="H25" s="8">
        <f t="shared" si="16"/>
        <v>1.9078394137595142E-2</v>
      </c>
      <c r="I25" s="8"/>
      <c r="J25" s="8"/>
      <c r="K25" s="8" t="e">
        <f t="shared" ref="K25:P25" si="17">(ABS(K23-$B$25)/$B$25)*100</f>
        <v>#DIV/0!</v>
      </c>
      <c r="L25" s="8">
        <f t="shared" si="17"/>
        <v>100</v>
      </c>
      <c r="M25" s="8" t="e">
        <f t="shared" si="17"/>
        <v>#DIV/0!</v>
      </c>
      <c r="N25" s="8" t="e">
        <f t="shared" si="17"/>
        <v>#DIV/0!</v>
      </c>
      <c r="O25" s="8" t="e">
        <f t="shared" si="17"/>
        <v>#DIV/0!</v>
      </c>
      <c r="P25" s="8" t="e">
        <f t="shared" si="17"/>
        <v>#DIV/0!</v>
      </c>
    </row>
    <row r="27" spans="1:16" x14ac:dyDescent="0.55000000000000004">
      <c r="A27" s="6" t="s">
        <v>90</v>
      </c>
      <c r="C27" s="7">
        <f t="shared" ref="C27:H27" si="18">0.0137</f>
        <v>1.37E-2</v>
      </c>
      <c r="D27" s="7">
        <f t="shared" si="18"/>
        <v>1.37E-2</v>
      </c>
      <c r="E27" s="7">
        <f t="shared" si="18"/>
        <v>1.37E-2</v>
      </c>
      <c r="F27" s="7">
        <f t="shared" si="18"/>
        <v>1.37E-2</v>
      </c>
      <c r="G27" s="7">
        <f t="shared" si="18"/>
        <v>1.37E-2</v>
      </c>
      <c r="H27" s="7">
        <f t="shared" si="18"/>
        <v>1.37E-2</v>
      </c>
      <c r="I27" s="7"/>
      <c r="J27" s="7"/>
    </row>
    <row r="28" spans="1:16" x14ac:dyDescent="0.55000000000000004">
      <c r="A28" s="6" t="s">
        <v>91</v>
      </c>
      <c r="C28" s="8">
        <f>C27/$B$6</f>
        <v>5.6332236842105267E-4</v>
      </c>
      <c r="D28" s="8">
        <f t="shared" ref="D28:H28" si="19">D27/$B$6</f>
        <v>5.6332236842105267E-4</v>
      </c>
      <c r="E28" s="8">
        <f t="shared" si="19"/>
        <v>5.6332236842105267E-4</v>
      </c>
      <c r="F28" s="8">
        <f t="shared" si="19"/>
        <v>5.6332236842105267E-4</v>
      </c>
      <c r="G28" s="8">
        <f t="shared" si="19"/>
        <v>5.6332236842105267E-4</v>
      </c>
      <c r="H28" s="8">
        <f t="shared" si="19"/>
        <v>5.6332236842105267E-4</v>
      </c>
      <c r="I28" s="8"/>
      <c r="J28" s="8"/>
    </row>
    <row r="29" spans="1:16" x14ac:dyDescent="0.55000000000000004">
      <c r="A29" s="6" t="s">
        <v>92</v>
      </c>
      <c r="C29" s="8">
        <f>C28/C21</f>
        <v>0.38434023930089362</v>
      </c>
      <c r="D29" s="8">
        <f t="shared" ref="D29:H29" si="20">D28/D21</f>
        <v>0.38434023930089362</v>
      </c>
      <c r="E29" s="8">
        <f t="shared" si="20"/>
        <v>0.38433844226039632</v>
      </c>
      <c r="F29" s="8">
        <f t="shared" si="20"/>
        <v>0.38433754374644952</v>
      </c>
      <c r="G29" s="8">
        <f t="shared" si="20"/>
        <v>0.3843370046400979</v>
      </c>
      <c r="H29" s="8">
        <f t="shared" si="20"/>
        <v>0.38433754374644952</v>
      </c>
      <c r="I29" s="8"/>
      <c r="J29" s="8"/>
    </row>
    <row r="30" spans="1:16" x14ac:dyDescent="0.55000000000000004">
      <c r="A30" s="6" t="s">
        <v>93</v>
      </c>
      <c r="B30" s="7">
        <v>0.38300000000000001</v>
      </c>
    </row>
    <row r="31" spans="1:16" x14ac:dyDescent="0.55000000000000004">
      <c r="A31" s="6" t="s">
        <v>94</v>
      </c>
      <c r="B31" s="7">
        <f>B30</f>
        <v>0.38300000000000001</v>
      </c>
      <c r="C31" s="8">
        <f>ABS($B$31-C29)/$B$31*100</f>
        <v>0.34993193234820069</v>
      </c>
      <c r="D31" s="8">
        <f t="shared" ref="D31:H31" si="21">ABS($B$31-D29)/$B$31*100</f>
        <v>0.34993193234820069</v>
      </c>
      <c r="E31" s="8">
        <f t="shared" si="21"/>
        <v>0.34946273117397147</v>
      </c>
      <c r="F31" s="8">
        <f t="shared" si="21"/>
        <v>0.34922813223224802</v>
      </c>
      <c r="G31" s="8">
        <f t="shared" si="21"/>
        <v>0.34908737339370605</v>
      </c>
      <c r="H31" s="8">
        <f t="shared" si="21"/>
        <v>0.34922813223224802</v>
      </c>
      <c r="I31" s="8"/>
      <c r="J31" s="8"/>
    </row>
    <row r="33" spans="1:11" x14ac:dyDescent="0.55000000000000004">
      <c r="A33" s="6" t="s">
        <v>79</v>
      </c>
      <c r="B33" s="15" t="s">
        <v>97</v>
      </c>
    </row>
    <row r="34" spans="1:11" x14ac:dyDescent="0.55000000000000004">
      <c r="A34" s="6" t="s">
        <v>77</v>
      </c>
    </row>
    <row r="35" spans="1:11" x14ac:dyDescent="0.55000000000000004">
      <c r="A35" s="6" t="s">
        <v>82</v>
      </c>
    </row>
    <row r="36" spans="1:11" x14ac:dyDescent="0.55000000000000004">
      <c r="A36" s="6" t="s">
        <v>63</v>
      </c>
    </row>
    <row r="37" spans="1:11" x14ac:dyDescent="0.55000000000000004">
      <c r="A37" s="6" t="s">
        <v>64</v>
      </c>
    </row>
    <row r="38" spans="1:11" x14ac:dyDescent="0.55000000000000004">
      <c r="A38" s="6" t="s">
        <v>83</v>
      </c>
    </row>
    <row r="39" spans="1:11" x14ac:dyDescent="0.55000000000000004">
      <c r="A39" s="6" t="s">
        <v>78</v>
      </c>
    </row>
    <row r="40" spans="1:11" x14ac:dyDescent="0.55000000000000004">
      <c r="A40" s="6" t="s">
        <v>80</v>
      </c>
      <c r="C40" s="10"/>
      <c r="D40" s="10"/>
      <c r="E40" s="10"/>
      <c r="F40" s="10"/>
      <c r="G40" s="10"/>
      <c r="H40" s="10"/>
    </row>
    <row r="41" spans="1:11" x14ac:dyDescent="0.55000000000000004">
      <c r="A41" s="6" t="s">
        <v>81</v>
      </c>
      <c r="B41" s="7"/>
    </row>
    <row r="42" spans="1:11" x14ac:dyDescent="0.55000000000000004">
      <c r="A42" s="6" t="s">
        <v>21</v>
      </c>
    </row>
    <row r="45" spans="1:11" x14ac:dyDescent="0.55000000000000004">
      <c r="A45" s="6" t="s">
        <v>79</v>
      </c>
      <c r="B45" s="15" t="s">
        <v>98</v>
      </c>
      <c r="F45" s="12"/>
      <c r="G45" s="11"/>
      <c r="H45" s="11"/>
      <c r="I45" s="12"/>
      <c r="J45" s="13" t="s">
        <v>84</v>
      </c>
      <c r="K45" s="13" t="s">
        <v>85</v>
      </c>
    </row>
    <row r="46" spans="1:11" x14ac:dyDescent="0.55000000000000004">
      <c r="A46" s="6" t="s">
        <v>77</v>
      </c>
      <c r="C46" s="7">
        <v>2</v>
      </c>
      <c r="D46" s="7">
        <v>2</v>
      </c>
      <c r="E46" s="7">
        <v>2</v>
      </c>
      <c r="F46" s="7">
        <v>2</v>
      </c>
      <c r="G46" s="7">
        <v>2</v>
      </c>
      <c r="H46" s="7">
        <v>2</v>
      </c>
      <c r="I46" s="13">
        <v>8</v>
      </c>
      <c r="J46" s="13">
        <v>13</v>
      </c>
      <c r="K46" s="13">
        <v>13</v>
      </c>
    </row>
    <row r="47" spans="1:11" x14ac:dyDescent="0.55000000000000004">
      <c r="A47" s="6" t="s">
        <v>82</v>
      </c>
      <c r="C47" s="8">
        <f t="shared" ref="C47:G47" si="22">$B$10*C46</f>
        <v>26.06</v>
      </c>
      <c r="D47" s="8">
        <f t="shared" si="22"/>
        <v>26.06</v>
      </c>
      <c r="E47" s="8">
        <f t="shared" si="22"/>
        <v>26.06</v>
      </c>
      <c r="F47" s="8">
        <f t="shared" si="22"/>
        <v>26.06</v>
      </c>
      <c r="G47" s="8">
        <f t="shared" si="22"/>
        <v>26.06</v>
      </c>
      <c r="H47" s="8">
        <f>$B$10*H46</f>
        <v>26.06</v>
      </c>
      <c r="I47" s="13">
        <f t="shared" ref="I47:K47" si="23">$B$8*I46</f>
        <v>201.36</v>
      </c>
      <c r="J47" s="13">
        <f t="shared" si="23"/>
        <v>327.21000000000004</v>
      </c>
      <c r="K47" s="13">
        <f t="shared" si="23"/>
        <v>327.21000000000004</v>
      </c>
    </row>
    <row r="48" spans="1:11" x14ac:dyDescent="0.55000000000000004">
      <c r="A48" s="6" t="s">
        <v>63</v>
      </c>
      <c r="C48" s="7">
        <v>2</v>
      </c>
      <c r="D48" s="7">
        <v>4</v>
      </c>
      <c r="E48" s="7">
        <v>6</v>
      </c>
      <c r="F48" s="7">
        <v>8</v>
      </c>
      <c r="G48" s="7">
        <v>10</v>
      </c>
      <c r="H48" s="7">
        <v>12</v>
      </c>
      <c r="I48" s="13">
        <v>8</v>
      </c>
      <c r="J48" s="13">
        <v>12</v>
      </c>
      <c r="K48" s="13">
        <v>12</v>
      </c>
    </row>
    <row r="49" spans="1:11" x14ac:dyDescent="0.55000000000000004">
      <c r="A49" s="6" t="s">
        <v>64</v>
      </c>
      <c r="C49" s="8">
        <f>$B$9*C48</f>
        <v>48.64</v>
      </c>
      <c r="D49" s="8">
        <f t="shared" ref="D49:K49" si="24">$B$9*D48</f>
        <v>97.28</v>
      </c>
      <c r="E49" s="8">
        <f t="shared" si="24"/>
        <v>145.92000000000002</v>
      </c>
      <c r="F49" s="8">
        <f t="shared" si="24"/>
        <v>194.56</v>
      </c>
      <c r="G49" s="8">
        <f t="shared" si="24"/>
        <v>243.2</v>
      </c>
      <c r="H49" s="8">
        <f t="shared" si="24"/>
        <v>291.84000000000003</v>
      </c>
      <c r="I49" s="13">
        <f t="shared" si="24"/>
        <v>194.56</v>
      </c>
      <c r="J49" s="13">
        <f t="shared" si="24"/>
        <v>291.84000000000003</v>
      </c>
      <c r="K49" s="13">
        <f t="shared" si="24"/>
        <v>291.84000000000003</v>
      </c>
    </row>
    <row r="50" spans="1:11" x14ac:dyDescent="0.55000000000000004">
      <c r="A50" s="6" t="s">
        <v>83</v>
      </c>
      <c r="C50" s="8">
        <f>C49*$B$6/1000000</f>
        <v>1.1829248E-3</v>
      </c>
      <c r="D50" s="8">
        <f t="shared" ref="D50:I50" si="25">D49*$B$6/1000000</f>
        <v>2.3658495999999999E-3</v>
      </c>
      <c r="E50" s="8">
        <f t="shared" si="25"/>
        <v>3.5487744000000003E-3</v>
      </c>
      <c r="F50" s="8">
        <f t="shared" si="25"/>
        <v>4.7316991999999999E-3</v>
      </c>
      <c r="G50" s="8">
        <f t="shared" si="25"/>
        <v>5.9146239999999994E-3</v>
      </c>
      <c r="H50" s="8">
        <f t="shared" si="25"/>
        <v>7.0975488000000007E-3</v>
      </c>
      <c r="I50" s="13">
        <f t="shared" si="25"/>
        <v>4.7316991999999999E-3</v>
      </c>
      <c r="J50" s="13">
        <f>J49*7/1000000</f>
        <v>2.04288E-3</v>
      </c>
      <c r="K50" s="13">
        <f>K49*7/1000000</f>
        <v>2.04288E-3</v>
      </c>
    </row>
    <row r="51" spans="1:11" x14ac:dyDescent="0.55000000000000004">
      <c r="A51" s="6" t="s">
        <v>78</v>
      </c>
      <c r="C51" s="7">
        <v>6.7599999999999993E-2</v>
      </c>
      <c r="D51" s="7">
        <v>3.3799999999999997E-2</v>
      </c>
      <c r="E51" s="7">
        <v>2.2531329999999999E-2</v>
      </c>
      <c r="F51" s="7">
        <v>1.6899999999999998E-2</v>
      </c>
      <c r="G51" s="7">
        <v>1.3518799999999999E-2</v>
      </c>
      <c r="H51" s="7">
        <v>1.1270000000000001E-2</v>
      </c>
      <c r="I51" s="13">
        <v>7.9950000000000004E-3</v>
      </c>
      <c r="J51" s="13">
        <v>3.8699999999999998E-2</v>
      </c>
      <c r="K51" s="13">
        <v>3.85E-2</v>
      </c>
    </row>
    <row r="52" spans="1:11" x14ac:dyDescent="0.55000000000000004">
      <c r="A52" s="6" t="s">
        <v>80</v>
      </c>
      <c r="C52" s="10">
        <f t="shared" ref="C52:I52" si="26">($E$1*(C47/1000)/(C50*C51/1000))/(10^6)</f>
        <v>3258.8965805762273</v>
      </c>
      <c r="D52" s="10">
        <f t="shared" si="26"/>
        <v>3258.8965805762273</v>
      </c>
      <c r="E52" s="10">
        <f t="shared" si="26"/>
        <v>3259.186339598431</v>
      </c>
      <c r="F52" s="10">
        <f t="shared" si="26"/>
        <v>3258.8965805762273</v>
      </c>
      <c r="G52" s="10">
        <f t="shared" si="26"/>
        <v>3259.1858574274784</v>
      </c>
      <c r="H52" s="10">
        <f t="shared" si="26"/>
        <v>3257.9326951634562</v>
      </c>
      <c r="I52" s="14">
        <f t="shared" si="26"/>
        <v>53227.688455301875</v>
      </c>
      <c r="J52" s="14">
        <f>($E$1*(J47/1000)/(J50*J51/1000))/(10^6)</f>
        <v>41387.838540148827</v>
      </c>
      <c r="K52" s="14">
        <f>($E$1*(K47/1000)/(K50*K51/1000))/(10^6)</f>
        <v>41602.840298798947</v>
      </c>
    </row>
    <row r="53" spans="1:11" x14ac:dyDescent="0.55000000000000004">
      <c r="A53" s="6" t="s">
        <v>81</v>
      </c>
      <c r="B53" s="7">
        <v>3255.9</v>
      </c>
      <c r="I53" s="13"/>
      <c r="J53" s="13"/>
      <c r="K53" s="13"/>
    </row>
    <row r="54" spans="1:11" x14ac:dyDescent="0.55000000000000004">
      <c r="A54" s="6" t="s">
        <v>21</v>
      </c>
      <c r="C54" s="8">
        <f t="shared" ref="C54:G54" si="27">ABS($B$53-C52)/C52*100</f>
        <v>9.1950772359193522E-2</v>
      </c>
      <c r="D54" s="8">
        <f t="shared" si="27"/>
        <v>9.1950772359193522E-2</v>
      </c>
      <c r="E54" s="8">
        <f t="shared" si="27"/>
        <v>0.10083312999022415</v>
      </c>
      <c r="F54" s="8">
        <f t="shared" si="27"/>
        <v>9.1950772359193522E-2</v>
      </c>
      <c r="G54" s="8">
        <f t="shared" si="27"/>
        <v>0.10081835069301175</v>
      </c>
      <c r="H54" s="8">
        <f>ABS($B$53-H52)/H52*100</f>
        <v>6.2392177913119809E-2</v>
      </c>
      <c r="I54" s="13" t="e">
        <f t="shared" ref="I54:K54" si="28">ABS($B$41-I52)/$B$41*100</f>
        <v>#DIV/0!</v>
      </c>
      <c r="J54" s="13" t="e">
        <f t="shared" si="28"/>
        <v>#DIV/0!</v>
      </c>
      <c r="K54" s="13" t="e">
        <f t="shared" si="28"/>
        <v>#DIV/0!</v>
      </c>
    </row>
    <row r="55" spans="1:11" x14ac:dyDescent="0.55000000000000004">
      <c r="C55" s="8"/>
      <c r="D55" s="8"/>
      <c r="E55" s="8"/>
      <c r="F55" s="8"/>
      <c r="G55" s="8"/>
      <c r="H55" s="8"/>
      <c r="I55" s="13"/>
      <c r="J55" s="13"/>
      <c r="K55" s="13"/>
    </row>
    <row r="56" spans="1:11" x14ac:dyDescent="0.55000000000000004">
      <c r="A56" s="6" t="s">
        <v>73</v>
      </c>
      <c r="C56" s="7">
        <f t="shared" ref="C56:H56" si="29">8.982*10^(-3)</f>
        <v>8.9819999999999987E-3</v>
      </c>
      <c r="D56" s="7">
        <f t="shared" si="29"/>
        <v>8.9819999999999987E-3</v>
      </c>
      <c r="E56" s="7">
        <f t="shared" si="29"/>
        <v>8.9819999999999987E-3</v>
      </c>
      <c r="F56" s="7">
        <f t="shared" si="29"/>
        <v>8.9819999999999987E-3</v>
      </c>
      <c r="G56" s="7">
        <f t="shared" si="29"/>
        <v>8.9819999999999987E-3</v>
      </c>
      <c r="H56" s="7">
        <f t="shared" si="29"/>
        <v>8.9819999999999987E-3</v>
      </c>
    </row>
    <row r="57" spans="1:11" x14ac:dyDescent="0.55000000000000004">
      <c r="A57" s="6" t="s">
        <v>71</v>
      </c>
      <c r="C57" s="8">
        <f>C51/C47</f>
        <v>2.5940138142747505E-3</v>
      </c>
      <c r="D57" s="8">
        <f t="shared" ref="D57:H57" si="30">D51/D47</f>
        <v>1.2970069071373753E-3</v>
      </c>
      <c r="E57" s="8">
        <f t="shared" si="30"/>
        <v>8.6459439754412891E-4</v>
      </c>
      <c r="F57" s="8">
        <f t="shared" si="30"/>
        <v>6.4850345356868763E-4</v>
      </c>
      <c r="G57" s="8">
        <f t="shared" si="30"/>
        <v>5.1875671527244814E-4</v>
      </c>
      <c r="H57" s="8">
        <f t="shared" si="30"/>
        <v>4.3246354566385271E-4</v>
      </c>
    </row>
    <row r="58" spans="1:11" x14ac:dyDescent="0.55000000000000004">
      <c r="A58" s="6" t="s">
        <v>86</v>
      </c>
      <c r="C58" s="8">
        <f>C56/C49</f>
        <v>1.8466282894736839E-4</v>
      </c>
      <c r="D58" s="8">
        <f t="shared" ref="D58:G58" si="31">D56/D49</f>
        <v>9.2331414473684195E-5</v>
      </c>
      <c r="E58" s="8">
        <f t="shared" si="31"/>
        <v>6.1554276315789464E-5</v>
      </c>
      <c r="F58" s="8">
        <f t="shared" si="31"/>
        <v>4.6165707236842098E-5</v>
      </c>
      <c r="G58" s="8">
        <f t="shared" si="31"/>
        <v>3.6932565789473681E-5</v>
      </c>
      <c r="H58" s="8">
        <f>H56/H49</f>
        <v>3.0777138157894732E-5</v>
      </c>
    </row>
    <row r="59" spans="1:11" x14ac:dyDescent="0.55000000000000004">
      <c r="A59" s="6" t="s">
        <v>87</v>
      </c>
      <c r="C59" s="8">
        <f>C58/C57</f>
        <v>7.1188066898941124E-2</v>
      </c>
      <c r="D59" s="8">
        <f t="shared" ref="D59:H59" si="32">D58/D57</f>
        <v>7.1188066898941124E-2</v>
      </c>
      <c r="E59" s="8">
        <f t="shared" si="32"/>
        <v>7.1194396459928172E-2</v>
      </c>
      <c r="F59" s="8">
        <f t="shared" si="32"/>
        <v>7.1188066898941124E-2</v>
      </c>
      <c r="G59" s="8">
        <f t="shared" si="32"/>
        <v>7.1194385927277878E-2</v>
      </c>
      <c r="H59" s="8">
        <f t="shared" si="32"/>
        <v>7.1167011570074226E-2</v>
      </c>
    </row>
    <row r="60" spans="1:11" x14ac:dyDescent="0.55000000000000004">
      <c r="A60" s="6" t="s">
        <v>88</v>
      </c>
      <c r="B60" s="7">
        <v>7.1199999999999999E-2</v>
      </c>
    </row>
    <row r="61" spans="1:11" x14ac:dyDescent="0.55000000000000004">
      <c r="A61" s="6" t="s">
        <v>89</v>
      </c>
      <c r="B61" s="6">
        <f>B60</f>
        <v>7.1199999999999999E-2</v>
      </c>
      <c r="C61" s="8">
        <f>(ABS(C59-$B$61)/$B$61)*100</f>
        <v>1.6759973397296683E-2</v>
      </c>
      <c r="D61" s="8">
        <f t="shared" ref="D61:H61" si="33">(ABS(D59-$B$61)/$B$61)*100</f>
        <v>1.6759973397296683E-2</v>
      </c>
      <c r="E61" s="8">
        <f t="shared" si="33"/>
        <v>7.8701405503193763E-3</v>
      </c>
      <c r="F61" s="8">
        <f t="shared" si="33"/>
        <v>1.6759973397296683E-2</v>
      </c>
      <c r="G61" s="8">
        <f t="shared" si="33"/>
        <v>7.8849335984845503E-3</v>
      </c>
      <c r="H61" s="8">
        <f t="shared" si="33"/>
        <v>4.6332064502490486E-2</v>
      </c>
    </row>
    <row r="63" spans="1:11" x14ac:dyDescent="0.55000000000000004">
      <c r="A63" s="6" t="s">
        <v>90</v>
      </c>
      <c r="C63" s="7">
        <f>7.316*10^(-3)</f>
        <v>7.3159999999999996E-3</v>
      </c>
      <c r="D63" s="7">
        <f>3.658*10^(-3)</f>
        <v>3.6579999999999998E-3</v>
      </c>
      <c r="E63" s="7">
        <f>2.4385564*10^(-3)</f>
        <v>2.4385563999999998E-3</v>
      </c>
      <c r="F63" s="7">
        <f>1.829*10^(-3)</f>
        <v>1.8289999999999999E-3</v>
      </c>
      <c r="G63" s="7">
        <f>1.463*10^(-3)</f>
        <v>1.4630000000000001E-3</v>
      </c>
      <c r="H63" s="7">
        <f>0.001219</f>
        <v>1.219E-3</v>
      </c>
      <c r="I63" s="12"/>
      <c r="J63" s="12"/>
    </row>
    <row r="64" spans="1:11" x14ac:dyDescent="0.55000000000000004">
      <c r="A64" s="6" t="s">
        <v>91</v>
      </c>
      <c r="C64" s="8">
        <f>C63/$B$6</f>
        <v>3.0082236842105263E-4</v>
      </c>
      <c r="D64" s="8">
        <f>D63/$B$6</f>
        <v>1.5041118421052632E-4</v>
      </c>
      <c r="E64" s="8">
        <f t="shared" ref="E64:H64" si="34">E63/$B$6</f>
        <v>1.0026958881578946E-4</v>
      </c>
      <c r="F64" s="8">
        <f t="shared" si="34"/>
        <v>7.5205592105263158E-5</v>
      </c>
      <c r="G64" s="8">
        <f t="shared" si="34"/>
        <v>6.0156250000000002E-5</v>
      </c>
      <c r="H64" s="8">
        <f t="shared" si="34"/>
        <v>5.0123355263157896E-5</v>
      </c>
      <c r="I64" s="12"/>
      <c r="J64" s="12"/>
    </row>
    <row r="65" spans="1:10" x14ac:dyDescent="0.55000000000000004">
      <c r="A65" s="6" t="s">
        <v>99</v>
      </c>
      <c r="C65" s="8">
        <f>C64/C57</f>
        <v>0.11596791303332295</v>
      </c>
      <c r="D65" s="8">
        <f>D64/D57</f>
        <v>0.11596791303332295</v>
      </c>
      <c r="E65" s="8">
        <f t="shared" ref="E65:H65" si="35">E64/E57</f>
        <v>0.11597298004775898</v>
      </c>
      <c r="F65" s="8">
        <f t="shared" si="35"/>
        <v>0.11596791303332295</v>
      </c>
      <c r="G65" s="8">
        <f t="shared" si="35"/>
        <v>0.11596235427700685</v>
      </c>
      <c r="H65" s="8">
        <f t="shared" si="35"/>
        <v>0.1159019199785177</v>
      </c>
      <c r="I65" s="12"/>
      <c r="J65" s="12"/>
    </row>
    <row r="66" spans="1:10" x14ac:dyDescent="0.55000000000000004">
      <c r="A66" s="6" t="s">
        <v>100</v>
      </c>
      <c r="B66" s="7">
        <v>0.11600000000000001</v>
      </c>
      <c r="I66" s="12"/>
      <c r="J66" s="12"/>
    </row>
    <row r="67" spans="1:10" x14ac:dyDescent="0.55000000000000004">
      <c r="A67" s="6" t="s">
        <v>101</v>
      </c>
      <c r="B67" s="7">
        <f>B66</f>
        <v>0.11600000000000001</v>
      </c>
      <c r="C67" s="8">
        <f>ABS($B$67-C65)/C65*100</f>
        <v>2.7668831694710579E-2</v>
      </c>
      <c r="D67" s="8">
        <f t="shared" ref="D67:H67" si="36">ABS($B$67-D65)/D65*100</f>
        <v>2.7668831694710579E-2</v>
      </c>
      <c r="E67" s="8">
        <f t="shared" si="36"/>
        <v>2.3298489208346762E-2</v>
      </c>
      <c r="F67" s="8">
        <f t="shared" si="36"/>
        <v>2.7668831694710579E-2</v>
      </c>
      <c r="G67" s="8">
        <f t="shared" si="36"/>
        <v>3.2463745004027315E-2</v>
      </c>
      <c r="H67" s="8">
        <f t="shared" si="36"/>
        <v>8.4623293126189339E-2</v>
      </c>
      <c r="I67" s="12"/>
      <c r="J67" s="12"/>
    </row>
    <row r="71" spans="1:10" x14ac:dyDescent="0.55000000000000004">
      <c r="A71" s="6" t="s">
        <v>102</v>
      </c>
      <c r="B71" s="15" t="s">
        <v>98</v>
      </c>
      <c r="F71" s="12"/>
      <c r="G71" s="11"/>
      <c r="H71" s="11"/>
    </row>
    <row r="72" spans="1:10" x14ac:dyDescent="0.55000000000000004">
      <c r="A72" s="6" t="s">
        <v>77</v>
      </c>
      <c r="C72" s="7">
        <v>2</v>
      </c>
      <c r="D72" s="7">
        <v>2</v>
      </c>
      <c r="E72" s="7">
        <v>2</v>
      </c>
      <c r="F72" s="7">
        <v>2</v>
      </c>
      <c r="G72" s="7">
        <v>2</v>
      </c>
      <c r="H72" s="7">
        <v>2</v>
      </c>
    </row>
    <row r="73" spans="1:10" x14ac:dyDescent="0.55000000000000004">
      <c r="A73" s="6" t="s">
        <v>82</v>
      </c>
      <c r="C73" s="8">
        <f>$B$7*C72</f>
        <v>26.06</v>
      </c>
      <c r="D73" s="8">
        <f t="shared" ref="D73:H73" si="37">$B$7*D72</f>
        <v>26.06</v>
      </c>
      <c r="E73" s="8">
        <f t="shared" si="37"/>
        <v>26.06</v>
      </c>
      <c r="F73" s="8">
        <f t="shared" si="37"/>
        <v>26.06</v>
      </c>
      <c r="G73" s="8">
        <f t="shared" si="37"/>
        <v>26.06</v>
      </c>
      <c r="H73" s="8">
        <f t="shared" si="37"/>
        <v>26.06</v>
      </c>
    </row>
    <row r="74" spans="1:10" x14ac:dyDescent="0.55000000000000004">
      <c r="A74" s="6" t="s">
        <v>63</v>
      </c>
      <c r="C74" s="7">
        <v>2</v>
      </c>
      <c r="D74" s="7">
        <v>4</v>
      </c>
      <c r="E74" s="7">
        <v>6</v>
      </c>
      <c r="F74" s="7">
        <v>8</v>
      </c>
      <c r="G74" s="7">
        <v>10</v>
      </c>
      <c r="H74" s="7">
        <v>12</v>
      </c>
    </row>
    <row r="75" spans="1:10" x14ac:dyDescent="0.55000000000000004">
      <c r="A75" s="6" t="s">
        <v>64</v>
      </c>
      <c r="C75" s="8">
        <f>$B$9*C74</f>
        <v>48.64</v>
      </c>
      <c r="D75" s="8">
        <f t="shared" ref="D75:H75" si="38">$B$9*D74</f>
        <v>97.28</v>
      </c>
      <c r="E75" s="8">
        <f t="shared" si="38"/>
        <v>145.92000000000002</v>
      </c>
      <c r="F75" s="8">
        <f t="shared" si="38"/>
        <v>194.56</v>
      </c>
      <c r="G75" s="8">
        <f t="shared" si="38"/>
        <v>243.2</v>
      </c>
      <c r="H75" s="8">
        <f t="shared" si="38"/>
        <v>291.84000000000003</v>
      </c>
    </row>
    <row r="76" spans="1:10" x14ac:dyDescent="0.55000000000000004">
      <c r="A76" s="6" t="s">
        <v>103</v>
      </c>
      <c r="C76" s="8">
        <f>C73*C75/1000000</f>
        <v>1.2675583999999999E-3</v>
      </c>
      <c r="D76" s="8">
        <f t="shared" ref="D76:H76" si="39">D73*D75/1000000</f>
        <v>2.5351167999999999E-3</v>
      </c>
      <c r="E76" s="8">
        <f t="shared" si="39"/>
        <v>3.8026752000000002E-3</v>
      </c>
      <c r="F76" s="8">
        <f t="shared" si="39"/>
        <v>5.0702335999999997E-3</v>
      </c>
      <c r="G76" s="8">
        <f t="shared" si="39"/>
        <v>6.3377919999999992E-3</v>
      </c>
      <c r="H76" s="8">
        <f t="shared" si="39"/>
        <v>7.6053504000000004E-3</v>
      </c>
    </row>
    <row r="77" spans="1:10" x14ac:dyDescent="0.55000000000000004">
      <c r="A77" s="6" t="s">
        <v>104</v>
      </c>
      <c r="C77" s="7">
        <f>1.491</f>
        <v>1.4910000000000001</v>
      </c>
      <c r="D77" s="7">
        <f>0.745312</f>
        <v>0.74531199999999997</v>
      </c>
      <c r="E77" s="7">
        <v>0.497</v>
      </c>
      <c r="F77" s="7">
        <f>0.3726</f>
        <v>0.37259999999999999</v>
      </c>
      <c r="G77" s="7">
        <f>0.2981249</f>
        <v>0.29812490000000003</v>
      </c>
      <c r="H77" s="7">
        <f>0.2484374</f>
        <v>0.2484374</v>
      </c>
    </row>
    <row r="78" spans="1:10" x14ac:dyDescent="0.55000000000000004">
      <c r="A78" s="6" t="s">
        <v>95</v>
      </c>
      <c r="C78" s="10">
        <f>($E$1*($B$6/1000)/(C76*C77/1000))/(10^6)</f>
        <v>128.6820436561554</v>
      </c>
      <c r="D78" s="10">
        <f t="shared" ref="D78:H78" si="40">($E$1*($B$6/1000)/(D76*D77/1000))/(10^6)</f>
        <v>128.71450284667878</v>
      </c>
      <c r="E78" s="10">
        <f t="shared" si="40"/>
        <v>128.6820436561554</v>
      </c>
      <c r="F78" s="10">
        <f t="shared" si="40"/>
        <v>128.73384802155644</v>
      </c>
      <c r="G78" s="10">
        <f t="shared" si="40"/>
        <v>128.71445967198832</v>
      </c>
      <c r="H78" s="10">
        <f t="shared" si="40"/>
        <v>128.71446830692406</v>
      </c>
    </row>
    <row r="79" spans="1:10" x14ac:dyDescent="0.55000000000000004">
      <c r="A79" s="6" t="s">
        <v>96</v>
      </c>
      <c r="B79" s="7">
        <v>128.5616</v>
      </c>
    </row>
    <row r="80" spans="1:10" x14ac:dyDescent="0.55000000000000004">
      <c r="A80" s="6" t="s">
        <v>21</v>
      </c>
      <c r="C80" s="8">
        <f>ABS($B$79-C78)/C78*100</f>
        <v>9.3597873279999425E-2</v>
      </c>
      <c r="D80" s="8">
        <f t="shared" ref="D80:H80" si="41">ABS($B$79-D78)/D78*100</f>
        <v>0.11879224430592616</v>
      </c>
      <c r="E80" s="8">
        <f t="shared" si="41"/>
        <v>9.3597873279999425E-2</v>
      </c>
      <c r="F80" s="8">
        <f t="shared" si="41"/>
        <v>0.13380165683200804</v>
      </c>
      <c r="G80" s="8">
        <f t="shared" si="41"/>
        <v>0.11875874115298818</v>
      </c>
      <c r="H80" s="8">
        <f t="shared" si="41"/>
        <v>0.1187654417835477</v>
      </c>
    </row>
    <row r="82" spans="1:8" x14ac:dyDescent="0.55000000000000004">
      <c r="A82" s="6" t="s">
        <v>73</v>
      </c>
      <c r="C82" s="7">
        <f t="shared" ref="C82:H82" si="42">0.0137</f>
        <v>1.37E-2</v>
      </c>
      <c r="D82" s="7">
        <f t="shared" si="42"/>
        <v>1.37E-2</v>
      </c>
      <c r="E82" s="7">
        <f t="shared" si="42"/>
        <v>1.37E-2</v>
      </c>
      <c r="F82" s="7">
        <f t="shared" si="42"/>
        <v>1.37E-2</v>
      </c>
      <c r="G82" s="7">
        <f t="shared" si="42"/>
        <v>1.37E-2</v>
      </c>
      <c r="H82" s="7">
        <f t="shared" si="42"/>
        <v>1.37E-2</v>
      </c>
    </row>
    <row r="83" spans="1:8" x14ac:dyDescent="0.55000000000000004">
      <c r="A83" s="6" t="s">
        <v>105</v>
      </c>
      <c r="C83" s="8">
        <f>C77/$B$6</f>
        <v>6.1307565789473689E-2</v>
      </c>
      <c r="D83" s="8">
        <f t="shared" ref="D83:H83" si="43">D77/$B$6</f>
        <v>3.0646052631578945E-2</v>
      </c>
      <c r="E83" s="8">
        <f t="shared" si="43"/>
        <v>2.0435855263157894E-2</v>
      </c>
      <c r="F83" s="8">
        <f t="shared" si="43"/>
        <v>1.5320723684210526E-2</v>
      </c>
      <c r="G83" s="8">
        <f t="shared" si="43"/>
        <v>1.2258425164473685E-2</v>
      </c>
      <c r="H83" s="8">
        <f t="shared" si="43"/>
        <v>1.0215353618421052E-2</v>
      </c>
    </row>
    <row r="84" spans="1:8" x14ac:dyDescent="0.55000000000000004">
      <c r="A84" s="6" t="s">
        <v>86</v>
      </c>
      <c r="C84" s="8">
        <f>C82/C75</f>
        <v>2.8166118421052633E-4</v>
      </c>
      <c r="D84" s="8">
        <f t="shared" ref="D84:G84" si="44">D82/D75</f>
        <v>1.4083059210526317E-4</v>
      </c>
      <c r="E84" s="8">
        <f t="shared" si="44"/>
        <v>9.388706140350876E-5</v>
      </c>
      <c r="F84" s="8">
        <f t="shared" si="44"/>
        <v>7.0415296052631584E-5</v>
      </c>
      <c r="G84" s="8">
        <f t="shared" si="44"/>
        <v>5.633223684210527E-5</v>
      </c>
      <c r="H84" s="8">
        <f>H82/H75</f>
        <v>4.694353070175438E-5</v>
      </c>
    </row>
    <row r="85" spans="1:8" x14ac:dyDescent="0.55000000000000004">
      <c r="A85" s="6" t="s">
        <v>106</v>
      </c>
      <c r="C85" s="8">
        <f>C84/C83</f>
        <v>4.594232059020791E-3</v>
      </c>
      <c r="D85" s="8">
        <f t="shared" ref="D85:H85" si="45">D84/D83</f>
        <v>4.595390923532696E-3</v>
      </c>
      <c r="E85" s="8">
        <f t="shared" si="45"/>
        <v>4.594232059020791E-3</v>
      </c>
      <c r="F85" s="8">
        <f t="shared" si="45"/>
        <v>4.5960815888352125E-3</v>
      </c>
      <c r="G85" s="8">
        <f t="shared" si="45"/>
        <v>4.5953893821012604E-3</v>
      </c>
      <c r="H85" s="8">
        <f t="shared" si="45"/>
        <v>4.5953896903874643E-3</v>
      </c>
    </row>
    <row r="86" spans="1:8" x14ac:dyDescent="0.55000000000000004">
      <c r="A86" s="6" t="s">
        <v>107</v>
      </c>
      <c r="B86" s="7">
        <v>4.5999999999999999E-3</v>
      </c>
    </row>
    <row r="87" spans="1:8" x14ac:dyDescent="0.55000000000000004">
      <c r="A87" s="6" t="s">
        <v>108</v>
      </c>
      <c r="B87" s="6">
        <f>B86</f>
        <v>4.5999999999999999E-3</v>
      </c>
      <c r="C87" s="8">
        <f>(ABS(C85-$B$87)/$B$87)*100</f>
        <v>0.12539002128714971</v>
      </c>
      <c r="D87" s="8">
        <f t="shared" ref="D87:H87" si="46">(ABS(D85-$B$87)/$B$87)*100</f>
        <v>0.10019731450660609</v>
      </c>
      <c r="E87" s="8">
        <f t="shared" si="46"/>
        <v>0.12539002128714971</v>
      </c>
      <c r="F87" s="8">
        <f t="shared" si="46"/>
        <v>8.518285140842255E-2</v>
      </c>
      <c r="G87" s="8">
        <f t="shared" si="46"/>
        <v>0.10023082388564125</v>
      </c>
      <c r="H87" s="8">
        <f t="shared" si="46"/>
        <v>0.10022412201164436</v>
      </c>
    </row>
    <row r="89" spans="1:8" x14ac:dyDescent="0.55000000000000004">
      <c r="A89" s="6" t="s">
        <v>46</v>
      </c>
      <c r="C89" s="7">
        <f>7.316*10^(-3)</f>
        <v>7.3159999999999996E-3</v>
      </c>
      <c r="D89" s="7">
        <f>3.658*10^(-3)</f>
        <v>3.6579999999999998E-3</v>
      </c>
      <c r="E89" s="7">
        <f>2.439*10^(-3)</f>
        <v>2.4390000000000002E-3</v>
      </c>
      <c r="F89" s="7">
        <f>1.829*10^(-3)</f>
        <v>1.8289999999999999E-3</v>
      </c>
      <c r="G89" s="7">
        <f>1.463*10^(-3)</f>
        <v>1.4630000000000001E-3</v>
      </c>
      <c r="H89" s="7">
        <f>1.219*10^(-3)</f>
        <v>1.219E-3</v>
      </c>
    </row>
    <row r="90" spans="1:8" x14ac:dyDescent="0.55000000000000004">
      <c r="A90" s="6" t="s">
        <v>109</v>
      </c>
      <c r="C90" s="8">
        <f>C89/C73</f>
        <v>2.8073676132003069E-4</v>
      </c>
      <c r="D90" s="8">
        <f t="shared" ref="D90:H90" si="47">D89/D73</f>
        <v>1.4036838066001534E-4</v>
      </c>
      <c r="E90" s="8">
        <f t="shared" si="47"/>
        <v>9.3591711435149662E-5</v>
      </c>
      <c r="F90" s="8">
        <f t="shared" si="47"/>
        <v>7.0184190330007672E-5</v>
      </c>
      <c r="G90" s="8">
        <f t="shared" si="47"/>
        <v>5.6139677666922495E-5</v>
      </c>
      <c r="H90" s="8">
        <f t="shared" si="47"/>
        <v>4.6776669224865696E-5</v>
      </c>
    </row>
    <row r="91" spans="1:8" x14ac:dyDescent="0.55000000000000004">
      <c r="A91" s="6" t="s">
        <v>110</v>
      </c>
      <c r="C91" s="8">
        <f>C90/C83</f>
        <v>4.5791536118733375E-3</v>
      </c>
      <c r="D91" s="8">
        <f t="shared" ref="D91:H91" si="48">D90/D83</f>
        <v>4.5803086729471329E-3</v>
      </c>
      <c r="E91" s="8">
        <f t="shared" si="48"/>
        <v>4.5797795213336819E-3</v>
      </c>
      <c r="F91" s="8">
        <f t="shared" si="48"/>
        <v>4.580997071459438E-3</v>
      </c>
      <c r="G91" s="8">
        <f t="shared" si="48"/>
        <v>4.5796810694428911E-3</v>
      </c>
      <c r="H91" s="8">
        <f t="shared" si="48"/>
        <v>4.579055309501443E-3</v>
      </c>
    </row>
    <row r="92" spans="1:8" x14ac:dyDescent="0.55000000000000004">
      <c r="A92" s="6" t="s">
        <v>111</v>
      </c>
      <c r="B92" s="7">
        <v>4.5999999999999999E-3</v>
      </c>
    </row>
    <row r="93" spans="1:8" x14ac:dyDescent="0.55000000000000004">
      <c r="A93" s="6" t="s">
        <v>112</v>
      </c>
      <c r="B93" s="7">
        <f>B92</f>
        <v>4.5999999999999999E-3</v>
      </c>
      <c r="C93" s="8">
        <f>ABS($B$93-C91)/$B$93*100</f>
        <v>0.45318235057961881</v>
      </c>
      <c r="D93" s="8">
        <f t="shared" ref="D93:H93" si="49">ABS($B$93-D91)/$B$93*100</f>
        <v>0.42807232723624045</v>
      </c>
      <c r="E93" s="8">
        <f t="shared" si="49"/>
        <v>0.4395756231808261</v>
      </c>
      <c r="F93" s="8">
        <f t="shared" si="49"/>
        <v>0.41310714218612787</v>
      </c>
      <c r="G93" s="8">
        <f t="shared" si="49"/>
        <v>0.44171588167627979</v>
      </c>
      <c r="H93" s="8">
        <f t="shared" si="49"/>
        <v>0.4553193586642813</v>
      </c>
    </row>
    <row r="100" spans="1:7" x14ac:dyDescent="0.55000000000000004">
      <c r="A100" s="6" t="s">
        <v>113</v>
      </c>
    </row>
    <row r="101" spans="1:7" x14ac:dyDescent="0.55000000000000004">
      <c r="A101" s="6" t="s">
        <v>114</v>
      </c>
      <c r="B101" s="6">
        <f>10*10^6</f>
        <v>10000000</v>
      </c>
    </row>
    <row r="102" spans="1:7" x14ac:dyDescent="0.55000000000000004">
      <c r="A102" s="6" t="s">
        <v>63</v>
      </c>
      <c r="C102" s="7">
        <v>2</v>
      </c>
      <c r="D102" s="7">
        <v>4</v>
      </c>
      <c r="E102" s="7">
        <v>8</v>
      </c>
      <c r="F102" s="7"/>
      <c r="G102" s="7"/>
    </row>
    <row r="103" spans="1:7" x14ac:dyDescent="0.55000000000000004">
      <c r="A103" s="6" t="s">
        <v>64</v>
      </c>
      <c r="C103" s="8">
        <f>$B$9*C102</f>
        <v>48.64</v>
      </c>
      <c r="D103" s="8">
        <f t="shared" ref="D103:E103" si="50">$B$9*D102</f>
        <v>97.28</v>
      </c>
      <c r="E103" s="8">
        <f t="shared" si="50"/>
        <v>194.56</v>
      </c>
      <c r="F103" s="8"/>
      <c r="G103" s="8"/>
    </row>
    <row r="104" spans="1:7" x14ac:dyDescent="0.55000000000000004">
      <c r="A104" s="6" t="s">
        <v>115</v>
      </c>
      <c r="C104" s="8">
        <f>C103*$B$6/1000000</f>
        <v>1.1829248E-3</v>
      </c>
      <c r="D104" s="8">
        <f t="shared" ref="D104:E104" si="51">D103*$B$6/1000000</f>
        <v>2.3658495999999999E-3</v>
      </c>
      <c r="E104" s="8">
        <f t="shared" si="51"/>
        <v>4.7316991999999999E-3</v>
      </c>
      <c r="F104" s="8"/>
      <c r="G104" s="8"/>
    </row>
    <row r="105" spans="1:7" x14ac:dyDescent="0.55000000000000004">
      <c r="A105" s="6" t="s">
        <v>77</v>
      </c>
      <c r="C105" s="7">
        <v>2</v>
      </c>
      <c r="D105" s="7">
        <v>8</v>
      </c>
      <c r="E105" s="7">
        <v>8</v>
      </c>
      <c r="F105" s="7"/>
      <c r="G105" s="7"/>
    </row>
    <row r="106" spans="1:7" x14ac:dyDescent="0.55000000000000004">
      <c r="A106" s="6" t="s">
        <v>82</v>
      </c>
      <c r="C106" s="8">
        <f>$B$10*C105</f>
        <v>26.06</v>
      </c>
      <c r="D106" s="8">
        <f t="shared" ref="D106" si="52">$B$10*D105</f>
        <v>104.24</v>
      </c>
      <c r="E106" s="8">
        <f t="shared" ref="E106" si="53">$B$10*E105</f>
        <v>104.24</v>
      </c>
      <c r="F106" s="8"/>
      <c r="G106" s="8"/>
    </row>
    <row r="107" spans="1:7" x14ac:dyDescent="0.55000000000000004">
      <c r="A107" s="6" t="s">
        <v>116</v>
      </c>
      <c r="C107" s="8">
        <f>$B$6*C106/1000000</f>
        <v>6.3377919999999996E-4</v>
      </c>
      <c r="D107" s="8">
        <f t="shared" ref="D107:E107" si="54">$B$6*D106/1000000</f>
        <v>2.5351167999999999E-3</v>
      </c>
      <c r="E107" s="8">
        <f t="shared" si="54"/>
        <v>2.5351167999999999E-3</v>
      </c>
      <c r="F107" s="8"/>
      <c r="G107" s="8"/>
    </row>
    <row r="108" spans="1:7" x14ac:dyDescent="0.55000000000000004">
      <c r="A108" s="6" t="s">
        <v>117</v>
      </c>
      <c r="C108" s="8">
        <f>$B$101*C104</f>
        <v>11829.248</v>
      </c>
      <c r="D108" s="8">
        <f t="shared" ref="D108:E108" si="55">$B$101*D104</f>
        <v>23658.495999999999</v>
      </c>
      <c r="E108" s="8">
        <f t="shared" si="55"/>
        <v>47316.991999999998</v>
      </c>
      <c r="F108" s="8"/>
      <c r="G108" s="8"/>
    </row>
    <row r="109" spans="1:7" x14ac:dyDescent="0.55000000000000004">
      <c r="A109" s="6" t="s">
        <v>118</v>
      </c>
      <c r="C109" s="8">
        <f>$B$101*C107</f>
        <v>6337.7919999999995</v>
      </c>
      <c r="D109" s="8">
        <f t="shared" ref="D109:E109" si="56">$B$101*D107</f>
        <v>25351.167999999998</v>
      </c>
      <c r="E109" s="8">
        <f t="shared" si="56"/>
        <v>25351.167999999998</v>
      </c>
      <c r="F109" s="8"/>
      <c r="G109" s="8"/>
    </row>
    <row r="110" spans="1:7" x14ac:dyDescent="0.55000000000000004">
      <c r="A110" s="6" t="s">
        <v>119</v>
      </c>
      <c r="C110" s="8">
        <f>C106</f>
        <v>26.06</v>
      </c>
      <c r="D110" s="8">
        <f t="shared" ref="D110:E110" si="57">D106</f>
        <v>104.24</v>
      </c>
      <c r="E110" s="8">
        <f t="shared" si="57"/>
        <v>104.24</v>
      </c>
      <c r="F110" s="8"/>
      <c r="G110" s="8"/>
    </row>
    <row r="111" spans="1:7" x14ac:dyDescent="0.55000000000000004">
      <c r="A111" s="6" t="s">
        <v>120</v>
      </c>
      <c r="C111" s="7">
        <f>0.619</f>
        <v>0.61899999999999999</v>
      </c>
      <c r="D111" s="6">
        <v>1.2370000000000001</v>
      </c>
      <c r="E111" s="6">
        <v>2.4740000000000002</v>
      </c>
    </row>
    <row r="112" spans="1:7" x14ac:dyDescent="0.55000000000000004">
      <c r="A112" s="6" t="s">
        <v>121</v>
      </c>
      <c r="C112" s="8">
        <f>C111/C103</f>
        <v>1.2726151315789474E-2</v>
      </c>
      <c r="D112" s="8">
        <f t="shared" ref="D112:E112" si="58">D111/D103</f>
        <v>1.2715871710526317E-2</v>
      </c>
      <c r="E112" s="8">
        <f t="shared" si="58"/>
        <v>1.2715871710526317E-2</v>
      </c>
      <c r="F112" s="8"/>
      <c r="G112" s="8"/>
    </row>
    <row r="113" spans="1:16" x14ac:dyDescent="0.55000000000000004">
      <c r="A113" s="6" t="s">
        <v>113</v>
      </c>
      <c r="C113" s="8">
        <f>($B$101/C112)/10^6</f>
        <v>785.78352180936997</v>
      </c>
      <c r="D113" s="8">
        <f t="shared" ref="D113:E113" si="59">($B$101/D112)/10^6</f>
        <v>786.41875505254643</v>
      </c>
      <c r="E113" s="8">
        <f t="shared" si="59"/>
        <v>786.41875505254643</v>
      </c>
      <c r="F113" s="8"/>
      <c r="G113" s="8"/>
    </row>
    <row r="114" spans="1:16" x14ac:dyDescent="0.55000000000000004">
      <c r="A114" s="6" t="s">
        <v>122</v>
      </c>
      <c r="B114" s="7">
        <v>787.49900000000002</v>
      </c>
    </row>
    <row r="115" spans="1:16" x14ac:dyDescent="0.55000000000000004">
      <c r="A115" s="6" t="s">
        <v>22</v>
      </c>
      <c r="C115" s="8">
        <f>ABS($B$114-C113)/$B$114*100</f>
        <v>0.21783877701813606</v>
      </c>
      <c r="D115" s="8">
        <f t="shared" ref="D115:E115" si="60">ABS($B$114-D113)/$B$114*100</f>
        <v>0.13717413577078744</v>
      </c>
      <c r="E115" s="8">
        <f t="shared" si="60"/>
        <v>0.13717413577078744</v>
      </c>
      <c r="F115" s="8"/>
      <c r="G115" s="8"/>
    </row>
    <row r="119" spans="1:16" x14ac:dyDescent="0.55000000000000004">
      <c r="A119" s="6" t="s">
        <v>125</v>
      </c>
    </row>
    <row r="120" spans="1:16" x14ac:dyDescent="0.55000000000000004">
      <c r="A120" s="6" t="s">
        <v>114</v>
      </c>
      <c r="B120" s="6">
        <f>10*10^6</f>
        <v>10000000</v>
      </c>
      <c r="H120" s="11"/>
    </row>
    <row r="121" spans="1:16" x14ac:dyDescent="0.55000000000000004">
      <c r="A121" s="6" t="s">
        <v>63</v>
      </c>
      <c r="C121" s="7">
        <v>2</v>
      </c>
      <c r="D121" s="7">
        <v>4</v>
      </c>
      <c r="E121" s="7">
        <v>6</v>
      </c>
      <c r="F121" s="7">
        <v>8</v>
      </c>
      <c r="G121" s="7">
        <v>12</v>
      </c>
      <c r="H121" s="7"/>
      <c r="I121" s="7"/>
      <c r="J121" s="7"/>
      <c r="K121" s="7"/>
      <c r="L121" s="7"/>
      <c r="M121" s="7"/>
      <c r="O121" s="7">
        <v>2</v>
      </c>
      <c r="P121" s="7">
        <v>2</v>
      </c>
    </row>
    <row r="122" spans="1:16" x14ac:dyDescent="0.55000000000000004">
      <c r="A122" s="6" t="s">
        <v>64</v>
      </c>
      <c r="C122" s="8">
        <f>$B$9*C121</f>
        <v>48.64</v>
      </c>
      <c r="D122" s="8">
        <f>$B$9*D121</f>
        <v>97.28</v>
      </c>
      <c r="E122" s="8">
        <f t="shared" ref="E122" si="61">$B$9*E121</f>
        <v>145.92000000000002</v>
      </c>
      <c r="F122" s="8">
        <f t="shared" ref="F122:G122" si="62">$B$9*F121</f>
        <v>194.56</v>
      </c>
      <c r="G122" s="8">
        <f t="shared" si="62"/>
        <v>291.84000000000003</v>
      </c>
      <c r="H122" s="8"/>
      <c r="I122" s="8"/>
      <c r="J122" s="8"/>
      <c r="K122" s="8"/>
      <c r="L122" s="8"/>
      <c r="M122" s="8"/>
      <c r="O122" s="8">
        <f>$B$9*O121</f>
        <v>48.64</v>
      </c>
      <c r="P122" s="8">
        <f>$B$9*P121</f>
        <v>48.64</v>
      </c>
    </row>
    <row r="123" spans="1:16" x14ac:dyDescent="0.55000000000000004">
      <c r="A123" s="6" t="s">
        <v>115</v>
      </c>
      <c r="B123" s="4" t="s">
        <v>128</v>
      </c>
      <c r="C123" s="8">
        <f>C125*B6/1000000</f>
        <v>6.3377919999999996E-4</v>
      </c>
      <c r="D123" s="8">
        <f>D125*D122/1000000</f>
        <v>2.5351167999999999E-3</v>
      </c>
      <c r="E123" s="8">
        <f>E125*E122/1000000</f>
        <v>3.8026752000000002E-3</v>
      </c>
      <c r="F123" s="8">
        <f>F125*F122/1000000</f>
        <v>5.0702335999999997E-3</v>
      </c>
      <c r="G123" s="8">
        <f>G125*G122/1000000</f>
        <v>7.6053504000000004E-3</v>
      </c>
      <c r="H123" s="8"/>
      <c r="I123" s="8"/>
      <c r="J123" s="8"/>
      <c r="K123" s="8"/>
      <c r="L123" s="8"/>
      <c r="M123" s="8"/>
      <c r="O123" s="8">
        <f>O122*O125/1000000</f>
        <v>7.3456128000000008E-3</v>
      </c>
      <c r="P123" s="8">
        <f>P122*P125/1000000</f>
        <v>1.2242688E-2</v>
      </c>
    </row>
    <row r="124" spans="1:16" x14ac:dyDescent="0.55000000000000004">
      <c r="A124" s="6" t="s">
        <v>77</v>
      </c>
      <c r="C124" s="7">
        <v>2</v>
      </c>
      <c r="D124" s="7">
        <v>2</v>
      </c>
      <c r="E124" s="7">
        <v>2</v>
      </c>
      <c r="F124" s="7">
        <v>2</v>
      </c>
      <c r="G124" s="7">
        <v>2</v>
      </c>
      <c r="H124" s="7"/>
      <c r="I124" s="7"/>
      <c r="J124" s="7"/>
      <c r="K124" s="7"/>
      <c r="L124" s="7"/>
      <c r="M124" s="7"/>
      <c r="O124" s="7">
        <v>6</v>
      </c>
      <c r="P124" s="7">
        <v>10</v>
      </c>
    </row>
    <row r="125" spans="1:16" x14ac:dyDescent="0.55000000000000004">
      <c r="A125" s="6" t="s">
        <v>82</v>
      </c>
      <c r="C125" s="8">
        <f>$B$10*C124</f>
        <v>26.06</v>
      </c>
      <c r="D125" s="8">
        <f>$B$10*D124</f>
        <v>26.06</v>
      </c>
      <c r="E125" s="8">
        <f t="shared" ref="E125" si="63">$B$10*E124</f>
        <v>26.06</v>
      </c>
      <c r="F125" s="8">
        <f t="shared" ref="F125:G125" si="64">$B$10*F124</f>
        <v>26.06</v>
      </c>
      <c r="G125" s="8">
        <f t="shared" si="64"/>
        <v>26.06</v>
      </c>
      <c r="H125" s="8"/>
      <c r="I125" s="8"/>
      <c r="J125" s="8"/>
      <c r="K125" s="8"/>
      <c r="L125" s="8"/>
      <c r="M125" s="8"/>
      <c r="O125" s="8">
        <f>$B$8*O124</f>
        <v>151.02000000000001</v>
      </c>
      <c r="P125" s="8">
        <f>$B$8*P124</f>
        <v>251.70000000000002</v>
      </c>
    </row>
    <row r="126" spans="1:16" x14ac:dyDescent="0.55000000000000004">
      <c r="A126" s="6" t="s">
        <v>116</v>
      </c>
      <c r="C126" s="8">
        <f>C122*C125/1000000</f>
        <v>1.2675583999999999E-3</v>
      </c>
      <c r="D126" s="8">
        <f>D122*D125/1000000</f>
        <v>2.5351167999999999E-3</v>
      </c>
      <c r="E126" s="8">
        <f>E122*E125/1000000</f>
        <v>3.8026752000000002E-3</v>
      </c>
      <c r="F126" s="8">
        <f>F122*F125/1000000</f>
        <v>5.0702335999999997E-3</v>
      </c>
      <c r="G126" s="8">
        <f>G122*G125/1000000</f>
        <v>7.6053504000000004E-3</v>
      </c>
      <c r="H126" s="8"/>
      <c r="I126" s="8"/>
      <c r="J126" s="8"/>
      <c r="K126" s="8"/>
      <c r="L126" s="8"/>
      <c r="M126" s="8"/>
      <c r="O126" s="8">
        <f>$B$6*O125/1000000</f>
        <v>3.6728064000000004E-3</v>
      </c>
      <c r="P126" s="8">
        <f>$B$6*P125/1000000</f>
        <v>6.1213439999999999E-3</v>
      </c>
    </row>
    <row r="127" spans="1:16" x14ac:dyDescent="0.55000000000000004">
      <c r="A127" s="6" t="s">
        <v>117</v>
      </c>
      <c r="C127" s="8">
        <f>$B$101*C123</f>
        <v>6337.7919999999995</v>
      </c>
      <c r="D127" s="8">
        <f t="shared" ref="D127:E127" si="65">$B$101*D123</f>
        <v>25351.167999999998</v>
      </c>
      <c r="E127" s="8">
        <f t="shared" si="65"/>
        <v>38026.752</v>
      </c>
      <c r="F127" s="8">
        <f t="shared" ref="F127:G127" si="66">$B$101*F123</f>
        <v>50702.335999999996</v>
      </c>
      <c r="G127" s="8">
        <f t="shared" si="66"/>
        <v>76053.504000000001</v>
      </c>
      <c r="H127" s="8"/>
      <c r="I127" s="8"/>
      <c r="J127" s="8"/>
      <c r="K127" s="8"/>
      <c r="L127" s="8"/>
      <c r="M127" s="8"/>
      <c r="O127" s="8">
        <f>$B$101*O123</f>
        <v>73456.128000000012</v>
      </c>
      <c r="P127" s="8">
        <f>$B$101*P123</f>
        <v>122426.88</v>
      </c>
    </row>
    <row r="128" spans="1:16" x14ac:dyDescent="0.55000000000000004">
      <c r="A128" s="6" t="s">
        <v>118</v>
      </c>
      <c r="C128" s="8">
        <f>$B$101*C126</f>
        <v>12675.583999999999</v>
      </c>
      <c r="D128" s="8">
        <f t="shared" ref="D128:E128" si="67">$B$101*D126</f>
        <v>25351.167999999998</v>
      </c>
      <c r="E128" s="8">
        <f t="shared" si="67"/>
        <v>38026.752</v>
      </c>
      <c r="F128" s="8">
        <f t="shared" ref="F128:G128" si="68">$B$101*F126</f>
        <v>50702.335999999996</v>
      </c>
      <c r="G128" s="8">
        <f t="shared" si="68"/>
        <v>76053.504000000001</v>
      </c>
      <c r="H128" s="8"/>
      <c r="I128" s="8"/>
      <c r="J128" s="8"/>
      <c r="K128" s="8"/>
      <c r="L128" s="8"/>
      <c r="M128" s="8"/>
      <c r="O128" s="8">
        <f>$B$101*O126</f>
        <v>36728.064000000006</v>
      </c>
      <c r="P128" s="8">
        <f>$B$101*P126</f>
        <v>61213.440000000002</v>
      </c>
    </row>
    <row r="129" spans="1:16" x14ac:dyDescent="0.55000000000000004">
      <c r="A129" s="6" t="s">
        <v>119</v>
      </c>
      <c r="C129" s="8">
        <f>B6</f>
        <v>24.32</v>
      </c>
      <c r="D129" s="8">
        <f t="shared" ref="D129:E129" si="69">D125</f>
        <v>26.06</v>
      </c>
      <c r="E129" s="8">
        <f t="shared" si="69"/>
        <v>26.06</v>
      </c>
      <c r="F129" s="8">
        <f t="shared" ref="F129:G129" si="70">F125</f>
        <v>26.06</v>
      </c>
      <c r="G129" s="8">
        <f t="shared" si="70"/>
        <v>26.06</v>
      </c>
      <c r="H129" s="8"/>
      <c r="I129" s="8"/>
      <c r="J129" s="8"/>
      <c r="K129" s="8"/>
      <c r="L129" s="8"/>
      <c r="M129" s="8"/>
      <c r="O129" s="8">
        <f>O122</f>
        <v>48.64</v>
      </c>
      <c r="P129" s="8">
        <f>P122</f>
        <v>48.64</v>
      </c>
    </row>
    <row r="130" spans="1:16" x14ac:dyDescent="0.55000000000000004">
      <c r="A130" s="6" t="s">
        <v>120</v>
      </c>
      <c r="C130" s="7">
        <v>2.2799999999999998</v>
      </c>
      <c r="D130" s="7">
        <v>8.69</v>
      </c>
      <c r="E130" s="7">
        <v>13.03</v>
      </c>
      <c r="F130" s="7">
        <v>17.350000000000001</v>
      </c>
      <c r="G130" s="7">
        <v>25.98</v>
      </c>
      <c r="H130" s="7"/>
      <c r="I130" s="7"/>
      <c r="J130" s="7"/>
      <c r="K130" s="7"/>
      <c r="L130" s="7"/>
      <c r="O130" s="7">
        <v>6.1840000000000002</v>
      </c>
      <c r="P130" s="7">
        <v>6.1820000000000004</v>
      </c>
    </row>
    <row r="131" spans="1:16" x14ac:dyDescent="0.55000000000000004">
      <c r="A131" s="6" t="s">
        <v>121</v>
      </c>
      <c r="B131" s="12"/>
      <c r="C131" s="8">
        <f>ATAN(C130/B6)</f>
        <v>9.3476781158589456E-2</v>
      </c>
      <c r="D131" s="8">
        <f t="shared" ref="D131:E131" si="71">ATAN(D130/D122)</f>
        <v>8.9093289485336721E-2</v>
      </c>
      <c r="E131" s="8">
        <f t="shared" si="71"/>
        <v>8.9059295297503269E-2</v>
      </c>
      <c r="F131" s="8">
        <f t="shared" ref="F131:G131" si="72">ATAN(F130/F122)</f>
        <v>8.8940314015332256E-2</v>
      </c>
      <c r="G131" s="8">
        <f t="shared" si="72"/>
        <v>8.8787334371530441E-2</v>
      </c>
      <c r="H131" s="8"/>
      <c r="I131" s="8"/>
      <c r="J131" s="8"/>
      <c r="K131" s="8"/>
      <c r="L131" s="8"/>
      <c r="M131" s="8"/>
      <c r="O131" s="8">
        <f>ATAN(O130/O122)</f>
        <v>0.12645970072598486</v>
      </c>
      <c r="P131" s="8">
        <f>ATAN(P130/P122)</f>
        <v>0.12641923616704734</v>
      </c>
    </row>
    <row r="132" spans="1:16" x14ac:dyDescent="0.55000000000000004">
      <c r="A132" s="6" t="s">
        <v>125</v>
      </c>
      <c r="B132" s="12"/>
      <c r="C132" s="8">
        <f>($B$101/C131)/10^6</f>
        <v>106.97843759761419</v>
      </c>
      <c r="D132" s="8">
        <f t="shared" ref="D132:E132" si="73">($B$101/D131)/10^6</f>
        <v>112.24189900010185</v>
      </c>
      <c r="E132" s="8">
        <f t="shared" si="73"/>
        <v>112.28474205409915</v>
      </c>
      <c r="F132" s="8">
        <f t="shared" ref="F132:G132" si="74">($B$101/F131)/10^6</f>
        <v>112.43495270632977</v>
      </c>
      <c r="G132" s="8">
        <f t="shared" si="74"/>
        <v>112.6286769479419</v>
      </c>
      <c r="H132" s="8"/>
      <c r="I132" s="8"/>
      <c r="J132" s="8"/>
      <c r="K132" s="8"/>
      <c r="L132" s="8"/>
      <c r="M132" s="8"/>
      <c r="O132" s="8">
        <f>($B$101/O131)/10^6</f>
        <v>79.076574929337994</v>
      </c>
      <c r="P132" s="8">
        <f>($B$101/P131)/10^6</f>
        <v>79.101885940730099</v>
      </c>
    </row>
    <row r="133" spans="1:16" x14ac:dyDescent="0.55000000000000004">
      <c r="A133" s="6" t="s">
        <v>126</v>
      </c>
      <c r="B133" s="19">
        <v>112.733623239906</v>
      </c>
    </row>
    <row r="134" spans="1:16" x14ac:dyDescent="0.55000000000000004">
      <c r="A134" s="6" t="s">
        <v>22</v>
      </c>
      <c r="C134" s="8">
        <f>ABS($B$133-C132)/C132*100</f>
        <v>5.379762288115673</v>
      </c>
      <c r="D134" s="8">
        <f t="shared" ref="D134:E134" si="75">ABS($B$133-D132)/D132*100</f>
        <v>0.43809330043827588</v>
      </c>
      <c r="E134" s="8">
        <f t="shared" si="75"/>
        <v>0.39977042080264819</v>
      </c>
      <c r="F134" s="8">
        <f t="shared" ref="F134:G134" si="76">ABS($B$133-F132)/F132*100</f>
        <v>0.26563851043396564</v>
      </c>
      <c r="G134" s="8">
        <f t="shared" si="76"/>
        <v>9.3179015156685682E-2</v>
      </c>
      <c r="H134" s="8"/>
      <c r="I134" s="8"/>
      <c r="J134" s="8"/>
      <c r="K134" s="8"/>
      <c r="L134" s="8"/>
      <c r="M134" s="8"/>
      <c r="O134" s="8">
        <f>ABS($B$133-O132)/$B$133*100</f>
        <v>29.85537707676011</v>
      </c>
      <c r="P134" s="8">
        <f>ABS($B$133-P132)/$B$133*100</f>
        <v>29.832925025043256</v>
      </c>
    </row>
    <row r="136" spans="1:16" x14ac:dyDescent="0.55000000000000004">
      <c r="D136" s="6">
        <v>8.7213115000000005</v>
      </c>
    </row>
    <row r="139" spans="1:16" x14ac:dyDescent="0.55000000000000004">
      <c r="A139" s="6" t="s">
        <v>123</v>
      </c>
    </row>
    <row r="140" spans="1:16" x14ac:dyDescent="0.55000000000000004">
      <c r="A140" s="6" t="s">
        <v>114</v>
      </c>
      <c r="B140" s="6">
        <f>10*10^6</f>
        <v>10000000</v>
      </c>
    </row>
    <row r="141" spans="1:16" x14ac:dyDescent="0.55000000000000004">
      <c r="A141" s="6" t="s">
        <v>63</v>
      </c>
      <c r="C141" s="7">
        <v>2</v>
      </c>
      <c r="D141" s="7">
        <v>4</v>
      </c>
      <c r="E141" s="7">
        <v>8</v>
      </c>
      <c r="F141" s="7">
        <v>12</v>
      </c>
      <c r="G141" s="7"/>
      <c r="H141" s="7">
        <v>6</v>
      </c>
      <c r="I141" s="7">
        <v>6</v>
      </c>
      <c r="J141" s="7">
        <v>10</v>
      </c>
    </row>
    <row r="142" spans="1:16" x14ac:dyDescent="0.55000000000000004">
      <c r="A142" s="6" t="s">
        <v>64</v>
      </c>
      <c r="C142" s="8">
        <f>$B$9*C141</f>
        <v>48.64</v>
      </c>
      <c r="D142" s="8">
        <f>$B$9*D141</f>
        <v>97.28</v>
      </c>
      <c r="E142" s="8">
        <f>$B$9*E141</f>
        <v>194.56</v>
      </c>
      <c r="F142" s="8">
        <f>$B$9*F141</f>
        <v>291.84000000000003</v>
      </c>
      <c r="G142" s="8"/>
      <c r="H142" s="8">
        <f t="shared" ref="H142:J142" si="77">$B$9*H141</f>
        <v>145.92000000000002</v>
      </c>
      <c r="I142" s="8">
        <f t="shared" si="77"/>
        <v>145.92000000000002</v>
      </c>
      <c r="J142" s="8">
        <f t="shared" si="77"/>
        <v>243.2</v>
      </c>
    </row>
    <row r="143" spans="1:16" x14ac:dyDescent="0.55000000000000004">
      <c r="A143" s="6" t="s">
        <v>115</v>
      </c>
      <c r="C143" s="8">
        <f>C142*C146/1000000</f>
        <v>1.1829248E-3</v>
      </c>
      <c r="D143" s="8">
        <f>D142*D146/1000000</f>
        <v>9.4633983999999997E-3</v>
      </c>
      <c r="E143" s="8">
        <f>E142*E146/1000000</f>
        <v>3.7853593599999999E-2</v>
      </c>
      <c r="F143" s="8">
        <f>F142*F146/1000000</f>
        <v>8.5170585600000015E-2</v>
      </c>
      <c r="G143" s="8"/>
      <c r="H143" s="8">
        <f>H142*H146/1000000</f>
        <v>1.3132800000000002E-2</v>
      </c>
      <c r="I143" s="8">
        <f>I142*I146/1000000</f>
        <v>4.3776000000000006E-3</v>
      </c>
      <c r="J143" s="8">
        <f>J142*B6/1000000</f>
        <v>5.9146239999999994E-3</v>
      </c>
    </row>
    <row r="144" spans="1:16" x14ac:dyDescent="0.55000000000000004">
      <c r="A144" s="6" t="s">
        <v>77</v>
      </c>
      <c r="C144" s="7">
        <v>2</v>
      </c>
      <c r="D144" s="7">
        <v>2</v>
      </c>
      <c r="E144" s="7">
        <v>2</v>
      </c>
      <c r="F144" s="7">
        <v>2</v>
      </c>
      <c r="G144" s="7"/>
      <c r="H144" s="7">
        <v>2</v>
      </c>
      <c r="I144" s="7">
        <v>2</v>
      </c>
      <c r="J144" s="7">
        <v>2</v>
      </c>
    </row>
    <row r="145" spans="1:10" x14ac:dyDescent="0.55000000000000004">
      <c r="A145" s="6" t="s">
        <v>82</v>
      </c>
      <c r="C145" s="8">
        <f>B10*C144</f>
        <v>26.06</v>
      </c>
      <c r="D145" s="8">
        <f>$B$10*D144</f>
        <v>26.06</v>
      </c>
      <c r="E145" s="8">
        <f>$B$10*E144</f>
        <v>26.06</v>
      </c>
      <c r="F145" s="8">
        <f>$B$10*F144</f>
        <v>26.06</v>
      </c>
      <c r="G145" s="8"/>
      <c r="H145" s="8">
        <f>$B$8*H144</f>
        <v>50.34</v>
      </c>
      <c r="I145" s="8">
        <f>$B$8*I144</f>
        <v>50.34</v>
      </c>
      <c r="J145" s="8">
        <f>$B$8*J144</f>
        <v>50.34</v>
      </c>
    </row>
    <row r="146" spans="1:10" x14ac:dyDescent="0.55000000000000004">
      <c r="A146" s="6" t="s">
        <v>124</v>
      </c>
      <c r="C146" s="7">
        <f>B6</f>
        <v>24.32</v>
      </c>
      <c r="D146" s="7">
        <f>D142</f>
        <v>97.28</v>
      </c>
      <c r="E146" s="7">
        <f>E142</f>
        <v>194.56</v>
      </c>
      <c r="F146" s="7">
        <f>F142</f>
        <v>291.84000000000003</v>
      </c>
      <c r="G146" s="7">
        <f t="shared" ref="G146" si="78">G145</f>
        <v>0</v>
      </c>
      <c r="H146" s="7">
        <v>90</v>
      </c>
      <c r="I146" s="7">
        <v>30</v>
      </c>
      <c r="J146" s="7">
        <v>30</v>
      </c>
    </row>
    <row r="147" spans="1:10" x14ac:dyDescent="0.55000000000000004">
      <c r="A147" s="6" t="s">
        <v>116</v>
      </c>
      <c r="C147" s="8">
        <f>C142*C145/1000000</f>
        <v>1.2675583999999999E-3</v>
      </c>
      <c r="D147" s="8">
        <f>D142*D145/1000000</f>
        <v>2.5351167999999999E-3</v>
      </c>
      <c r="E147" s="8">
        <f>E142*E145/1000000</f>
        <v>5.0702335999999997E-3</v>
      </c>
      <c r="F147" s="8">
        <f>F142*F145/1000000</f>
        <v>7.6053504000000004E-3</v>
      </c>
      <c r="G147" s="8"/>
      <c r="H147" s="8">
        <f>H142*H145/1000000</f>
        <v>7.3456128000000016E-3</v>
      </c>
      <c r="I147" s="8">
        <f>I142*I145/1000000</f>
        <v>7.3456128000000016E-3</v>
      </c>
      <c r="J147" s="8">
        <f>J142*J145/1000000</f>
        <v>1.2242688E-2</v>
      </c>
    </row>
    <row r="148" spans="1:10" x14ac:dyDescent="0.55000000000000004">
      <c r="A148" s="6" t="s">
        <v>117</v>
      </c>
      <c r="C148" s="8">
        <f>$B$101*C143</f>
        <v>11829.248</v>
      </c>
      <c r="D148" s="8">
        <f>$B$101*D143</f>
        <v>94633.983999999997</v>
      </c>
      <c r="E148" s="8">
        <f>$B$101*E143</f>
        <v>378535.93599999999</v>
      </c>
      <c r="F148" s="8">
        <f>$B$101*F143</f>
        <v>851705.85600000015</v>
      </c>
      <c r="G148" s="8"/>
      <c r="H148" s="8">
        <f>$B$101*H143</f>
        <v>131328.00000000003</v>
      </c>
      <c r="I148" s="8">
        <f>$B$101*I143</f>
        <v>43776.000000000007</v>
      </c>
      <c r="J148" s="8">
        <f>$B$101*J143</f>
        <v>59146.239999999991</v>
      </c>
    </row>
    <row r="149" spans="1:10" x14ac:dyDescent="0.55000000000000004">
      <c r="A149" s="6" t="s">
        <v>118</v>
      </c>
      <c r="C149" s="17">
        <f>$B$101*C147</f>
        <v>12675.583999999999</v>
      </c>
      <c r="D149" s="8">
        <f>$B$101*D147</f>
        <v>25351.167999999998</v>
      </c>
      <c r="E149" s="8">
        <f>$B$101*E147</f>
        <v>50702.335999999996</v>
      </c>
      <c r="F149" s="8">
        <f>$B$101*F147</f>
        <v>76053.504000000001</v>
      </c>
      <c r="G149" s="8"/>
      <c r="H149" s="8">
        <f t="shared" ref="H149:J149" si="79">$B$101*H147</f>
        <v>73456.128000000012</v>
      </c>
      <c r="I149" s="8">
        <f t="shared" si="79"/>
        <v>73456.128000000012</v>
      </c>
      <c r="J149" s="8">
        <f t="shared" si="79"/>
        <v>122426.88</v>
      </c>
    </row>
    <row r="150" spans="1:10" x14ac:dyDescent="0.55000000000000004">
      <c r="A150" s="6" t="s">
        <v>119</v>
      </c>
      <c r="C150" s="8">
        <f>C146</f>
        <v>24.32</v>
      </c>
      <c r="D150" s="8">
        <f>D146</f>
        <v>97.28</v>
      </c>
      <c r="E150" s="8">
        <f>E146</f>
        <v>194.56</v>
      </c>
      <c r="F150" s="8">
        <f>F146</f>
        <v>291.84000000000003</v>
      </c>
      <c r="G150" s="8"/>
      <c r="H150" s="8">
        <f t="shared" ref="H150:J150" si="80">H145</f>
        <v>50.34</v>
      </c>
      <c r="I150" s="8">
        <f t="shared" si="80"/>
        <v>50.34</v>
      </c>
      <c r="J150" s="8">
        <f t="shared" si="80"/>
        <v>50.34</v>
      </c>
    </row>
    <row r="151" spans="1:10" x14ac:dyDescent="0.55000000000000004">
      <c r="A151" s="6" t="s">
        <v>120</v>
      </c>
      <c r="C151" s="7">
        <v>6.2329999999999997</v>
      </c>
      <c r="D151" s="7">
        <v>25.35</v>
      </c>
      <c r="E151" s="7">
        <v>50.56</v>
      </c>
      <c r="F151" s="7">
        <v>75.599999999999994</v>
      </c>
      <c r="G151" s="7"/>
      <c r="H151" s="7">
        <v>16.22</v>
      </c>
      <c r="I151" s="7">
        <v>5.4249999999999998</v>
      </c>
      <c r="J151" s="7">
        <v>5.649</v>
      </c>
    </row>
    <row r="152" spans="1:10" x14ac:dyDescent="0.55000000000000004">
      <c r="A152" s="6" t="s">
        <v>121</v>
      </c>
      <c r="C152" s="8">
        <f>ATAN(C151/C150)</f>
        <v>0.2508908951099777</v>
      </c>
      <c r="D152" s="8">
        <f>ATAN(D151/D146)</f>
        <v>0.25491874155639482</v>
      </c>
      <c r="E152" s="8">
        <f>ATAN(E151/E146)</f>
        <v>0.25424480718271852</v>
      </c>
      <c r="F152" s="8">
        <f>ATAN(F151/F146)</f>
        <v>0.2534743073465982</v>
      </c>
      <c r="G152" s="8"/>
      <c r="H152" s="8">
        <f>ATAN(H151/H146)</f>
        <v>0.17830817806962931</v>
      </c>
      <c r="I152" s="8">
        <f>ATAN(I151/I146)</f>
        <v>0.17890000147501378</v>
      </c>
      <c r="J152" s="8">
        <f>ATAN(J151/B6)</f>
        <v>0.22823081938431061</v>
      </c>
    </row>
    <row r="153" spans="1:10" x14ac:dyDescent="0.55000000000000004">
      <c r="A153" s="6" t="s">
        <v>123</v>
      </c>
      <c r="C153" s="8">
        <f>($B$101/C152)/10^6</f>
        <v>39.857962942882054</v>
      </c>
      <c r="D153" s="8">
        <f>($B$101/D152)/10^6</f>
        <v>39.228186750591398</v>
      </c>
      <c r="E153" s="8">
        <f>($B$101/E152)/10^6</f>
        <v>39.332170087600979</v>
      </c>
      <c r="F153" s="8">
        <f>($B$101/F152)/10^6</f>
        <v>39.451730254956772</v>
      </c>
      <c r="G153" s="8"/>
      <c r="H153" s="8">
        <f t="shared" ref="H153:J153" si="81">($B$101/H152)/10^6</f>
        <v>56.082677240384349</v>
      </c>
      <c r="I153" s="8">
        <f t="shared" si="81"/>
        <v>55.897148784521711</v>
      </c>
      <c r="J153" s="8">
        <f t="shared" si="81"/>
        <v>43.815292023122069</v>
      </c>
    </row>
    <row r="154" spans="1:10" x14ac:dyDescent="0.55000000000000004">
      <c r="A154" s="6" t="s">
        <v>127</v>
      </c>
      <c r="B154" s="7">
        <v>39.366399999999999</v>
      </c>
    </row>
    <row r="155" spans="1:10" x14ac:dyDescent="0.55000000000000004">
      <c r="A155" s="6" t="s">
        <v>22</v>
      </c>
      <c r="C155" s="8">
        <f>ABS(B154-C153)/C153*100</f>
        <v>1.2332866674257366</v>
      </c>
      <c r="D155" s="8">
        <f>ABS($B$154-D153)/D153*100</f>
        <v>0.35233147605660647</v>
      </c>
      <c r="E155" s="8">
        <f>ABS($B$154-E153)/E153*100</f>
        <v>8.7027774777702321E-2</v>
      </c>
      <c r="F155" s="8">
        <f>ABS($B$154-F153)/F153*100</f>
        <v>0.21629027270876647</v>
      </c>
      <c r="G155" s="8"/>
      <c r="H155" s="8">
        <f t="shared" ref="H155:J155" si="82">ABS($B$133-H153)/$B$133*100</f>
        <v>50.252040492803097</v>
      </c>
      <c r="I155" s="8">
        <f t="shared" si="82"/>
        <v>50.416612916300764</v>
      </c>
      <c r="J155" s="8">
        <f t="shared" si="82"/>
        <v>61.133785321634093</v>
      </c>
    </row>
    <row r="158" spans="1:10" x14ac:dyDescent="0.55000000000000004">
      <c r="C158" s="7">
        <v>6.7606081959999997</v>
      </c>
    </row>
    <row r="166" spans="3:3" ht="33" x14ac:dyDescent="1.1499999999999999">
      <c r="C166" s="25" t="s">
        <v>172</v>
      </c>
    </row>
    <row r="167" spans="3:3" ht="33" x14ac:dyDescent="1.1499999999999999">
      <c r="C167" s="25" t="s">
        <v>173</v>
      </c>
    </row>
    <row r="168" spans="3:3" ht="33" x14ac:dyDescent="1.1499999999999999">
      <c r="C168" s="25" t="s">
        <v>174</v>
      </c>
    </row>
    <row r="169" spans="3:3" ht="33" x14ac:dyDescent="1.1499999999999999">
      <c r="C169" s="25" t="s">
        <v>175</v>
      </c>
    </row>
    <row r="170" spans="3:3" ht="33" x14ac:dyDescent="1.1499999999999999">
      <c r="C170" s="25" t="s">
        <v>171</v>
      </c>
    </row>
    <row r="171" spans="3:3" ht="33" x14ac:dyDescent="1.1499999999999999">
      <c r="C171" s="25" t="s">
        <v>177</v>
      </c>
    </row>
    <row r="172" spans="3:3" ht="33" x14ac:dyDescent="1.1499999999999999">
      <c r="C172" s="25" t="s">
        <v>178</v>
      </c>
    </row>
    <row r="173" spans="3:3" ht="33" x14ac:dyDescent="1.1499999999999999">
      <c r="C173" s="25" t="s">
        <v>176</v>
      </c>
    </row>
    <row r="174" spans="3:3" ht="33" x14ac:dyDescent="1.1499999999999999">
      <c r="C174" s="25" t="s">
        <v>179</v>
      </c>
    </row>
    <row r="175" spans="3:3" ht="33" x14ac:dyDescent="1.1499999999999999">
      <c r="C175" s="25" t="s">
        <v>180</v>
      </c>
    </row>
    <row r="176" spans="3:3" ht="33" x14ac:dyDescent="1.1499999999999999">
      <c r="C176" s="25" t="s">
        <v>181</v>
      </c>
    </row>
    <row r="177" spans="3:3" ht="33" x14ac:dyDescent="1.1499999999999999">
      <c r="C177" s="25" t="s">
        <v>182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056D-3AAA-48A6-A3AD-5EC0F137CDC4}">
  <dimension ref="A1:P189"/>
  <sheetViews>
    <sheetView zoomScale="10" zoomScaleNormal="10" workbookViewId="0">
      <selection activeCell="L95" sqref="L95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6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16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0.39994931231971909</v>
      </c>
    </row>
    <row r="3" spans="1:16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16" x14ac:dyDescent="0.55000000000000004">
      <c r="A4" s="6" t="s">
        <v>2</v>
      </c>
      <c r="B4" s="7">
        <f>C4</f>
        <v>24.32</v>
      </c>
      <c r="C4" s="8">
        <v>24.32</v>
      </c>
      <c r="D4" s="7">
        <f>C1*(1+SIN(C3))/(C2*SIN(C3))</f>
        <v>24.319073218177813</v>
      </c>
    </row>
    <row r="5" spans="1:16" x14ac:dyDescent="0.55000000000000004">
      <c r="A5" s="6" t="s">
        <v>4</v>
      </c>
      <c r="B5" s="7">
        <f>C5</f>
        <v>12.59</v>
      </c>
      <c r="C5" s="8">
        <v>12.59</v>
      </c>
      <c r="D5" s="7">
        <f>2*C1*(1+SIN(C3))/C2</f>
        <v>12.588115870535326</v>
      </c>
    </row>
    <row r="6" spans="1:16" x14ac:dyDescent="0.55000000000000004">
      <c r="A6" s="6" t="s">
        <v>11</v>
      </c>
      <c r="B6" s="7">
        <f>C4</f>
        <v>24.32</v>
      </c>
      <c r="C6" s="8">
        <f>3.75*2</f>
        <v>7.5</v>
      </c>
    </row>
    <row r="7" spans="1:16" x14ac:dyDescent="0.55000000000000004">
      <c r="A7" s="6" t="s">
        <v>5</v>
      </c>
      <c r="B7" s="8">
        <f>C7</f>
        <v>13.03</v>
      </c>
      <c r="C7" s="8">
        <v>13.03</v>
      </c>
      <c r="D7" s="7">
        <f>2*TAN(C3)*C4</f>
        <v>13.032646201099279</v>
      </c>
    </row>
    <row r="8" spans="1:16" x14ac:dyDescent="0.55000000000000004">
      <c r="A8" s="6" t="s">
        <v>6</v>
      </c>
      <c r="B8" s="8">
        <f>C8</f>
        <v>25.17</v>
      </c>
      <c r="C8" s="8">
        <v>25.17</v>
      </c>
      <c r="D8" s="7">
        <f>C4/COS(C3)</f>
        <v>25.177864618564399</v>
      </c>
    </row>
    <row r="9" spans="1:16" x14ac:dyDescent="0.55000000000000004">
      <c r="A9" s="6" t="s">
        <v>61</v>
      </c>
      <c r="B9" s="8">
        <f>B4</f>
        <v>24.32</v>
      </c>
      <c r="C9" s="8">
        <f>D4</f>
        <v>24.319073218177813</v>
      </c>
    </row>
    <row r="10" spans="1:16" x14ac:dyDescent="0.55000000000000004">
      <c r="A10" s="6" t="s">
        <v>62</v>
      </c>
      <c r="B10" s="8">
        <f>B7</f>
        <v>13.03</v>
      </c>
      <c r="C10" s="8">
        <f>D7</f>
        <v>13.032646201099279</v>
      </c>
    </row>
    <row r="11" spans="1:16" x14ac:dyDescent="0.55000000000000004">
      <c r="A11" s="6" t="s">
        <v>63</v>
      </c>
      <c r="B11" s="6">
        <v>1</v>
      </c>
      <c r="C11" s="6">
        <v>2</v>
      </c>
      <c r="D11" s="6">
        <v>4</v>
      </c>
      <c r="E11" s="6">
        <v>6</v>
      </c>
      <c r="F11" s="6">
        <v>8</v>
      </c>
      <c r="G11" s="6">
        <v>10</v>
      </c>
      <c r="H11" s="6">
        <v>12</v>
      </c>
      <c r="L11" s="6">
        <v>2</v>
      </c>
    </row>
    <row r="12" spans="1:16" x14ac:dyDescent="0.55000000000000004">
      <c r="A12" s="6" t="s">
        <v>64</v>
      </c>
      <c r="B12" s="8">
        <f>$B$9*B11</f>
        <v>24.32</v>
      </c>
      <c r="C12" s="8">
        <f t="shared" ref="C12:P12" si="0">$B$9*C11</f>
        <v>48.64</v>
      </c>
      <c r="D12" s="8">
        <f t="shared" si="0"/>
        <v>97.28</v>
      </c>
      <c r="E12" s="8">
        <f t="shared" si="0"/>
        <v>145.92000000000002</v>
      </c>
      <c r="F12" s="8">
        <f t="shared" si="0"/>
        <v>194.56</v>
      </c>
      <c r="G12" s="8">
        <f t="shared" si="0"/>
        <v>243.2</v>
      </c>
      <c r="H12" s="8">
        <f t="shared" si="0"/>
        <v>291.84000000000003</v>
      </c>
      <c r="I12" s="8"/>
      <c r="J12" s="8"/>
      <c r="K12" s="8">
        <f t="shared" si="0"/>
        <v>0</v>
      </c>
      <c r="L12" s="8">
        <f t="shared" si="0"/>
        <v>48.64</v>
      </c>
      <c r="M12" s="8">
        <f t="shared" si="0"/>
        <v>0</v>
      </c>
      <c r="N12" s="8">
        <f t="shared" si="0"/>
        <v>0</v>
      </c>
      <c r="O12" s="8">
        <f t="shared" si="0"/>
        <v>0</v>
      </c>
      <c r="P12" s="8">
        <f t="shared" si="0"/>
        <v>0</v>
      </c>
    </row>
    <row r="13" spans="1:16" x14ac:dyDescent="0.55000000000000004">
      <c r="A13" s="6" t="s">
        <v>77</v>
      </c>
      <c r="B13" s="6">
        <v>2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K13" s="6">
        <v>2</v>
      </c>
      <c r="L13" s="6">
        <v>8</v>
      </c>
      <c r="M13" s="6">
        <v>2</v>
      </c>
      <c r="N13" s="6">
        <v>2</v>
      </c>
      <c r="O13" s="6">
        <v>2</v>
      </c>
      <c r="P13" s="6">
        <v>2</v>
      </c>
    </row>
    <row r="14" spans="1:16" x14ac:dyDescent="0.55000000000000004">
      <c r="A14" s="6" t="s">
        <v>65</v>
      </c>
      <c r="B14" s="8">
        <f>$B$10*B13</f>
        <v>26.06</v>
      </c>
      <c r="C14" s="8">
        <f t="shared" ref="C14:P14" si="1">$B$10*C13</f>
        <v>26.06</v>
      </c>
      <c r="D14" s="8">
        <f t="shared" si="1"/>
        <v>26.06</v>
      </c>
      <c r="E14" s="8">
        <f t="shared" si="1"/>
        <v>26.06</v>
      </c>
      <c r="F14" s="8">
        <f t="shared" si="1"/>
        <v>26.06</v>
      </c>
      <c r="G14" s="8">
        <f t="shared" si="1"/>
        <v>26.06</v>
      </c>
      <c r="H14" s="8">
        <f t="shared" si="1"/>
        <v>26.06</v>
      </c>
      <c r="I14" s="8"/>
      <c r="J14" s="8"/>
      <c r="K14" s="8">
        <f t="shared" si="1"/>
        <v>26.06</v>
      </c>
      <c r="L14" s="8">
        <f t="shared" si="1"/>
        <v>104.24</v>
      </c>
      <c r="M14" s="8">
        <f t="shared" si="1"/>
        <v>26.06</v>
      </c>
      <c r="N14" s="8">
        <f t="shared" si="1"/>
        <v>26.06</v>
      </c>
      <c r="O14" s="8">
        <f t="shared" si="1"/>
        <v>26.06</v>
      </c>
      <c r="P14" s="8">
        <f t="shared" si="1"/>
        <v>26.06</v>
      </c>
    </row>
    <row r="15" spans="1:16" x14ac:dyDescent="0.55000000000000004">
      <c r="A15" s="6" t="s">
        <v>67</v>
      </c>
      <c r="B15" s="8">
        <f>B14/1000*$B$6/1000</f>
        <v>6.3377919999999996E-4</v>
      </c>
      <c r="C15" s="8">
        <f t="shared" ref="C15:P15" si="2">C14/1000*$B$6/1000</f>
        <v>6.3377919999999996E-4</v>
      </c>
      <c r="D15" s="8">
        <f t="shared" si="2"/>
        <v>6.3377919999999996E-4</v>
      </c>
      <c r="E15" s="8">
        <f t="shared" si="2"/>
        <v>6.3377919999999996E-4</v>
      </c>
      <c r="F15" s="8">
        <f t="shared" si="2"/>
        <v>6.3377919999999996E-4</v>
      </c>
      <c r="G15" s="8">
        <f t="shared" si="2"/>
        <v>6.3377919999999996E-4</v>
      </c>
      <c r="H15" s="8">
        <f t="shared" si="2"/>
        <v>6.3377919999999996E-4</v>
      </c>
      <c r="I15" s="8"/>
      <c r="J15" s="8"/>
      <c r="K15" s="8">
        <f t="shared" si="2"/>
        <v>6.3377919999999996E-4</v>
      </c>
      <c r="L15" s="8">
        <f t="shared" si="2"/>
        <v>2.5351167999999999E-3</v>
      </c>
      <c r="M15" s="8">
        <f t="shared" si="2"/>
        <v>6.3377919999999996E-4</v>
      </c>
      <c r="N15" s="8">
        <f t="shared" si="2"/>
        <v>6.3377919999999996E-4</v>
      </c>
      <c r="O15" s="8">
        <f t="shared" si="2"/>
        <v>6.3377919999999996E-4</v>
      </c>
      <c r="P15" s="8">
        <f t="shared" si="2"/>
        <v>6.3377919999999996E-4</v>
      </c>
    </row>
    <row r="16" spans="1:16" x14ac:dyDescent="0.55000000000000004">
      <c r="A16" s="6" t="s">
        <v>73</v>
      </c>
      <c r="B16" s="7">
        <v>0</v>
      </c>
      <c r="C16" s="7">
        <v>0.10100000000000001</v>
      </c>
      <c r="D16" s="7">
        <v>0.20200000000000001</v>
      </c>
      <c r="E16" s="7">
        <v>0.30299999999999999</v>
      </c>
      <c r="F16" s="7">
        <v>0.40500000000000003</v>
      </c>
      <c r="G16" s="7">
        <v>0.50600000000000001</v>
      </c>
      <c r="H16" s="7">
        <v>0.60699999999999998</v>
      </c>
      <c r="I16" s="7"/>
      <c r="J16" s="7"/>
      <c r="K16" s="7"/>
      <c r="L16" s="7">
        <v>1.624E-3</v>
      </c>
      <c r="M16" s="7"/>
      <c r="N16" s="7"/>
      <c r="O16" s="7"/>
      <c r="P16" s="7"/>
    </row>
    <row r="17" spans="1:16" s="9" customFormat="1" x14ac:dyDescent="0.55000000000000004">
      <c r="A17" s="9" t="s">
        <v>66</v>
      </c>
      <c r="C17" s="10">
        <f>($E$1*(C12/1000)/(C15*C16/1000))/(10^6)</f>
        <v>7598.6109739139692</v>
      </c>
      <c r="D17" s="10">
        <f t="shared" ref="D17:H17" si="3">($E$1*(D12/1000)/(D15*D16/1000))/(10^6)</f>
        <v>7598.6109739139692</v>
      </c>
      <c r="E17" s="10">
        <f t="shared" si="3"/>
        <v>7598.6109739139702</v>
      </c>
      <c r="F17" s="10">
        <f t="shared" si="3"/>
        <v>7579.8489715092437</v>
      </c>
      <c r="G17" s="10">
        <f t="shared" si="3"/>
        <v>7583.593956178961</v>
      </c>
      <c r="H17" s="10">
        <f t="shared" si="3"/>
        <v>7586.092669179352</v>
      </c>
      <c r="I17" s="10"/>
      <c r="J17" s="10"/>
      <c r="K17" s="9" t="e">
        <f t="shared" ref="K17:P17" si="4">($E$1*(K12/1000)/(K15*K16/1000))/(10^6)</f>
        <v>#DIV/0!</v>
      </c>
      <c r="L17" s="9">
        <f t="shared" si="4"/>
        <v>118143.42801190131</v>
      </c>
      <c r="M17" s="9" t="e">
        <f t="shared" si="4"/>
        <v>#DIV/0!</v>
      </c>
      <c r="N17" s="9" t="e">
        <f t="shared" si="4"/>
        <v>#DIV/0!</v>
      </c>
      <c r="O17" s="9" t="e">
        <f t="shared" si="4"/>
        <v>#DIV/0!</v>
      </c>
      <c r="P17" s="9" t="e">
        <f t="shared" si="4"/>
        <v>#DIV/0!</v>
      </c>
    </row>
    <row r="18" spans="1:16" x14ac:dyDescent="0.55000000000000004">
      <c r="A18" s="6" t="s">
        <v>68</v>
      </c>
      <c r="B18" s="7">
        <v>7570</v>
      </c>
    </row>
    <row r="19" spans="1:16" s="8" customFormat="1" x14ac:dyDescent="0.55000000000000004">
      <c r="A19" s="8" t="s">
        <v>69</v>
      </c>
      <c r="C19" s="8">
        <f t="shared" ref="C19:H19" si="5">ABS($B$18-C17)/C17*100</f>
        <v>0.37652900000000944</v>
      </c>
      <c r="D19" s="8">
        <f t="shared" si="5"/>
        <v>0.37652900000000944</v>
      </c>
      <c r="E19" s="8">
        <f t="shared" si="5"/>
        <v>0.37652900000002137</v>
      </c>
      <c r="F19" s="8">
        <f t="shared" si="5"/>
        <v>0.1299362500000136</v>
      </c>
      <c r="G19" s="8">
        <f t="shared" si="5"/>
        <v>0.17925480000000391</v>
      </c>
      <c r="H19" s="8">
        <f t="shared" si="5"/>
        <v>0.21213383333337116</v>
      </c>
      <c r="K19" s="8" t="e">
        <f t="shared" ref="K19:P19" si="6">ABS($B$18-K17)/$B$18*100</f>
        <v>#DIV/0!</v>
      </c>
      <c r="L19" s="8">
        <f t="shared" si="6"/>
        <v>1460.6793660753146</v>
      </c>
      <c r="M19" s="8" t="e">
        <f t="shared" si="6"/>
        <v>#DIV/0!</v>
      </c>
      <c r="N19" s="8" t="e">
        <f t="shared" si="6"/>
        <v>#DIV/0!</v>
      </c>
      <c r="O19" s="8" t="e">
        <f t="shared" si="6"/>
        <v>#DIV/0!</v>
      </c>
      <c r="P19" s="8" t="e">
        <f t="shared" si="6"/>
        <v>#DIV/0!</v>
      </c>
    </row>
    <row r="20" spans="1:16" s="26" customFormat="1" x14ac:dyDescent="0.55000000000000004">
      <c r="A20" s="26" t="s">
        <v>196</v>
      </c>
      <c r="C20" s="26">
        <v>55.79</v>
      </c>
    </row>
    <row r="21" spans="1:16" s="26" customFormat="1" x14ac:dyDescent="0.55000000000000004">
      <c r="A21" s="26" t="s">
        <v>197</v>
      </c>
    </row>
    <row r="22" spans="1:16" s="26" customFormat="1" x14ac:dyDescent="0.55000000000000004">
      <c r="A22" s="26" t="s">
        <v>198</v>
      </c>
    </row>
    <row r="23" spans="1:16" s="26" customFormat="1" x14ac:dyDescent="0.55000000000000004"/>
    <row r="24" spans="1:16" x14ac:dyDescent="0.55000000000000004">
      <c r="A24" s="6" t="s">
        <v>72</v>
      </c>
      <c r="B24" s="7"/>
      <c r="C24" s="7">
        <v>1.26E-2</v>
      </c>
      <c r="D24" s="7">
        <v>1.26E-2</v>
      </c>
      <c r="E24" s="7">
        <v>1.26E-2</v>
      </c>
      <c r="F24" s="7">
        <v>1.26E-2</v>
      </c>
      <c r="G24" s="7">
        <v>1.26E-2</v>
      </c>
      <c r="H24" s="7">
        <v>1.26E-2</v>
      </c>
      <c r="I24" s="7"/>
      <c r="J24" s="7"/>
      <c r="K24" s="7"/>
      <c r="L24" s="7"/>
      <c r="M24" s="7"/>
      <c r="N24" s="7"/>
      <c r="O24" s="7"/>
    </row>
    <row r="25" spans="1:16" x14ac:dyDescent="0.55000000000000004">
      <c r="A25" s="6" t="s">
        <v>70</v>
      </c>
      <c r="B25" s="8"/>
      <c r="C25" s="8">
        <f t="shared" ref="C25:H25" si="7">C16/C12</f>
        <v>2.0764802631578947E-3</v>
      </c>
      <c r="D25" s="8">
        <f t="shared" si="7"/>
        <v>2.0764802631578947E-3</v>
      </c>
      <c r="E25" s="8">
        <f t="shared" si="7"/>
        <v>2.0764802631578943E-3</v>
      </c>
      <c r="F25" s="8">
        <f t="shared" si="7"/>
        <v>2.0816200657894739E-3</v>
      </c>
      <c r="G25" s="8">
        <f t="shared" si="7"/>
        <v>2.080592105263158E-3</v>
      </c>
      <c r="H25" s="8">
        <f t="shared" si="7"/>
        <v>2.0799067982456136E-3</v>
      </c>
      <c r="I25" s="8"/>
      <c r="J25" s="8"/>
      <c r="K25" s="8" t="e">
        <f t="shared" ref="K25:P25" si="8">K16/K12</f>
        <v>#DIV/0!</v>
      </c>
      <c r="L25" s="8">
        <f t="shared" si="8"/>
        <v>3.3388157894736842E-5</v>
      </c>
      <c r="M25" s="8" t="e">
        <f t="shared" si="8"/>
        <v>#DIV/0!</v>
      </c>
      <c r="N25" s="8" t="e">
        <f t="shared" si="8"/>
        <v>#DIV/0!</v>
      </c>
      <c r="O25" s="8" t="e">
        <f t="shared" si="8"/>
        <v>#DIV/0!</v>
      </c>
      <c r="P25" s="8" t="e">
        <f t="shared" si="8"/>
        <v>#DIV/0!</v>
      </c>
    </row>
    <row r="26" spans="1:16" x14ac:dyDescent="0.55000000000000004">
      <c r="A26" s="6" t="s">
        <v>71</v>
      </c>
      <c r="B26" s="8"/>
      <c r="C26" s="8">
        <f t="shared" ref="C26:H26" si="9">C24/C14</f>
        <v>4.8349961627014584E-4</v>
      </c>
      <c r="D26" s="8">
        <f t="shared" si="9"/>
        <v>4.8349961627014584E-4</v>
      </c>
      <c r="E26" s="8">
        <f t="shared" si="9"/>
        <v>4.8349961627014584E-4</v>
      </c>
      <c r="F26" s="8">
        <f t="shared" si="9"/>
        <v>4.8349961627014584E-4</v>
      </c>
      <c r="G26" s="8">
        <f t="shared" si="9"/>
        <v>4.8349961627014584E-4</v>
      </c>
      <c r="H26" s="8">
        <f t="shared" si="9"/>
        <v>4.8349961627014584E-4</v>
      </c>
      <c r="I26" s="8"/>
      <c r="J26" s="8"/>
      <c r="K26" s="8">
        <f t="shared" ref="K26:P26" si="10">K24/K14</f>
        <v>0</v>
      </c>
      <c r="L26" s="8">
        <f t="shared" si="10"/>
        <v>0</v>
      </c>
      <c r="M26" s="8">
        <f t="shared" si="10"/>
        <v>0</v>
      </c>
      <c r="N26" s="8">
        <f t="shared" si="10"/>
        <v>0</v>
      </c>
      <c r="O26" s="8">
        <f t="shared" si="10"/>
        <v>0</v>
      </c>
      <c r="P26" s="8">
        <f t="shared" si="10"/>
        <v>0</v>
      </c>
    </row>
    <row r="27" spans="1:16" x14ac:dyDescent="0.55000000000000004">
      <c r="A27" s="6" t="s">
        <v>74</v>
      </c>
      <c r="B27" s="8"/>
      <c r="C27" s="8">
        <f>C26/C25</f>
        <v>0.23284575579584055</v>
      </c>
      <c r="D27" s="8">
        <f t="shared" ref="D27:H27" si="11">D26/D25</f>
        <v>0.23284575579584055</v>
      </c>
      <c r="E27" s="8">
        <f t="shared" si="11"/>
        <v>0.23284575579584058</v>
      </c>
      <c r="F27" s="8">
        <f t="shared" si="11"/>
        <v>0.23227082800375201</v>
      </c>
      <c r="G27" s="8">
        <f t="shared" si="11"/>
        <v>0.23238558631798312</v>
      </c>
      <c r="H27" s="8">
        <f t="shared" si="11"/>
        <v>0.2324621548801967</v>
      </c>
      <c r="I27" s="8"/>
      <c r="J27" s="8"/>
      <c r="K27" s="8" t="e">
        <f t="shared" ref="K27:P27" si="12">K26/K25</f>
        <v>#DIV/0!</v>
      </c>
      <c r="L27" s="8">
        <f t="shared" si="12"/>
        <v>0</v>
      </c>
      <c r="M27" s="8" t="e">
        <f t="shared" si="12"/>
        <v>#DIV/0!</v>
      </c>
      <c r="N27" s="8" t="e">
        <f t="shared" si="12"/>
        <v>#DIV/0!</v>
      </c>
      <c r="O27" s="8" t="e">
        <f t="shared" si="12"/>
        <v>#DIV/0!</v>
      </c>
      <c r="P27" s="8" t="e">
        <f t="shared" si="12"/>
        <v>#DIV/0!</v>
      </c>
    </row>
    <row r="28" spans="1:16" x14ac:dyDescent="0.55000000000000004">
      <c r="A28" s="6" t="s">
        <v>75</v>
      </c>
      <c r="B28" s="7">
        <v>0.23449999999999999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x14ac:dyDescent="0.55000000000000004">
      <c r="A29" s="6" t="s">
        <v>76</v>
      </c>
      <c r="B29" s="7">
        <f>B28</f>
        <v>0.23449999999999999</v>
      </c>
      <c r="C29" s="8">
        <f>(ABS(C27-$B$29)/$B$29)*100</f>
        <v>0.70543462863941941</v>
      </c>
      <c r="D29" s="8">
        <f t="shared" ref="D29:H29" si="13">(ABS(D27-$B$29)/$B$29)*100</f>
        <v>0.70543462863941941</v>
      </c>
      <c r="E29" s="8">
        <f t="shared" si="13"/>
        <v>0.70543462863940765</v>
      </c>
      <c r="F29" s="8">
        <f t="shared" si="13"/>
        <v>0.95060639498847566</v>
      </c>
      <c r="G29" s="8">
        <f t="shared" si="13"/>
        <v>0.90166894755516813</v>
      </c>
      <c r="H29" s="8">
        <f t="shared" si="13"/>
        <v>0.86901710865811888</v>
      </c>
      <c r="I29" s="8"/>
      <c r="J29" s="8"/>
      <c r="K29" s="8" t="e">
        <f t="shared" ref="K29:P29" si="14">(ABS(K27-$B$29)/$B$29)*100</f>
        <v>#DIV/0!</v>
      </c>
      <c r="L29" s="8">
        <f t="shared" si="14"/>
        <v>100</v>
      </c>
      <c r="M29" s="8" t="e">
        <f t="shared" si="14"/>
        <v>#DIV/0!</v>
      </c>
      <c r="N29" s="8" t="e">
        <f t="shared" si="14"/>
        <v>#DIV/0!</v>
      </c>
      <c r="O29" s="8" t="e">
        <f t="shared" si="14"/>
        <v>#DIV/0!</v>
      </c>
      <c r="P29" s="8" t="e">
        <f t="shared" si="14"/>
        <v>#DIV/0!</v>
      </c>
    </row>
    <row r="31" spans="1:16" x14ac:dyDescent="0.55000000000000004">
      <c r="A31" s="6" t="s">
        <v>90</v>
      </c>
      <c r="C31" s="7">
        <f>0.0149</f>
        <v>1.49E-2</v>
      </c>
      <c r="D31" s="7">
        <f t="shared" ref="D31:H31" si="15">0.0149</f>
        <v>1.49E-2</v>
      </c>
      <c r="E31" s="7">
        <f t="shared" si="15"/>
        <v>1.49E-2</v>
      </c>
      <c r="F31" s="7">
        <f t="shared" si="15"/>
        <v>1.49E-2</v>
      </c>
      <c r="G31" s="7">
        <f t="shared" si="15"/>
        <v>1.49E-2</v>
      </c>
      <c r="H31" s="7">
        <f t="shared" si="15"/>
        <v>1.49E-2</v>
      </c>
      <c r="I31" s="7"/>
      <c r="J31" s="7"/>
    </row>
    <row r="32" spans="1:16" x14ac:dyDescent="0.55000000000000004">
      <c r="A32" s="6" t="s">
        <v>91</v>
      </c>
      <c r="C32" s="8">
        <f>C31/$B$6</f>
        <v>6.1266447368421052E-4</v>
      </c>
      <c r="D32" s="8">
        <f t="shared" ref="D32:H32" si="16">D31/$B$6</f>
        <v>6.1266447368421052E-4</v>
      </c>
      <c r="E32" s="8">
        <f t="shared" si="16"/>
        <v>6.1266447368421052E-4</v>
      </c>
      <c r="F32" s="8">
        <f t="shared" si="16"/>
        <v>6.1266447368421052E-4</v>
      </c>
      <c r="G32" s="8">
        <f t="shared" si="16"/>
        <v>6.1266447368421052E-4</v>
      </c>
      <c r="H32" s="8">
        <f t="shared" si="16"/>
        <v>6.1266447368421052E-4</v>
      </c>
      <c r="I32" s="8"/>
      <c r="J32" s="8"/>
    </row>
    <row r="33" spans="1:10" x14ac:dyDescent="0.55000000000000004">
      <c r="A33" s="6" t="s">
        <v>92</v>
      </c>
      <c r="C33" s="8">
        <f>C32/C25</f>
        <v>0.29504950495049503</v>
      </c>
      <c r="D33" s="8">
        <f t="shared" ref="D33:H33" si="17">D32/D25</f>
        <v>0.29504950495049503</v>
      </c>
      <c r="E33" s="8">
        <f t="shared" si="17"/>
        <v>0.29504950495049509</v>
      </c>
      <c r="F33" s="8">
        <f t="shared" si="17"/>
        <v>0.29432098765432096</v>
      </c>
      <c r="G33" s="8">
        <f t="shared" si="17"/>
        <v>0.2944664031620553</v>
      </c>
      <c r="H33" s="8">
        <f t="shared" si="17"/>
        <v>0.29456342668863267</v>
      </c>
      <c r="I33" s="8"/>
      <c r="J33" s="8"/>
    </row>
    <row r="34" spans="1:10" x14ac:dyDescent="0.55000000000000004">
      <c r="A34" s="6" t="s">
        <v>93</v>
      </c>
      <c r="B34" s="7">
        <v>0.29399999999999998</v>
      </c>
    </row>
    <row r="35" spans="1:10" x14ac:dyDescent="0.55000000000000004">
      <c r="A35" s="6" t="s">
        <v>94</v>
      </c>
      <c r="B35" s="7">
        <f>B34</f>
        <v>0.29399999999999998</v>
      </c>
      <c r="C35" s="8">
        <f>ABS($B$35-C33)/$B$35*100</f>
        <v>0.35697447295750018</v>
      </c>
      <c r="D35" s="8">
        <f t="shared" ref="D35:H35" si="18">ABS($B$35-D33)/$B$35*100</f>
        <v>0.35697447295750018</v>
      </c>
      <c r="E35" s="8">
        <f t="shared" si="18"/>
        <v>0.35697447295751905</v>
      </c>
      <c r="F35" s="8">
        <f t="shared" si="18"/>
        <v>0.10917947425883712</v>
      </c>
      <c r="G35" s="8">
        <f t="shared" si="18"/>
        <v>0.15864053131133257</v>
      </c>
      <c r="H35" s="8">
        <f t="shared" si="18"/>
        <v>0.19164173082744368</v>
      </c>
      <c r="I35" s="8"/>
      <c r="J35" s="8"/>
    </row>
    <row r="37" spans="1:10" x14ac:dyDescent="0.55000000000000004">
      <c r="B37" s="15"/>
    </row>
    <row r="44" spans="1:10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  <c r="F49" s="12"/>
      <c r="G49" s="11"/>
      <c r="H49" s="11"/>
      <c r="I49" s="12"/>
      <c r="J49" s="13" t="s">
        <v>84</v>
      </c>
      <c r="K49" s="13" t="s">
        <v>85</v>
      </c>
    </row>
    <row r="50" spans="1:11" x14ac:dyDescent="0.55000000000000004">
      <c r="A50" s="6" t="s">
        <v>77</v>
      </c>
      <c r="C50" s="7">
        <v>2</v>
      </c>
      <c r="D50" s="7">
        <v>2</v>
      </c>
      <c r="E50" s="7">
        <v>2</v>
      </c>
      <c r="F50" s="7">
        <v>2</v>
      </c>
      <c r="G50" s="7">
        <v>2</v>
      </c>
      <c r="H50" s="7">
        <v>2</v>
      </c>
      <c r="I50" s="13">
        <v>8</v>
      </c>
      <c r="J50" s="13">
        <v>13</v>
      </c>
      <c r="K50" s="13">
        <v>13</v>
      </c>
    </row>
    <row r="51" spans="1:11" x14ac:dyDescent="0.55000000000000004">
      <c r="A51" s="6" t="s">
        <v>82</v>
      </c>
      <c r="C51" s="8">
        <f t="shared" ref="C51:G51" si="19">$B$10*C50</f>
        <v>26.06</v>
      </c>
      <c r="D51" s="8">
        <f t="shared" si="19"/>
        <v>26.06</v>
      </c>
      <c r="E51" s="8">
        <f t="shared" si="19"/>
        <v>26.06</v>
      </c>
      <c r="F51" s="8">
        <f t="shared" si="19"/>
        <v>26.06</v>
      </c>
      <c r="G51" s="8">
        <f t="shared" si="19"/>
        <v>26.06</v>
      </c>
      <c r="H51" s="8">
        <f>$B$10*H50</f>
        <v>26.06</v>
      </c>
      <c r="I51" s="13">
        <f t="shared" ref="I51:K51" si="20">$B$8*I50</f>
        <v>201.36</v>
      </c>
      <c r="J51" s="13">
        <f t="shared" si="20"/>
        <v>327.21000000000004</v>
      </c>
      <c r="K51" s="13">
        <f t="shared" si="20"/>
        <v>327.21000000000004</v>
      </c>
    </row>
    <row r="52" spans="1:11" x14ac:dyDescent="0.55000000000000004">
      <c r="A52" s="6" t="s">
        <v>63</v>
      </c>
      <c r="C52" s="7">
        <v>2</v>
      </c>
      <c r="D52" s="7">
        <v>4</v>
      </c>
      <c r="E52" s="7">
        <v>6</v>
      </c>
      <c r="F52" s="7">
        <v>8</v>
      </c>
      <c r="G52" s="7">
        <v>10</v>
      </c>
      <c r="H52" s="7">
        <v>12</v>
      </c>
      <c r="I52" s="13">
        <v>8</v>
      </c>
      <c r="J52" s="13">
        <v>12</v>
      </c>
      <c r="K52" s="13">
        <v>12</v>
      </c>
    </row>
    <row r="53" spans="1:11" x14ac:dyDescent="0.55000000000000004">
      <c r="A53" s="6" t="s">
        <v>64</v>
      </c>
      <c r="C53" s="8">
        <f>$B$9*C52</f>
        <v>48.64</v>
      </c>
      <c r="D53" s="8">
        <f t="shared" ref="D53:K53" si="21">$B$9*D52</f>
        <v>97.28</v>
      </c>
      <c r="E53" s="8">
        <f t="shared" si="21"/>
        <v>145.92000000000002</v>
      </c>
      <c r="F53" s="8">
        <f t="shared" si="21"/>
        <v>194.56</v>
      </c>
      <c r="G53" s="8">
        <f t="shared" si="21"/>
        <v>243.2</v>
      </c>
      <c r="H53" s="8">
        <f t="shared" si="21"/>
        <v>291.84000000000003</v>
      </c>
      <c r="I53" s="13">
        <f t="shared" si="21"/>
        <v>194.56</v>
      </c>
      <c r="J53" s="13">
        <f t="shared" si="21"/>
        <v>291.84000000000003</v>
      </c>
      <c r="K53" s="13">
        <f t="shared" si="21"/>
        <v>291.84000000000003</v>
      </c>
    </row>
    <row r="54" spans="1:11" x14ac:dyDescent="0.55000000000000004">
      <c r="A54" s="6" t="s">
        <v>83</v>
      </c>
      <c r="C54" s="8">
        <f>C53*$B$6/1000000</f>
        <v>1.1829248E-3</v>
      </c>
      <c r="D54" s="8">
        <f t="shared" ref="D54:I54" si="22">D53*$B$6/1000000</f>
        <v>2.3658495999999999E-3</v>
      </c>
      <c r="E54" s="8">
        <f t="shared" si="22"/>
        <v>3.5487744000000003E-3</v>
      </c>
      <c r="F54" s="8">
        <f t="shared" si="22"/>
        <v>4.7316991999999999E-3</v>
      </c>
      <c r="G54" s="8">
        <f t="shared" si="22"/>
        <v>5.9146239999999994E-3</v>
      </c>
      <c r="H54" s="8">
        <f t="shared" si="22"/>
        <v>7.0975488000000007E-3</v>
      </c>
      <c r="I54" s="13">
        <f t="shared" si="22"/>
        <v>4.7316991999999999E-3</v>
      </c>
      <c r="J54" s="13">
        <f>J53*7/1000000</f>
        <v>2.04288E-3</v>
      </c>
      <c r="K54" s="13">
        <f>K53*7/1000000</f>
        <v>2.04288E-3</v>
      </c>
    </row>
    <row r="55" spans="1:11" x14ac:dyDescent="0.55000000000000004">
      <c r="A55" s="6" t="s">
        <v>78</v>
      </c>
      <c r="C55" s="7">
        <v>9.5799999999999996E-2</v>
      </c>
      <c r="D55" s="7">
        <v>4.7899999999999998E-2</v>
      </c>
      <c r="E55" s="7">
        <v>3.1899999999999998E-2</v>
      </c>
      <c r="F55" s="7">
        <v>2.3900000000000001E-2</v>
      </c>
      <c r="G55" s="7">
        <v>1.9199999999999998E-2</v>
      </c>
      <c r="H55" s="7">
        <v>1.6E-2</v>
      </c>
      <c r="I55" s="13">
        <v>7.9950000000000004E-3</v>
      </c>
      <c r="J55" s="13">
        <v>3.8699999999999998E-2</v>
      </c>
      <c r="K55" s="13">
        <v>3.85E-2</v>
      </c>
    </row>
    <row r="56" spans="1:11" x14ac:dyDescent="0.55000000000000004">
      <c r="A56" s="6" t="s">
        <v>80</v>
      </c>
      <c r="C56" s="10">
        <f t="shared" ref="C56:I56" si="23">($E$1*(C51/1000)/(C54*C55/1000))/(10^6)</f>
        <v>2299.5971695924104</v>
      </c>
      <c r="D56" s="10">
        <f t="shared" si="23"/>
        <v>2299.5971695924104</v>
      </c>
      <c r="E56" s="10">
        <f t="shared" si="23"/>
        <v>2302.000092444649</v>
      </c>
      <c r="F56" s="10">
        <f t="shared" si="23"/>
        <v>2304.4080423321439</v>
      </c>
      <c r="G56" s="10">
        <f t="shared" si="23"/>
        <v>2294.8063421557604</v>
      </c>
      <c r="H56" s="10">
        <f t="shared" si="23"/>
        <v>2294.8063421557595</v>
      </c>
      <c r="I56" s="14">
        <f t="shared" si="23"/>
        <v>53227.688455301875</v>
      </c>
      <c r="J56" s="14">
        <f>($E$1*(J51/1000)/(J54*J55/1000))/(10^6)</f>
        <v>41387.838540148827</v>
      </c>
      <c r="K56" s="14">
        <f>($E$1*(K51/1000)/(K54*K55/1000))/(10^6)</f>
        <v>41602.840298798947</v>
      </c>
    </row>
    <row r="57" spans="1:11" x14ac:dyDescent="0.55000000000000004">
      <c r="A57" s="6" t="s">
        <v>81</v>
      </c>
      <c r="B57" s="7">
        <v>2293.9</v>
      </c>
      <c r="I57" s="13"/>
      <c r="J57" s="13"/>
      <c r="K57" s="13"/>
    </row>
    <row r="58" spans="1:11" x14ac:dyDescent="0.55000000000000004">
      <c r="A58" s="6" t="s">
        <v>21</v>
      </c>
      <c r="C58" s="8">
        <f t="shared" ref="C58:G58" si="24">ABS($B$57-C56)/C56*100</f>
        <v>0.24774641697006905</v>
      </c>
      <c r="D58" s="8">
        <f t="shared" si="24"/>
        <v>0.24774641697006905</v>
      </c>
      <c r="E58" s="8">
        <f t="shared" si="24"/>
        <v>0.3518719426308482</v>
      </c>
      <c r="F58" s="8">
        <f t="shared" si="24"/>
        <v>0.45599746829165044</v>
      </c>
      <c r="G58" s="8">
        <f t="shared" si="24"/>
        <v>3.9495365648539199E-2</v>
      </c>
      <c r="H58" s="8">
        <f>ABS($B$57-H56)/H56*100</f>
        <v>3.9495365648499585E-2</v>
      </c>
      <c r="I58" s="13" t="e">
        <f t="shared" ref="I58:K58" si="25">ABS($B$45-I56)/$B$45*100</f>
        <v>#DIV/0!</v>
      </c>
      <c r="J58" s="13" t="e">
        <f t="shared" si="25"/>
        <v>#DIV/0!</v>
      </c>
      <c r="K58" s="13" t="e">
        <f t="shared" si="25"/>
        <v>#DIV/0!</v>
      </c>
    </row>
    <row r="59" spans="1:11" x14ac:dyDescent="0.55000000000000004">
      <c r="A59" s="26" t="s">
        <v>196</v>
      </c>
      <c r="B59" s="26"/>
      <c r="C59" s="26">
        <v>104.9</v>
      </c>
      <c r="I59" s="13"/>
      <c r="J59" s="13"/>
      <c r="K59" s="13"/>
    </row>
    <row r="60" spans="1:11" x14ac:dyDescent="0.55000000000000004">
      <c r="A60" s="26" t="s">
        <v>197</v>
      </c>
      <c r="B60" s="26"/>
      <c r="C60" s="26"/>
      <c r="I60" s="13"/>
      <c r="J60" s="13"/>
      <c r="K60" s="13"/>
    </row>
    <row r="61" spans="1:11" x14ac:dyDescent="0.55000000000000004">
      <c r="A61" s="26" t="s">
        <v>198</v>
      </c>
      <c r="B61" s="26"/>
      <c r="C61" s="26"/>
      <c r="I61" s="13"/>
      <c r="J61" s="13"/>
      <c r="K61" s="13"/>
    </row>
    <row r="62" spans="1:11" x14ac:dyDescent="0.55000000000000004">
      <c r="I62" s="13"/>
      <c r="J62" s="13"/>
      <c r="K62" s="13"/>
    </row>
    <row r="63" spans="1:11" x14ac:dyDescent="0.55000000000000004">
      <c r="A63" s="6" t="s">
        <v>73</v>
      </c>
      <c r="C63" s="7">
        <v>1.2699999999999999E-2</v>
      </c>
      <c r="D63" s="7">
        <v>1.2699999999999999E-2</v>
      </c>
      <c r="E63" s="7">
        <v>1.2699999999999999E-2</v>
      </c>
      <c r="F63" s="7">
        <v>1.26E-2</v>
      </c>
      <c r="G63" s="7">
        <v>1.26E-2</v>
      </c>
      <c r="H63" s="7">
        <v>1.26E-2</v>
      </c>
    </row>
    <row r="64" spans="1:11" x14ac:dyDescent="0.55000000000000004">
      <c r="A64" s="6" t="s">
        <v>71</v>
      </c>
      <c r="C64" s="8">
        <f>C55/C51</f>
        <v>3.676132003069839E-3</v>
      </c>
      <c r="D64" s="8">
        <f t="shared" ref="D64:H64" si="26">D55/D51</f>
        <v>1.8380660015349195E-3</v>
      </c>
      <c r="E64" s="8">
        <f t="shared" si="26"/>
        <v>1.2240982348426708E-3</v>
      </c>
      <c r="F64" s="8">
        <f t="shared" si="26"/>
        <v>9.1711435149654651E-4</v>
      </c>
      <c r="G64" s="8">
        <f t="shared" si="26"/>
        <v>7.367613200306984E-4</v>
      </c>
      <c r="H64" s="8">
        <f t="shared" si="26"/>
        <v>6.1396776669224874E-4</v>
      </c>
    </row>
    <row r="65" spans="1:10" x14ac:dyDescent="0.55000000000000004">
      <c r="A65" s="6" t="s">
        <v>86</v>
      </c>
      <c r="C65" s="8">
        <f>C63/C53</f>
        <v>2.6110197368421054E-4</v>
      </c>
      <c r="D65" s="8">
        <f t="shared" ref="D65:G65" si="27">D63/D53</f>
        <v>1.3055098684210527E-4</v>
      </c>
      <c r="E65" s="8">
        <f t="shared" si="27"/>
        <v>8.7033991228070156E-5</v>
      </c>
      <c r="F65" s="8">
        <f t="shared" si="27"/>
        <v>6.4761513157894743E-5</v>
      </c>
      <c r="G65" s="8">
        <f t="shared" si="27"/>
        <v>5.1809210526315793E-5</v>
      </c>
      <c r="H65" s="8">
        <f>H63/H53</f>
        <v>4.3174342105263155E-5</v>
      </c>
    </row>
    <row r="66" spans="1:10" x14ac:dyDescent="0.55000000000000004">
      <c r="A66" s="6" t="s">
        <v>87</v>
      </c>
      <c r="C66" s="8">
        <f>C65/C64</f>
        <v>7.1026278018899019E-2</v>
      </c>
      <c r="D66" s="8">
        <f t="shared" ref="D66:H66" si="28">D65/D64</f>
        <v>7.1026278018899019E-2</v>
      </c>
      <c r="E66" s="8">
        <f t="shared" si="28"/>
        <v>7.1100495655282384E-2</v>
      </c>
      <c r="F66" s="8">
        <f t="shared" si="28"/>
        <v>7.061443652279234E-2</v>
      </c>
      <c r="G66" s="8">
        <f t="shared" si="28"/>
        <v>7.0320209703947367E-2</v>
      </c>
      <c r="H66" s="8">
        <f t="shared" si="28"/>
        <v>7.0320209703947353E-2</v>
      </c>
    </row>
    <row r="67" spans="1:10" x14ac:dyDescent="0.55000000000000004">
      <c r="A67" s="6" t="s">
        <v>88</v>
      </c>
      <c r="B67" s="7">
        <v>7.0999999999999994E-2</v>
      </c>
    </row>
    <row r="68" spans="1:10" x14ac:dyDescent="0.55000000000000004">
      <c r="A68" s="6" t="s">
        <v>89</v>
      </c>
      <c r="B68" s="6">
        <f>B67</f>
        <v>7.0999999999999994E-2</v>
      </c>
      <c r="C68" s="8">
        <f>(ABS(C66-$B$68)/$B$68)*100</f>
        <v>3.7011294223980022E-2</v>
      </c>
      <c r="D68" s="8">
        <f t="shared" ref="D68:H68" si="29">(ABS(D66-$B$68)/$B$68)*100</f>
        <v>3.7011294223980022E-2</v>
      </c>
      <c r="E68" s="8">
        <f t="shared" si="29"/>
        <v>0.1415431764540703</v>
      </c>
      <c r="F68" s="8">
        <f t="shared" si="29"/>
        <v>0.54304715099669554</v>
      </c>
      <c r="G68" s="8">
        <f t="shared" si="29"/>
        <v>0.95745112120088249</v>
      </c>
      <c r="H68" s="8">
        <f t="shared" si="29"/>
        <v>0.95745112120090192</v>
      </c>
    </row>
    <row r="70" spans="1:10" x14ac:dyDescent="0.55000000000000004">
      <c r="A70" s="6" t="s">
        <v>90</v>
      </c>
      <c r="C70" s="7">
        <f>7.971*10^(-3)</f>
        <v>7.9710000000000007E-3</v>
      </c>
      <c r="D70" s="7">
        <f>3.985*10^(-3)</f>
        <v>3.9849999999999998E-3</v>
      </c>
      <c r="E70" s="7">
        <f>2.657*10^(-3)</f>
        <v>2.6570000000000001E-3</v>
      </c>
      <c r="F70" s="7">
        <f>1.993*10^(-3)</f>
        <v>1.993E-3</v>
      </c>
      <c r="G70" s="7">
        <f>1.594*10^(-3)</f>
        <v>1.5940000000000001E-3</v>
      </c>
      <c r="H70" s="7">
        <f>0.001328</f>
        <v>1.328E-3</v>
      </c>
      <c r="I70" s="12"/>
      <c r="J70" s="12"/>
    </row>
    <row r="71" spans="1:10" x14ac:dyDescent="0.55000000000000004">
      <c r="A71" s="6" t="s">
        <v>91</v>
      </c>
      <c r="C71" s="8">
        <f>C70/$B$6</f>
        <v>3.2775493421052635E-4</v>
      </c>
      <c r="D71" s="8">
        <f>D70/$B$6</f>
        <v>1.6385690789473683E-4</v>
      </c>
      <c r="E71" s="8">
        <f t="shared" ref="E71:H71" si="30">E70/$B$6</f>
        <v>1.0925164473684211E-4</v>
      </c>
      <c r="F71" s="8">
        <f t="shared" si="30"/>
        <v>8.1949013157894734E-5</v>
      </c>
      <c r="G71" s="8">
        <f t="shared" si="30"/>
        <v>6.5542763157894738E-5</v>
      </c>
      <c r="H71" s="8">
        <f t="shared" si="30"/>
        <v>5.4605263157894737E-5</v>
      </c>
      <c r="I71" s="12"/>
      <c r="J71" s="12"/>
    </row>
    <row r="72" spans="1:10" x14ac:dyDescent="0.55000000000000004">
      <c r="A72" s="6" t="s">
        <v>99</v>
      </c>
      <c r="C72" s="8">
        <f>C71/C64</f>
        <v>8.9157553084825855E-2</v>
      </c>
      <c r="D72" s="8">
        <f>D71/D64</f>
        <v>8.9146367844192942E-2</v>
      </c>
      <c r="E72" s="8">
        <f t="shared" ref="E72:H72" si="31">E71/E64</f>
        <v>8.9250716672166316E-2</v>
      </c>
      <c r="F72" s="8">
        <f t="shared" si="31"/>
        <v>8.9355283803127059E-2</v>
      </c>
      <c r="G72" s="8">
        <f t="shared" si="31"/>
        <v>8.8960646244517549E-2</v>
      </c>
      <c r="H72" s="8">
        <f t="shared" si="31"/>
        <v>8.8938322368421044E-2</v>
      </c>
      <c r="I72" s="12"/>
      <c r="J72" s="12"/>
    </row>
    <row r="73" spans="1:10" x14ac:dyDescent="0.55000000000000004">
      <c r="A73" s="6" t="s">
        <v>100</v>
      </c>
      <c r="B73" s="7">
        <v>8.9099999999999999E-2</v>
      </c>
      <c r="I73" s="12"/>
      <c r="J73" s="12"/>
    </row>
    <row r="74" spans="1:10" x14ac:dyDescent="0.55000000000000004">
      <c r="A74" s="6" t="s">
        <v>101</v>
      </c>
      <c r="B74" s="7">
        <f>B73</f>
        <v>8.9099999999999999E-2</v>
      </c>
      <c r="C74" s="8">
        <f>ABS($B$74-C72)/C72*100</f>
        <v>6.4552113460426219E-2</v>
      </c>
      <c r="D74" s="8">
        <f t="shared" ref="D74:H74" si="32">ABS($B$74-D72)/D72*100</f>
        <v>5.2013161404380989E-2</v>
      </c>
      <c r="E74" s="8">
        <f t="shared" si="32"/>
        <v>0.16886886490774836</v>
      </c>
      <c r="F74" s="8">
        <f t="shared" si="32"/>
        <v>0.28569525187734457</v>
      </c>
      <c r="G74" s="8">
        <f t="shared" si="32"/>
        <v>0.15664651884319836</v>
      </c>
      <c r="H74" s="8">
        <f t="shared" si="32"/>
        <v>0.18178623935497232</v>
      </c>
      <c r="I74" s="12"/>
      <c r="J74" s="12"/>
    </row>
    <row r="78" spans="1:10" x14ac:dyDescent="0.55000000000000004">
      <c r="A78" s="6" t="s">
        <v>102</v>
      </c>
      <c r="B78" s="15" t="s">
        <v>98</v>
      </c>
      <c r="F78" s="12"/>
      <c r="G78" s="11"/>
      <c r="H78" s="11"/>
    </row>
    <row r="79" spans="1:10" x14ac:dyDescent="0.55000000000000004">
      <c r="A79" s="6" t="s">
        <v>77</v>
      </c>
      <c r="C79" s="7">
        <v>2</v>
      </c>
      <c r="D79" s="7">
        <v>2</v>
      </c>
      <c r="E79" s="7">
        <v>2</v>
      </c>
      <c r="F79" s="7">
        <v>2</v>
      </c>
      <c r="G79" s="7">
        <v>2</v>
      </c>
      <c r="H79" s="7">
        <v>2</v>
      </c>
    </row>
    <row r="80" spans="1:10" x14ac:dyDescent="0.55000000000000004">
      <c r="A80" s="6" t="s">
        <v>82</v>
      </c>
      <c r="C80" s="8">
        <f>$B$7*C79</f>
        <v>26.06</v>
      </c>
      <c r="D80" s="8">
        <f t="shared" ref="D80:H80" si="33">$B$7*D79</f>
        <v>26.06</v>
      </c>
      <c r="E80" s="8">
        <f t="shared" si="33"/>
        <v>26.06</v>
      </c>
      <c r="F80" s="8">
        <f t="shared" si="33"/>
        <v>26.06</v>
      </c>
      <c r="G80" s="8">
        <f t="shared" si="33"/>
        <v>26.06</v>
      </c>
      <c r="H80" s="8">
        <f t="shared" si="33"/>
        <v>26.06</v>
      </c>
    </row>
    <row r="81" spans="1:8" x14ac:dyDescent="0.55000000000000004">
      <c r="A81" s="6" t="s">
        <v>63</v>
      </c>
      <c r="C81" s="7">
        <v>2</v>
      </c>
      <c r="D81" s="7">
        <v>4</v>
      </c>
      <c r="E81" s="7">
        <v>6</v>
      </c>
      <c r="F81" s="7">
        <v>8</v>
      </c>
      <c r="G81" s="7">
        <v>10</v>
      </c>
      <c r="H81" s="7">
        <v>12</v>
      </c>
    </row>
    <row r="82" spans="1:8" x14ac:dyDescent="0.55000000000000004">
      <c r="A82" s="6" t="s">
        <v>64</v>
      </c>
      <c r="C82" s="8">
        <f>$B$9*C81</f>
        <v>48.64</v>
      </c>
      <c r="D82" s="8">
        <f t="shared" ref="D82:H82" si="34">$B$9*D81</f>
        <v>97.28</v>
      </c>
      <c r="E82" s="8">
        <f t="shared" si="34"/>
        <v>145.92000000000002</v>
      </c>
      <c r="F82" s="8">
        <f t="shared" si="34"/>
        <v>194.56</v>
      </c>
      <c r="G82" s="8">
        <f t="shared" si="34"/>
        <v>243.2</v>
      </c>
      <c r="H82" s="8">
        <f t="shared" si="34"/>
        <v>291.84000000000003</v>
      </c>
    </row>
    <row r="83" spans="1:8" x14ac:dyDescent="0.55000000000000004">
      <c r="A83" s="6" t="s">
        <v>103</v>
      </c>
      <c r="C83" s="8">
        <f>C80*C82/1000000</f>
        <v>1.2675583999999999E-3</v>
      </c>
      <c r="D83" s="8">
        <f t="shared" ref="D83:H83" si="35">D80*D82/1000000</f>
        <v>2.5351167999999999E-3</v>
      </c>
      <c r="E83" s="8">
        <f t="shared" si="35"/>
        <v>3.8026752000000002E-3</v>
      </c>
      <c r="F83" s="8">
        <f t="shared" si="35"/>
        <v>5.0702335999999997E-3</v>
      </c>
      <c r="G83" s="8">
        <f t="shared" si="35"/>
        <v>6.3377919999999992E-3</v>
      </c>
      <c r="H83" s="8">
        <f t="shared" si="35"/>
        <v>7.6053504000000004E-3</v>
      </c>
    </row>
    <row r="84" spans="1:8" x14ac:dyDescent="0.55000000000000004">
      <c r="A84" s="6" t="s">
        <v>104</v>
      </c>
      <c r="C84" s="7">
        <v>0.87</v>
      </c>
      <c r="D84" s="7">
        <f>0.435</f>
        <v>0.435</v>
      </c>
      <c r="E84" s="7">
        <v>0.28999999999999998</v>
      </c>
      <c r="F84" s="7">
        <f>0.218</f>
        <v>0.218</v>
      </c>
      <c r="G84" s="7">
        <f>0.174</f>
        <v>0.17399999999999999</v>
      </c>
      <c r="H84" s="7">
        <f>0.145</f>
        <v>0.14499999999999999</v>
      </c>
    </row>
    <row r="85" spans="1:8" x14ac:dyDescent="0.55000000000000004">
      <c r="A85" s="6" t="s">
        <v>95</v>
      </c>
      <c r="C85" s="10">
        <f>($E$1*($B$6/1000)/(C83*C84/1000))/(10^6)</f>
        <v>220.53439895554911</v>
      </c>
      <c r="D85" s="10">
        <f t="shared" ref="D85:H85" si="36">($E$1*($B$6/1000)/(D83*D84/1000))/(10^6)</f>
        <v>220.53439895554911</v>
      </c>
      <c r="E85" s="10">
        <f t="shared" si="36"/>
        <v>220.53439895554905</v>
      </c>
      <c r="F85" s="10">
        <f t="shared" si="36"/>
        <v>220.02858611390792</v>
      </c>
      <c r="G85" s="10">
        <f t="shared" si="36"/>
        <v>220.53439895554911</v>
      </c>
      <c r="H85" s="10">
        <f t="shared" si="36"/>
        <v>220.53439895554905</v>
      </c>
    </row>
    <row r="86" spans="1:8" x14ac:dyDescent="0.55000000000000004">
      <c r="A86" s="6" t="s">
        <v>96</v>
      </c>
      <c r="B86" s="7">
        <v>220.06</v>
      </c>
    </row>
    <row r="87" spans="1:8" x14ac:dyDescent="0.55000000000000004">
      <c r="A87" s="6" t="s">
        <v>21</v>
      </c>
      <c r="C87" s="8">
        <f>ABS($B$86-C85)/C85*100</f>
        <v>0.21511336000000855</v>
      </c>
      <c r="D87" s="8">
        <f t="shared" ref="D87:H87" si="37">ABS($B$86-D85)/D85*100</f>
        <v>0.21511336000000855</v>
      </c>
      <c r="E87" s="8">
        <f t="shared" si="37"/>
        <v>0.21511335999998285</v>
      </c>
      <c r="F87" s="8">
        <f t="shared" si="37"/>
        <v>1.4277184000000446E-2</v>
      </c>
      <c r="G87" s="8">
        <f t="shared" si="37"/>
        <v>0.21511336000000855</v>
      </c>
      <c r="H87" s="8">
        <f t="shared" si="37"/>
        <v>0.21511335999998285</v>
      </c>
    </row>
    <row r="88" spans="1:8" x14ac:dyDescent="0.55000000000000004">
      <c r="A88" s="26" t="s">
        <v>196</v>
      </c>
      <c r="B88" s="26"/>
      <c r="C88" s="26">
        <v>19.721</v>
      </c>
    </row>
    <row r="89" spans="1:8" x14ac:dyDescent="0.55000000000000004">
      <c r="A89" s="26" t="s">
        <v>197</v>
      </c>
      <c r="B89" s="26"/>
      <c r="C89" s="26"/>
    </row>
    <row r="90" spans="1:8" x14ac:dyDescent="0.55000000000000004">
      <c r="A90" s="26" t="s">
        <v>198</v>
      </c>
      <c r="B90" s="26"/>
      <c r="C90" s="26"/>
    </row>
    <row r="92" spans="1:8" x14ac:dyDescent="0.55000000000000004">
      <c r="A92" s="6" t="s">
        <v>73</v>
      </c>
      <c r="C92" s="7">
        <f>0.0149</f>
        <v>1.49E-2</v>
      </c>
      <c r="D92" s="7">
        <f>0.0149</f>
        <v>1.49E-2</v>
      </c>
      <c r="E92" s="7">
        <f t="shared" ref="E92:H92" si="38">0.0149</f>
        <v>1.49E-2</v>
      </c>
      <c r="F92" s="7">
        <f t="shared" si="38"/>
        <v>1.49E-2</v>
      </c>
      <c r="G92" s="7">
        <f>0.0149</f>
        <v>1.49E-2</v>
      </c>
      <c r="H92" s="7">
        <f t="shared" si="38"/>
        <v>1.49E-2</v>
      </c>
    </row>
    <row r="93" spans="1:8" x14ac:dyDescent="0.55000000000000004">
      <c r="A93" s="6" t="s">
        <v>105</v>
      </c>
      <c r="C93" s="8">
        <f t="shared" ref="C93:H93" si="39">C84/$B$6</f>
        <v>3.577302631578947E-2</v>
      </c>
      <c r="D93" s="8">
        <f t="shared" si="39"/>
        <v>1.7886513157894735E-2</v>
      </c>
      <c r="E93" s="8">
        <f t="shared" si="39"/>
        <v>1.1924342105263157E-2</v>
      </c>
      <c r="F93" s="8">
        <f t="shared" si="39"/>
        <v>8.9638157894736843E-3</v>
      </c>
      <c r="G93" s="8">
        <f t="shared" si="39"/>
        <v>7.1546052631578944E-3</v>
      </c>
      <c r="H93" s="8">
        <f t="shared" si="39"/>
        <v>5.9621710526315784E-3</v>
      </c>
    </row>
    <row r="94" spans="1:8" x14ac:dyDescent="0.55000000000000004">
      <c r="A94" s="6" t="s">
        <v>86</v>
      </c>
      <c r="C94" s="8">
        <f t="shared" ref="C94:H94" si="40">C92/C82</f>
        <v>3.0633223684210526E-4</v>
      </c>
      <c r="D94" s="8">
        <f t="shared" si="40"/>
        <v>1.5316611842105263E-4</v>
      </c>
      <c r="E94" s="8">
        <f t="shared" si="40"/>
        <v>1.0211074561403508E-4</v>
      </c>
      <c r="F94" s="8">
        <f t="shared" si="40"/>
        <v>7.6583059210526315E-5</v>
      </c>
      <c r="G94" s="8">
        <f t="shared" si="40"/>
        <v>6.1266447368421055E-5</v>
      </c>
      <c r="H94" s="8">
        <f t="shared" si="40"/>
        <v>5.1055372807017541E-5</v>
      </c>
    </row>
    <row r="95" spans="1:8" x14ac:dyDescent="0.55000000000000004">
      <c r="A95" s="6" t="s">
        <v>106</v>
      </c>
      <c r="C95" s="8">
        <f>C94/C93</f>
        <v>8.5632183908045979E-3</v>
      </c>
      <c r="D95" s="8">
        <f t="shared" ref="D95:H95" si="41">D94/D93</f>
        <v>8.5632183908045979E-3</v>
      </c>
      <c r="E95" s="8">
        <f t="shared" si="41"/>
        <v>8.5632183908045979E-3</v>
      </c>
      <c r="F95" s="8">
        <f t="shared" si="41"/>
        <v>8.5435779816513766E-3</v>
      </c>
      <c r="G95" s="8">
        <f t="shared" si="41"/>
        <v>8.5632183908045979E-3</v>
      </c>
      <c r="H95" s="8">
        <f t="shared" si="41"/>
        <v>8.5632183908045979E-3</v>
      </c>
    </row>
    <row r="96" spans="1:8" x14ac:dyDescent="0.55000000000000004">
      <c r="A96" s="6" t="s">
        <v>107</v>
      </c>
      <c r="B96" s="7">
        <v>8.5000000000000006E-3</v>
      </c>
    </row>
    <row r="97" spans="1:8" x14ac:dyDescent="0.55000000000000004">
      <c r="A97" s="6" t="s">
        <v>108</v>
      </c>
      <c r="B97" s="6">
        <f>B96</f>
        <v>8.5000000000000006E-3</v>
      </c>
      <c r="C97" s="8">
        <f>(ABS(C95-$B$97)/$B$97)*100</f>
        <v>0.74374577417173315</v>
      </c>
      <c r="D97" s="8">
        <f t="shared" ref="D97:H97" si="42">(ABS(D95-$B$97)/$B$97)*100</f>
        <v>0.74374577417173315</v>
      </c>
      <c r="E97" s="8">
        <f t="shared" si="42"/>
        <v>0.74374577417173315</v>
      </c>
      <c r="F97" s="8">
        <f t="shared" si="42"/>
        <v>0.51268213707501187</v>
      </c>
      <c r="G97" s="8">
        <f t="shared" si="42"/>
        <v>0.74374577417173315</v>
      </c>
      <c r="H97" s="8">
        <f t="shared" si="42"/>
        <v>0.74374577417173315</v>
      </c>
    </row>
    <row r="99" spans="1:8" x14ac:dyDescent="0.55000000000000004">
      <c r="A99" s="6" t="s">
        <v>46</v>
      </c>
      <c r="C99" s="7">
        <f>7.971*10^(-3)</f>
        <v>7.9710000000000007E-3</v>
      </c>
      <c r="D99" s="7">
        <f>3.985*10^(-3)</f>
        <v>3.9849999999999998E-3</v>
      </c>
      <c r="E99" s="7">
        <f>2.657*10^(-3)</f>
        <v>2.6570000000000001E-3</v>
      </c>
      <c r="F99" s="7">
        <f>1.9993*10^(-3)</f>
        <v>1.9993000000000003E-3</v>
      </c>
      <c r="G99" s="7">
        <f>1.594*10^(-3)</f>
        <v>1.5940000000000001E-3</v>
      </c>
      <c r="H99" s="7">
        <f>1.328*10^(-3)</f>
        <v>1.3280000000000002E-3</v>
      </c>
    </row>
    <row r="100" spans="1:8" x14ac:dyDescent="0.55000000000000004">
      <c r="A100" s="6" t="s">
        <v>109</v>
      </c>
      <c r="C100" s="8">
        <f t="shared" ref="C100:H100" si="43">C99/C80</f>
        <v>3.0587106676899467E-4</v>
      </c>
      <c r="D100" s="8">
        <f t="shared" si="43"/>
        <v>1.5291634689178817E-4</v>
      </c>
      <c r="E100" s="8">
        <f t="shared" si="43"/>
        <v>1.0195702225633156E-4</v>
      </c>
      <c r="F100" s="8">
        <f t="shared" si="43"/>
        <v>7.6719109746738317E-5</v>
      </c>
      <c r="G100" s="8">
        <f t="shared" si="43"/>
        <v>6.1166538756715283E-5</v>
      </c>
      <c r="H100" s="8">
        <f t="shared" si="43"/>
        <v>5.0959324635456651E-5</v>
      </c>
    </row>
    <row r="101" spans="1:8" x14ac:dyDescent="0.55000000000000004">
      <c r="A101" s="6" t="s">
        <v>110</v>
      </c>
      <c r="C101" s="8">
        <f>C100/C93</f>
        <v>8.5503268319792533E-3</v>
      </c>
      <c r="D101" s="8">
        <f t="shared" ref="D101:H101" si="44">D100/D93</f>
        <v>8.5492541526627323E-3</v>
      </c>
      <c r="E101" s="8">
        <f t="shared" si="44"/>
        <v>8.5503268319792533E-3</v>
      </c>
      <c r="F101" s="8">
        <f t="shared" si="44"/>
        <v>8.5587557295443845E-3</v>
      </c>
      <c r="G101" s="8">
        <f t="shared" si="44"/>
        <v>8.5492541526627341E-3</v>
      </c>
      <c r="H101" s="8">
        <f t="shared" si="44"/>
        <v>8.5471087940296956E-3</v>
      </c>
    </row>
    <row r="102" spans="1:8" x14ac:dyDescent="0.55000000000000004">
      <c r="A102" s="6" t="s">
        <v>111</v>
      </c>
      <c r="B102" s="7">
        <v>8.5000000000000006E-3</v>
      </c>
    </row>
    <row r="103" spans="1:8" x14ac:dyDescent="0.55000000000000004">
      <c r="A103" s="6" t="s">
        <v>112</v>
      </c>
      <c r="B103" s="7">
        <f>B102</f>
        <v>8.5000000000000006E-3</v>
      </c>
      <c r="C103" s="8">
        <f>ABS($B$103-C101)/$B$103*100</f>
        <v>0.59208037622650223</v>
      </c>
      <c r="D103" s="8">
        <f t="shared" ref="D103:H103" si="45">ABS($B$103-D101)/$B$103*100</f>
        <v>0.57946061956154971</v>
      </c>
      <c r="E103" s="8">
        <f t="shared" si="45"/>
        <v>0.59208037622650223</v>
      </c>
      <c r="F103" s="8">
        <f t="shared" si="45"/>
        <v>0.69124387699275114</v>
      </c>
      <c r="G103" s="8">
        <f t="shared" si="45"/>
        <v>0.57946061956157002</v>
      </c>
      <c r="H103" s="8">
        <f t="shared" si="45"/>
        <v>0.55422110623170573</v>
      </c>
    </row>
    <row r="110" spans="1:8" x14ac:dyDescent="0.55000000000000004">
      <c r="A110" s="6" t="s">
        <v>113</v>
      </c>
    </row>
    <row r="111" spans="1:8" x14ac:dyDescent="0.55000000000000004">
      <c r="A111" s="6" t="s">
        <v>114</v>
      </c>
      <c r="B111" s="6">
        <f>10*10^6</f>
        <v>10000000</v>
      </c>
    </row>
    <row r="112" spans="1:8" x14ac:dyDescent="0.55000000000000004">
      <c r="A112" s="6" t="s">
        <v>63</v>
      </c>
      <c r="C112" s="7">
        <v>2</v>
      </c>
      <c r="D112" s="7">
        <v>4</v>
      </c>
      <c r="E112" s="7">
        <v>8</v>
      </c>
    </row>
    <row r="113" spans="1:5" x14ac:dyDescent="0.55000000000000004">
      <c r="A113" s="6" t="s">
        <v>64</v>
      </c>
      <c r="C113" s="8">
        <f>$B$9*C112</f>
        <v>48.64</v>
      </c>
      <c r="D113" s="8">
        <f t="shared" ref="D113:E113" si="46">$B$9*D112</f>
        <v>97.28</v>
      </c>
      <c r="E113" s="8">
        <f t="shared" si="46"/>
        <v>194.56</v>
      </c>
    </row>
    <row r="114" spans="1:5" x14ac:dyDescent="0.55000000000000004">
      <c r="A114" s="6" t="s">
        <v>115</v>
      </c>
      <c r="C114" s="8">
        <f>C113*$B$6/1000000</f>
        <v>1.1829248E-3</v>
      </c>
      <c r="D114" s="8">
        <f t="shared" ref="D114:E114" si="47">D113*$B$6/1000000</f>
        <v>2.3658495999999999E-3</v>
      </c>
      <c r="E114" s="8">
        <f t="shared" si="47"/>
        <v>4.7316991999999999E-3</v>
      </c>
    </row>
    <row r="115" spans="1:5" x14ac:dyDescent="0.55000000000000004">
      <c r="A115" s="6" t="s">
        <v>77</v>
      </c>
      <c r="C115" s="7">
        <v>2</v>
      </c>
      <c r="D115" s="7">
        <v>8</v>
      </c>
      <c r="E115" s="7">
        <v>8</v>
      </c>
    </row>
    <row r="116" spans="1:5" x14ac:dyDescent="0.55000000000000004">
      <c r="A116" s="6" t="s">
        <v>82</v>
      </c>
      <c r="C116" s="8">
        <f>$B$10*C115</f>
        <v>26.06</v>
      </c>
      <c r="D116" s="8">
        <f t="shared" ref="D116:E116" si="48">$B$10*D115</f>
        <v>104.24</v>
      </c>
      <c r="E116" s="8">
        <f t="shared" si="48"/>
        <v>104.24</v>
      </c>
    </row>
    <row r="117" spans="1:5" x14ac:dyDescent="0.55000000000000004">
      <c r="A117" s="6" t="s">
        <v>116</v>
      </c>
      <c r="C117" s="8">
        <f>$B$6*C116/1000000</f>
        <v>6.3377919999999996E-4</v>
      </c>
      <c r="D117" s="8">
        <f t="shared" ref="D117:E117" si="49">$B$6*D116/1000000</f>
        <v>2.5351167999999999E-3</v>
      </c>
      <c r="E117" s="8">
        <f t="shared" si="49"/>
        <v>2.5351167999999999E-3</v>
      </c>
    </row>
    <row r="118" spans="1:5" x14ac:dyDescent="0.55000000000000004">
      <c r="A118" s="6" t="s">
        <v>117</v>
      </c>
      <c r="C118" s="8">
        <f>$B$111*C114</f>
        <v>11829.248</v>
      </c>
      <c r="D118" s="8">
        <f t="shared" ref="D118:E118" si="50">$B$111*D114</f>
        <v>23658.495999999999</v>
      </c>
      <c r="E118" s="8">
        <f t="shared" si="50"/>
        <v>47316.991999999998</v>
      </c>
    </row>
    <row r="119" spans="1:5" x14ac:dyDescent="0.55000000000000004">
      <c r="A119" s="6" t="s">
        <v>118</v>
      </c>
      <c r="C119" s="8">
        <f>$B$111*C117</f>
        <v>6337.7919999999995</v>
      </c>
      <c r="D119" s="8">
        <f t="shared" ref="D119:E119" si="51">$B$111*D117</f>
        <v>25351.167999999998</v>
      </c>
      <c r="E119" s="8">
        <f t="shared" si="51"/>
        <v>25351.167999999998</v>
      </c>
    </row>
    <row r="120" spans="1:5" x14ac:dyDescent="0.55000000000000004">
      <c r="A120" s="6" t="s">
        <v>119</v>
      </c>
      <c r="C120" s="8">
        <f>C116</f>
        <v>26.06</v>
      </c>
      <c r="D120" s="8">
        <f t="shared" ref="D120:E120" si="52">D116</f>
        <v>104.24</v>
      </c>
      <c r="E120" s="8">
        <f t="shared" si="52"/>
        <v>104.24</v>
      </c>
    </row>
    <row r="121" spans="1:5" x14ac:dyDescent="0.55000000000000004">
      <c r="A121" s="6" t="s">
        <v>120</v>
      </c>
      <c r="C121" s="7">
        <f>0.8547665476799</f>
        <v>0.85476654767990001</v>
      </c>
      <c r="D121" s="6">
        <v>1.718</v>
      </c>
      <c r="E121" s="6">
        <v>3.4390000000000001</v>
      </c>
    </row>
    <row r="122" spans="1:5" x14ac:dyDescent="0.55000000000000004">
      <c r="A122" s="6" t="s">
        <v>121</v>
      </c>
      <c r="C122" s="8">
        <f>C121/C113</f>
        <v>1.7573325404603206E-2</v>
      </c>
      <c r="D122" s="8">
        <f t="shared" ref="D122:E122" si="53">D121/D113</f>
        <v>1.7660361842105263E-2</v>
      </c>
      <c r="E122" s="8">
        <f t="shared" si="53"/>
        <v>1.7675781250000001E-2</v>
      </c>
    </row>
    <row r="123" spans="1:5" x14ac:dyDescent="0.55000000000000004">
      <c r="A123" s="6" t="s">
        <v>113</v>
      </c>
      <c r="C123" s="8">
        <f>($B$111/C122)/10^6</f>
        <v>569.04426281098586</v>
      </c>
      <c r="D123" s="8">
        <f t="shared" ref="D123:E123" si="54">($B$111/D122)/10^6</f>
        <v>566.23981373690333</v>
      </c>
      <c r="E123" s="8">
        <f t="shared" si="54"/>
        <v>565.74585635359108</v>
      </c>
    </row>
    <row r="124" spans="1:5" x14ac:dyDescent="0.55000000000000004">
      <c r="A124" s="6" t="s">
        <v>122</v>
      </c>
      <c r="B124" s="7">
        <v>555.20709999999997</v>
      </c>
    </row>
    <row r="125" spans="1:5" x14ac:dyDescent="0.55000000000000004">
      <c r="A125" s="6" t="s">
        <v>22</v>
      </c>
      <c r="C125" s="8">
        <f>ABS($B$124-C123)/$B$124*100</f>
        <v>2.4922524965883701</v>
      </c>
      <c r="D125" s="8">
        <f t="shared" ref="D125:E125" si="55">ABS($B$124-D123)/$B$124*100</f>
        <v>1.9871348433590568</v>
      </c>
      <c r="E125" s="8">
        <f t="shared" si="55"/>
        <v>1.8981667117713572</v>
      </c>
    </row>
    <row r="126" spans="1:5" x14ac:dyDescent="0.55000000000000004">
      <c r="A126" s="26" t="s">
        <v>196</v>
      </c>
      <c r="B126" s="26"/>
      <c r="C126" s="26">
        <v>171.2</v>
      </c>
    </row>
    <row r="127" spans="1:5" x14ac:dyDescent="0.55000000000000004">
      <c r="A127" s="26" t="s">
        <v>197</v>
      </c>
      <c r="B127" s="26"/>
      <c r="C127" s="26"/>
    </row>
    <row r="128" spans="1:5" x14ac:dyDescent="0.55000000000000004">
      <c r="A128" s="26" t="s">
        <v>198</v>
      </c>
      <c r="B128" s="26"/>
      <c r="C128" s="26"/>
    </row>
    <row r="129" spans="1:16" x14ac:dyDescent="0.55000000000000004">
      <c r="A129" s="6" t="s">
        <v>125</v>
      </c>
    </row>
    <row r="130" spans="1:16" x14ac:dyDescent="0.55000000000000004">
      <c r="A130" s="6" t="s">
        <v>114</v>
      </c>
      <c r="B130" s="6">
        <f>10*10^6</f>
        <v>10000000</v>
      </c>
      <c r="H130" s="11"/>
    </row>
    <row r="131" spans="1:16" x14ac:dyDescent="0.55000000000000004">
      <c r="A131" s="6" t="s">
        <v>63</v>
      </c>
      <c r="C131" s="7">
        <v>2</v>
      </c>
      <c r="D131" s="7">
        <v>4</v>
      </c>
      <c r="E131" s="7">
        <v>6</v>
      </c>
      <c r="F131" s="7">
        <v>8</v>
      </c>
      <c r="G131" s="7">
        <v>12</v>
      </c>
      <c r="H131" s="7"/>
      <c r="I131" s="7"/>
      <c r="J131" s="7"/>
      <c r="K131" s="7"/>
      <c r="L131" s="7"/>
      <c r="M131" s="7"/>
      <c r="O131" s="7">
        <v>2</v>
      </c>
      <c r="P131" s="7">
        <v>2</v>
      </c>
    </row>
    <row r="132" spans="1:16" x14ac:dyDescent="0.55000000000000004">
      <c r="A132" s="6" t="s">
        <v>64</v>
      </c>
      <c r="C132" s="8">
        <f>$B$9*C131</f>
        <v>48.64</v>
      </c>
      <c r="D132" s="8">
        <f>$B$9*D131</f>
        <v>97.28</v>
      </c>
      <c r="E132" s="8">
        <f t="shared" ref="E132:G132" si="56">$B$9*E131</f>
        <v>145.92000000000002</v>
      </c>
      <c r="F132" s="8">
        <f t="shared" si="56"/>
        <v>194.56</v>
      </c>
      <c r="G132" s="8">
        <f t="shared" si="56"/>
        <v>291.84000000000003</v>
      </c>
      <c r="H132" s="8"/>
      <c r="I132" s="8"/>
      <c r="J132" s="8"/>
      <c r="K132" s="8"/>
      <c r="L132" s="8"/>
      <c r="M132" s="8"/>
      <c r="O132" s="8">
        <f>$B$9*O131</f>
        <v>48.64</v>
      </c>
      <c r="P132" s="8">
        <f>$B$9*P131</f>
        <v>48.64</v>
      </c>
    </row>
    <row r="133" spans="1:16" x14ac:dyDescent="0.55000000000000004">
      <c r="A133" s="6" t="s">
        <v>115</v>
      </c>
      <c r="B133" s="4" t="s">
        <v>128</v>
      </c>
      <c r="C133" s="8">
        <f>C135*B6/1000000</f>
        <v>6.3377919999999996E-4</v>
      </c>
      <c r="D133" s="8">
        <f>D135*D132/1000000</f>
        <v>2.5351167999999999E-3</v>
      </c>
      <c r="E133" s="8">
        <f>E135*E132/1000000</f>
        <v>3.8026752000000002E-3</v>
      </c>
      <c r="F133" s="8">
        <f>F135*F132/1000000</f>
        <v>5.0702335999999997E-3</v>
      </c>
      <c r="G133" s="8">
        <f>G135*G132/1000000</f>
        <v>7.6053504000000004E-3</v>
      </c>
      <c r="H133" s="8"/>
      <c r="I133" s="8"/>
      <c r="J133" s="8"/>
      <c r="K133" s="8"/>
      <c r="L133" s="8"/>
      <c r="M133" s="8"/>
      <c r="O133" s="8">
        <f>O132*O135/1000000</f>
        <v>7.3456128000000008E-3</v>
      </c>
      <c r="P133" s="8">
        <f>P132*P135/1000000</f>
        <v>1.2242688E-2</v>
      </c>
    </row>
    <row r="134" spans="1:16" x14ac:dyDescent="0.55000000000000004">
      <c r="A134" s="6" t="s">
        <v>77</v>
      </c>
      <c r="C134" s="7">
        <v>2</v>
      </c>
      <c r="D134" s="7">
        <v>2</v>
      </c>
      <c r="E134" s="7">
        <v>2</v>
      </c>
      <c r="F134" s="7">
        <v>2</v>
      </c>
      <c r="G134" s="7">
        <v>2</v>
      </c>
      <c r="H134" s="7"/>
      <c r="I134" s="7"/>
      <c r="J134" s="7"/>
      <c r="K134" s="7"/>
      <c r="L134" s="7"/>
      <c r="M134" s="7"/>
      <c r="O134" s="7">
        <v>6</v>
      </c>
      <c r="P134" s="7">
        <v>10</v>
      </c>
    </row>
    <row r="135" spans="1:16" x14ac:dyDescent="0.55000000000000004">
      <c r="A135" s="6" t="s">
        <v>82</v>
      </c>
      <c r="C135" s="8">
        <f>$B$10*C134</f>
        <v>26.06</v>
      </c>
      <c r="D135" s="8">
        <f>$B$10*D134</f>
        <v>26.06</v>
      </c>
      <c r="E135" s="8">
        <f t="shared" ref="E135:G135" si="57">$B$10*E134</f>
        <v>26.06</v>
      </c>
      <c r="F135" s="8">
        <f t="shared" si="57"/>
        <v>26.06</v>
      </c>
      <c r="G135" s="8">
        <f t="shared" si="57"/>
        <v>26.06</v>
      </c>
      <c r="H135" s="8"/>
      <c r="I135" s="8"/>
      <c r="J135" s="8"/>
      <c r="K135" s="8"/>
      <c r="L135" s="8"/>
      <c r="M135" s="8"/>
      <c r="O135" s="8">
        <f>$B$8*O134</f>
        <v>151.02000000000001</v>
      </c>
      <c r="P135" s="8">
        <f>$B$8*P134</f>
        <v>251.70000000000002</v>
      </c>
    </row>
    <row r="136" spans="1:16" x14ac:dyDescent="0.55000000000000004">
      <c r="A136" s="6" t="s">
        <v>116</v>
      </c>
      <c r="C136" s="8">
        <f>C132*C135/1000000</f>
        <v>1.2675583999999999E-3</v>
      </c>
      <c r="D136" s="8">
        <f>D132*D135/1000000</f>
        <v>2.5351167999999999E-3</v>
      </c>
      <c r="E136" s="8">
        <f>E132*E135/1000000</f>
        <v>3.8026752000000002E-3</v>
      </c>
      <c r="F136" s="8">
        <f>F132*F135/1000000</f>
        <v>5.0702335999999997E-3</v>
      </c>
      <c r="G136" s="8">
        <f>G132*G135/1000000</f>
        <v>7.6053504000000004E-3</v>
      </c>
      <c r="H136" s="8"/>
      <c r="I136" s="8"/>
      <c r="J136" s="8"/>
      <c r="K136" s="8"/>
      <c r="L136" s="8"/>
      <c r="M136" s="8"/>
      <c r="O136" s="8">
        <f>$B$6*O135/1000000</f>
        <v>3.6728064000000004E-3</v>
      </c>
      <c r="P136" s="8">
        <f>$B$6*P135/1000000</f>
        <v>6.1213439999999999E-3</v>
      </c>
    </row>
    <row r="137" spans="1:16" x14ac:dyDescent="0.55000000000000004">
      <c r="A137" s="6" t="s">
        <v>117</v>
      </c>
      <c r="C137" s="8">
        <f>$B$111*C133</f>
        <v>6337.7919999999995</v>
      </c>
      <c r="D137" s="8">
        <f t="shared" ref="D137:G137" si="58">$B$111*D133</f>
        <v>25351.167999999998</v>
      </c>
      <c r="E137" s="8">
        <f t="shared" si="58"/>
        <v>38026.752</v>
      </c>
      <c r="F137" s="8">
        <f t="shared" si="58"/>
        <v>50702.335999999996</v>
      </c>
      <c r="G137" s="8">
        <f t="shared" si="58"/>
        <v>76053.504000000001</v>
      </c>
      <c r="H137" s="8"/>
      <c r="I137" s="8"/>
      <c r="J137" s="8"/>
      <c r="K137" s="8"/>
      <c r="L137" s="8"/>
      <c r="M137" s="8"/>
      <c r="O137" s="8">
        <f>$B$111*O133</f>
        <v>73456.128000000012</v>
      </c>
      <c r="P137" s="8">
        <f>$B$111*P133</f>
        <v>122426.88</v>
      </c>
    </row>
    <row r="138" spans="1:16" x14ac:dyDescent="0.55000000000000004">
      <c r="A138" s="6" t="s">
        <v>118</v>
      </c>
      <c r="C138" s="8">
        <f>$B$111*C136</f>
        <v>12675.583999999999</v>
      </c>
      <c r="D138" s="8">
        <f t="shared" ref="D138:G138" si="59">$B$111*D136</f>
        <v>25351.167999999998</v>
      </c>
      <c r="E138" s="8">
        <f t="shared" si="59"/>
        <v>38026.752</v>
      </c>
      <c r="F138" s="8">
        <f t="shared" si="59"/>
        <v>50702.335999999996</v>
      </c>
      <c r="G138" s="8">
        <f t="shared" si="59"/>
        <v>76053.504000000001</v>
      </c>
      <c r="H138" s="8"/>
      <c r="I138" s="8"/>
      <c r="J138" s="8"/>
      <c r="K138" s="8"/>
      <c r="L138" s="8"/>
      <c r="M138" s="8"/>
      <c r="O138" s="8">
        <f>$B$111*O136</f>
        <v>36728.064000000006</v>
      </c>
      <c r="P138" s="8">
        <f>$B$111*P136</f>
        <v>61213.440000000002</v>
      </c>
    </row>
    <row r="139" spans="1:16" x14ac:dyDescent="0.55000000000000004">
      <c r="A139" s="6" t="s">
        <v>119</v>
      </c>
      <c r="C139" s="8">
        <f>B6</f>
        <v>24.32</v>
      </c>
      <c r="D139" s="8">
        <f t="shared" ref="D139:G139" si="60">D135</f>
        <v>26.06</v>
      </c>
      <c r="E139" s="8">
        <f t="shared" si="60"/>
        <v>26.06</v>
      </c>
      <c r="F139" s="8">
        <f t="shared" si="60"/>
        <v>26.06</v>
      </c>
      <c r="G139" s="8">
        <f t="shared" si="60"/>
        <v>26.06</v>
      </c>
      <c r="H139" s="8"/>
      <c r="I139" s="8"/>
      <c r="J139" s="8"/>
      <c r="K139" s="8"/>
      <c r="L139" s="8"/>
      <c r="M139" s="8"/>
      <c r="O139" s="8">
        <f>O132</f>
        <v>48.64</v>
      </c>
      <c r="P139" s="8">
        <f>P132</f>
        <v>48.64</v>
      </c>
    </row>
    <row r="140" spans="1:16" x14ac:dyDescent="0.55000000000000004">
      <c r="A140" s="6" t="s">
        <v>120</v>
      </c>
      <c r="C140" s="7">
        <v>2.4289999999999998</v>
      </c>
      <c r="D140" s="7">
        <v>9.3840000000000003</v>
      </c>
      <c r="E140" s="7">
        <v>14.02</v>
      </c>
      <c r="F140" s="7">
        <v>18.670000000000002</v>
      </c>
      <c r="G140" s="7">
        <v>27.96</v>
      </c>
      <c r="H140" s="7"/>
      <c r="I140" s="7"/>
      <c r="J140" s="7"/>
      <c r="K140" s="7"/>
      <c r="L140" s="7"/>
      <c r="O140" s="7">
        <v>6.1840000000000002</v>
      </c>
      <c r="P140" s="7">
        <v>6.1820000000000004</v>
      </c>
    </row>
    <row r="141" spans="1:16" x14ac:dyDescent="0.55000000000000004">
      <c r="A141" s="6" t="s">
        <v>121</v>
      </c>
      <c r="B141" s="12"/>
      <c r="C141" s="8">
        <f>C140/B6</f>
        <v>9.9876644736842102E-2</v>
      </c>
      <c r="D141" s="8">
        <f>D140/D132</f>
        <v>9.6463815789473689E-2</v>
      </c>
      <c r="E141" s="8">
        <f t="shared" ref="E141:G141" si="61">E140/E132</f>
        <v>9.6080043859649106E-2</v>
      </c>
      <c r="F141" s="8">
        <f t="shared" si="61"/>
        <v>9.5960115131578955E-2</v>
      </c>
      <c r="G141" s="8">
        <f t="shared" si="61"/>
        <v>9.5805921052631568E-2</v>
      </c>
      <c r="H141" s="8"/>
      <c r="I141" s="8"/>
      <c r="J141" s="8"/>
      <c r="K141" s="8"/>
      <c r="L141" s="8"/>
      <c r="M141" s="8"/>
      <c r="O141" s="8">
        <f>ATAN(O140/O132)</f>
        <v>0.12645970072598486</v>
      </c>
      <c r="P141" s="8">
        <f>ATAN(P140/P132)</f>
        <v>0.12641923616704734</v>
      </c>
    </row>
    <row r="142" spans="1:16" x14ac:dyDescent="0.55000000000000004">
      <c r="A142" s="6" t="s">
        <v>125</v>
      </c>
      <c r="B142" s="12"/>
      <c r="C142" s="8">
        <f>($B$111/C141)/10^6</f>
        <v>100.12350761630302</v>
      </c>
      <c r="D142" s="8">
        <f t="shared" ref="D142:G142" si="62">($B$111/D141)/10^6</f>
        <v>103.66581415174764</v>
      </c>
      <c r="E142" s="8">
        <f t="shared" si="62"/>
        <v>104.07988587731813</v>
      </c>
      <c r="F142" s="8">
        <f t="shared" si="62"/>
        <v>104.20996250669522</v>
      </c>
      <c r="G142" s="8">
        <f t="shared" si="62"/>
        <v>104.37768240343348</v>
      </c>
      <c r="H142" s="8"/>
      <c r="I142" s="8"/>
      <c r="J142" s="8"/>
      <c r="K142" s="8"/>
      <c r="L142" s="8"/>
      <c r="M142" s="8"/>
      <c r="O142" s="8">
        <f>($B$111/O141)/10^6</f>
        <v>79.076574929337994</v>
      </c>
      <c r="P142" s="8">
        <f>($B$111/P141)/10^6</f>
        <v>79.101885940730099</v>
      </c>
    </row>
    <row r="143" spans="1:16" x14ac:dyDescent="0.55000000000000004">
      <c r="A143" s="6" t="s">
        <v>126</v>
      </c>
      <c r="B143" s="19">
        <v>104.65479999999999</v>
      </c>
    </row>
    <row r="144" spans="1:16" x14ac:dyDescent="0.55000000000000004">
      <c r="A144" s="6" t="s">
        <v>22</v>
      </c>
      <c r="C144" s="8">
        <f>ABS($B$143-C142)/C142*100</f>
        <v>4.5257027960526148</v>
      </c>
      <c r="D144" s="8">
        <f t="shared" ref="D144:G144" si="63">ABS($B$143-D142)/D142*100</f>
        <v>0.95401348684211562</v>
      </c>
      <c r="E144" s="8">
        <f t="shared" si="63"/>
        <v>0.55237774122804872</v>
      </c>
      <c r="F144" s="8">
        <f t="shared" si="63"/>
        <v>0.42686657072369144</v>
      </c>
      <c r="G144" s="8">
        <f t="shared" si="63"/>
        <v>0.2654950657894628</v>
      </c>
      <c r="H144" s="8"/>
      <c r="I144" s="8"/>
      <c r="J144" s="8"/>
      <c r="K144" s="8"/>
      <c r="L144" s="8"/>
      <c r="M144" s="8"/>
      <c r="O144" s="8">
        <f>ABS($B$143-O142)/$B$143*100</f>
        <v>24.440565622085181</v>
      </c>
      <c r="P144" s="8">
        <f>ABS($B$143-P142)/$B$143*100</f>
        <v>24.416380385104073</v>
      </c>
    </row>
    <row r="145" spans="1:10" x14ac:dyDescent="0.55000000000000004">
      <c r="A145" s="26" t="s">
        <v>196</v>
      </c>
      <c r="B145" s="26"/>
      <c r="C145" s="26">
        <v>35.979999999999997</v>
      </c>
    </row>
    <row r="146" spans="1:10" x14ac:dyDescent="0.55000000000000004">
      <c r="A146" s="26" t="s">
        <v>197</v>
      </c>
      <c r="B146" s="26"/>
      <c r="C146" s="26"/>
    </row>
    <row r="147" spans="1:10" x14ac:dyDescent="0.55000000000000004">
      <c r="A147" s="26" t="s">
        <v>198</v>
      </c>
      <c r="B147" s="26"/>
      <c r="C147" s="26"/>
    </row>
    <row r="149" spans="1:10" x14ac:dyDescent="0.55000000000000004">
      <c r="A149" s="6" t="s">
        <v>123</v>
      </c>
    </row>
    <row r="150" spans="1:10" x14ac:dyDescent="0.55000000000000004">
      <c r="A150" s="6" t="s">
        <v>114</v>
      </c>
      <c r="B150" s="6">
        <f>10*10^6</f>
        <v>10000000</v>
      </c>
    </row>
    <row r="151" spans="1:10" x14ac:dyDescent="0.55000000000000004">
      <c r="A151" s="6" t="s">
        <v>63</v>
      </c>
      <c r="C151" s="7">
        <v>2</v>
      </c>
      <c r="D151" s="7">
        <v>4</v>
      </c>
      <c r="E151" s="7">
        <v>8</v>
      </c>
      <c r="F151" s="7">
        <v>12</v>
      </c>
      <c r="G151" s="7"/>
      <c r="H151" s="7">
        <v>6</v>
      </c>
      <c r="I151" s="7">
        <v>6</v>
      </c>
      <c r="J151" s="7">
        <v>10</v>
      </c>
    </row>
    <row r="152" spans="1:10" x14ac:dyDescent="0.55000000000000004">
      <c r="A152" s="6" t="s">
        <v>64</v>
      </c>
      <c r="C152" s="8">
        <f>$B$9*C151</f>
        <v>48.64</v>
      </c>
      <c r="D152" s="8">
        <f>$B$9*D151</f>
        <v>97.28</v>
      </c>
      <c r="E152" s="8">
        <f>$B$9*E151</f>
        <v>194.56</v>
      </c>
      <c r="F152" s="8">
        <f>$B$9*F151</f>
        <v>291.84000000000003</v>
      </c>
      <c r="G152" s="8"/>
      <c r="H152" s="8">
        <f t="shared" ref="H152:J152" si="64">$B$9*H151</f>
        <v>145.92000000000002</v>
      </c>
      <c r="I152" s="8">
        <f t="shared" si="64"/>
        <v>145.92000000000002</v>
      </c>
      <c r="J152" s="8">
        <f t="shared" si="64"/>
        <v>243.2</v>
      </c>
    </row>
    <row r="153" spans="1:10" x14ac:dyDescent="0.55000000000000004">
      <c r="A153" s="6" t="s">
        <v>115</v>
      </c>
      <c r="C153" s="8">
        <f>C152*C156/1000000</f>
        <v>1.1829248E-3</v>
      </c>
      <c r="D153" s="8">
        <f>D152*D156/1000000</f>
        <v>9.4633983999999997E-3</v>
      </c>
      <c r="E153" s="8">
        <f>E152*E156/1000000</f>
        <v>3.7853593599999999E-2</v>
      </c>
      <c r="F153" s="8">
        <f>F152*F156/1000000</f>
        <v>8.5170585600000015E-2</v>
      </c>
      <c r="G153" s="8"/>
      <c r="H153" s="8">
        <f>H152*H156/1000000</f>
        <v>1.3132800000000002E-2</v>
      </c>
      <c r="I153" s="8">
        <f>I152*I156/1000000</f>
        <v>4.3776000000000006E-3</v>
      </c>
      <c r="J153" s="8">
        <f>J152*B6/1000000</f>
        <v>5.9146239999999994E-3</v>
      </c>
    </row>
    <row r="154" spans="1:10" x14ac:dyDescent="0.55000000000000004">
      <c r="A154" s="6" t="s">
        <v>77</v>
      </c>
      <c r="C154" s="7">
        <v>2</v>
      </c>
      <c r="D154" s="7">
        <v>2</v>
      </c>
      <c r="E154" s="7">
        <v>2</v>
      </c>
      <c r="F154" s="7">
        <v>2</v>
      </c>
      <c r="G154" s="7"/>
      <c r="H154" s="7">
        <v>2</v>
      </c>
      <c r="I154" s="7">
        <v>2</v>
      </c>
      <c r="J154" s="7">
        <v>2</v>
      </c>
    </row>
    <row r="155" spans="1:10" x14ac:dyDescent="0.55000000000000004">
      <c r="A155" s="6" t="s">
        <v>82</v>
      </c>
      <c r="C155" s="8">
        <f>B10*C154</f>
        <v>26.06</v>
      </c>
      <c r="D155" s="8">
        <f>$B$10*D154</f>
        <v>26.06</v>
      </c>
      <c r="E155" s="8">
        <f>$B$10*E154</f>
        <v>26.06</v>
      </c>
      <c r="F155" s="8">
        <f>$B$10*F154</f>
        <v>26.06</v>
      </c>
      <c r="G155" s="8"/>
      <c r="H155" s="8">
        <f>$B$8*H154</f>
        <v>50.34</v>
      </c>
      <c r="I155" s="8">
        <f>$B$8*I154</f>
        <v>50.34</v>
      </c>
      <c r="J155" s="8">
        <f>$B$8*J154</f>
        <v>50.34</v>
      </c>
    </row>
    <row r="156" spans="1:10" x14ac:dyDescent="0.55000000000000004">
      <c r="A156" s="6" t="s">
        <v>124</v>
      </c>
      <c r="C156" s="7">
        <f>B6</f>
        <v>24.32</v>
      </c>
      <c r="D156" s="7">
        <f>D152</f>
        <v>97.28</v>
      </c>
      <c r="E156" s="7">
        <f>E152</f>
        <v>194.56</v>
      </c>
      <c r="F156" s="7">
        <f>F152</f>
        <v>291.84000000000003</v>
      </c>
      <c r="G156" s="7">
        <f t="shared" ref="G156" si="65">G155</f>
        <v>0</v>
      </c>
      <c r="H156" s="7">
        <v>90</v>
      </c>
      <c r="I156" s="7">
        <v>30</v>
      </c>
      <c r="J156" s="7">
        <v>30</v>
      </c>
    </row>
    <row r="157" spans="1:10" x14ac:dyDescent="0.55000000000000004">
      <c r="A157" s="6" t="s">
        <v>116</v>
      </c>
      <c r="C157" s="8">
        <f>C152*C155/1000000</f>
        <v>1.2675583999999999E-3</v>
      </c>
      <c r="D157" s="8">
        <f>D152*D155/1000000</f>
        <v>2.5351167999999999E-3</v>
      </c>
      <c r="E157" s="8">
        <f>E152*E155/1000000</f>
        <v>5.0702335999999997E-3</v>
      </c>
      <c r="F157" s="8">
        <f>F152*F155/1000000</f>
        <v>7.6053504000000004E-3</v>
      </c>
      <c r="G157" s="8"/>
      <c r="H157" s="8">
        <f>H152*H155/1000000</f>
        <v>7.3456128000000016E-3</v>
      </c>
      <c r="I157" s="8">
        <f>I152*I155/1000000</f>
        <v>7.3456128000000016E-3</v>
      </c>
      <c r="J157" s="8">
        <f>J152*J155/1000000</f>
        <v>1.2242688E-2</v>
      </c>
    </row>
    <row r="158" spans="1:10" x14ac:dyDescent="0.55000000000000004">
      <c r="A158" s="6" t="s">
        <v>117</v>
      </c>
      <c r="C158" s="8">
        <f>$B$111*C153</f>
        <v>11829.248</v>
      </c>
      <c r="D158" s="8">
        <f>$B$111*D153</f>
        <v>94633.983999999997</v>
      </c>
      <c r="E158" s="8">
        <f>$B$111*E153</f>
        <v>378535.93599999999</v>
      </c>
      <c r="F158" s="8">
        <f>$B$111*F153</f>
        <v>851705.85600000015</v>
      </c>
      <c r="G158" s="8"/>
      <c r="H158" s="8">
        <f>$B$111*H153</f>
        <v>131328.00000000003</v>
      </c>
      <c r="I158" s="8">
        <f>$B$111*I153</f>
        <v>43776.000000000007</v>
      </c>
      <c r="J158" s="8">
        <f>$B$111*J153</f>
        <v>59146.239999999991</v>
      </c>
    </row>
    <row r="159" spans="1:10" x14ac:dyDescent="0.55000000000000004">
      <c r="A159" s="6" t="s">
        <v>118</v>
      </c>
      <c r="C159" s="17">
        <f>$B$111*C157</f>
        <v>12675.583999999999</v>
      </c>
      <c r="D159" s="8">
        <f>$B$111*D157</f>
        <v>25351.167999999998</v>
      </c>
      <c r="E159" s="8">
        <f>$B$111*E157</f>
        <v>50702.335999999996</v>
      </c>
      <c r="F159" s="8">
        <f>$B$111*F157</f>
        <v>76053.504000000001</v>
      </c>
      <c r="G159" s="8"/>
      <c r="H159" s="8">
        <f t="shared" ref="H159:J159" si="66">$B$111*H157</f>
        <v>73456.128000000012</v>
      </c>
      <c r="I159" s="8">
        <f t="shared" si="66"/>
        <v>73456.128000000012</v>
      </c>
      <c r="J159" s="8">
        <f t="shared" si="66"/>
        <v>122426.88</v>
      </c>
    </row>
    <row r="160" spans="1:10" x14ac:dyDescent="0.55000000000000004">
      <c r="A160" s="6" t="s">
        <v>119</v>
      </c>
      <c r="C160" s="8">
        <f>C156</f>
        <v>24.32</v>
      </c>
      <c r="D160" s="8">
        <f>D156</f>
        <v>97.28</v>
      </c>
      <c r="E160" s="8">
        <f>E156</f>
        <v>194.56</v>
      </c>
      <c r="F160" s="8">
        <f>F156</f>
        <v>291.84000000000003</v>
      </c>
      <c r="G160" s="8"/>
      <c r="H160" s="8">
        <f t="shared" ref="H160:J160" si="67">H155</f>
        <v>50.34</v>
      </c>
      <c r="I160" s="8">
        <f t="shared" si="67"/>
        <v>50.34</v>
      </c>
      <c r="J160" s="8">
        <f t="shared" si="67"/>
        <v>50.34</v>
      </c>
    </row>
    <row r="161" spans="1:10" x14ac:dyDescent="0.55000000000000004">
      <c r="A161" s="6" t="s">
        <v>120</v>
      </c>
      <c r="C161" s="7">
        <v>6.7249999999999996</v>
      </c>
      <c r="D161" s="7">
        <v>25.994701385498001</v>
      </c>
      <c r="E161" s="7">
        <v>52.63</v>
      </c>
      <c r="F161" s="7">
        <v>79.77</v>
      </c>
      <c r="G161" s="7"/>
      <c r="H161" s="7">
        <v>16.22</v>
      </c>
      <c r="I161" s="7">
        <v>5.4249999999999998</v>
      </c>
      <c r="J161" s="7">
        <v>5.649</v>
      </c>
    </row>
    <row r="162" spans="1:10" x14ac:dyDescent="0.55000000000000004">
      <c r="A162" s="6" t="s">
        <v>121</v>
      </c>
      <c r="C162" s="8">
        <f>C161/C160</f>
        <v>0.27652138157894735</v>
      </c>
      <c r="D162" s="8">
        <f>D161/D156</f>
        <v>0.26721526917658306</v>
      </c>
      <c r="E162" s="8">
        <f t="shared" ref="E162:F162" si="68">E161/E156</f>
        <v>0.2705078125</v>
      </c>
      <c r="F162" s="8">
        <f t="shared" si="68"/>
        <v>0.27333470394736836</v>
      </c>
      <c r="G162" s="8"/>
      <c r="H162" s="8">
        <f>ATAN(H161/H156)</f>
        <v>0.17830817806962931</v>
      </c>
      <c r="I162" s="8">
        <f>ATAN(I161/I156)</f>
        <v>0.17890000147501378</v>
      </c>
      <c r="J162" s="8">
        <f>ATAN(J161/B6)</f>
        <v>0.22823081938431061</v>
      </c>
    </row>
    <row r="163" spans="1:10" x14ac:dyDescent="0.55000000000000004">
      <c r="A163" s="6" t="s">
        <v>123</v>
      </c>
      <c r="C163" s="8">
        <f>($B$111/C162)/10^6</f>
        <v>36.163568773234203</v>
      </c>
      <c r="D163" s="8">
        <f>($B$111/D162)/10^6</f>
        <v>37.423011158062721</v>
      </c>
      <c r="E163" s="8">
        <f>($B$111/E162)/10^6</f>
        <v>36.967509025270758</v>
      </c>
      <c r="F163" s="8">
        <f>($B$111/F162)/10^6</f>
        <v>36.585182399398278</v>
      </c>
      <c r="G163" s="8"/>
      <c r="H163" s="8">
        <f t="shared" ref="H163:J163" si="69">($B$111/H162)/10^6</f>
        <v>56.082677240384349</v>
      </c>
      <c r="I163" s="8">
        <f t="shared" si="69"/>
        <v>55.897148784521711</v>
      </c>
      <c r="J163" s="8">
        <f t="shared" si="69"/>
        <v>43.815292023122069</v>
      </c>
    </row>
    <row r="164" spans="1:10" x14ac:dyDescent="0.55000000000000004">
      <c r="A164" s="6" t="s">
        <v>127</v>
      </c>
      <c r="B164" s="7">
        <v>36.545200000000001</v>
      </c>
    </row>
    <row r="165" spans="1:10" x14ac:dyDescent="0.55000000000000004">
      <c r="A165" s="6" t="s">
        <v>22</v>
      </c>
      <c r="C165" s="8">
        <f>ABS(B164-C163)/C163*100</f>
        <v>1.0552919407894694</v>
      </c>
      <c r="D165" s="8">
        <f>ABS($B$164-D163)/D163*100</f>
        <v>2.345645448879377</v>
      </c>
      <c r="E165" s="8">
        <f>ABS($B$164-E163)/E163*100</f>
        <v>1.1423789062499954</v>
      </c>
      <c r="F165" s="8">
        <f>ABS($B$164-F163)/F163*100</f>
        <v>0.10928577302633323</v>
      </c>
      <c r="G165" s="8"/>
      <c r="H165" s="8">
        <f t="shared" ref="H165:J165" si="70">ABS($B$143-H163)/$B$143*100</f>
        <v>46.411748681967431</v>
      </c>
      <c r="I165" s="8">
        <f t="shared" si="70"/>
        <v>46.589025267334407</v>
      </c>
      <c r="J165" s="8">
        <f t="shared" si="70"/>
        <v>58.133509382157264</v>
      </c>
    </row>
    <row r="166" spans="1:10" x14ac:dyDescent="0.55000000000000004">
      <c r="A166" s="26" t="s">
        <v>196</v>
      </c>
      <c r="B166" s="26"/>
      <c r="C166" s="26">
        <v>133.4</v>
      </c>
    </row>
    <row r="167" spans="1:10" x14ac:dyDescent="0.55000000000000004">
      <c r="A167" s="26" t="s">
        <v>197</v>
      </c>
      <c r="B167" s="26"/>
      <c r="C167" s="26"/>
    </row>
    <row r="168" spans="1:10" x14ac:dyDescent="0.55000000000000004">
      <c r="A168" s="26" t="s">
        <v>198</v>
      </c>
      <c r="B168" s="26"/>
      <c r="C168" s="26"/>
    </row>
    <row r="170" spans="1:10" x14ac:dyDescent="0.55000000000000004">
      <c r="C170" s="7">
        <v>6.7606081959999997</v>
      </c>
    </row>
    <row r="171" spans="1:10" x14ac:dyDescent="0.55000000000000004">
      <c r="E171" s="6" t="s">
        <v>18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5F8F-FE2C-4085-A1F6-B909BEAB50E8}">
  <dimension ref="A1:CR189"/>
  <sheetViews>
    <sheetView tabSelected="1" topLeftCell="A14" zoomScale="17" zoomScaleNormal="10" workbookViewId="0">
      <selection activeCell="AC77" sqref="AC77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6.73046875" style="6" customWidth="1"/>
    <col min="11" max="11" width="15" style="6" customWidth="1"/>
    <col min="12" max="12" width="15.3984375" style="6" customWidth="1"/>
    <col min="13" max="13" width="10.59765625" style="6" bestFit="1" customWidth="1"/>
    <col min="14" max="14" width="10.265625" style="6" bestFit="1" customWidth="1"/>
    <col min="15" max="15" width="19.3984375" style="6" customWidth="1"/>
    <col min="16" max="16" width="23.1328125" style="6" customWidth="1"/>
    <col min="17" max="17" width="10.59765625" style="6" bestFit="1" customWidth="1"/>
    <col min="18" max="18" width="9.1328125" style="6"/>
    <col min="19" max="19" width="16.265625" style="6" customWidth="1"/>
    <col min="20" max="20" width="14.59765625" style="6" customWidth="1"/>
    <col min="21" max="16384" width="9.1328125" style="6"/>
  </cols>
  <sheetData>
    <row r="1" spans="1:15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15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0.39994931231971909</v>
      </c>
    </row>
    <row r="3" spans="1:15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15" x14ac:dyDescent="0.55000000000000004">
      <c r="A4" s="6" t="s">
        <v>2</v>
      </c>
      <c r="B4" s="7">
        <f>C4</f>
        <v>24.32</v>
      </c>
      <c r="C4" s="8">
        <v>24.32</v>
      </c>
      <c r="D4" s="7">
        <f>C1*(1+SIN(C3))/(C2*SIN(C3))</f>
        <v>24.319073218177813</v>
      </c>
    </row>
    <row r="5" spans="1:15" x14ac:dyDescent="0.55000000000000004">
      <c r="A5" s="6" t="s">
        <v>4</v>
      </c>
      <c r="B5" s="7">
        <f>C5</f>
        <v>12.59</v>
      </c>
      <c r="C5" s="8">
        <v>12.59</v>
      </c>
      <c r="D5" s="7">
        <f>2*C1*(1+SIN(C3))/C2</f>
        <v>12.588115870535326</v>
      </c>
    </row>
    <row r="6" spans="1:15" x14ac:dyDescent="0.55000000000000004">
      <c r="A6" s="6" t="s">
        <v>11</v>
      </c>
      <c r="B6" s="7">
        <f>C4</f>
        <v>24.32</v>
      </c>
      <c r="C6" s="8">
        <f>3.75*2</f>
        <v>7.5</v>
      </c>
    </row>
    <row r="7" spans="1:15" x14ac:dyDescent="0.55000000000000004">
      <c r="A7" s="6" t="s">
        <v>5</v>
      </c>
      <c r="B7" s="8">
        <f>C7</f>
        <v>13.03</v>
      </c>
      <c r="C7" s="8">
        <v>13.03</v>
      </c>
      <c r="D7" s="7">
        <f>2*TAN(C3)*C4</f>
        <v>13.032646201099279</v>
      </c>
    </row>
    <row r="8" spans="1:15" x14ac:dyDescent="0.55000000000000004">
      <c r="A8" s="6" t="s">
        <v>6</v>
      </c>
      <c r="B8" s="8">
        <f>C8</f>
        <v>25.17</v>
      </c>
      <c r="C8" s="8">
        <v>25.17</v>
      </c>
      <c r="D8" s="7">
        <f>C4/COS(C3)</f>
        <v>25.177864618564399</v>
      </c>
    </row>
    <row r="9" spans="1:15" x14ac:dyDescent="0.55000000000000004">
      <c r="A9" s="6" t="s">
        <v>61</v>
      </c>
      <c r="B9" s="8">
        <f>B4</f>
        <v>24.32</v>
      </c>
      <c r="C9" s="8">
        <f>D4</f>
        <v>24.319073218177813</v>
      </c>
    </row>
    <row r="10" spans="1:15" x14ac:dyDescent="0.55000000000000004">
      <c r="A10" s="6" t="s">
        <v>62</v>
      </c>
      <c r="B10" s="8">
        <f>B7</f>
        <v>13.03</v>
      </c>
      <c r="C10" s="8">
        <f>D7</f>
        <v>13.032646201099279</v>
      </c>
    </row>
    <row r="11" spans="1:15" x14ac:dyDescent="0.55000000000000004">
      <c r="A11" s="6" t="s">
        <v>63</v>
      </c>
      <c r="B11" s="6">
        <v>1</v>
      </c>
      <c r="C11" s="6">
        <v>2</v>
      </c>
      <c r="E11" s="6" t="s">
        <v>199</v>
      </c>
      <c r="F11" s="6">
        <f>50</f>
        <v>50</v>
      </c>
    </row>
    <row r="12" spans="1:15" x14ac:dyDescent="0.55000000000000004">
      <c r="A12" s="6" t="s">
        <v>64</v>
      </c>
      <c r="B12" s="8">
        <f>$B$9*B11</f>
        <v>24.32</v>
      </c>
      <c r="C12" s="8">
        <f t="shared" ref="C12" si="0">$B$9*C11</f>
        <v>48.64</v>
      </c>
      <c r="E12" s="6" t="s">
        <v>200</v>
      </c>
      <c r="F12" s="6">
        <f>B14*B6</f>
        <v>633.77919999999995</v>
      </c>
    </row>
    <row r="13" spans="1:15" x14ac:dyDescent="0.55000000000000004">
      <c r="A13" s="6" t="s">
        <v>77</v>
      </c>
      <c r="B13" s="6">
        <v>2</v>
      </c>
      <c r="C13" s="6">
        <v>2</v>
      </c>
      <c r="E13" s="6" t="s">
        <v>201</v>
      </c>
      <c r="F13" s="6">
        <f>F11*F12</f>
        <v>31688.959999999999</v>
      </c>
      <c r="H13" s="11" t="s">
        <v>209</v>
      </c>
      <c r="I13" s="11"/>
      <c r="J13" s="11"/>
      <c r="K13" s="11"/>
      <c r="L13" s="11"/>
      <c r="M13" s="11"/>
      <c r="N13" s="11"/>
      <c r="O13" s="11"/>
    </row>
    <row r="14" spans="1:15" x14ac:dyDescent="0.55000000000000004">
      <c r="A14" s="6" t="s">
        <v>65</v>
      </c>
      <c r="B14" s="8">
        <f>$B$10*B13</f>
        <v>26.06</v>
      </c>
      <c r="C14" s="8">
        <f t="shared" ref="C14" si="1">$B$10*C13</f>
        <v>26.06</v>
      </c>
      <c r="H14" s="11"/>
      <c r="I14" s="11"/>
      <c r="J14" s="11"/>
      <c r="K14" s="11"/>
      <c r="L14" s="11"/>
      <c r="M14" s="11"/>
      <c r="N14" s="11"/>
      <c r="O14" s="11"/>
    </row>
    <row r="15" spans="1:15" x14ac:dyDescent="0.55000000000000004">
      <c r="A15" s="6" t="s">
        <v>67</v>
      </c>
      <c r="B15" s="8">
        <f>B14/1000*$B$6/1000</f>
        <v>6.3377919999999996E-4</v>
      </c>
      <c r="C15" s="8">
        <f t="shared" ref="C15" si="2">C14/1000*$B$6/1000</f>
        <v>6.3377919999999996E-4</v>
      </c>
      <c r="H15" s="11" t="s">
        <v>210</v>
      </c>
      <c r="I15" s="11"/>
      <c r="J15" s="11"/>
      <c r="K15" s="11"/>
      <c r="L15" s="11"/>
      <c r="M15" s="11"/>
      <c r="N15" s="11"/>
      <c r="O15" s="11"/>
    </row>
    <row r="16" spans="1:15" x14ac:dyDescent="0.55000000000000004">
      <c r="A16" s="6" t="s">
        <v>73</v>
      </c>
      <c r="B16" s="7">
        <v>0</v>
      </c>
      <c r="C16" s="7">
        <v>0.10100000000000001</v>
      </c>
      <c r="E16" s="6" t="s">
        <v>202</v>
      </c>
      <c r="F16" s="6">
        <f>50</f>
        <v>50</v>
      </c>
    </row>
    <row r="17" spans="1:96" s="9" customFormat="1" x14ac:dyDescent="0.55000000000000004">
      <c r="A17" s="9" t="s">
        <v>66</v>
      </c>
      <c r="C17" s="10">
        <f>($E$1*(C12/1000)/(C15*C16/1000))/(10^6)</f>
        <v>7598.6109739139692</v>
      </c>
      <c r="E17" s="6" t="s">
        <v>200</v>
      </c>
      <c r="F17" s="6">
        <f>B6*C12</f>
        <v>1182.9248</v>
      </c>
    </row>
    <row r="18" spans="1:96" x14ac:dyDescent="0.55000000000000004">
      <c r="A18" s="6" t="s">
        <v>68</v>
      </c>
      <c r="B18" s="7">
        <v>7570</v>
      </c>
      <c r="E18" s="6" t="s">
        <v>203</v>
      </c>
      <c r="F18" s="6">
        <f>F16*F17</f>
        <v>59146.239999999998</v>
      </c>
    </row>
    <row r="19" spans="1:96" s="8" customFormat="1" x14ac:dyDescent="0.55000000000000004">
      <c r="A19" s="8" t="s">
        <v>69</v>
      </c>
      <c r="C19" s="8">
        <f t="shared" ref="C19" si="3">ABS($B$18-C17)/C17*100</f>
        <v>0.37652900000000944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96" s="26" customFormat="1" x14ac:dyDescent="0.55000000000000004">
      <c r="A20" s="26" t="s">
        <v>196</v>
      </c>
      <c r="C20" s="26">
        <v>84.27</v>
      </c>
      <c r="D20" s="26">
        <v>21.7</v>
      </c>
    </row>
    <row r="21" spans="1:96" s="26" customFormat="1" x14ac:dyDescent="0.55000000000000004">
      <c r="A21" s="26" t="s">
        <v>197</v>
      </c>
      <c r="C21" s="26">
        <v>84.32</v>
      </c>
      <c r="D21" s="26">
        <v>21.82</v>
      </c>
    </row>
    <row r="22" spans="1:96" s="26" customFormat="1" x14ac:dyDescent="0.55000000000000004">
      <c r="A22" s="26" t="s">
        <v>198</v>
      </c>
    </row>
    <row r="23" spans="1:96" s="26" customFormat="1" x14ac:dyDescent="0.55000000000000004"/>
    <row r="24" spans="1:96" x14ac:dyDescent="0.55000000000000004">
      <c r="E24" s="6" t="s">
        <v>205</v>
      </c>
      <c r="F24" s="6">
        <v>50</v>
      </c>
    </row>
    <row r="25" spans="1:96" x14ac:dyDescent="0.55000000000000004">
      <c r="E25" s="6" t="s">
        <v>200</v>
      </c>
      <c r="F25" s="6">
        <f>C14*C12</f>
        <v>1267.5583999999999</v>
      </c>
    </row>
    <row r="26" spans="1:96" x14ac:dyDescent="0.55000000000000004">
      <c r="E26" s="6" t="s">
        <v>204</v>
      </c>
      <c r="F26" s="6">
        <f>F24*F25</f>
        <v>63377.919999999998</v>
      </c>
      <c r="I26" s="32" t="s">
        <v>213</v>
      </c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Y26" s="32" t="s">
        <v>214</v>
      </c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N26" s="32" t="s">
        <v>216</v>
      </c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BC26" s="32" t="s">
        <v>215</v>
      </c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Q26" s="32" t="s">
        <v>217</v>
      </c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G26" s="32" t="s">
        <v>218</v>
      </c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</row>
    <row r="27" spans="1:96" x14ac:dyDescent="0.55000000000000004">
      <c r="I27" s="31">
        <v>30</v>
      </c>
      <c r="J27" s="31"/>
      <c r="K27" s="31"/>
      <c r="L27" s="31"/>
      <c r="M27" s="31">
        <v>60</v>
      </c>
      <c r="N27" s="31"/>
      <c r="O27" s="31"/>
      <c r="P27" s="31"/>
      <c r="Q27" s="32">
        <v>120</v>
      </c>
      <c r="R27" s="32"/>
      <c r="S27" s="32"/>
      <c r="T27" s="32"/>
      <c r="U27" s="31"/>
      <c r="V27" s="31"/>
      <c r="W27" s="31"/>
      <c r="X27" s="31"/>
      <c r="Y27" s="31">
        <v>30</v>
      </c>
      <c r="Z27" s="31"/>
      <c r="AA27" s="31"/>
      <c r="AB27" s="31"/>
      <c r="AC27" s="31">
        <v>60</v>
      </c>
      <c r="AD27" s="31"/>
      <c r="AE27" s="31"/>
      <c r="AF27" s="31"/>
      <c r="AG27" s="32">
        <v>120</v>
      </c>
      <c r="AH27" s="32"/>
      <c r="AI27" s="32"/>
      <c r="AJ27" s="32"/>
      <c r="AN27" s="31">
        <v>30</v>
      </c>
      <c r="AO27" s="31"/>
      <c r="AP27" s="31"/>
      <c r="AQ27" s="31"/>
      <c r="AR27" s="31">
        <v>60</v>
      </c>
      <c r="AS27" s="31"/>
      <c r="AT27" s="31"/>
      <c r="AU27" s="31"/>
      <c r="AV27" s="32">
        <v>120</v>
      </c>
      <c r="AW27" s="32"/>
      <c r="AX27" s="32"/>
      <c r="AY27" s="32"/>
      <c r="BC27" s="31">
        <v>30</v>
      </c>
      <c r="BD27" s="31"/>
      <c r="BE27" s="31"/>
      <c r="BF27" s="31"/>
      <c r="BG27" s="31">
        <v>60</v>
      </c>
      <c r="BH27" s="31"/>
      <c r="BI27" s="31"/>
      <c r="BJ27" s="31"/>
      <c r="BK27" s="32">
        <v>120</v>
      </c>
      <c r="BL27" s="32"/>
      <c r="BM27" s="32"/>
      <c r="BN27" s="32"/>
      <c r="BQ27" s="31">
        <v>30</v>
      </c>
      <c r="BR27" s="31"/>
      <c r="BS27" s="31"/>
      <c r="BT27" s="31"/>
      <c r="BU27" s="31">
        <v>60</v>
      </c>
      <c r="BV27" s="31"/>
      <c r="BW27" s="31"/>
      <c r="BX27" s="31"/>
      <c r="BY27" s="32">
        <v>120</v>
      </c>
      <c r="BZ27" s="32"/>
      <c r="CA27" s="32"/>
      <c r="CB27" s="32"/>
      <c r="CG27" s="31">
        <v>30</v>
      </c>
      <c r="CH27" s="31"/>
      <c r="CI27" s="31"/>
      <c r="CJ27" s="31"/>
      <c r="CK27" s="31">
        <v>60</v>
      </c>
      <c r="CL27" s="31"/>
      <c r="CM27" s="31"/>
      <c r="CN27" s="31"/>
      <c r="CO27" s="32">
        <v>120</v>
      </c>
      <c r="CP27" s="32"/>
      <c r="CQ27" s="32"/>
      <c r="CR27" s="32"/>
    </row>
    <row r="28" spans="1:96" ht="54" x14ac:dyDescent="0.55000000000000004">
      <c r="I28" s="30" t="s">
        <v>223</v>
      </c>
      <c r="J28" s="30" t="s">
        <v>224</v>
      </c>
      <c r="K28" s="30" t="s">
        <v>225</v>
      </c>
      <c r="L28" s="30" t="s">
        <v>226</v>
      </c>
      <c r="M28" s="30" t="s">
        <v>223</v>
      </c>
      <c r="N28" s="30" t="s">
        <v>224</v>
      </c>
      <c r="O28" s="30" t="s">
        <v>225</v>
      </c>
      <c r="P28" s="30" t="s">
        <v>226</v>
      </c>
      <c r="Q28" s="30" t="s">
        <v>223</v>
      </c>
      <c r="R28" s="30" t="s">
        <v>224</v>
      </c>
      <c r="S28" s="30" t="s">
        <v>225</v>
      </c>
      <c r="T28" s="30" t="s">
        <v>226</v>
      </c>
      <c r="U28" s="30"/>
      <c r="V28" s="30"/>
      <c r="W28" s="30"/>
      <c r="X28" s="30"/>
      <c r="Y28" s="30" t="s">
        <v>223</v>
      </c>
      <c r="Z28" s="30" t="s">
        <v>224</v>
      </c>
      <c r="AA28" s="30" t="s">
        <v>225</v>
      </c>
      <c r="AB28" s="30" t="s">
        <v>226</v>
      </c>
      <c r="AC28" s="30" t="s">
        <v>223</v>
      </c>
      <c r="AD28" s="30" t="s">
        <v>224</v>
      </c>
      <c r="AE28" s="30" t="s">
        <v>225</v>
      </c>
      <c r="AF28" s="30" t="s">
        <v>226</v>
      </c>
      <c r="AG28" s="30" t="s">
        <v>223</v>
      </c>
      <c r="AH28" s="30" t="s">
        <v>224</v>
      </c>
      <c r="AI28" s="30" t="s">
        <v>225</v>
      </c>
      <c r="AJ28" s="30" t="s">
        <v>226</v>
      </c>
      <c r="AN28" s="30" t="s">
        <v>223</v>
      </c>
      <c r="AO28" s="30" t="s">
        <v>224</v>
      </c>
      <c r="AP28" s="30" t="s">
        <v>225</v>
      </c>
      <c r="AQ28" s="30" t="s">
        <v>226</v>
      </c>
      <c r="AR28" s="30" t="s">
        <v>223</v>
      </c>
      <c r="AS28" s="30" t="s">
        <v>224</v>
      </c>
      <c r="AT28" s="30" t="s">
        <v>225</v>
      </c>
      <c r="AU28" s="30" t="s">
        <v>226</v>
      </c>
      <c r="AV28" s="30" t="s">
        <v>223</v>
      </c>
      <c r="AW28" s="30" t="s">
        <v>224</v>
      </c>
      <c r="AX28" s="30" t="s">
        <v>225</v>
      </c>
      <c r="AY28" s="30" t="s">
        <v>226</v>
      </c>
      <c r="BC28" s="30" t="s">
        <v>223</v>
      </c>
      <c r="BD28" s="30" t="s">
        <v>224</v>
      </c>
      <c r="BE28" s="30" t="s">
        <v>225</v>
      </c>
      <c r="BF28" s="30" t="s">
        <v>226</v>
      </c>
      <c r="BG28" s="30" t="s">
        <v>223</v>
      </c>
      <c r="BH28" s="30" t="s">
        <v>224</v>
      </c>
      <c r="BI28" s="30" t="s">
        <v>225</v>
      </c>
      <c r="BJ28" s="30" t="s">
        <v>226</v>
      </c>
      <c r="BK28" s="30" t="s">
        <v>223</v>
      </c>
      <c r="BL28" s="30" t="s">
        <v>224</v>
      </c>
      <c r="BM28" s="30" t="s">
        <v>225</v>
      </c>
      <c r="BN28" s="30" t="s">
        <v>226</v>
      </c>
      <c r="BQ28" s="30" t="s">
        <v>223</v>
      </c>
      <c r="BR28" s="30" t="s">
        <v>224</v>
      </c>
      <c r="BS28" s="30" t="s">
        <v>225</v>
      </c>
      <c r="BT28" s="30" t="s">
        <v>226</v>
      </c>
      <c r="BU28" s="30" t="s">
        <v>223</v>
      </c>
      <c r="BV28" s="30" t="s">
        <v>224</v>
      </c>
      <c r="BW28" s="30" t="s">
        <v>225</v>
      </c>
      <c r="BX28" s="30" t="s">
        <v>226</v>
      </c>
      <c r="BY28" s="30" t="s">
        <v>223</v>
      </c>
      <c r="BZ28" s="30" t="s">
        <v>224</v>
      </c>
      <c r="CA28" s="30" t="s">
        <v>225</v>
      </c>
      <c r="CB28" s="30" t="s">
        <v>226</v>
      </c>
      <c r="CG28" s="30" t="s">
        <v>223</v>
      </c>
      <c r="CH28" s="30" t="s">
        <v>224</v>
      </c>
      <c r="CI28" s="30" t="s">
        <v>225</v>
      </c>
      <c r="CJ28" s="30" t="s">
        <v>226</v>
      </c>
      <c r="CK28" s="30" t="s">
        <v>223</v>
      </c>
      <c r="CL28" s="30" t="s">
        <v>224</v>
      </c>
      <c r="CM28" s="30" t="s">
        <v>225</v>
      </c>
      <c r="CN28" s="30" t="s">
        <v>226</v>
      </c>
      <c r="CO28" s="30" t="s">
        <v>223</v>
      </c>
      <c r="CP28" s="30" t="s">
        <v>224</v>
      </c>
      <c r="CQ28" s="30" t="s">
        <v>225</v>
      </c>
      <c r="CR28" s="30" t="s">
        <v>226</v>
      </c>
    </row>
    <row r="29" spans="1:96" x14ac:dyDescent="0.55000000000000004">
      <c r="I29" s="30">
        <f>$C$20</f>
        <v>84.27</v>
      </c>
      <c r="J29" s="30">
        <f>$C$21</f>
        <v>84.32</v>
      </c>
      <c r="K29" s="30">
        <f>$D$20</f>
        <v>21.7</v>
      </c>
      <c r="L29" s="30">
        <f>$D$21</f>
        <v>21.82</v>
      </c>
      <c r="M29" s="30">
        <f>isogrid_stress!$C$20</f>
        <v>124.87</v>
      </c>
      <c r="N29" s="30">
        <f>isogrid_stress!$C$21</f>
        <v>125</v>
      </c>
      <c r="O29" s="30">
        <f>isogrid_stress!$D$20</f>
        <v>62.23</v>
      </c>
      <c r="P29" s="30">
        <f>isogrid_stress!$D$21</f>
        <v>62.5</v>
      </c>
      <c r="Q29" s="30">
        <f>anisogrid120!$C$20</f>
        <v>453.55799999999999</v>
      </c>
      <c r="R29" s="30">
        <f>anisogrid120!$C$21</f>
        <v>450.88</v>
      </c>
      <c r="S29" s="30">
        <f>anisogrid120!$D$20</f>
        <v>380</v>
      </c>
      <c r="T29" s="30">
        <f>anisogrid120!$D$21</f>
        <v>384.79</v>
      </c>
      <c r="U29" s="30"/>
      <c r="V29" s="30"/>
      <c r="W29" s="26"/>
      <c r="Y29" s="30">
        <f>$C$59</f>
        <v>0</v>
      </c>
      <c r="Z29" s="30">
        <f>$C$60</f>
        <v>0</v>
      </c>
      <c r="AA29" s="30">
        <f>$D$59</f>
        <v>303.73</v>
      </c>
      <c r="AB29" s="30">
        <f>$D$60</f>
        <v>303.98</v>
      </c>
      <c r="AC29" s="30">
        <f>isogrid_stress!$C$59</f>
        <v>0</v>
      </c>
      <c r="AD29" s="30">
        <f>isogrid_stress!$C$60</f>
        <v>0</v>
      </c>
      <c r="AE29" s="30">
        <f>isogrid_stress!$D$59</f>
        <v>187.35</v>
      </c>
      <c r="AF29" s="30">
        <f>isogrid_stress!$D$60</f>
        <v>187.5</v>
      </c>
      <c r="AG29" s="30">
        <f>anisogrid120!$C$59</f>
        <v>2.5</v>
      </c>
      <c r="AH29" s="30">
        <f>anisogrid120!$C$60</f>
        <v>0</v>
      </c>
      <c r="AI29" s="30">
        <f>anisogrid120!$D$59</f>
        <v>131.69999999999999</v>
      </c>
      <c r="AJ29" s="30">
        <f>anisogrid120!$D$60</f>
        <v>134.66999999999999</v>
      </c>
      <c r="AN29" s="30">
        <f>$C$126</f>
        <v>155.61000000000001</v>
      </c>
      <c r="AO29" s="30">
        <f>$C$127</f>
        <v>157.35</v>
      </c>
      <c r="AP29" s="30">
        <f>$D$126</f>
        <v>0</v>
      </c>
      <c r="AQ29" s="30">
        <f>$D$127</f>
        <v>0</v>
      </c>
      <c r="AR29" s="30">
        <f>isogrid_stress!$C$126</f>
        <v>110.88</v>
      </c>
      <c r="AS29" s="30">
        <f>isogrid_stress!$C$127</f>
        <v>108.25</v>
      </c>
      <c r="AT29" s="30">
        <f>isogrid_stress!$D$126</f>
        <v>0</v>
      </c>
      <c r="AU29" s="30">
        <f>isogrid_stress!$D$127</f>
        <v>0</v>
      </c>
      <c r="AV29" s="30">
        <f>anisogrid120!$C$126</f>
        <v>136.66999999999999</v>
      </c>
      <c r="AW29" s="30">
        <f>anisogrid120!$C$127</f>
        <v>134.66999999999999</v>
      </c>
      <c r="AX29" s="30">
        <f>anisogrid120!$D$126</f>
        <v>0</v>
      </c>
      <c r="AY29" s="30">
        <f>anisogrid120!$D$127</f>
        <v>0</v>
      </c>
      <c r="BC29" s="30">
        <f>$C$88</f>
        <v>62.493000000000002</v>
      </c>
      <c r="BD29" s="30">
        <f>$C$89</f>
        <v>62.5</v>
      </c>
      <c r="BE29" s="30">
        <f>$D$88</f>
        <v>62.493000000000002</v>
      </c>
      <c r="BF29" s="30">
        <f>$D$89</f>
        <v>62.5</v>
      </c>
      <c r="BG29" s="30">
        <f>isogrid_stress!$C$88</f>
        <v>62.5</v>
      </c>
      <c r="BH29" s="30">
        <f>isogrid_stress!$C$89</f>
        <v>62.5</v>
      </c>
      <c r="BI29" s="30">
        <f>isogrid_stress!$D$88</f>
        <v>62.5</v>
      </c>
      <c r="BJ29" s="30">
        <f>isogrid_stress!$D$89</f>
        <v>62.5</v>
      </c>
      <c r="BK29" s="30">
        <f>anisogrid120!$C$88</f>
        <v>62.478000000000002</v>
      </c>
      <c r="BL29" s="30">
        <f>anisogrid120!$C$89</f>
        <v>62.5</v>
      </c>
      <c r="BM29" s="30">
        <f>anisogrid120!$D$88</f>
        <v>62.478000000000002</v>
      </c>
      <c r="BN29" s="30">
        <f>anisogrid120!$D$89</f>
        <v>62.5</v>
      </c>
      <c r="BQ29" s="30">
        <f>$C$145</f>
        <v>1.63</v>
      </c>
      <c r="BR29" s="30">
        <f>$C$146</f>
        <v>1.63</v>
      </c>
      <c r="BS29" s="30">
        <f>$D$145</f>
        <v>0</v>
      </c>
      <c r="BT29" s="30">
        <f>$D$146</f>
        <v>0</v>
      </c>
      <c r="BU29" s="30">
        <f>isogrid_stress!$C$145</f>
        <v>2.2559999999999998</v>
      </c>
      <c r="BV29" s="30">
        <f>isogrid_stress!$C$146</f>
        <v>2.17</v>
      </c>
      <c r="BW29" s="30">
        <f>isogrid_stress!$D$145</f>
        <v>0</v>
      </c>
      <c r="BX29" s="30">
        <f>isogrid_stress!$D$146</f>
        <v>0</v>
      </c>
      <c r="BY29" s="30">
        <f>anisogrid120!$C$145</f>
        <v>4.76</v>
      </c>
      <c r="BZ29" s="30">
        <f>anisogrid120!$C$146</f>
        <v>4.67</v>
      </c>
      <c r="CA29" s="30">
        <f>anisogrid120!$D$145</f>
        <v>0</v>
      </c>
      <c r="CB29" s="30">
        <f>anisogrid120!$D$146</f>
        <v>0</v>
      </c>
      <c r="CG29" s="30">
        <f>$C$166</f>
        <v>1.26</v>
      </c>
      <c r="CH29" s="30">
        <f>$C$167</f>
        <v>1.25</v>
      </c>
      <c r="CI29" s="30">
        <f>$D$166</f>
        <v>4.8179999999999996</v>
      </c>
      <c r="CJ29" s="30">
        <f>$D$167</f>
        <v>4.83</v>
      </c>
      <c r="CK29" s="30">
        <f>isogrid_stress!$C$166</f>
        <v>1.262</v>
      </c>
      <c r="CL29" s="30">
        <f>isogrid_stress!$C$167</f>
        <v>1.25</v>
      </c>
      <c r="CM29" s="30">
        <f>isogrid_stress!$D$166</f>
        <v>2.5249999999999999</v>
      </c>
      <c r="CN29" s="30">
        <f>isogrid_stress!$D$167</f>
        <v>2.5</v>
      </c>
      <c r="CO29" s="30">
        <f>anisogrid120!$C$166</f>
        <v>1.39</v>
      </c>
      <c r="CP29" s="30">
        <f>anisogrid120!$C$167</f>
        <v>1.25</v>
      </c>
      <c r="CQ29" s="30">
        <f>anisogrid120!$D$166</f>
        <v>1.5980000000000001</v>
      </c>
      <c r="CR29" s="30">
        <f>anisogrid120!$D$167</f>
        <v>1.44</v>
      </c>
    </row>
    <row r="30" spans="1:96" x14ac:dyDescent="0.55000000000000004"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26"/>
    </row>
    <row r="31" spans="1:96" x14ac:dyDescent="0.55000000000000004"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26"/>
    </row>
    <row r="32" spans="1:96" x14ac:dyDescent="0.55000000000000004"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26"/>
    </row>
    <row r="33" spans="2:31" x14ac:dyDescent="0.55000000000000004">
      <c r="I33" s="31"/>
      <c r="J33" s="31"/>
      <c r="K33" s="31"/>
      <c r="L33" s="31"/>
      <c r="M33" s="31"/>
      <c r="N33" s="31"/>
      <c r="O33" s="31"/>
      <c r="P33" s="31"/>
      <c r="Q33" s="32"/>
      <c r="R33" s="32"/>
      <c r="S33" s="32"/>
      <c r="T33" s="32"/>
      <c r="AB33" s="32"/>
      <c r="AC33" s="32"/>
      <c r="AD33" s="32"/>
      <c r="AE33" s="32"/>
    </row>
    <row r="34" spans="2:31" x14ac:dyDescent="0.55000000000000004"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2:31" x14ac:dyDescent="0.55000000000000004"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2:31" x14ac:dyDescent="0.55000000000000004"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26"/>
    </row>
    <row r="37" spans="2:31" x14ac:dyDescent="0.55000000000000004">
      <c r="B37" s="15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2:31" x14ac:dyDescent="0.55000000000000004"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AB38" s="32"/>
      <c r="AC38" s="32"/>
      <c r="AD38" s="32"/>
      <c r="AE38" s="32"/>
    </row>
    <row r="39" spans="2:31" x14ac:dyDescent="0.55000000000000004"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AB39" s="30"/>
      <c r="AC39" s="30"/>
      <c r="AD39" s="30"/>
      <c r="AE39" s="30"/>
    </row>
    <row r="40" spans="2:31" x14ac:dyDescent="0.55000000000000004"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</row>
    <row r="41" spans="2:31" x14ac:dyDescent="0.55000000000000004"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</row>
    <row r="42" spans="2:31" x14ac:dyDescent="0.55000000000000004"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spans="2:31" x14ac:dyDescent="0.55000000000000004"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spans="2:31" x14ac:dyDescent="0.55000000000000004">
      <c r="C44" s="9"/>
      <c r="D44" s="9"/>
      <c r="E44" s="9"/>
      <c r="F44" s="9"/>
      <c r="G44" s="9"/>
      <c r="H44" s="9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4">$B$10*C50</f>
        <v>26.06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48.64</v>
      </c>
    </row>
    <row r="54" spans="1:11" x14ac:dyDescent="0.55000000000000004">
      <c r="A54" s="6" t="s">
        <v>83</v>
      </c>
      <c r="C54" s="8">
        <f>C53*$B$6/1000000</f>
        <v>1.1829248E-3</v>
      </c>
    </row>
    <row r="55" spans="1:11" x14ac:dyDescent="0.55000000000000004">
      <c r="A55" s="6" t="s">
        <v>78</v>
      </c>
      <c r="C55" s="7">
        <v>9.5799999999999996E-2</v>
      </c>
    </row>
    <row r="56" spans="1:11" x14ac:dyDescent="0.55000000000000004">
      <c r="A56" s="6" t="s">
        <v>80</v>
      </c>
      <c r="C56" s="10">
        <f t="shared" ref="C56" si="5">($E$1*(C51/1000)/(C54*C55/1000))/(10^6)</f>
        <v>2299.5971695924104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2293.9</v>
      </c>
    </row>
    <row r="58" spans="1:11" x14ac:dyDescent="0.55000000000000004">
      <c r="A58" s="6" t="s">
        <v>21</v>
      </c>
      <c r="C58" s="8">
        <f t="shared" ref="C58" si="6">ABS($B$57-C56)/C56*100</f>
        <v>0.24774641697006905</v>
      </c>
    </row>
    <row r="59" spans="1:11" x14ac:dyDescent="0.55000000000000004">
      <c r="A59" s="26" t="s">
        <v>196</v>
      </c>
      <c r="B59" s="26"/>
      <c r="C59" s="26">
        <v>0</v>
      </c>
      <c r="D59" s="26">
        <v>303.73</v>
      </c>
    </row>
    <row r="60" spans="1:11" x14ac:dyDescent="0.55000000000000004">
      <c r="A60" s="26" t="s">
        <v>197</v>
      </c>
      <c r="B60" s="26"/>
      <c r="C60" s="26">
        <v>0</v>
      </c>
      <c r="D60" s="26">
        <v>303.98</v>
      </c>
    </row>
    <row r="61" spans="1:11" x14ac:dyDescent="0.55000000000000004">
      <c r="A61" s="26" t="s">
        <v>198</v>
      </c>
      <c r="B61" s="26"/>
      <c r="C61" s="26"/>
    </row>
    <row r="64" spans="1:11" x14ac:dyDescent="0.55000000000000004">
      <c r="C64" s="6" t="s">
        <v>222</v>
      </c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26.06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48.64</v>
      </c>
    </row>
    <row r="83" spans="1:8" x14ac:dyDescent="0.55000000000000004">
      <c r="A83" s="6" t="s">
        <v>103</v>
      </c>
      <c r="C83" s="8">
        <f>C80*C82/1000000</f>
        <v>1.2675583999999999E-3</v>
      </c>
    </row>
    <row r="84" spans="1:8" x14ac:dyDescent="0.55000000000000004">
      <c r="A84" s="6" t="s">
        <v>104</v>
      </c>
      <c r="C84" s="7">
        <v>0.87</v>
      </c>
    </row>
    <row r="85" spans="1:8" x14ac:dyDescent="0.55000000000000004">
      <c r="A85" s="6" t="s">
        <v>95</v>
      </c>
      <c r="C85" s="10">
        <f>($E$1*($B$6/1000)/(C83*C84/1000))/(10^6)</f>
        <v>220.53439895554911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220.06</v>
      </c>
    </row>
    <row r="87" spans="1:8" x14ac:dyDescent="0.55000000000000004">
      <c r="A87" s="6" t="s">
        <v>21</v>
      </c>
      <c r="C87" s="8">
        <f>ABS($B$86-C85)/C85*100</f>
        <v>0.21511336000000855</v>
      </c>
    </row>
    <row r="88" spans="1:8" x14ac:dyDescent="0.55000000000000004">
      <c r="A88" s="26" t="s">
        <v>196</v>
      </c>
      <c r="B88" s="26"/>
      <c r="C88" s="26">
        <v>62.493000000000002</v>
      </c>
      <c r="D88" s="26">
        <v>62.493000000000002</v>
      </c>
    </row>
    <row r="89" spans="1:8" x14ac:dyDescent="0.55000000000000004">
      <c r="A89" s="26" t="s">
        <v>197</v>
      </c>
      <c r="B89" s="26"/>
      <c r="C89" s="26">
        <v>62.5</v>
      </c>
      <c r="D89" s="6">
        <v>62.5</v>
      </c>
    </row>
    <row r="90" spans="1:8" x14ac:dyDescent="0.55000000000000004">
      <c r="A90" s="26" t="s">
        <v>198</v>
      </c>
      <c r="B90" s="26"/>
      <c r="C90" s="26"/>
    </row>
    <row r="110" spans="1:3" x14ac:dyDescent="0.55000000000000004">
      <c r="A110" s="6" t="s">
        <v>113</v>
      </c>
    </row>
    <row r="111" spans="1:3" x14ac:dyDescent="0.55000000000000004">
      <c r="A111" s="6" t="s">
        <v>114</v>
      </c>
      <c r="B111" s="6">
        <f>25*10^6</f>
        <v>25000000</v>
      </c>
    </row>
    <row r="112" spans="1:3" x14ac:dyDescent="0.55000000000000004">
      <c r="A112" s="6" t="s">
        <v>63</v>
      </c>
      <c r="C112" s="7">
        <v>2</v>
      </c>
    </row>
    <row r="113" spans="1:4" x14ac:dyDescent="0.55000000000000004">
      <c r="A113" s="6" t="s">
        <v>64</v>
      </c>
      <c r="C113" s="8">
        <f>$B$9*C112</f>
        <v>48.64</v>
      </c>
    </row>
    <row r="114" spans="1:4" x14ac:dyDescent="0.55000000000000004">
      <c r="A114" s="6" t="s">
        <v>115</v>
      </c>
      <c r="C114" s="8">
        <f>C113*$B$6/1000000</f>
        <v>1.1829248E-3</v>
      </c>
    </row>
    <row r="115" spans="1:4" x14ac:dyDescent="0.55000000000000004">
      <c r="A115" s="6" t="s">
        <v>77</v>
      </c>
      <c r="C115" s="7">
        <v>2</v>
      </c>
    </row>
    <row r="116" spans="1:4" x14ac:dyDescent="0.55000000000000004">
      <c r="A116" s="6" t="s">
        <v>82</v>
      </c>
      <c r="C116" s="8">
        <f>$B$10*C115</f>
        <v>26.06</v>
      </c>
    </row>
    <row r="117" spans="1:4" x14ac:dyDescent="0.55000000000000004">
      <c r="A117" s="6" t="s">
        <v>116</v>
      </c>
      <c r="C117" s="8">
        <f>$B$6*C116/1000000</f>
        <v>6.3377919999999996E-4</v>
      </c>
    </row>
    <row r="118" spans="1:4" x14ac:dyDescent="0.55000000000000004">
      <c r="A118" s="6" t="s">
        <v>117</v>
      </c>
      <c r="C118" s="8">
        <f>$B$111*C114</f>
        <v>29573.119999999999</v>
      </c>
    </row>
    <row r="119" spans="1:4" x14ac:dyDescent="0.55000000000000004">
      <c r="A119" s="6" t="s">
        <v>118</v>
      </c>
      <c r="C119" s="8">
        <f>$B$111*C117</f>
        <v>15844.48</v>
      </c>
    </row>
    <row r="120" spans="1:4" x14ac:dyDescent="0.55000000000000004">
      <c r="A120" s="6" t="s">
        <v>119</v>
      </c>
      <c r="C120" s="8">
        <f>C116</f>
        <v>26.06</v>
      </c>
    </row>
    <row r="121" spans="1:4" x14ac:dyDescent="0.55000000000000004">
      <c r="A121" s="6" t="s">
        <v>120</v>
      </c>
      <c r="C121" s="7">
        <v>2.1419999999999999</v>
      </c>
    </row>
    <row r="122" spans="1:4" x14ac:dyDescent="0.55000000000000004">
      <c r="A122" s="6" t="s">
        <v>121</v>
      </c>
      <c r="C122" s="8">
        <f>C121/C113</f>
        <v>4.4037828947368421E-2</v>
      </c>
    </row>
    <row r="123" spans="1:4" x14ac:dyDescent="0.55000000000000004">
      <c r="A123" s="6" t="s">
        <v>113</v>
      </c>
      <c r="C123" s="8">
        <f>($B$111/C122)/10^6</f>
        <v>567.69374416433243</v>
      </c>
    </row>
    <row r="124" spans="1:4" x14ac:dyDescent="0.55000000000000004">
      <c r="A124" s="6" t="s">
        <v>122</v>
      </c>
      <c r="B124" s="7">
        <v>555.20709999999997</v>
      </c>
    </row>
    <row r="125" spans="1:4" x14ac:dyDescent="0.55000000000000004">
      <c r="A125" s="6" t="s">
        <v>22</v>
      </c>
      <c r="C125" s="8">
        <f>ABS($B$124-C123)/$B$124*100</f>
        <v>2.2490065714816079</v>
      </c>
    </row>
    <row r="126" spans="1:4" x14ac:dyDescent="0.55000000000000004">
      <c r="A126" s="26" t="s">
        <v>196</v>
      </c>
      <c r="B126" s="26"/>
      <c r="C126" s="26">
        <v>155.61000000000001</v>
      </c>
      <c r="D126" s="6">
        <v>0</v>
      </c>
    </row>
    <row r="127" spans="1:4" x14ac:dyDescent="0.55000000000000004">
      <c r="A127" s="26" t="s">
        <v>197</v>
      </c>
      <c r="B127" s="26"/>
      <c r="C127" s="26">
        <v>157.35</v>
      </c>
      <c r="D127" s="6">
        <v>0</v>
      </c>
    </row>
    <row r="128" spans="1:4" x14ac:dyDescent="0.55000000000000004">
      <c r="A128" s="26" t="s">
        <v>198</v>
      </c>
      <c r="B128" s="26"/>
      <c r="C128" s="26"/>
    </row>
    <row r="129" spans="1:3" x14ac:dyDescent="0.55000000000000004">
      <c r="A129" s="6" t="s">
        <v>125</v>
      </c>
    </row>
    <row r="130" spans="1:3" x14ac:dyDescent="0.55000000000000004">
      <c r="A130" s="6" t="s">
        <v>114</v>
      </c>
      <c r="B130" s="6">
        <f>25*10^6</f>
        <v>25000000</v>
      </c>
    </row>
    <row r="131" spans="1:3" x14ac:dyDescent="0.55000000000000004">
      <c r="A131" s="6" t="s">
        <v>63</v>
      </c>
      <c r="C131" s="7">
        <v>2</v>
      </c>
    </row>
    <row r="132" spans="1:3" x14ac:dyDescent="0.55000000000000004">
      <c r="A132" s="6" t="s">
        <v>64</v>
      </c>
      <c r="C132" s="8">
        <f>$B$9*C131</f>
        <v>48.64</v>
      </c>
    </row>
    <row r="133" spans="1:3" x14ac:dyDescent="0.55000000000000004">
      <c r="A133" s="6" t="s">
        <v>115</v>
      </c>
      <c r="B133" s="4" t="s">
        <v>128</v>
      </c>
      <c r="C133" s="8">
        <f>C135*B6/1000000</f>
        <v>6.3377919999999996E-4</v>
      </c>
    </row>
    <row r="134" spans="1:3" x14ac:dyDescent="0.55000000000000004">
      <c r="A134" s="6" t="s">
        <v>77</v>
      </c>
      <c r="C134" s="7">
        <v>2</v>
      </c>
    </row>
    <row r="135" spans="1:3" x14ac:dyDescent="0.55000000000000004">
      <c r="A135" s="6" t="s">
        <v>82</v>
      </c>
      <c r="C135" s="8">
        <f>$B$10*C134</f>
        <v>26.06</v>
      </c>
    </row>
    <row r="136" spans="1:3" x14ac:dyDescent="0.55000000000000004">
      <c r="A136" s="6" t="s">
        <v>116</v>
      </c>
      <c r="C136" s="8">
        <f>C132*C135/1000000</f>
        <v>1.2675583999999999E-3</v>
      </c>
    </row>
    <row r="137" spans="1:3" x14ac:dyDescent="0.55000000000000004">
      <c r="A137" s="6" t="s">
        <v>117</v>
      </c>
      <c r="C137" s="8">
        <f>$B$111*C133</f>
        <v>15844.48</v>
      </c>
    </row>
    <row r="138" spans="1:3" x14ac:dyDescent="0.55000000000000004">
      <c r="A138" s="6" t="s">
        <v>118</v>
      </c>
      <c r="C138" s="8">
        <f>$B$111*C136</f>
        <v>31688.959999999999</v>
      </c>
    </row>
    <row r="139" spans="1:3" x14ac:dyDescent="0.55000000000000004">
      <c r="A139" s="6" t="s">
        <v>119</v>
      </c>
      <c r="C139" s="8">
        <f>B6</f>
        <v>24.32</v>
      </c>
    </row>
    <row r="140" spans="1:3" x14ac:dyDescent="0.55000000000000004">
      <c r="A140" s="6" t="s">
        <v>120</v>
      </c>
      <c r="C140" s="7">
        <v>6.1020000000000003</v>
      </c>
    </row>
    <row r="141" spans="1:3" x14ac:dyDescent="0.55000000000000004">
      <c r="A141" s="6" t="s">
        <v>121</v>
      </c>
      <c r="B141" s="12"/>
      <c r="C141" s="8">
        <f>C140/B6</f>
        <v>0.25090460526315789</v>
      </c>
    </row>
    <row r="142" spans="1:3" x14ac:dyDescent="0.55000000000000004">
      <c r="A142" s="6" t="s">
        <v>125</v>
      </c>
      <c r="B142" s="12"/>
      <c r="C142" s="8">
        <f>($B$111/C141)/10^6</f>
        <v>99.639462471320883</v>
      </c>
    </row>
    <row r="143" spans="1:3" x14ac:dyDescent="0.55000000000000004">
      <c r="A143" s="6" t="s">
        <v>126</v>
      </c>
      <c r="B143" s="19">
        <v>104.65479999999999</v>
      </c>
    </row>
    <row r="144" spans="1:3" x14ac:dyDescent="0.55000000000000004">
      <c r="A144" s="6" t="s">
        <v>22</v>
      </c>
      <c r="C144" s="8">
        <f>ABS($B$143-C142)/C142*100</f>
        <v>5.0334851315789377</v>
      </c>
    </row>
    <row r="145" spans="1:4" x14ac:dyDescent="0.55000000000000004">
      <c r="A145" s="26" t="s">
        <v>211</v>
      </c>
      <c r="B145" s="26"/>
      <c r="C145" s="26">
        <v>1.63</v>
      </c>
      <c r="D145" s="6">
        <v>0</v>
      </c>
    </row>
    <row r="146" spans="1:4" x14ac:dyDescent="0.55000000000000004">
      <c r="A146" s="26" t="s">
        <v>212</v>
      </c>
      <c r="B146" s="26"/>
      <c r="C146" s="26">
        <v>1.63</v>
      </c>
      <c r="D146" s="6">
        <v>0</v>
      </c>
    </row>
    <row r="147" spans="1:4" x14ac:dyDescent="0.55000000000000004">
      <c r="A147" s="26" t="s">
        <v>198</v>
      </c>
      <c r="B147" s="26"/>
      <c r="C147" s="26"/>
    </row>
    <row r="149" spans="1:4" x14ac:dyDescent="0.55000000000000004">
      <c r="A149" s="6" t="s">
        <v>123</v>
      </c>
    </row>
    <row r="150" spans="1:4" x14ac:dyDescent="0.55000000000000004">
      <c r="A150" s="6" t="s">
        <v>114</v>
      </c>
      <c r="B150" s="6">
        <f>25*10^6</f>
        <v>25000000</v>
      </c>
    </row>
    <row r="151" spans="1:4" x14ac:dyDescent="0.55000000000000004">
      <c r="A151" s="6" t="s">
        <v>63</v>
      </c>
      <c r="C151" s="7">
        <v>2</v>
      </c>
    </row>
    <row r="152" spans="1:4" x14ac:dyDescent="0.55000000000000004">
      <c r="A152" s="6" t="s">
        <v>64</v>
      </c>
      <c r="C152" s="8">
        <f>$B$9*C151</f>
        <v>48.64</v>
      </c>
    </row>
    <row r="153" spans="1:4" x14ac:dyDescent="0.55000000000000004">
      <c r="A153" s="6" t="s">
        <v>115</v>
      </c>
      <c r="C153" s="8">
        <f>C152*C156/1000000</f>
        <v>1.1829248E-3</v>
      </c>
    </row>
    <row r="154" spans="1:4" x14ac:dyDescent="0.55000000000000004">
      <c r="A154" s="6" t="s">
        <v>77</v>
      </c>
      <c r="C154" s="7">
        <v>2</v>
      </c>
    </row>
    <row r="155" spans="1:4" x14ac:dyDescent="0.55000000000000004">
      <c r="A155" s="6" t="s">
        <v>82</v>
      </c>
      <c r="C155" s="8">
        <f>B10*C154</f>
        <v>26.06</v>
      </c>
    </row>
    <row r="156" spans="1:4" x14ac:dyDescent="0.55000000000000004">
      <c r="A156" s="6" t="s">
        <v>124</v>
      </c>
      <c r="C156" s="7">
        <f>B6</f>
        <v>24.32</v>
      </c>
    </row>
    <row r="157" spans="1:4" x14ac:dyDescent="0.55000000000000004">
      <c r="A157" s="6" t="s">
        <v>116</v>
      </c>
      <c r="C157" s="8">
        <f>C152*C155/1000000</f>
        <v>1.2675583999999999E-3</v>
      </c>
    </row>
    <row r="158" spans="1:4" x14ac:dyDescent="0.55000000000000004">
      <c r="A158" s="6" t="s">
        <v>117</v>
      </c>
      <c r="C158" s="8">
        <f>$B$111*C153</f>
        <v>29573.119999999999</v>
      </c>
    </row>
    <row r="159" spans="1:4" x14ac:dyDescent="0.55000000000000004">
      <c r="A159" s="6" t="s">
        <v>118</v>
      </c>
      <c r="C159" s="17">
        <f>$B$111*C157</f>
        <v>31688.959999999999</v>
      </c>
    </row>
    <row r="160" spans="1:4" x14ac:dyDescent="0.55000000000000004">
      <c r="A160" s="6" t="s">
        <v>119</v>
      </c>
      <c r="C160" s="8">
        <f>C156</f>
        <v>24.32</v>
      </c>
    </row>
    <row r="161" spans="1:4" x14ac:dyDescent="0.55000000000000004">
      <c r="A161" s="6" t="s">
        <v>120</v>
      </c>
      <c r="C161" s="7">
        <v>16.809999999999999</v>
      </c>
    </row>
    <row r="162" spans="1:4" x14ac:dyDescent="0.55000000000000004">
      <c r="A162" s="6" t="s">
        <v>121</v>
      </c>
      <c r="C162" s="8">
        <f>C161/C160</f>
        <v>0.69120065789473684</v>
      </c>
    </row>
    <row r="163" spans="1:4" x14ac:dyDescent="0.55000000000000004">
      <c r="A163" s="6" t="s">
        <v>123</v>
      </c>
      <c r="C163" s="8">
        <f>($B$111/C162)/10^6</f>
        <v>36.16894705532421</v>
      </c>
    </row>
    <row r="164" spans="1:4" x14ac:dyDescent="0.55000000000000004">
      <c r="A164" s="6" t="s">
        <v>127</v>
      </c>
      <c r="B164" s="7">
        <v>36.545200000000001</v>
      </c>
    </row>
    <row r="165" spans="1:4" x14ac:dyDescent="0.55000000000000004">
      <c r="A165" s="6" t="s">
        <v>22</v>
      </c>
      <c r="C165" s="8">
        <f>ABS(B164-C163)/C163*100</f>
        <v>1.0402651315789551</v>
      </c>
    </row>
    <row r="166" spans="1:4" x14ac:dyDescent="0.55000000000000004">
      <c r="A166" s="26" t="s">
        <v>196</v>
      </c>
      <c r="B166" s="26"/>
      <c r="C166" s="26">
        <v>1.26</v>
      </c>
      <c r="D166" s="6">
        <v>4.8179999999999996</v>
      </c>
    </row>
    <row r="167" spans="1:4" x14ac:dyDescent="0.55000000000000004">
      <c r="A167" s="26" t="s">
        <v>197</v>
      </c>
      <c r="B167" s="26"/>
      <c r="C167" s="26">
        <v>1.25</v>
      </c>
      <c r="D167" s="6">
        <v>4.83</v>
      </c>
    </row>
    <row r="168" spans="1:4" x14ac:dyDescent="0.55000000000000004">
      <c r="A168" s="26" t="s">
        <v>198</v>
      </c>
      <c r="B168" s="26"/>
      <c r="C168" s="26"/>
    </row>
    <row r="170" spans="1:4" x14ac:dyDescent="0.55000000000000004">
      <c r="C170" s="7">
        <v>6.7606081959999997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mergeCells count="30">
    <mergeCell ref="CG26:CR26"/>
    <mergeCell ref="CG27:CJ27"/>
    <mergeCell ref="CK27:CN27"/>
    <mergeCell ref="CO27:CR27"/>
    <mergeCell ref="I26:T26"/>
    <mergeCell ref="Y26:AJ26"/>
    <mergeCell ref="AN26:AY26"/>
    <mergeCell ref="BC26:BN26"/>
    <mergeCell ref="BQ26:CB26"/>
    <mergeCell ref="BQ27:BT27"/>
    <mergeCell ref="BU27:BX27"/>
    <mergeCell ref="BY27:CB27"/>
    <mergeCell ref="AN27:AQ27"/>
    <mergeCell ref="AR27:AU27"/>
    <mergeCell ref="AV27:AY27"/>
    <mergeCell ref="BC27:BF27"/>
    <mergeCell ref="BG27:BJ27"/>
    <mergeCell ref="BK27:BN27"/>
    <mergeCell ref="AB33:AE33"/>
    <mergeCell ref="AB38:AE38"/>
    <mergeCell ref="I33:L33"/>
    <mergeCell ref="M33:P33"/>
    <mergeCell ref="Q33:T33"/>
    <mergeCell ref="AG27:AJ27"/>
    <mergeCell ref="I27:L27"/>
    <mergeCell ref="M27:P27"/>
    <mergeCell ref="Q27:T27"/>
    <mergeCell ref="U27:X27"/>
    <mergeCell ref="Y27:AB27"/>
    <mergeCell ref="AC27:AF2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990E-9A4F-403A-B8DA-38E79E7AA598}">
  <dimension ref="A1:BA189"/>
  <sheetViews>
    <sheetView zoomScale="10" zoomScaleNormal="10" workbookViewId="0">
      <selection activeCell="C20" sqref="C20:D20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7" x14ac:dyDescent="0.55000000000000004">
      <c r="A1" s="6" t="s">
        <v>0</v>
      </c>
      <c r="B1" s="7">
        <v>4</v>
      </c>
      <c r="C1" s="7">
        <v>4</v>
      </c>
      <c r="D1" s="6" t="s">
        <v>17</v>
      </c>
      <c r="E1" s="7">
        <v>1000</v>
      </c>
      <c r="F1" s="6" t="s">
        <v>132</v>
      </c>
      <c r="G1" s="6">
        <v>4</v>
      </c>
    </row>
    <row r="2" spans="1:7" x14ac:dyDescent="0.55000000000000004">
      <c r="A2" s="6" t="s">
        <v>1</v>
      </c>
      <c r="B2" s="7">
        <v>0.8</v>
      </c>
      <c r="C2" s="7">
        <v>0.8</v>
      </c>
      <c r="F2" s="8" t="s">
        <v>130</v>
      </c>
      <c r="G2" s="6">
        <f>(G1/B4)+(2*G1/B5)</f>
        <v>0.8</v>
      </c>
    </row>
    <row r="3" spans="1:7" x14ac:dyDescent="0.55000000000000004">
      <c r="A3" s="6" t="s">
        <v>3</v>
      </c>
      <c r="B3" s="7">
        <v>30</v>
      </c>
      <c r="C3" s="7">
        <f>D3*3.1415/180</f>
        <v>0.5235833333333334</v>
      </c>
      <c r="D3" s="6">
        <v>30</v>
      </c>
    </row>
    <row r="4" spans="1:7" x14ac:dyDescent="0.55000000000000004">
      <c r="A4" s="6" t="s">
        <v>2</v>
      </c>
      <c r="B4" s="7">
        <v>15</v>
      </c>
      <c r="C4" s="8">
        <f>3.75</f>
        <v>3.75</v>
      </c>
      <c r="D4" s="7">
        <f>C1*(1+SIN(C3))/(C2*SIN(C3))</f>
        <v>15.000267476221509</v>
      </c>
    </row>
    <row r="5" spans="1:7" x14ac:dyDescent="0.55000000000000004">
      <c r="A5" s="6" t="s">
        <v>4</v>
      </c>
      <c r="B5" s="7">
        <v>15</v>
      </c>
      <c r="C5" s="8">
        <f>3.75</f>
        <v>3.75</v>
      </c>
      <c r="D5" s="7">
        <f>2*C1*(1+SIN(C3))/C2</f>
        <v>14.999866265466325</v>
      </c>
    </row>
    <row r="6" spans="1:7" x14ac:dyDescent="0.55000000000000004">
      <c r="A6" s="6" t="s">
        <v>11</v>
      </c>
      <c r="B6" s="7">
        <v>30</v>
      </c>
      <c r="C6" s="8">
        <f>3.75*2</f>
        <v>7.5</v>
      </c>
    </row>
    <row r="7" spans="1:7" x14ac:dyDescent="0.55000000000000004">
      <c r="A7" s="6" t="s">
        <v>5</v>
      </c>
      <c r="B7" s="8">
        <v>17.32</v>
      </c>
      <c r="C7" s="8">
        <v>4.33</v>
      </c>
      <c r="D7" s="7">
        <f>2*TAN(C3)*C4</f>
        <v>4.3299725976492844</v>
      </c>
    </row>
    <row r="8" spans="1:7" x14ac:dyDescent="0.55000000000000004">
      <c r="A8" s="6" t="s">
        <v>6</v>
      </c>
      <c r="B8" s="8">
        <v>17.32</v>
      </c>
      <c r="C8" s="8">
        <f>C7</f>
        <v>4.33</v>
      </c>
      <c r="D8" s="7">
        <f>C4/COS(C3)</f>
        <v>4.33008841412025</v>
      </c>
    </row>
    <row r="9" spans="1:7" x14ac:dyDescent="0.55000000000000004">
      <c r="A9" s="6" t="s">
        <v>61</v>
      </c>
      <c r="B9" s="8">
        <f>B4</f>
        <v>15</v>
      </c>
      <c r="C9" s="8">
        <f>D4</f>
        <v>15.000267476221509</v>
      </c>
    </row>
    <row r="10" spans="1:7" x14ac:dyDescent="0.55000000000000004">
      <c r="A10" s="6" t="s">
        <v>62</v>
      </c>
      <c r="B10" s="8">
        <f>B7</f>
        <v>17.32</v>
      </c>
      <c r="C10" s="8">
        <f>D7</f>
        <v>4.3299725976492844</v>
      </c>
    </row>
    <row r="11" spans="1:7" x14ac:dyDescent="0.55000000000000004">
      <c r="A11" s="6" t="s">
        <v>63</v>
      </c>
      <c r="B11" s="6">
        <v>1</v>
      </c>
      <c r="C11" s="6">
        <v>2</v>
      </c>
      <c r="E11" s="6" t="s">
        <v>199</v>
      </c>
      <c r="F11" s="6">
        <f>50</f>
        <v>50</v>
      </c>
    </row>
    <row r="12" spans="1:7" x14ac:dyDescent="0.55000000000000004">
      <c r="A12" s="6" t="s">
        <v>64</v>
      </c>
      <c r="B12" s="8">
        <f>$B$9*B11</f>
        <v>15</v>
      </c>
      <c r="C12" s="8">
        <f t="shared" ref="C12" si="0">$B$9*C11</f>
        <v>30</v>
      </c>
      <c r="E12" s="6" t="s">
        <v>200</v>
      </c>
      <c r="F12" s="6">
        <f>B14*B6</f>
        <v>1039.2</v>
      </c>
    </row>
    <row r="13" spans="1:7" x14ac:dyDescent="0.55000000000000004">
      <c r="A13" s="6" t="s">
        <v>77</v>
      </c>
      <c r="B13" s="6">
        <v>2</v>
      </c>
      <c r="C13" s="6">
        <v>2</v>
      </c>
      <c r="E13" s="6" t="s">
        <v>201</v>
      </c>
      <c r="F13" s="6">
        <f>F11*F12</f>
        <v>51960</v>
      </c>
    </row>
    <row r="14" spans="1:7" x14ac:dyDescent="0.55000000000000004">
      <c r="A14" s="6" t="s">
        <v>65</v>
      </c>
      <c r="B14" s="8">
        <f>$B$10*B13</f>
        <v>34.64</v>
      </c>
      <c r="C14" s="8">
        <f t="shared" ref="C14" si="1">$B$10*C13</f>
        <v>34.64</v>
      </c>
    </row>
    <row r="15" spans="1:7" x14ac:dyDescent="0.55000000000000004">
      <c r="A15" s="6" t="s">
        <v>67</v>
      </c>
      <c r="B15" s="8">
        <f>B14/1000*$B$6/1000</f>
        <v>1.0391999999999999E-3</v>
      </c>
      <c r="C15" s="8">
        <f t="shared" ref="C15" si="2">C14/1000*$B$6/1000</f>
        <v>1.0391999999999999E-3</v>
      </c>
    </row>
    <row r="16" spans="1:7" x14ac:dyDescent="0.55000000000000004">
      <c r="A16" s="6" t="s">
        <v>73</v>
      </c>
      <c r="B16" s="7">
        <v>0</v>
      </c>
      <c r="C16" s="7">
        <v>0.20100000000000001</v>
      </c>
      <c r="E16" s="6" t="s">
        <v>202</v>
      </c>
      <c r="F16" s="6">
        <f>50</f>
        <v>50</v>
      </c>
    </row>
    <row r="17" spans="1:53" s="9" customFormat="1" x14ac:dyDescent="0.55000000000000004">
      <c r="A17" s="9" t="s">
        <v>66</v>
      </c>
      <c r="C17" s="10">
        <f>(F13*(C12/1000)/(C15*C16/1000))/(10^6)</f>
        <v>7462.6865671641799</v>
      </c>
      <c r="E17" s="6" t="s">
        <v>200</v>
      </c>
      <c r="F17" s="6">
        <f>B6*C12</f>
        <v>900</v>
      </c>
    </row>
    <row r="18" spans="1:53" x14ac:dyDescent="0.55000000000000004">
      <c r="A18" s="6" t="s">
        <v>68</v>
      </c>
      <c r="B18" s="7">
        <v>7432</v>
      </c>
      <c r="E18" s="6" t="s">
        <v>203</v>
      </c>
      <c r="F18" s="6">
        <f>F16*F17</f>
        <v>45000</v>
      </c>
    </row>
    <row r="19" spans="1:53" s="8" customFormat="1" x14ac:dyDescent="0.55000000000000004">
      <c r="A19" s="8" t="s">
        <v>69</v>
      </c>
      <c r="C19" s="8">
        <f t="shared" ref="C19" si="3">ABS($B$18-C17)/C17*100</f>
        <v>0.41120000000001067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s="26" customFormat="1" x14ac:dyDescent="0.55000000000000004">
      <c r="A20" s="26" t="s">
        <v>196</v>
      </c>
      <c r="C20" s="26">
        <v>124.87</v>
      </c>
      <c r="D20" s="26">
        <v>62.23</v>
      </c>
    </row>
    <row r="21" spans="1:53" s="26" customFormat="1" x14ac:dyDescent="0.55000000000000004">
      <c r="A21" s="26" t="s">
        <v>197</v>
      </c>
    </row>
    <row r="22" spans="1:53" s="26" customFormat="1" x14ac:dyDescent="0.55000000000000004">
      <c r="A22" s="26" t="s">
        <v>198</v>
      </c>
    </row>
    <row r="23" spans="1:53" s="26" customFormat="1" x14ac:dyDescent="0.55000000000000004"/>
    <row r="24" spans="1:53" x14ac:dyDescent="0.55000000000000004">
      <c r="A24" s="6" t="s">
        <v>72</v>
      </c>
      <c r="B24" s="7"/>
      <c r="C24" s="7">
        <v>7.7899999999999997E-2</v>
      </c>
      <c r="E24" s="6" t="s">
        <v>205</v>
      </c>
      <c r="F24" s="6">
        <v>25</v>
      </c>
    </row>
    <row r="25" spans="1:53" x14ac:dyDescent="0.55000000000000004">
      <c r="A25" s="6" t="s">
        <v>70</v>
      </c>
      <c r="B25" s="8"/>
      <c r="C25" s="8">
        <f t="shared" ref="C25" si="4">C16/C12</f>
        <v>6.7000000000000002E-3</v>
      </c>
      <c r="E25" s="6" t="s">
        <v>200</v>
      </c>
      <c r="F25" s="6">
        <f>C14*C12</f>
        <v>1039.2</v>
      </c>
    </row>
    <row r="26" spans="1:53" x14ac:dyDescent="0.55000000000000004">
      <c r="A26" s="6" t="s">
        <v>71</v>
      </c>
      <c r="B26" s="8"/>
      <c r="C26" s="8">
        <f t="shared" ref="C26" si="5">C24/C14</f>
        <v>2.2488452655889143E-3</v>
      </c>
      <c r="E26" s="6" t="s">
        <v>204</v>
      </c>
      <c r="F26" s="6">
        <f>F24*F25</f>
        <v>25980</v>
      </c>
    </row>
    <row r="27" spans="1:53" x14ac:dyDescent="0.55000000000000004">
      <c r="A27" s="6" t="s">
        <v>74</v>
      </c>
      <c r="B27" s="8"/>
      <c r="C27" s="8">
        <f>C26/C25</f>
        <v>0.33564854710282305</v>
      </c>
    </row>
    <row r="28" spans="1:53" x14ac:dyDescent="0.55000000000000004">
      <c r="A28" s="6" t="s">
        <v>75</v>
      </c>
      <c r="B28" s="7">
        <v>0.33169999999999999</v>
      </c>
      <c r="C28" s="8"/>
    </row>
    <row r="29" spans="1:53" x14ac:dyDescent="0.55000000000000004">
      <c r="A29" s="6" t="s">
        <v>76</v>
      </c>
      <c r="B29" s="7">
        <f>B28</f>
        <v>0.33169999999999999</v>
      </c>
      <c r="C29" s="8">
        <f>(ABS(C27-$B$29)/$B$29)*100</f>
        <v>1.1903970765218728</v>
      </c>
    </row>
    <row r="31" spans="1:53" x14ac:dyDescent="0.55000000000000004">
      <c r="A31" s="6" t="s">
        <v>90</v>
      </c>
      <c r="C31" s="7">
        <v>2.9100000000000001E-2</v>
      </c>
    </row>
    <row r="32" spans="1:53" x14ac:dyDescent="0.55000000000000004">
      <c r="A32" s="6" t="s">
        <v>91</v>
      </c>
      <c r="C32" s="8">
        <f>C31/$B$6</f>
        <v>9.7000000000000005E-4</v>
      </c>
    </row>
    <row r="33" spans="1:8" x14ac:dyDescent="0.55000000000000004">
      <c r="A33" s="6" t="s">
        <v>92</v>
      </c>
      <c r="C33" s="8">
        <f>C32/C25</f>
        <v>0.14477611940298507</v>
      </c>
    </row>
    <row r="34" spans="1:8" x14ac:dyDescent="0.55000000000000004">
      <c r="A34" s="6" t="s">
        <v>93</v>
      </c>
      <c r="B34" s="7">
        <v>0.1444</v>
      </c>
    </row>
    <row r="35" spans="1:8" x14ac:dyDescent="0.55000000000000004">
      <c r="A35" s="6" t="s">
        <v>94</v>
      </c>
      <c r="B35" s="7">
        <f>B34</f>
        <v>0.1444</v>
      </c>
      <c r="C35" s="8">
        <f>ABS($B$35-C33)/$B$35*100</f>
        <v>0.26047050068218147</v>
      </c>
    </row>
    <row r="37" spans="1:8" x14ac:dyDescent="0.55000000000000004">
      <c r="B37" s="15"/>
    </row>
    <row r="44" spans="1:8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6">$B$10*C50</f>
        <v>34.64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30</v>
      </c>
    </row>
    <row r="54" spans="1:11" x14ac:dyDescent="0.55000000000000004">
      <c r="A54" s="6" t="s">
        <v>83</v>
      </c>
      <c r="C54" s="8">
        <f>C53*$B$6/1000000</f>
        <v>8.9999999999999998E-4</v>
      </c>
    </row>
    <row r="55" spans="1:11" x14ac:dyDescent="0.55000000000000004">
      <c r="A55" s="6" t="s">
        <v>78</v>
      </c>
      <c r="C55" s="7">
        <v>0.23200000000000001</v>
      </c>
    </row>
    <row r="56" spans="1:11" x14ac:dyDescent="0.55000000000000004">
      <c r="A56" s="6" t="s">
        <v>80</v>
      </c>
      <c r="C56" s="10">
        <f>(F18*(C51/1000)/(C54*C55/1000))/(10^6)</f>
        <v>7465.5172413793098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7432</v>
      </c>
    </row>
    <row r="58" spans="1:11" x14ac:dyDescent="0.55000000000000004">
      <c r="A58" s="6" t="s">
        <v>21</v>
      </c>
      <c r="C58" s="8">
        <f t="shared" ref="C58" si="7">ABS($B$57-C56)/C56*100</f>
        <v>0.44896073903001554</v>
      </c>
    </row>
    <row r="59" spans="1:11" x14ac:dyDescent="0.55000000000000004">
      <c r="A59" s="26" t="s">
        <v>196</v>
      </c>
      <c r="B59" s="26"/>
      <c r="C59" s="26">
        <v>4</v>
      </c>
      <c r="D59" s="6">
        <v>187.5</v>
      </c>
    </row>
    <row r="60" spans="1:11" x14ac:dyDescent="0.55000000000000004">
      <c r="A60" s="26" t="s">
        <v>197</v>
      </c>
      <c r="B60" s="26"/>
      <c r="C60" s="26"/>
    </row>
    <row r="61" spans="1:11" x14ac:dyDescent="0.55000000000000004">
      <c r="A61" s="26" t="s">
        <v>198</v>
      </c>
      <c r="B61" s="26"/>
      <c r="C61" s="26"/>
    </row>
    <row r="63" spans="1:11" x14ac:dyDescent="0.55000000000000004">
      <c r="A63" s="6" t="s">
        <v>73</v>
      </c>
      <c r="C63" s="7">
        <v>6.6500000000000004E-2</v>
      </c>
    </row>
    <row r="64" spans="1:11" x14ac:dyDescent="0.55000000000000004">
      <c r="A64" s="6" t="s">
        <v>71</v>
      </c>
      <c r="C64" s="8">
        <f>C55/C51</f>
        <v>6.6974595842956121E-3</v>
      </c>
    </row>
    <row r="65" spans="1:3" x14ac:dyDescent="0.55000000000000004">
      <c r="A65" s="6" t="s">
        <v>86</v>
      </c>
      <c r="C65" s="8">
        <f>C63/C53</f>
        <v>2.2166666666666667E-3</v>
      </c>
    </row>
    <row r="66" spans="1:3" x14ac:dyDescent="0.55000000000000004">
      <c r="A66" s="6" t="s">
        <v>87</v>
      </c>
      <c r="C66" s="8">
        <f>C65/C64</f>
        <v>0.3309712643678161</v>
      </c>
    </row>
    <row r="67" spans="1:3" x14ac:dyDescent="0.55000000000000004">
      <c r="A67" s="6" t="s">
        <v>88</v>
      </c>
      <c r="B67" s="7">
        <v>0.33169999999999999</v>
      </c>
    </row>
    <row r="68" spans="1:3" x14ac:dyDescent="0.55000000000000004">
      <c r="A68" s="6" t="s">
        <v>89</v>
      </c>
      <c r="B68" s="6">
        <f>B67</f>
        <v>0.33169999999999999</v>
      </c>
      <c r="C68" s="8">
        <f>(ABS(C66-$B$68)/$B$68)*100</f>
        <v>0.21969720596439454</v>
      </c>
    </row>
    <row r="70" spans="1:3" x14ac:dyDescent="0.55000000000000004">
      <c r="A70" s="6" t="s">
        <v>90</v>
      </c>
      <c r="C70" s="7">
        <v>2.9100000000000001E-2</v>
      </c>
    </row>
    <row r="71" spans="1:3" x14ac:dyDescent="0.55000000000000004">
      <c r="A71" s="6" t="s">
        <v>91</v>
      </c>
      <c r="C71" s="8">
        <f>C70/$B$6</f>
        <v>9.7000000000000005E-4</v>
      </c>
    </row>
    <row r="72" spans="1:3" x14ac:dyDescent="0.55000000000000004">
      <c r="A72" s="6" t="s">
        <v>99</v>
      </c>
      <c r="C72" s="8">
        <f>C71/C64</f>
        <v>0.14483103448275864</v>
      </c>
    </row>
    <row r="73" spans="1:3" x14ac:dyDescent="0.55000000000000004">
      <c r="A73" s="6" t="s">
        <v>100</v>
      </c>
      <c r="B73" s="7">
        <v>0.1444</v>
      </c>
    </row>
    <row r="74" spans="1:3" x14ac:dyDescent="0.55000000000000004">
      <c r="A74" s="6" t="s">
        <v>101</v>
      </c>
      <c r="B74" s="7">
        <f>B73</f>
        <v>0.1444</v>
      </c>
      <c r="C74" s="8">
        <f>ABS($B$74-C72)/C72*100</f>
        <v>0.29761196161997155</v>
      </c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34.64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30</v>
      </c>
    </row>
    <row r="83" spans="1:8" x14ac:dyDescent="0.55000000000000004">
      <c r="A83" s="6" t="s">
        <v>103</v>
      </c>
      <c r="C83" s="8">
        <f>C80*C82/1000000</f>
        <v>1.0392000000000001E-3</v>
      </c>
    </row>
    <row r="84" spans="1:8" x14ac:dyDescent="0.55000000000000004">
      <c r="A84" s="6" t="s">
        <v>104</v>
      </c>
      <c r="C84" s="7">
        <v>1.7010000000000001</v>
      </c>
    </row>
    <row r="85" spans="1:8" x14ac:dyDescent="0.55000000000000004">
      <c r="A85" s="6" t="s">
        <v>95</v>
      </c>
      <c r="C85" s="10">
        <f>(F26*($B$6/1000)/(C83*C84/1000))/(10^6)</f>
        <v>440.91710758377423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439.98329999999999</v>
      </c>
    </row>
    <row r="87" spans="1:8" x14ac:dyDescent="0.55000000000000004">
      <c r="A87" s="6" t="s">
        <v>21</v>
      </c>
      <c r="C87" s="8">
        <f>ABS($B$86-C85)/C85*100</f>
        <v>0.21178755999999749</v>
      </c>
    </row>
    <row r="88" spans="1:8" x14ac:dyDescent="0.55000000000000004">
      <c r="A88" s="26" t="s">
        <v>196</v>
      </c>
      <c r="B88" s="26"/>
      <c r="C88" s="26">
        <v>31.25</v>
      </c>
    </row>
    <row r="89" spans="1:8" x14ac:dyDescent="0.55000000000000004">
      <c r="A89" s="26" t="s">
        <v>197</v>
      </c>
      <c r="B89" s="26"/>
      <c r="C89" s="26"/>
    </row>
    <row r="90" spans="1:8" x14ac:dyDescent="0.55000000000000004">
      <c r="A90" s="26" t="s">
        <v>198</v>
      </c>
      <c r="B90" s="26"/>
      <c r="C90" s="26"/>
    </row>
    <row r="92" spans="1:8" x14ac:dyDescent="0.55000000000000004">
      <c r="A92" s="6" t="s">
        <v>73</v>
      </c>
      <c r="C92" s="7">
        <v>1.4500000000000001E-2</v>
      </c>
    </row>
    <row r="93" spans="1:8" x14ac:dyDescent="0.55000000000000004">
      <c r="A93" s="6" t="s">
        <v>105</v>
      </c>
      <c r="C93" s="8">
        <f t="shared" ref="C93" si="8">C84/$B$6</f>
        <v>5.67E-2</v>
      </c>
    </row>
    <row r="94" spans="1:8" x14ac:dyDescent="0.55000000000000004">
      <c r="A94" s="6" t="s">
        <v>86</v>
      </c>
      <c r="C94" s="8">
        <f t="shared" ref="C94" si="9">C92/C82</f>
        <v>4.8333333333333334E-4</v>
      </c>
    </row>
    <row r="95" spans="1:8" x14ac:dyDescent="0.55000000000000004">
      <c r="A95" s="6" t="s">
        <v>106</v>
      </c>
      <c r="C95" s="8">
        <f>C94/C93</f>
        <v>8.5243974132863023E-3</v>
      </c>
    </row>
    <row r="96" spans="1:8" x14ac:dyDescent="0.55000000000000004">
      <c r="A96" s="6" t="s">
        <v>107</v>
      </c>
      <c r="B96" s="7">
        <v>8.5000000000000006E-3</v>
      </c>
    </row>
    <row r="97" spans="1:3" x14ac:dyDescent="0.55000000000000004">
      <c r="A97" s="6" t="s">
        <v>108</v>
      </c>
      <c r="B97" s="6">
        <f>B96</f>
        <v>8.5000000000000006E-3</v>
      </c>
      <c r="C97" s="8">
        <f>(ABS(C95-$B$97)/$B$97)*100</f>
        <v>0.28702839160354904</v>
      </c>
    </row>
    <row r="99" spans="1:3" x14ac:dyDescent="0.55000000000000004">
      <c r="A99" s="6" t="s">
        <v>46</v>
      </c>
      <c r="C99" s="7">
        <v>1.6799999999999999E-2</v>
      </c>
    </row>
    <row r="100" spans="1:3" x14ac:dyDescent="0.55000000000000004">
      <c r="A100" s="6" t="s">
        <v>109</v>
      </c>
      <c r="C100" s="8">
        <f t="shared" ref="C100" si="10">C99/C80</f>
        <v>4.8498845265588912E-4</v>
      </c>
    </row>
    <row r="101" spans="1:3" x14ac:dyDescent="0.55000000000000004">
      <c r="A101" s="6" t="s">
        <v>110</v>
      </c>
      <c r="C101" s="8">
        <f>C100/C93</f>
        <v>8.5535882302625946E-3</v>
      </c>
    </row>
    <row r="102" spans="1:3" x14ac:dyDescent="0.55000000000000004">
      <c r="A102" s="6" t="s">
        <v>111</v>
      </c>
      <c r="B102" s="7">
        <v>8.5000000000000006E-3</v>
      </c>
    </row>
    <row r="103" spans="1:3" x14ac:dyDescent="0.55000000000000004">
      <c r="A103" s="6" t="s">
        <v>112</v>
      </c>
      <c r="B103" s="7">
        <f>B102</f>
        <v>8.5000000000000006E-3</v>
      </c>
      <c r="C103" s="8">
        <f>ABS($B$103-C101)/$B$103*100</f>
        <v>0.63044976779522299</v>
      </c>
    </row>
    <row r="110" spans="1:3" x14ac:dyDescent="0.55000000000000004">
      <c r="A110" s="6" t="s">
        <v>113</v>
      </c>
    </row>
    <row r="111" spans="1:3" x14ac:dyDescent="0.55000000000000004">
      <c r="A111" s="6" t="s">
        <v>114</v>
      </c>
      <c r="B111" s="6">
        <f>25*10^6</f>
        <v>25000000</v>
      </c>
    </row>
    <row r="112" spans="1:3" x14ac:dyDescent="0.55000000000000004">
      <c r="A112" s="6" t="s">
        <v>63</v>
      </c>
      <c r="C112" s="7">
        <v>2</v>
      </c>
    </row>
    <row r="113" spans="1:3" x14ac:dyDescent="0.55000000000000004">
      <c r="A113" s="6" t="s">
        <v>64</v>
      </c>
      <c r="C113" s="8">
        <v>30</v>
      </c>
    </row>
    <row r="114" spans="1:3" x14ac:dyDescent="0.55000000000000004">
      <c r="A114" s="6" t="s">
        <v>115</v>
      </c>
      <c r="C114" s="8">
        <f>C113*$B$6/1000000</f>
        <v>8.9999999999999998E-4</v>
      </c>
    </row>
    <row r="115" spans="1:3" x14ac:dyDescent="0.55000000000000004">
      <c r="A115" s="6" t="s">
        <v>77</v>
      </c>
      <c r="C115" s="7">
        <v>2</v>
      </c>
    </row>
    <row r="116" spans="1:3" x14ac:dyDescent="0.55000000000000004">
      <c r="A116" s="6" t="s">
        <v>82</v>
      </c>
      <c r="C116" s="8">
        <f>$B$10*C115</f>
        <v>34.64</v>
      </c>
    </row>
    <row r="117" spans="1:3" x14ac:dyDescent="0.55000000000000004">
      <c r="A117" s="6" t="s">
        <v>116</v>
      </c>
      <c r="C117" s="8">
        <f>$B$6*C116/1000000</f>
        <v>1.0392000000000001E-3</v>
      </c>
    </row>
    <row r="118" spans="1:3" x14ac:dyDescent="0.55000000000000004">
      <c r="A118" s="6" t="s">
        <v>117</v>
      </c>
      <c r="C118" s="8">
        <f>$B$111*C114</f>
        <v>22500</v>
      </c>
    </row>
    <row r="119" spans="1:3" x14ac:dyDescent="0.55000000000000004">
      <c r="A119" s="6" t="s">
        <v>118</v>
      </c>
      <c r="C119" s="8">
        <f>$B$111*C117</f>
        <v>25980.000000000004</v>
      </c>
    </row>
    <row r="120" spans="1:3" x14ac:dyDescent="0.55000000000000004">
      <c r="A120" s="6" t="s">
        <v>119</v>
      </c>
      <c r="C120" s="8">
        <f>C113</f>
        <v>30</v>
      </c>
    </row>
    <row r="121" spans="1:3" x14ac:dyDescent="0.55000000000000004">
      <c r="A121" s="6" t="s">
        <v>120</v>
      </c>
      <c r="C121" s="7">
        <v>0.26700000000000002</v>
      </c>
    </row>
    <row r="122" spans="1:3" x14ac:dyDescent="0.55000000000000004">
      <c r="A122" s="6" t="s">
        <v>121</v>
      </c>
      <c r="C122" s="8">
        <f>C121/C120</f>
        <v>8.8999999999999999E-3</v>
      </c>
    </row>
    <row r="123" spans="1:3" x14ac:dyDescent="0.55000000000000004">
      <c r="A123" s="6" t="s">
        <v>113</v>
      </c>
      <c r="C123" s="8">
        <f>($B$111/C122)/10^6</f>
        <v>2808.9887640449438</v>
      </c>
    </row>
    <row r="124" spans="1:3" x14ac:dyDescent="0.55000000000000004">
      <c r="A124" s="6" t="s">
        <v>122</v>
      </c>
      <c r="B124" s="7">
        <v>2795.6</v>
      </c>
    </row>
    <row r="125" spans="1:3" x14ac:dyDescent="0.55000000000000004">
      <c r="A125" s="6" t="s">
        <v>22</v>
      </c>
      <c r="C125" s="8">
        <f>ABS($B$124-C123)/$B$124*100</f>
        <v>0.47892273733523594</v>
      </c>
    </row>
    <row r="126" spans="1:3" x14ac:dyDescent="0.55000000000000004">
      <c r="A126" s="26" t="s">
        <v>196</v>
      </c>
      <c r="B126" s="26"/>
      <c r="C126" s="26">
        <v>112.5</v>
      </c>
    </row>
    <row r="127" spans="1:3" x14ac:dyDescent="0.55000000000000004">
      <c r="A127" s="26" t="s">
        <v>197</v>
      </c>
      <c r="B127" s="26"/>
      <c r="C127" s="26"/>
    </row>
    <row r="128" spans="1:3" x14ac:dyDescent="0.55000000000000004">
      <c r="A128" s="26" t="s">
        <v>198</v>
      </c>
      <c r="B128" s="26"/>
      <c r="C128" s="26"/>
    </row>
    <row r="129" spans="1:3" x14ac:dyDescent="0.55000000000000004">
      <c r="A129" s="6" t="s">
        <v>125</v>
      </c>
    </row>
    <row r="130" spans="1:3" x14ac:dyDescent="0.55000000000000004">
      <c r="A130" s="6" t="s">
        <v>114</v>
      </c>
      <c r="B130" s="6">
        <f>25*10^6</f>
        <v>25000000</v>
      </c>
    </row>
    <row r="131" spans="1:3" x14ac:dyDescent="0.55000000000000004">
      <c r="A131" s="6" t="s">
        <v>63</v>
      </c>
      <c r="C131" s="7">
        <v>2</v>
      </c>
    </row>
    <row r="132" spans="1:3" x14ac:dyDescent="0.55000000000000004">
      <c r="A132" s="6" t="s">
        <v>64</v>
      </c>
      <c r="C132" s="8">
        <f>$B$9*C131</f>
        <v>30</v>
      </c>
    </row>
    <row r="133" spans="1:3" x14ac:dyDescent="0.55000000000000004">
      <c r="A133" s="6" t="s">
        <v>115</v>
      </c>
      <c r="B133" s="4" t="s">
        <v>128</v>
      </c>
      <c r="C133" s="8">
        <f>C135*B6/1000000</f>
        <v>1.0392000000000001E-3</v>
      </c>
    </row>
    <row r="134" spans="1:3" x14ac:dyDescent="0.55000000000000004">
      <c r="A134" s="6" t="s">
        <v>77</v>
      </c>
      <c r="C134" s="7">
        <v>2</v>
      </c>
    </row>
    <row r="135" spans="1:3" x14ac:dyDescent="0.55000000000000004">
      <c r="A135" s="6" t="s">
        <v>82</v>
      </c>
      <c r="C135" s="8">
        <f>$B$10*C134</f>
        <v>34.64</v>
      </c>
    </row>
    <row r="136" spans="1:3" x14ac:dyDescent="0.55000000000000004">
      <c r="A136" s="6" t="s">
        <v>116</v>
      </c>
      <c r="C136" s="8">
        <f>C132*C135/1000000</f>
        <v>1.0392000000000001E-3</v>
      </c>
    </row>
    <row r="137" spans="1:3" x14ac:dyDescent="0.55000000000000004">
      <c r="A137" s="6" t="s">
        <v>117</v>
      </c>
      <c r="C137" s="8">
        <f>$B$111*C133</f>
        <v>25980.000000000004</v>
      </c>
    </row>
    <row r="138" spans="1:3" x14ac:dyDescent="0.55000000000000004">
      <c r="A138" s="6" t="s">
        <v>118</v>
      </c>
      <c r="C138" s="28">
        <f>$B$111*C136</f>
        <v>25980.000000000004</v>
      </c>
    </row>
    <row r="139" spans="1:3" x14ac:dyDescent="0.55000000000000004">
      <c r="A139" s="6" t="s">
        <v>119</v>
      </c>
      <c r="C139" s="8">
        <f>B6</f>
        <v>30</v>
      </c>
    </row>
    <row r="140" spans="1:3" x14ac:dyDescent="0.55000000000000004">
      <c r="A140" s="6" t="s">
        <v>120</v>
      </c>
      <c r="C140" s="7">
        <v>5.5330000000000004</v>
      </c>
    </row>
    <row r="141" spans="1:3" x14ac:dyDescent="0.55000000000000004">
      <c r="A141" s="6" t="s">
        <v>121</v>
      </c>
      <c r="B141" s="12"/>
      <c r="C141" s="8">
        <f>C140/C139</f>
        <v>0.18443333333333334</v>
      </c>
    </row>
    <row r="142" spans="1:3" x14ac:dyDescent="0.55000000000000004">
      <c r="A142" s="6" t="s">
        <v>125</v>
      </c>
      <c r="B142" s="12"/>
      <c r="C142" s="8">
        <f>($B$111/C141)/10^6</f>
        <v>135.55033435749141</v>
      </c>
    </row>
    <row r="143" spans="1:3" x14ac:dyDescent="0.55000000000000004">
      <c r="A143" s="6" t="s">
        <v>126</v>
      </c>
      <c r="B143" s="27">
        <v>141.19999999999999</v>
      </c>
    </row>
    <row r="144" spans="1:3" x14ac:dyDescent="0.55000000000000004">
      <c r="A144" s="6" t="s">
        <v>22</v>
      </c>
      <c r="C144" s="8">
        <f>ABS($B$143-C142)/C142*100</f>
        <v>4.1679466666666638</v>
      </c>
    </row>
    <row r="145" spans="1:3" x14ac:dyDescent="0.55000000000000004">
      <c r="A145" s="26" t="s">
        <v>206</v>
      </c>
      <c r="B145" s="26"/>
      <c r="C145" s="26">
        <v>56.3</v>
      </c>
    </row>
    <row r="146" spans="1:3" x14ac:dyDescent="0.55000000000000004">
      <c r="A146" s="26" t="s">
        <v>207</v>
      </c>
      <c r="B146" s="26"/>
      <c r="C146" s="26"/>
    </row>
    <row r="147" spans="1:3" x14ac:dyDescent="0.55000000000000004">
      <c r="A147" s="26" t="s">
        <v>198</v>
      </c>
      <c r="B147" s="26"/>
      <c r="C147" s="26"/>
    </row>
    <row r="149" spans="1:3" x14ac:dyDescent="0.55000000000000004">
      <c r="A149" s="6" t="s">
        <v>123</v>
      </c>
    </row>
    <row r="150" spans="1:3" x14ac:dyDescent="0.55000000000000004">
      <c r="A150" s="6" t="s">
        <v>114</v>
      </c>
      <c r="B150" s="6">
        <f>25*10^6</f>
        <v>25000000</v>
      </c>
    </row>
    <row r="151" spans="1:3" x14ac:dyDescent="0.55000000000000004">
      <c r="A151" s="6" t="s">
        <v>63</v>
      </c>
      <c r="C151" s="7">
        <v>2</v>
      </c>
    </row>
    <row r="152" spans="1:3" x14ac:dyDescent="0.55000000000000004">
      <c r="A152" s="6" t="s">
        <v>64</v>
      </c>
      <c r="C152" s="8">
        <v>30</v>
      </c>
    </row>
    <row r="153" spans="1:3" x14ac:dyDescent="0.55000000000000004">
      <c r="A153" s="6" t="s">
        <v>115</v>
      </c>
      <c r="C153" s="8">
        <f>C152*C156/1000000</f>
        <v>8.9999999999999998E-4</v>
      </c>
    </row>
    <row r="154" spans="1:3" x14ac:dyDescent="0.55000000000000004">
      <c r="A154" s="6" t="s">
        <v>77</v>
      </c>
      <c r="C154" s="7">
        <v>2</v>
      </c>
    </row>
    <row r="155" spans="1:3" x14ac:dyDescent="0.55000000000000004">
      <c r="A155" s="6" t="s">
        <v>82</v>
      </c>
      <c r="C155" s="8">
        <f>B10*C154</f>
        <v>34.64</v>
      </c>
    </row>
    <row r="156" spans="1:3" x14ac:dyDescent="0.55000000000000004">
      <c r="A156" s="6" t="s">
        <v>124</v>
      </c>
      <c r="C156" s="7">
        <f>B6</f>
        <v>30</v>
      </c>
    </row>
    <row r="157" spans="1:3" x14ac:dyDescent="0.55000000000000004">
      <c r="A157" s="6" t="s">
        <v>116</v>
      </c>
      <c r="C157" s="8">
        <f>C152*C155/1000000</f>
        <v>1.0392000000000001E-3</v>
      </c>
    </row>
    <row r="158" spans="1:3" x14ac:dyDescent="0.55000000000000004">
      <c r="A158" s="6" t="s">
        <v>117</v>
      </c>
      <c r="C158" s="8">
        <f>$B$111*C153</f>
        <v>22500</v>
      </c>
    </row>
    <row r="159" spans="1:3" x14ac:dyDescent="0.55000000000000004">
      <c r="A159" s="6" t="s">
        <v>118</v>
      </c>
      <c r="C159" s="17">
        <f>$B$111*C157</f>
        <v>25980.000000000004</v>
      </c>
    </row>
    <row r="160" spans="1:3" x14ac:dyDescent="0.55000000000000004">
      <c r="A160" s="6" t="s">
        <v>119</v>
      </c>
      <c r="C160" s="8">
        <f>C156</f>
        <v>30</v>
      </c>
    </row>
    <row r="161" spans="1:4" x14ac:dyDescent="0.55000000000000004">
      <c r="A161" s="6" t="s">
        <v>120</v>
      </c>
      <c r="C161" s="7">
        <v>5.3609999999999998</v>
      </c>
    </row>
    <row r="162" spans="1:4" x14ac:dyDescent="0.55000000000000004">
      <c r="A162" s="6" t="s">
        <v>121</v>
      </c>
      <c r="C162" s="8">
        <f>ATAN(C161/C160)</f>
        <v>0.17683345156664904</v>
      </c>
    </row>
    <row r="163" spans="1:4" x14ac:dyDescent="0.55000000000000004">
      <c r="A163" s="6" t="s">
        <v>123</v>
      </c>
      <c r="C163" s="8">
        <f>($B$111/C162)/10^6</f>
        <v>141.37596579444374</v>
      </c>
    </row>
    <row r="164" spans="1:4" x14ac:dyDescent="0.55000000000000004">
      <c r="A164" s="6" t="s">
        <v>127</v>
      </c>
      <c r="B164" s="7">
        <v>141.19999999999999</v>
      </c>
    </row>
    <row r="165" spans="1:4" x14ac:dyDescent="0.55000000000000004">
      <c r="A165" s="6" t="s">
        <v>22</v>
      </c>
      <c r="C165" s="8">
        <f>ABS(B164-C163)/C163*100</f>
        <v>0.12446655515662665</v>
      </c>
    </row>
    <row r="166" spans="1:4" x14ac:dyDescent="0.55000000000000004">
      <c r="A166" s="26" t="s">
        <v>208</v>
      </c>
      <c r="B166" s="26"/>
      <c r="C166" s="26">
        <v>31.6</v>
      </c>
      <c r="D166" s="6">
        <v>63.1</v>
      </c>
    </row>
    <row r="167" spans="1:4" x14ac:dyDescent="0.55000000000000004">
      <c r="A167" s="26" t="s">
        <v>207</v>
      </c>
      <c r="B167" s="26"/>
      <c r="C167" s="26"/>
    </row>
    <row r="168" spans="1:4" x14ac:dyDescent="0.55000000000000004">
      <c r="A168" s="26" t="s">
        <v>198</v>
      </c>
      <c r="B168" s="26"/>
      <c r="C168" s="26"/>
    </row>
    <row r="170" spans="1:4" x14ac:dyDescent="0.55000000000000004">
      <c r="C170" s="7">
        <v>6.7606081959999997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D5599-B22A-4F82-9D0C-C5999C7ADA2C}">
  <dimension ref="A1:Y189"/>
  <sheetViews>
    <sheetView zoomScale="10" zoomScaleNormal="10" workbookViewId="0">
      <selection activeCell="C27" sqref="C27:C28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17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</v>
      </c>
      <c r="F1" s="6" t="s">
        <v>132</v>
      </c>
      <c r="G1" s="6">
        <v>4</v>
      </c>
    </row>
    <row r="2" spans="1:17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0.8</v>
      </c>
    </row>
    <row r="3" spans="1:17" x14ac:dyDescent="0.55000000000000004">
      <c r="A3" s="6" t="s">
        <v>3</v>
      </c>
      <c r="B3" s="7">
        <v>30</v>
      </c>
      <c r="C3" s="7">
        <f>D3*3.1415/180</f>
        <v>0.5235833333333334</v>
      </c>
      <c r="D3" s="6">
        <v>30</v>
      </c>
    </row>
    <row r="4" spans="1:17" x14ac:dyDescent="0.55000000000000004">
      <c r="A4" s="6" t="s">
        <v>2</v>
      </c>
      <c r="B4" s="7">
        <v>15</v>
      </c>
      <c r="C4" s="8">
        <f>3.75</f>
        <v>3.75</v>
      </c>
      <c r="D4" s="7">
        <f>C1*(1+SIN(C3))/(C2*SIN(C3))</f>
        <v>15.000267476221509</v>
      </c>
    </row>
    <row r="5" spans="1:17" x14ac:dyDescent="0.55000000000000004">
      <c r="A5" s="6" t="s">
        <v>4</v>
      </c>
      <c r="B5" s="7">
        <v>15</v>
      </c>
      <c r="C5" s="8">
        <f>3.75</f>
        <v>3.75</v>
      </c>
      <c r="D5" s="7">
        <f>2*C1*(1+SIN(C3))/C2</f>
        <v>14.999866265466325</v>
      </c>
    </row>
    <row r="6" spans="1:17" x14ac:dyDescent="0.55000000000000004">
      <c r="A6" s="6" t="s">
        <v>11</v>
      </c>
      <c r="B6" s="7">
        <v>30</v>
      </c>
      <c r="C6" s="8">
        <f>3.75*2</f>
        <v>7.5</v>
      </c>
    </row>
    <row r="7" spans="1:17" x14ac:dyDescent="0.55000000000000004">
      <c r="A7" s="6" t="s">
        <v>5</v>
      </c>
      <c r="B7" s="8">
        <v>17.32</v>
      </c>
      <c r="C7" s="8">
        <v>4.33</v>
      </c>
      <c r="D7" s="7">
        <f>2*TAN(C3)*C4</f>
        <v>4.3299725976492844</v>
      </c>
    </row>
    <row r="8" spans="1:17" x14ac:dyDescent="0.55000000000000004">
      <c r="A8" s="6" t="s">
        <v>6</v>
      </c>
      <c r="B8" s="8">
        <v>17.32</v>
      </c>
      <c r="C8" s="8">
        <f>C7</f>
        <v>4.33</v>
      </c>
      <c r="D8" s="7">
        <f>C4/COS(C3)</f>
        <v>4.33008841412025</v>
      </c>
    </row>
    <row r="9" spans="1:17" x14ac:dyDescent="0.55000000000000004">
      <c r="A9" s="6" t="s">
        <v>61</v>
      </c>
      <c r="B9" s="8">
        <f>B4</f>
        <v>15</v>
      </c>
      <c r="C9" s="8">
        <f>D4</f>
        <v>15.000267476221509</v>
      </c>
    </row>
    <row r="10" spans="1:17" x14ac:dyDescent="0.55000000000000004">
      <c r="A10" s="6" t="s">
        <v>62</v>
      </c>
      <c r="B10" s="8">
        <f>B7</f>
        <v>17.32</v>
      </c>
      <c r="C10" s="8">
        <f>D7</f>
        <v>4.3299725976492844</v>
      </c>
    </row>
    <row r="11" spans="1:17" x14ac:dyDescent="0.55000000000000004">
      <c r="A11" s="6" t="s">
        <v>63</v>
      </c>
      <c r="B11" s="6">
        <v>1</v>
      </c>
      <c r="C11" s="6">
        <v>2</v>
      </c>
      <c r="E11" s="6" t="s">
        <v>199</v>
      </c>
      <c r="F11" s="6">
        <f>50</f>
        <v>50</v>
      </c>
    </row>
    <row r="12" spans="1:17" x14ac:dyDescent="0.55000000000000004">
      <c r="A12" s="6" t="s">
        <v>64</v>
      </c>
      <c r="B12" s="8">
        <f>$B$9*B11</f>
        <v>15</v>
      </c>
      <c r="C12" s="8">
        <f t="shared" ref="C12" si="0">$B$9*C11</f>
        <v>30</v>
      </c>
      <c r="E12" s="6" t="s">
        <v>200</v>
      </c>
      <c r="F12" s="6">
        <f>B14*B6</f>
        <v>1039.2</v>
      </c>
    </row>
    <row r="13" spans="1:17" x14ac:dyDescent="0.55000000000000004">
      <c r="A13" s="6" t="s">
        <v>77</v>
      </c>
      <c r="B13" s="6">
        <v>2</v>
      </c>
      <c r="C13" s="6">
        <v>2</v>
      </c>
      <c r="E13" s="6" t="s">
        <v>201</v>
      </c>
      <c r="F13" s="6">
        <f>F11*F12</f>
        <v>51960</v>
      </c>
      <c r="J13" s="11" t="s">
        <v>209</v>
      </c>
      <c r="K13" s="11"/>
      <c r="L13" s="11"/>
      <c r="M13" s="11"/>
      <c r="N13" s="11"/>
      <c r="O13" s="11"/>
      <c r="P13" s="11"/>
      <c r="Q13" s="11"/>
    </row>
    <row r="14" spans="1:17" x14ac:dyDescent="0.55000000000000004">
      <c r="A14" s="6" t="s">
        <v>65</v>
      </c>
      <c r="B14" s="8">
        <f>$B$10*B13</f>
        <v>34.64</v>
      </c>
      <c r="C14" s="8">
        <f t="shared" ref="C14" si="1">$B$10*C13</f>
        <v>34.64</v>
      </c>
      <c r="J14" s="11"/>
      <c r="K14" s="11"/>
      <c r="L14" s="11"/>
      <c r="M14" s="11"/>
      <c r="N14" s="11"/>
      <c r="O14" s="11"/>
      <c r="P14" s="11"/>
      <c r="Q14" s="11"/>
    </row>
    <row r="15" spans="1:17" x14ac:dyDescent="0.55000000000000004">
      <c r="A15" s="6" t="s">
        <v>67</v>
      </c>
      <c r="B15" s="8">
        <f>B14/1000*$B$6/1000</f>
        <v>1.0391999999999999E-3</v>
      </c>
      <c r="C15" s="8">
        <f t="shared" ref="C15" si="2">C14/1000*$B$6/1000</f>
        <v>1.0391999999999999E-3</v>
      </c>
      <c r="J15" s="11" t="s">
        <v>210</v>
      </c>
      <c r="K15" s="11"/>
      <c r="L15" s="11"/>
      <c r="M15" s="11"/>
      <c r="N15" s="11"/>
      <c r="O15" s="11"/>
      <c r="P15" s="11"/>
      <c r="Q15" s="11"/>
    </row>
    <row r="16" spans="1:17" x14ac:dyDescent="0.55000000000000004">
      <c r="A16" s="6" t="s">
        <v>73</v>
      </c>
      <c r="B16" s="7">
        <v>0</v>
      </c>
      <c r="C16" s="7">
        <v>0.10100000000000001</v>
      </c>
      <c r="E16" s="6" t="s">
        <v>202</v>
      </c>
      <c r="F16" s="6">
        <f>50</f>
        <v>50</v>
      </c>
    </row>
    <row r="17" spans="1:25" s="9" customFormat="1" x14ac:dyDescent="0.55000000000000004">
      <c r="A17" s="9" t="s">
        <v>66</v>
      </c>
      <c r="C17" s="10">
        <f>($E$1*(C12/1000)/(C15*C16/1000))/(10^6)</f>
        <v>285.82534927857682</v>
      </c>
      <c r="E17" s="6" t="s">
        <v>200</v>
      </c>
      <c r="F17" s="6">
        <f>B6*C12</f>
        <v>900</v>
      </c>
    </row>
    <row r="18" spans="1:25" x14ac:dyDescent="0.55000000000000004">
      <c r="A18" s="6" t="s">
        <v>68</v>
      </c>
      <c r="B18" s="7">
        <v>7570</v>
      </c>
      <c r="E18" s="6" t="s">
        <v>203</v>
      </c>
      <c r="F18" s="6">
        <f>F16*F17</f>
        <v>45000</v>
      </c>
    </row>
    <row r="19" spans="1:25" s="8" customFormat="1" x14ac:dyDescent="0.55000000000000004">
      <c r="A19" s="8" t="s">
        <v>69</v>
      </c>
      <c r="C19" s="8">
        <f t="shared" ref="C19" si="3">ABS($B$18-C17)/C17*100</f>
        <v>2548.47048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s="26" customFormat="1" x14ac:dyDescent="0.55000000000000004">
      <c r="A20" s="26" t="s">
        <v>196</v>
      </c>
      <c r="C20" s="26">
        <v>124.87</v>
      </c>
      <c r="D20" s="26">
        <v>62.23</v>
      </c>
    </row>
    <row r="21" spans="1:25" s="26" customFormat="1" x14ac:dyDescent="0.55000000000000004">
      <c r="A21" s="26" t="s">
        <v>197</v>
      </c>
      <c r="C21" s="26">
        <v>125</v>
      </c>
      <c r="D21" s="26">
        <v>62.5</v>
      </c>
    </row>
    <row r="22" spans="1:25" s="26" customFormat="1" x14ac:dyDescent="0.55000000000000004">
      <c r="A22" s="26" t="s">
        <v>198</v>
      </c>
    </row>
    <row r="23" spans="1:25" s="26" customFormat="1" x14ac:dyDescent="0.55000000000000004"/>
    <row r="24" spans="1:25" x14ac:dyDescent="0.55000000000000004">
      <c r="E24" s="6" t="s">
        <v>205</v>
      </c>
      <c r="F24" s="6">
        <v>25</v>
      </c>
    </row>
    <row r="25" spans="1:25" x14ac:dyDescent="0.55000000000000004">
      <c r="E25" s="6" t="s">
        <v>200</v>
      </c>
      <c r="F25" s="6">
        <f>C14*C12</f>
        <v>1039.2</v>
      </c>
    </row>
    <row r="26" spans="1:25" x14ac:dyDescent="0.55000000000000004">
      <c r="E26" s="6" t="s">
        <v>204</v>
      </c>
      <c r="F26" s="6">
        <f>F24*F25</f>
        <v>25980</v>
      </c>
    </row>
    <row r="37" spans="2:8" x14ac:dyDescent="0.55000000000000004">
      <c r="B37" s="15"/>
    </row>
    <row r="44" spans="2:8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4">$B$10*C50</f>
        <v>34.64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30</v>
      </c>
    </row>
    <row r="54" spans="1:11" x14ac:dyDescent="0.55000000000000004">
      <c r="A54" s="6" t="s">
        <v>83</v>
      </c>
      <c r="C54" s="8">
        <f>C53*$B$6/1000000</f>
        <v>8.9999999999999998E-4</v>
      </c>
    </row>
    <row r="55" spans="1:11" x14ac:dyDescent="0.55000000000000004">
      <c r="A55" s="6" t="s">
        <v>78</v>
      </c>
      <c r="C55" s="7">
        <v>9.5799999999999996E-2</v>
      </c>
    </row>
    <row r="56" spans="1:11" x14ac:dyDescent="0.55000000000000004">
      <c r="A56" s="6" t="s">
        <v>80</v>
      </c>
      <c r="C56" s="10">
        <f t="shared" ref="C56" si="5">($E$1*(C51/1000)/(C54*C55/1000))/(10^6)</f>
        <v>401.76293203433079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2293.9</v>
      </c>
    </row>
    <row r="58" spans="1:11" x14ac:dyDescent="0.55000000000000004">
      <c r="A58" s="6" t="s">
        <v>21</v>
      </c>
      <c r="C58" s="8">
        <f t="shared" ref="C58" si="6">ABS($B$57-C56)/C56*100</f>
        <v>470.95859699769056</v>
      </c>
    </row>
    <row r="59" spans="1:11" x14ac:dyDescent="0.55000000000000004">
      <c r="A59" s="26" t="s">
        <v>196</v>
      </c>
      <c r="B59" s="26"/>
      <c r="C59" s="26">
        <v>0</v>
      </c>
      <c r="D59" s="6">
        <v>187.35</v>
      </c>
    </row>
    <row r="60" spans="1:11" x14ac:dyDescent="0.55000000000000004">
      <c r="A60" s="26" t="s">
        <v>197</v>
      </c>
      <c r="B60" s="26"/>
      <c r="C60" s="26">
        <v>0</v>
      </c>
      <c r="D60" s="6">
        <v>187.5</v>
      </c>
    </row>
    <row r="61" spans="1:11" x14ac:dyDescent="0.55000000000000004">
      <c r="A61" s="26" t="s">
        <v>198</v>
      </c>
      <c r="B61" s="26"/>
      <c r="C61" s="26"/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34.64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30</v>
      </c>
    </row>
    <row r="83" spans="1:8" x14ac:dyDescent="0.55000000000000004">
      <c r="A83" s="6" t="s">
        <v>103</v>
      </c>
      <c r="C83" s="8">
        <f>C80*C82/1000000</f>
        <v>1.0392000000000001E-3</v>
      </c>
    </row>
    <row r="84" spans="1:8" x14ac:dyDescent="0.55000000000000004">
      <c r="A84" s="6" t="s">
        <v>104</v>
      </c>
      <c r="C84" s="7">
        <v>0.87</v>
      </c>
    </row>
    <row r="85" spans="1:8" x14ac:dyDescent="0.55000000000000004">
      <c r="A85" s="6" t="s">
        <v>95</v>
      </c>
      <c r="C85" s="10">
        <f>($E$1*($B$6/1000)/(C83*C84/1000))/(10^6)</f>
        <v>33.182023307053164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220.06</v>
      </c>
    </row>
    <row r="87" spans="1:8" x14ac:dyDescent="0.55000000000000004">
      <c r="A87" s="6" t="s">
        <v>21</v>
      </c>
      <c r="C87" s="8">
        <f>ABS($B$86-C85)/C85*100</f>
        <v>563.1904208000002</v>
      </c>
    </row>
    <row r="88" spans="1:8" x14ac:dyDescent="0.55000000000000004">
      <c r="A88" s="26" t="s">
        <v>196</v>
      </c>
      <c r="B88" s="26"/>
      <c r="C88" s="26">
        <v>62.5</v>
      </c>
      <c r="D88" s="6">
        <v>62.5</v>
      </c>
    </row>
    <row r="89" spans="1:8" x14ac:dyDescent="0.55000000000000004">
      <c r="A89" s="26" t="s">
        <v>197</v>
      </c>
      <c r="B89" s="26"/>
      <c r="C89" s="26">
        <v>62.5</v>
      </c>
      <c r="D89" s="6">
        <v>62.5</v>
      </c>
    </row>
    <row r="90" spans="1:8" x14ac:dyDescent="0.55000000000000004">
      <c r="A90" s="26" t="s">
        <v>198</v>
      </c>
      <c r="B90" s="26"/>
      <c r="C90" s="26"/>
    </row>
    <row r="111" spans="1:3" x14ac:dyDescent="0.55000000000000004">
      <c r="A111" s="6" t="s">
        <v>114</v>
      </c>
      <c r="B111" s="6">
        <f>25*10^6</f>
        <v>25000000</v>
      </c>
    </row>
    <row r="112" spans="1:3" x14ac:dyDescent="0.55000000000000004">
      <c r="A112" s="6" t="s">
        <v>63</v>
      </c>
      <c r="C112" s="7">
        <v>2</v>
      </c>
    </row>
    <row r="113" spans="1:4" x14ac:dyDescent="0.55000000000000004">
      <c r="A113" s="6" t="s">
        <v>64</v>
      </c>
      <c r="C113" s="8">
        <f>$B$9*C112</f>
        <v>30</v>
      </c>
    </row>
    <row r="114" spans="1:4" x14ac:dyDescent="0.55000000000000004">
      <c r="A114" s="6" t="s">
        <v>115</v>
      </c>
      <c r="C114" s="8">
        <f>C113*$B$6/1000000</f>
        <v>8.9999999999999998E-4</v>
      </c>
    </row>
    <row r="115" spans="1:4" x14ac:dyDescent="0.55000000000000004">
      <c r="A115" s="6" t="s">
        <v>77</v>
      </c>
      <c r="C115" s="7">
        <v>2</v>
      </c>
    </row>
    <row r="116" spans="1:4" x14ac:dyDescent="0.55000000000000004">
      <c r="A116" s="6" t="s">
        <v>82</v>
      </c>
      <c r="C116" s="8">
        <f>$B$10*C115</f>
        <v>34.64</v>
      </c>
    </row>
    <row r="117" spans="1:4" x14ac:dyDescent="0.55000000000000004">
      <c r="A117" s="6" t="s">
        <v>116</v>
      </c>
      <c r="C117" s="8">
        <f>$B$6*C116/1000000</f>
        <v>1.0392000000000001E-3</v>
      </c>
    </row>
    <row r="118" spans="1:4" x14ac:dyDescent="0.55000000000000004">
      <c r="A118" s="6" t="s">
        <v>117</v>
      </c>
      <c r="C118" s="8">
        <f>$B$111*C114</f>
        <v>22500</v>
      </c>
    </row>
    <row r="119" spans="1:4" x14ac:dyDescent="0.55000000000000004">
      <c r="A119" s="6" t="s">
        <v>118</v>
      </c>
      <c r="C119" s="8">
        <f>$B$111*C117</f>
        <v>25980.000000000004</v>
      </c>
    </row>
    <row r="120" spans="1:4" x14ac:dyDescent="0.55000000000000004">
      <c r="A120" s="6" t="s">
        <v>119</v>
      </c>
      <c r="C120" s="8">
        <f>C116</f>
        <v>34.64</v>
      </c>
    </row>
    <row r="121" spans="1:4" x14ac:dyDescent="0.55000000000000004">
      <c r="A121" s="6" t="s">
        <v>120</v>
      </c>
      <c r="C121" s="7">
        <f>0.536</f>
        <v>0.53600000000000003</v>
      </c>
    </row>
    <row r="122" spans="1:4" x14ac:dyDescent="0.55000000000000004">
      <c r="A122" s="6" t="s">
        <v>121</v>
      </c>
      <c r="C122" s="8">
        <f>C121/C113</f>
        <v>1.7866666666666666E-2</v>
      </c>
    </row>
    <row r="123" spans="1:4" x14ac:dyDescent="0.55000000000000004">
      <c r="A123" s="6" t="s">
        <v>113</v>
      </c>
      <c r="C123" s="8">
        <f>($B$111/C122)/10^6</f>
        <v>1399.2537313432836</v>
      </c>
    </row>
    <row r="124" spans="1:4" x14ac:dyDescent="0.55000000000000004">
      <c r="A124" s="6" t="s">
        <v>122</v>
      </c>
      <c r="B124" s="7">
        <v>555.20709999999997</v>
      </c>
    </row>
    <row r="125" spans="1:4" x14ac:dyDescent="0.55000000000000004">
      <c r="A125" s="6" t="s">
        <v>22</v>
      </c>
      <c r="C125" s="8">
        <f>ABS($B$124-C123)/$B$124*100</f>
        <v>152.02374597574195</v>
      </c>
    </row>
    <row r="126" spans="1:4" x14ac:dyDescent="0.55000000000000004">
      <c r="A126" s="26" t="s">
        <v>196</v>
      </c>
      <c r="B126" s="26"/>
      <c r="C126" s="26">
        <v>110.88</v>
      </c>
      <c r="D126" s="6">
        <v>0</v>
      </c>
    </row>
    <row r="127" spans="1:4" x14ac:dyDescent="0.55000000000000004">
      <c r="A127" s="26" t="s">
        <v>197</v>
      </c>
      <c r="B127" s="26"/>
      <c r="C127" s="26">
        <v>108.25</v>
      </c>
      <c r="D127" s="6">
        <v>0</v>
      </c>
    </row>
    <row r="128" spans="1:4" x14ac:dyDescent="0.55000000000000004">
      <c r="A128" s="26" t="s">
        <v>198</v>
      </c>
      <c r="B128" s="26"/>
      <c r="C128" s="26"/>
    </row>
    <row r="129" spans="1:3" x14ac:dyDescent="0.55000000000000004">
      <c r="A129" s="6" t="s">
        <v>125</v>
      </c>
    </row>
    <row r="130" spans="1:3" x14ac:dyDescent="0.55000000000000004">
      <c r="A130" s="6" t="s">
        <v>114</v>
      </c>
      <c r="B130" s="6">
        <f>25*10^6</f>
        <v>25000000</v>
      </c>
    </row>
    <row r="131" spans="1:3" x14ac:dyDescent="0.55000000000000004">
      <c r="A131" s="6" t="s">
        <v>63</v>
      </c>
      <c r="C131" s="7">
        <v>2</v>
      </c>
    </row>
    <row r="132" spans="1:3" x14ac:dyDescent="0.55000000000000004">
      <c r="A132" s="6" t="s">
        <v>64</v>
      </c>
      <c r="C132" s="8">
        <f>$B$9*C131</f>
        <v>30</v>
      </c>
    </row>
    <row r="133" spans="1:3" x14ac:dyDescent="0.55000000000000004">
      <c r="A133" s="6" t="s">
        <v>115</v>
      </c>
      <c r="B133" s="4" t="s">
        <v>128</v>
      </c>
      <c r="C133" s="8">
        <f>C135*B6/1000000</f>
        <v>1.0392000000000001E-3</v>
      </c>
    </row>
    <row r="134" spans="1:3" x14ac:dyDescent="0.55000000000000004">
      <c r="A134" s="6" t="s">
        <v>77</v>
      </c>
      <c r="C134" s="7">
        <v>2</v>
      </c>
    </row>
    <row r="135" spans="1:3" x14ac:dyDescent="0.55000000000000004">
      <c r="A135" s="6" t="s">
        <v>82</v>
      </c>
      <c r="C135" s="8">
        <f>$B$10*C134</f>
        <v>34.64</v>
      </c>
    </row>
    <row r="136" spans="1:3" x14ac:dyDescent="0.55000000000000004">
      <c r="A136" s="6" t="s">
        <v>116</v>
      </c>
      <c r="C136" s="8">
        <f>C132*C135/1000000</f>
        <v>1.0392000000000001E-3</v>
      </c>
    </row>
    <row r="137" spans="1:3" x14ac:dyDescent="0.55000000000000004">
      <c r="A137" s="6" t="s">
        <v>117</v>
      </c>
      <c r="C137" s="8">
        <f>$B$111*C133</f>
        <v>25980.000000000004</v>
      </c>
    </row>
    <row r="138" spans="1:3" x14ac:dyDescent="0.55000000000000004">
      <c r="A138" s="6" t="s">
        <v>118</v>
      </c>
      <c r="C138" s="8">
        <f>$B$111*C136</f>
        <v>25980.000000000004</v>
      </c>
    </row>
    <row r="139" spans="1:3" x14ac:dyDescent="0.55000000000000004">
      <c r="A139" s="6" t="s">
        <v>119</v>
      </c>
      <c r="C139" s="8">
        <f>B6</f>
        <v>30</v>
      </c>
    </row>
    <row r="140" spans="1:3" x14ac:dyDescent="0.55000000000000004">
      <c r="A140" s="6" t="s">
        <v>120</v>
      </c>
      <c r="C140" s="7">
        <v>2.4289999999999998</v>
      </c>
    </row>
    <row r="141" spans="1:3" x14ac:dyDescent="0.55000000000000004">
      <c r="A141" s="6" t="s">
        <v>121</v>
      </c>
      <c r="B141" s="12"/>
      <c r="C141" s="8">
        <f>C140/B6</f>
        <v>8.0966666666666659E-2</v>
      </c>
    </row>
    <row r="142" spans="1:3" x14ac:dyDescent="0.55000000000000004">
      <c r="A142" s="6" t="s">
        <v>125</v>
      </c>
      <c r="B142" s="12"/>
      <c r="C142" s="8">
        <f>($B$111/C141)/10^6</f>
        <v>308.76904075751338</v>
      </c>
    </row>
    <row r="143" spans="1:3" x14ac:dyDescent="0.55000000000000004">
      <c r="A143" s="6" t="s">
        <v>126</v>
      </c>
      <c r="B143" s="19">
        <v>104.65479999999999</v>
      </c>
    </row>
    <row r="144" spans="1:3" x14ac:dyDescent="0.55000000000000004">
      <c r="A144" s="6" t="s">
        <v>22</v>
      </c>
      <c r="C144" s="8">
        <f>ABS($B$143-C142)/C142*100</f>
        <v>66.105798773333333</v>
      </c>
    </row>
    <row r="145" spans="1:4" x14ac:dyDescent="0.55000000000000004">
      <c r="A145" s="26" t="s">
        <v>196</v>
      </c>
      <c r="B145" s="26"/>
      <c r="C145" s="26">
        <v>2.2559999999999998</v>
      </c>
      <c r="D145" s="6">
        <v>0</v>
      </c>
    </row>
    <row r="146" spans="1:4" x14ac:dyDescent="0.55000000000000004">
      <c r="A146" s="26" t="s">
        <v>197</v>
      </c>
      <c r="B146" s="26"/>
      <c r="C146" s="26">
        <v>2.17</v>
      </c>
      <c r="D146" s="6">
        <v>0</v>
      </c>
    </row>
    <row r="147" spans="1:4" x14ac:dyDescent="0.55000000000000004">
      <c r="A147" s="26" t="s">
        <v>198</v>
      </c>
      <c r="B147" s="26"/>
      <c r="C147" s="26"/>
    </row>
    <row r="149" spans="1:4" x14ac:dyDescent="0.55000000000000004">
      <c r="A149" s="6" t="s">
        <v>123</v>
      </c>
    </row>
    <row r="150" spans="1:4" x14ac:dyDescent="0.55000000000000004">
      <c r="A150" s="6" t="s">
        <v>114</v>
      </c>
      <c r="B150" s="6">
        <f>25*10^6</f>
        <v>25000000</v>
      </c>
    </row>
    <row r="151" spans="1:4" x14ac:dyDescent="0.55000000000000004">
      <c r="A151" s="6" t="s">
        <v>63</v>
      </c>
      <c r="C151" s="7">
        <v>2</v>
      </c>
    </row>
    <row r="152" spans="1:4" x14ac:dyDescent="0.55000000000000004">
      <c r="A152" s="6" t="s">
        <v>64</v>
      </c>
      <c r="C152" s="8">
        <f>$B$9*C151</f>
        <v>30</v>
      </c>
    </row>
    <row r="153" spans="1:4" x14ac:dyDescent="0.55000000000000004">
      <c r="A153" s="6" t="s">
        <v>115</v>
      </c>
      <c r="C153" s="8">
        <f>C152*C156/1000000</f>
        <v>8.9999999999999998E-4</v>
      </c>
    </row>
    <row r="154" spans="1:4" x14ac:dyDescent="0.55000000000000004">
      <c r="A154" s="6" t="s">
        <v>77</v>
      </c>
      <c r="C154" s="7">
        <v>2</v>
      </c>
    </row>
    <row r="155" spans="1:4" x14ac:dyDescent="0.55000000000000004">
      <c r="A155" s="6" t="s">
        <v>82</v>
      </c>
      <c r="C155" s="8">
        <f>B10*C154</f>
        <v>34.64</v>
      </c>
    </row>
    <row r="156" spans="1:4" x14ac:dyDescent="0.55000000000000004">
      <c r="A156" s="6" t="s">
        <v>124</v>
      </c>
      <c r="C156" s="7">
        <f>B6</f>
        <v>30</v>
      </c>
    </row>
    <row r="157" spans="1:4" x14ac:dyDescent="0.55000000000000004">
      <c r="A157" s="6" t="s">
        <v>116</v>
      </c>
      <c r="C157" s="8">
        <f>C152*C155/1000000</f>
        <v>1.0392000000000001E-3</v>
      </c>
    </row>
    <row r="158" spans="1:4" x14ac:dyDescent="0.55000000000000004">
      <c r="A158" s="6" t="s">
        <v>117</v>
      </c>
      <c r="C158" s="8">
        <f>$B$111*C153</f>
        <v>22500</v>
      </c>
    </row>
    <row r="159" spans="1:4" x14ac:dyDescent="0.55000000000000004">
      <c r="A159" s="6" t="s">
        <v>118</v>
      </c>
      <c r="C159" s="17">
        <f>$B$111*C157</f>
        <v>25980.000000000004</v>
      </c>
    </row>
    <row r="160" spans="1:4" x14ac:dyDescent="0.55000000000000004">
      <c r="A160" s="6" t="s">
        <v>119</v>
      </c>
      <c r="C160" s="8">
        <f>C156</f>
        <v>30</v>
      </c>
    </row>
    <row r="161" spans="1:4" x14ac:dyDescent="0.55000000000000004">
      <c r="A161" s="6" t="s">
        <v>120</v>
      </c>
      <c r="C161" s="7">
        <v>6.7249999999999996</v>
      </c>
    </row>
    <row r="162" spans="1:4" x14ac:dyDescent="0.55000000000000004">
      <c r="A162" s="6" t="s">
        <v>121</v>
      </c>
      <c r="C162" s="8">
        <f>C161/C160</f>
        <v>0.22416666666666665</v>
      </c>
    </row>
    <row r="163" spans="1:4" x14ac:dyDescent="0.55000000000000004">
      <c r="A163" s="6" t="s">
        <v>123</v>
      </c>
      <c r="C163" s="8">
        <f>($B$111/C162)/10^6</f>
        <v>111.52416356877325</v>
      </c>
    </row>
    <row r="164" spans="1:4" x14ac:dyDescent="0.55000000000000004">
      <c r="A164" s="6" t="s">
        <v>127</v>
      </c>
      <c r="B164" s="7">
        <v>36.545200000000001</v>
      </c>
    </row>
    <row r="165" spans="1:4" x14ac:dyDescent="0.55000000000000004">
      <c r="A165" s="6" t="s">
        <v>22</v>
      </c>
      <c r="C165" s="8">
        <f>ABS(B164-C163)/C163*100</f>
        <v>67.231137333333351</v>
      </c>
    </row>
    <row r="166" spans="1:4" x14ac:dyDescent="0.55000000000000004">
      <c r="A166" s="26" t="s">
        <v>196</v>
      </c>
      <c r="B166" s="26"/>
      <c r="C166" s="26">
        <v>1.262</v>
      </c>
      <c r="D166" s="6">
        <v>2.5249999999999999</v>
      </c>
    </row>
    <row r="167" spans="1:4" x14ac:dyDescent="0.55000000000000004">
      <c r="A167" s="26" t="s">
        <v>197</v>
      </c>
      <c r="B167" s="26"/>
      <c r="C167" s="26">
        <v>1.25</v>
      </c>
      <c r="D167" s="6">
        <v>2.5</v>
      </c>
    </row>
    <row r="168" spans="1:4" x14ac:dyDescent="0.55000000000000004">
      <c r="A168" s="26" t="s">
        <v>198</v>
      </c>
      <c r="B168" s="26"/>
      <c r="C168" s="26"/>
    </row>
    <row r="170" spans="1:4" x14ac:dyDescent="0.55000000000000004">
      <c r="C170" s="7">
        <v>6.7606081959999997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261F-5BC8-4E93-8AB2-7F5AA323CC3D}">
  <dimension ref="A1:BA189"/>
  <sheetViews>
    <sheetView zoomScale="10" zoomScaleNormal="10" workbookViewId="0">
      <selection activeCell="C167" sqref="C167"/>
    </sheetView>
  </sheetViews>
  <sheetFormatPr defaultColWidth="9.1328125" defaultRowHeight="18" x14ac:dyDescent="0.55000000000000004"/>
  <cols>
    <col min="1" max="1" width="39.73046875" style="6" customWidth="1"/>
    <col min="2" max="2" width="21.1328125" style="6" customWidth="1"/>
    <col min="3" max="3" width="21.265625" style="6" customWidth="1"/>
    <col min="4" max="4" width="16.86328125" style="6" customWidth="1"/>
    <col min="5" max="5" width="24.86328125" style="6" customWidth="1"/>
    <col min="6" max="6" width="28.3984375" style="6" customWidth="1"/>
    <col min="7" max="7" width="22.3984375" style="6" customWidth="1"/>
    <col min="8" max="8" width="14.3984375" style="6" customWidth="1"/>
    <col min="9" max="9" width="15.86328125" style="6" customWidth="1"/>
    <col min="10" max="10" width="11.86328125" style="6" customWidth="1"/>
    <col min="11" max="11" width="15" style="6" customWidth="1"/>
    <col min="12" max="12" width="12.3984375" style="6" customWidth="1"/>
    <col min="13" max="14" width="10.265625" style="6" bestFit="1" customWidth="1"/>
    <col min="15" max="15" width="19.3984375" style="6" customWidth="1"/>
    <col min="16" max="16" width="23.1328125" style="6" customWidth="1"/>
    <col min="17" max="16384" width="9.1328125" style="6"/>
  </cols>
  <sheetData>
    <row r="1" spans="1:7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4</v>
      </c>
    </row>
    <row r="2" spans="1:7" x14ac:dyDescent="0.55000000000000004">
      <c r="A2" s="6" t="s">
        <v>1</v>
      </c>
      <c r="B2" s="7">
        <v>0.2</v>
      </c>
      <c r="C2" s="7">
        <v>0.2</v>
      </c>
      <c r="F2" s="8" t="s">
        <v>130</v>
      </c>
      <c r="G2" s="6">
        <f>(G1/B4)+(2*G1/B5)</f>
        <v>0.8001265871914065</v>
      </c>
    </row>
    <row r="3" spans="1:7" x14ac:dyDescent="0.55000000000000004">
      <c r="A3" s="6" t="s">
        <v>3</v>
      </c>
      <c r="B3" s="7">
        <v>60</v>
      </c>
      <c r="C3" s="7">
        <f>D3*3.1415/180</f>
        <v>1.0471666666666668</v>
      </c>
      <c r="D3" s="6">
        <v>60</v>
      </c>
    </row>
    <row r="4" spans="1:7" x14ac:dyDescent="0.55000000000000004">
      <c r="A4" s="6" t="s">
        <v>2</v>
      </c>
      <c r="B4" s="7">
        <f>C4</f>
        <v>10.77</v>
      </c>
      <c r="C4" s="8">
        <v>10.77</v>
      </c>
      <c r="D4" s="7">
        <f>C1*(1+SIN(C3))/(C2*SIN(C3))</f>
        <v>10.773605644918707</v>
      </c>
    </row>
    <row r="5" spans="1:7" x14ac:dyDescent="0.55000000000000004">
      <c r="A5" s="6" t="s">
        <v>4</v>
      </c>
      <c r="B5" s="7">
        <f>C5</f>
        <v>18.66</v>
      </c>
      <c r="C5" s="8">
        <v>18.66</v>
      </c>
      <c r="D5" s="7">
        <f>2*C1*(1+SIN(C3))/C2</f>
        <v>18.660099611064446</v>
      </c>
    </row>
    <row r="6" spans="1:7" x14ac:dyDescent="0.55000000000000004">
      <c r="A6" s="6" t="s">
        <v>11</v>
      </c>
      <c r="B6" s="7">
        <v>40</v>
      </c>
      <c r="C6" s="8">
        <f>3.75*2</f>
        <v>7.5</v>
      </c>
    </row>
    <row r="7" spans="1:7" x14ac:dyDescent="0.55000000000000004">
      <c r="A7" s="6" t="s">
        <v>5</v>
      </c>
      <c r="B7" s="8">
        <f>C7</f>
        <v>37.299999999999997</v>
      </c>
      <c r="C7" s="8">
        <v>37.299999999999997</v>
      </c>
      <c r="D7" s="7">
        <f>2*TAN(C3)*C4</f>
        <v>37.305713526273301</v>
      </c>
    </row>
    <row r="8" spans="1:7" x14ac:dyDescent="0.55000000000000004">
      <c r="A8" s="6" t="s">
        <v>6</v>
      </c>
      <c r="B8" s="8">
        <f>C8</f>
        <v>21.54</v>
      </c>
      <c r="C8" s="8">
        <v>21.54</v>
      </c>
      <c r="D8" s="7">
        <f>C4/COS(C3)</f>
        <v>21.538847820301175</v>
      </c>
    </row>
    <row r="9" spans="1:7" x14ac:dyDescent="0.55000000000000004">
      <c r="A9" s="6" t="s">
        <v>61</v>
      </c>
      <c r="B9" s="8">
        <f>B4</f>
        <v>10.77</v>
      </c>
      <c r="C9" s="8">
        <f>D4</f>
        <v>10.773605644918707</v>
      </c>
    </row>
    <row r="10" spans="1:7" x14ac:dyDescent="0.55000000000000004">
      <c r="A10" s="6" t="s">
        <v>62</v>
      </c>
      <c r="B10" s="8">
        <f>B7</f>
        <v>37.299999999999997</v>
      </c>
      <c r="C10" s="8">
        <f>D7</f>
        <v>37.305713526273301</v>
      </c>
    </row>
    <row r="11" spans="1:7" x14ac:dyDescent="0.55000000000000004">
      <c r="A11" s="6" t="s">
        <v>63</v>
      </c>
      <c r="B11" s="6">
        <v>1</v>
      </c>
      <c r="C11" s="6">
        <v>2</v>
      </c>
      <c r="E11" s="6" t="s">
        <v>199</v>
      </c>
      <c r="F11" s="6">
        <f>50</f>
        <v>50</v>
      </c>
    </row>
    <row r="12" spans="1:7" x14ac:dyDescent="0.55000000000000004">
      <c r="A12" s="6" t="s">
        <v>64</v>
      </c>
      <c r="B12" s="8">
        <f>$B$9*B11</f>
        <v>10.77</v>
      </c>
      <c r="C12" s="8">
        <f t="shared" ref="C12" si="0">$B$9*C11</f>
        <v>21.54</v>
      </c>
      <c r="E12" s="6" t="s">
        <v>200</v>
      </c>
      <c r="F12" s="6">
        <f>B14*B6</f>
        <v>2984</v>
      </c>
    </row>
    <row r="13" spans="1:7" x14ac:dyDescent="0.55000000000000004">
      <c r="A13" s="6" t="s">
        <v>77</v>
      </c>
      <c r="B13" s="6">
        <v>2</v>
      </c>
      <c r="C13" s="6">
        <v>2</v>
      </c>
      <c r="E13" s="6" t="s">
        <v>201</v>
      </c>
      <c r="F13" s="6">
        <f>F11*F12</f>
        <v>149200</v>
      </c>
    </row>
    <row r="14" spans="1:7" x14ac:dyDescent="0.55000000000000004">
      <c r="A14" s="6" t="s">
        <v>65</v>
      </c>
      <c r="B14" s="8">
        <f>$B$10*B13</f>
        <v>74.599999999999994</v>
      </c>
      <c r="C14" s="8">
        <f t="shared" ref="C14" si="1">$B$10*C13</f>
        <v>74.599999999999994</v>
      </c>
    </row>
    <row r="15" spans="1:7" x14ac:dyDescent="0.55000000000000004">
      <c r="A15" s="6" t="s">
        <v>67</v>
      </c>
      <c r="B15" s="8">
        <f>B14/1000*$B$6/1000</f>
        <v>2.9840000000000001E-3</v>
      </c>
      <c r="C15" s="8">
        <f t="shared" ref="C15" si="2">C14/1000*$B$6/1000</f>
        <v>2.9840000000000001E-3</v>
      </c>
    </row>
    <row r="16" spans="1:7" x14ac:dyDescent="0.55000000000000004">
      <c r="A16" s="6" t="s">
        <v>73</v>
      </c>
      <c r="B16" s="7">
        <v>0</v>
      </c>
      <c r="C16" s="7">
        <v>2.2709999999999999</v>
      </c>
      <c r="E16" s="6" t="s">
        <v>202</v>
      </c>
      <c r="F16" s="6">
        <f>50</f>
        <v>50</v>
      </c>
    </row>
    <row r="17" spans="1:53" s="9" customFormat="1" x14ac:dyDescent="0.55000000000000004">
      <c r="A17" s="9" t="s">
        <v>66</v>
      </c>
      <c r="C17" s="10">
        <f>(F13*(C12/1000)/(C15*C16/1000))/(10^6)</f>
        <v>474.2404227212682</v>
      </c>
      <c r="E17" s="6" t="s">
        <v>200</v>
      </c>
      <c r="F17" s="6">
        <f>B6*C12</f>
        <v>861.59999999999991</v>
      </c>
    </row>
    <row r="18" spans="1:53" x14ac:dyDescent="0.55000000000000004">
      <c r="A18" s="6" t="s">
        <v>68</v>
      </c>
      <c r="B18" s="7">
        <v>454.62209999999999</v>
      </c>
      <c r="E18" s="6" t="s">
        <v>203</v>
      </c>
      <c r="F18" s="6">
        <f>F16*F17</f>
        <v>43079.999999999993</v>
      </c>
    </row>
    <row r="19" spans="1:53" s="8" customFormat="1" x14ac:dyDescent="0.55000000000000004">
      <c r="A19" s="8" t="s">
        <v>69</v>
      </c>
      <c r="C19" s="8">
        <f t="shared" ref="C19" si="3">ABS($B$18-C17)/C17*100</f>
        <v>4.1367883844011244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</row>
    <row r="20" spans="1:53" s="26" customFormat="1" x14ac:dyDescent="0.55000000000000004">
      <c r="A20" s="26" t="s">
        <v>196</v>
      </c>
      <c r="C20" s="26">
        <v>453.55799999999999</v>
      </c>
      <c r="D20" s="26">
        <v>380</v>
      </c>
    </row>
    <row r="21" spans="1:53" s="26" customFormat="1" x14ac:dyDescent="0.55000000000000004">
      <c r="A21" s="26" t="s">
        <v>197</v>
      </c>
      <c r="C21" s="26">
        <v>450.88</v>
      </c>
      <c r="D21" s="26">
        <v>384.79</v>
      </c>
    </row>
    <row r="22" spans="1:53" s="26" customFormat="1" x14ac:dyDescent="0.55000000000000004">
      <c r="A22" s="26" t="s">
        <v>198</v>
      </c>
    </row>
    <row r="23" spans="1:53" s="26" customFormat="1" x14ac:dyDescent="0.55000000000000004"/>
    <row r="24" spans="1:53" x14ac:dyDescent="0.55000000000000004">
      <c r="A24" s="6" t="s">
        <v>72</v>
      </c>
      <c r="B24" s="7"/>
      <c r="C24" s="7">
        <v>1.024</v>
      </c>
      <c r="E24" s="6" t="s">
        <v>205</v>
      </c>
      <c r="F24" s="6">
        <v>50</v>
      </c>
    </row>
    <row r="25" spans="1:53" x14ac:dyDescent="0.55000000000000004">
      <c r="A25" s="6" t="s">
        <v>70</v>
      </c>
      <c r="B25" s="8"/>
      <c r="C25" s="8">
        <f t="shared" ref="C25" si="4">C16/C12</f>
        <v>0.10543175487465181</v>
      </c>
      <c r="E25" s="6" t="s">
        <v>200</v>
      </c>
      <c r="F25" s="6">
        <f>C14*C12</f>
        <v>1606.8839999999998</v>
      </c>
    </row>
    <row r="26" spans="1:53" x14ac:dyDescent="0.55000000000000004">
      <c r="A26" s="6" t="s">
        <v>71</v>
      </c>
      <c r="B26" s="8"/>
      <c r="C26" s="8">
        <f t="shared" ref="C26" si="5">C24/C14</f>
        <v>1.3726541554959787E-2</v>
      </c>
      <c r="E26" s="6" t="s">
        <v>204</v>
      </c>
      <c r="F26" s="6">
        <f>F24*F25</f>
        <v>80344.199999999983</v>
      </c>
    </row>
    <row r="27" spans="1:53" x14ac:dyDescent="0.55000000000000004">
      <c r="A27" s="6" t="s">
        <v>74</v>
      </c>
      <c r="B27" s="8"/>
      <c r="C27" s="8">
        <f>C26/C25</f>
        <v>0.13019361739050364</v>
      </c>
    </row>
    <row r="28" spans="1:53" x14ac:dyDescent="0.55000000000000004">
      <c r="A28" s="6" t="s">
        <v>75</v>
      </c>
      <c r="B28" s="7">
        <v>0.13120000000000001</v>
      </c>
      <c r="C28" s="8"/>
    </row>
    <row r="29" spans="1:53" x14ac:dyDescent="0.55000000000000004">
      <c r="A29" s="6" t="s">
        <v>76</v>
      </c>
      <c r="B29" s="7">
        <f>B28</f>
        <v>0.13120000000000001</v>
      </c>
      <c r="C29" s="8">
        <f>(ABS(C27-$B$29)/$B$29)*100</f>
        <v>0.76705991577467225</v>
      </c>
    </row>
    <row r="31" spans="1:53" x14ac:dyDescent="0.55000000000000004">
      <c r="A31" s="6" t="s">
        <v>90</v>
      </c>
      <c r="C31" s="7">
        <v>3.8800000000000001E-2</v>
      </c>
    </row>
    <row r="32" spans="1:53" x14ac:dyDescent="0.55000000000000004">
      <c r="A32" s="6" t="s">
        <v>91</v>
      </c>
      <c r="C32" s="8">
        <f>C31/$B$6</f>
        <v>9.7000000000000005E-4</v>
      </c>
    </row>
    <row r="33" spans="1:8" x14ac:dyDescent="0.55000000000000004">
      <c r="A33" s="6" t="s">
        <v>92</v>
      </c>
      <c r="C33" s="8">
        <f>C32/C25</f>
        <v>9.2002642007926027E-3</v>
      </c>
    </row>
    <row r="34" spans="1:8" x14ac:dyDescent="0.55000000000000004">
      <c r="A34" s="6" t="s">
        <v>93</v>
      </c>
      <c r="B34" s="7">
        <v>8.8000000000000005E-3</v>
      </c>
    </row>
    <row r="35" spans="1:8" x14ac:dyDescent="0.55000000000000004">
      <c r="A35" s="6" t="s">
        <v>94</v>
      </c>
      <c r="B35" s="7">
        <f>B34</f>
        <v>8.8000000000000005E-3</v>
      </c>
      <c r="C35" s="8">
        <f>ABS($B$35-C33)/$B$35*100</f>
        <v>4.5484568271886605</v>
      </c>
    </row>
    <row r="37" spans="1:8" x14ac:dyDescent="0.55000000000000004">
      <c r="B37" s="15"/>
    </row>
    <row r="44" spans="1:8" x14ac:dyDescent="0.55000000000000004">
      <c r="C44" s="9"/>
      <c r="D44" s="9"/>
      <c r="E44" s="9"/>
      <c r="F44" s="9"/>
      <c r="G44" s="9"/>
      <c r="H44" s="9"/>
    </row>
    <row r="49" spans="1:11" x14ac:dyDescent="0.55000000000000004">
      <c r="A49" s="6" t="s">
        <v>79</v>
      </c>
      <c r="B49" s="15" t="s">
        <v>98</v>
      </c>
    </row>
    <row r="50" spans="1:11" x14ac:dyDescent="0.55000000000000004">
      <c r="A50" s="6" t="s">
        <v>77</v>
      </c>
      <c r="C50" s="7">
        <v>2</v>
      </c>
    </row>
    <row r="51" spans="1:11" x14ac:dyDescent="0.55000000000000004">
      <c r="A51" s="6" t="s">
        <v>82</v>
      </c>
      <c r="C51" s="8">
        <f t="shared" ref="C51" si="6">$B$10*C50</f>
        <v>74.599999999999994</v>
      </c>
    </row>
    <row r="52" spans="1:11" x14ac:dyDescent="0.55000000000000004">
      <c r="A52" s="6" t="s">
        <v>63</v>
      </c>
      <c r="C52" s="7">
        <v>2</v>
      </c>
    </row>
    <row r="53" spans="1:11" x14ac:dyDescent="0.55000000000000004">
      <c r="A53" s="6" t="s">
        <v>64</v>
      </c>
      <c r="C53" s="8">
        <f>$B$9*C52</f>
        <v>21.54</v>
      </c>
    </row>
    <row r="54" spans="1:11" x14ac:dyDescent="0.55000000000000004">
      <c r="A54" s="6" t="s">
        <v>83</v>
      </c>
      <c r="C54" s="8">
        <f>C53*$B$6/1000000</f>
        <v>8.6159999999999991E-4</v>
      </c>
    </row>
    <row r="55" spans="1:11" x14ac:dyDescent="0.55000000000000004">
      <c r="A55" s="6" t="s">
        <v>78</v>
      </c>
      <c r="C55" s="7">
        <v>0.35199999999999998</v>
      </c>
    </row>
    <row r="56" spans="1:11" x14ac:dyDescent="0.55000000000000004">
      <c r="A56" s="6" t="s">
        <v>80</v>
      </c>
      <c r="C56" s="10">
        <f>(F18*(C51/1000)/(C54*C55/1000))/(10^6)</f>
        <v>10596.59090909091</v>
      </c>
      <c r="D56" s="9"/>
      <c r="E56" s="9"/>
      <c r="F56" s="9"/>
      <c r="G56" s="9"/>
      <c r="H56" s="9"/>
      <c r="I56" s="9"/>
      <c r="J56" s="9"/>
      <c r="K56" s="9"/>
    </row>
    <row r="57" spans="1:11" x14ac:dyDescent="0.55000000000000004">
      <c r="A57" s="6" t="s">
        <v>81</v>
      </c>
      <c r="B57" s="7">
        <v>10374</v>
      </c>
    </row>
    <row r="58" spans="1:11" x14ac:dyDescent="0.55000000000000004">
      <c r="A58" s="6" t="s">
        <v>21</v>
      </c>
      <c r="C58" s="8">
        <f t="shared" ref="C58" si="7">ABS($B$57-C56)/C56*100</f>
        <v>2.1005898123324473</v>
      </c>
    </row>
    <row r="59" spans="1:11" x14ac:dyDescent="0.55000000000000004">
      <c r="A59" s="26" t="s">
        <v>196</v>
      </c>
      <c r="B59" s="26"/>
      <c r="C59" s="26">
        <v>2.5</v>
      </c>
      <c r="D59" s="6">
        <v>131.69999999999999</v>
      </c>
    </row>
    <row r="60" spans="1:11" x14ac:dyDescent="0.55000000000000004">
      <c r="A60" s="26" t="s">
        <v>197</v>
      </c>
      <c r="B60" s="26"/>
      <c r="C60" s="26">
        <v>0</v>
      </c>
      <c r="D60" s="6">
        <v>134.66999999999999</v>
      </c>
    </row>
    <row r="61" spans="1:11" x14ac:dyDescent="0.55000000000000004">
      <c r="A61" s="26" t="s">
        <v>198</v>
      </c>
      <c r="B61" s="26"/>
      <c r="C61" s="26"/>
    </row>
    <row r="78" spans="1:3" x14ac:dyDescent="0.55000000000000004">
      <c r="A78" s="6" t="s">
        <v>102</v>
      </c>
      <c r="B78" s="15" t="s">
        <v>98</v>
      </c>
    </row>
    <row r="79" spans="1:3" x14ac:dyDescent="0.55000000000000004">
      <c r="A79" s="6" t="s">
        <v>77</v>
      </c>
      <c r="C79" s="7">
        <v>2</v>
      </c>
    </row>
    <row r="80" spans="1:3" x14ac:dyDescent="0.55000000000000004">
      <c r="A80" s="6" t="s">
        <v>82</v>
      </c>
      <c r="C80" s="8">
        <f>$B$7*C79</f>
        <v>74.599999999999994</v>
      </c>
    </row>
    <row r="81" spans="1:8" x14ac:dyDescent="0.55000000000000004">
      <c r="A81" s="6" t="s">
        <v>63</v>
      </c>
      <c r="C81" s="7">
        <v>2</v>
      </c>
    </row>
    <row r="82" spans="1:8" x14ac:dyDescent="0.55000000000000004">
      <c r="A82" s="6" t="s">
        <v>64</v>
      </c>
      <c r="C82" s="8">
        <f>$B$9*C81</f>
        <v>21.54</v>
      </c>
    </row>
    <row r="83" spans="1:8" x14ac:dyDescent="0.55000000000000004">
      <c r="A83" s="6" t="s">
        <v>103</v>
      </c>
      <c r="C83" s="8">
        <f>C80*C82/1000000</f>
        <v>1.6068839999999998E-3</v>
      </c>
    </row>
    <row r="84" spans="1:8" x14ac:dyDescent="0.55000000000000004">
      <c r="A84" s="6" t="s">
        <v>104</v>
      </c>
      <c r="C84" s="7">
        <v>2.2679999999999998</v>
      </c>
    </row>
    <row r="85" spans="1:8" x14ac:dyDescent="0.55000000000000004">
      <c r="A85" s="6" t="s">
        <v>95</v>
      </c>
      <c r="C85" s="10">
        <f>(F26*($B$6/1000)/(C83*C84/1000))/(10^6)</f>
        <v>881.83421516754856</v>
      </c>
      <c r="D85" s="9"/>
      <c r="E85" s="9"/>
      <c r="F85" s="9"/>
      <c r="G85" s="9"/>
      <c r="H85" s="9"/>
    </row>
    <row r="86" spans="1:8" x14ac:dyDescent="0.55000000000000004">
      <c r="A86" s="6" t="s">
        <v>96</v>
      </c>
      <c r="B86" s="7">
        <v>441.31779999999998</v>
      </c>
    </row>
    <row r="87" spans="1:8" x14ac:dyDescent="0.55000000000000004">
      <c r="A87" s="6" t="s">
        <v>21</v>
      </c>
      <c r="C87" s="8">
        <f>ABS($B$86-C85)/C85*100</f>
        <v>49.954561480000002</v>
      </c>
    </row>
    <row r="88" spans="1:8" x14ac:dyDescent="0.55000000000000004">
      <c r="A88" s="26" t="s">
        <v>196</v>
      </c>
      <c r="B88" s="26"/>
      <c r="C88" s="26">
        <v>62.478000000000002</v>
      </c>
      <c r="D88" s="26">
        <v>62.478000000000002</v>
      </c>
    </row>
    <row r="89" spans="1:8" x14ac:dyDescent="0.55000000000000004">
      <c r="A89" s="26" t="s">
        <v>197</v>
      </c>
      <c r="B89" s="26"/>
      <c r="C89" s="26">
        <v>62.5</v>
      </c>
      <c r="D89" s="6">
        <v>62.5</v>
      </c>
    </row>
    <row r="90" spans="1:8" x14ac:dyDescent="0.55000000000000004">
      <c r="A90" s="26" t="s">
        <v>198</v>
      </c>
      <c r="B90" s="26"/>
      <c r="C90" s="26"/>
    </row>
    <row r="110" spans="1:3" x14ac:dyDescent="0.55000000000000004">
      <c r="A110" s="6" t="s">
        <v>113</v>
      </c>
    </row>
    <row r="111" spans="1:3" x14ac:dyDescent="0.55000000000000004">
      <c r="A111" s="6" t="s">
        <v>114</v>
      </c>
      <c r="B111" s="6">
        <f>25*10^6</f>
        <v>25000000</v>
      </c>
    </row>
    <row r="112" spans="1:3" x14ac:dyDescent="0.55000000000000004">
      <c r="A112" s="6" t="s">
        <v>63</v>
      </c>
      <c r="C112" s="7">
        <v>2</v>
      </c>
    </row>
    <row r="113" spans="1:4" x14ac:dyDescent="0.55000000000000004">
      <c r="A113" s="6" t="s">
        <v>64</v>
      </c>
      <c r="C113" s="8">
        <f>$B$9*C112</f>
        <v>21.54</v>
      </c>
    </row>
    <row r="114" spans="1:4" x14ac:dyDescent="0.55000000000000004">
      <c r="A114" s="6" t="s">
        <v>115</v>
      </c>
      <c r="C114" s="8">
        <f>C113*$B$6/1000000</f>
        <v>8.6159999999999991E-4</v>
      </c>
    </row>
    <row r="115" spans="1:4" x14ac:dyDescent="0.55000000000000004">
      <c r="A115" s="6" t="s">
        <v>77</v>
      </c>
      <c r="C115" s="7">
        <v>2</v>
      </c>
    </row>
    <row r="116" spans="1:4" x14ac:dyDescent="0.55000000000000004">
      <c r="A116" s="6" t="s">
        <v>82</v>
      </c>
      <c r="C116" s="8">
        <f>$B$10*C115</f>
        <v>74.599999999999994</v>
      </c>
    </row>
    <row r="117" spans="1:4" x14ac:dyDescent="0.55000000000000004">
      <c r="A117" s="6" t="s">
        <v>116</v>
      </c>
      <c r="C117" s="8">
        <f>$B$6*C116/1000000</f>
        <v>2.9840000000000001E-3</v>
      </c>
    </row>
    <row r="118" spans="1:4" x14ac:dyDescent="0.55000000000000004">
      <c r="A118" s="6" t="s">
        <v>117</v>
      </c>
      <c r="C118" s="8">
        <f>$B$111*C114</f>
        <v>21539.999999999996</v>
      </c>
    </row>
    <row r="119" spans="1:4" x14ac:dyDescent="0.55000000000000004">
      <c r="A119" s="6" t="s">
        <v>118</v>
      </c>
      <c r="C119" s="8">
        <f>$B$111*C117</f>
        <v>74600</v>
      </c>
    </row>
    <row r="120" spans="1:4" x14ac:dyDescent="0.55000000000000004">
      <c r="A120" s="6" t="s">
        <v>119</v>
      </c>
      <c r="C120" s="8">
        <f>C116</f>
        <v>74.599999999999994</v>
      </c>
    </row>
    <row r="121" spans="1:4" x14ac:dyDescent="0.55000000000000004">
      <c r="A121" s="6" t="s">
        <v>120</v>
      </c>
      <c r="C121" s="7">
        <f>0.829</f>
        <v>0.82899999999999996</v>
      </c>
    </row>
    <row r="122" spans="1:4" x14ac:dyDescent="0.55000000000000004">
      <c r="A122" s="6" t="s">
        <v>121</v>
      </c>
      <c r="C122" s="8">
        <f>C121/C120</f>
        <v>1.1112600536193029E-2</v>
      </c>
    </row>
    <row r="123" spans="1:4" x14ac:dyDescent="0.55000000000000004">
      <c r="A123" s="6" t="s">
        <v>113</v>
      </c>
      <c r="C123" s="8">
        <f>($B$111/C122)/10^6</f>
        <v>2249.698431845597</v>
      </c>
    </row>
    <row r="124" spans="1:4" x14ac:dyDescent="0.55000000000000004">
      <c r="A124" s="6" t="s">
        <v>122</v>
      </c>
      <c r="B124" s="7">
        <v>2247.3000000000002</v>
      </c>
    </row>
    <row r="125" spans="1:4" x14ac:dyDescent="0.55000000000000004">
      <c r="A125" s="6" t="s">
        <v>22</v>
      </c>
      <c r="C125" s="8">
        <f>ABS($B$124-C123)/$B$124*100</f>
        <v>0.1067250409645735</v>
      </c>
    </row>
    <row r="126" spans="1:4" x14ac:dyDescent="0.55000000000000004">
      <c r="A126" s="26" t="s">
        <v>196</v>
      </c>
      <c r="B126" s="26"/>
      <c r="C126" s="26">
        <v>136.66999999999999</v>
      </c>
      <c r="D126" s="6">
        <v>0</v>
      </c>
    </row>
    <row r="127" spans="1:4" x14ac:dyDescent="0.55000000000000004">
      <c r="A127" s="26" t="s">
        <v>197</v>
      </c>
      <c r="B127" s="26"/>
      <c r="C127" s="26">
        <v>134.66999999999999</v>
      </c>
      <c r="D127" s="6">
        <v>0</v>
      </c>
    </row>
    <row r="128" spans="1:4" x14ac:dyDescent="0.55000000000000004">
      <c r="A128" s="26" t="s">
        <v>198</v>
      </c>
      <c r="B128" s="26"/>
      <c r="C128" s="26"/>
    </row>
    <row r="129" spans="1:3" x14ac:dyDescent="0.55000000000000004">
      <c r="A129" s="6" t="s">
        <v>125</v>
      </c>
    </row>
    <row r="130" spans="1:3" x14ac:dyDescent="0.55000000000000004">
      <c r="A130" s="6" t="s">
        <v>114</v>
      </c>
      <c r="B130" s="6">
        <f>25*10^6</f>
        <v>25000000</v>
      </c>
    </row>
    <row r="131" spans="1:3" x14ac:dyDescent="0.55000000000000004">
      <c r="A131" s="6" t="s">
        <v>63</v>
      </c>
      <c r="C131" s="7">
        <v>2</v>
      </c>
    </row>
    <row r="132" spans="1:3" x14ac:dyDescent="0.55000000000000004">
      <c r="A132" s="6" t="s">
        <v>64</v>
      </c>
      <c r="C132" s="8">
        <f>$B$9*C131</f>
        <v>21.54</v>
      </c>
    </row>
    <row r="133" spans="1:3" x14ac:dyDescent="0.55000000000000004">
      <c r="A133" s="6" t="s">
        <v>115</v>
      </c>
      <c r="B133" s="4" t="s">
        <v>128</v>
      </c>
      <c r="C133" s="8">
        <f>C135*B6/1000000</f>
        <v>2.9840000000000001E-3</v>
      </c>
    </row>
    <row r="134" spans="1:3" x14ac:dyDescent="0.55000000000000004">
      <c r="A134" s="6" t="s">
        <v>77</v>
      </c>
      <c r="C134" s="7">
        <v>2</v>
      </c>
    </row>
    <row r="135" spans="1:3" x14ac:dyDescent="0.55000000000000004">
      <c r="A135" s="6" t="s">
        <v>82</v>
      </c>
      <c r="C135" s="8">
        <f>$B$10*C134</f>
        <v>74.599999999999994</v>
      </c>
    </row>
    <row r="136" spans="1:3" x14ac:dyDescent="0.55000000000000004">
      <c r="A136" s="6" t="s">
        <v>116</v>
      </c>
      <c r="C136" s="8">
        <f>C132*C135/1000000</f>
        <v>1.6068839999999998E-3</v>
      </c>
    </row>
    <row r="137" spans="1:3" x14ac:dyDescent="0.55000000000000004">
      <c r="A137" s="6" t="s">
        <v>117</v>
      </c>
      <c r="C137" s="8">
        <f>$B$111*C133</f>
        <v>74600</v>
      </c>
    </row>
    <row r="138" spans="1:3" x14ac:dyDescent="0.55000000000000004">
      <c r="A138" s="6" t="s">
        <v>118</v>
      </c>
      <c r="C138" s="28">
        <f>$B$111*C136</f>
        <v>40172.1</v>
      </c>
    </row>
    <row r="139" spans="1:3" x14ac:dyDescent="0.55000000000000004">
      <c r="A139" s="6" t="s">
        <v>119</v>
      </c>
      <c r="C139" s="8">
        <f>B6</f>
        <v>40</v>
      </c>
    </row>
    <row r="140" spans="1:3" x14ac:dyDescent="0.55000000000000004">
      <c r="A140" s="6" t="s">
        <v>120</v>
      </c>
      <c r="C140" s="7">
        <v>27</v>
      </c>
    </row>
    <row r="141" spans="1:3" x14ac:dyDescent="0.55000000000000004">
      <c r="A141" s="6" t="s">
        <v>121</v>
      </c>
      <c r="B141" s="12"/>
      <c r="C141" s="8">
        <f>C140/C139</f>
        <v>0.67500000000000004</v>
      </c>
    </row>
    <row r="142" spans="1:3" x14ac:dyDescent="0.55000000000000004">
      <c r="A142" s="6" t="s">
        <v>125</v>
      </c>
      <c r="B142" s="12"/>
      <c r="C142" s="8">
        <f>($B$111/C141)/10^6</f>
        <v>37.037037037037038</v>
      </c>
    </row>
    <row r="143" spans="1:3" x14ac:dyDescent="0.55000000000000004">
      <c r="A143" s="6" t="s">
        <v>126</v>
      </c>
      <c r="B143" s="27">
        <v>37.834400000000002</v>
      </c>
    </row>
    <row r="144" spans="1:3" x14ac:dyDescent="0.55000000000000004">
      <c r="A144" s="6" t="s">
        <v>22</v>
      </c>
      <c r="C144" s="8">
        <f>ABS($B$143-C142)/C142*100</f>
        <v>2.1528800000000032</v>
      </c>
    </row>
    <row r="145" spans="1:4" x14ac:dyDescent="0.55000000000000004">
      <c r="A145" s="26" t="s">
        <v>206</v>
      </c>
      <c r="B145" s="26"/>
      <c r="C145" s="26">
        <v>4.76</v>
      </c>
      <c r="D145" s="6">
        <v>0</v>
      </c>
    </row>
    <row r="146" spans="1:4" x14ac:dyDescent="0.55000000000000004">
      <c r="A146" s="26" t="s">
        <v>207</v>
      </c>
      <c r="B146" s="26"/>
      <c r="C146" s="26">
        <v>4.67</v>
      </c>
      <c r="D146" s="6">
        <v>0</v>
      </c>
    </row>
    <row r="147" spans="1:4" x14ac:dyDescent="0.55000000000000004">
      <c r="A147" s="26" t="s">
        <v>198</v>
      </c>
      <c r="B147" s="26"/>
      <c r="C147" s="26"/>
    </row>
    <row r="149" spans="1:4" x14ac:dyDescent="0.55000000000000004">
      <c r="A149" s="6" t="s">
        <v>123</v>
      </c>
    </row>
    <row r="150" spans="1:4" x14ac:dyDescent="0.55000000000000004">
      <c r="A150" s="6" t="s">
        <v>114</v>
      </c>
      <c r="B150" s="6">
        <f>25*10^6</f>
        <v>25000000</v>
      </c>
    </row>
    <row r="151" spans="1:4" x14ac:dyDescent="0.55000000000000004">
      <c r="A151" s="6" t="s">
        <v>63</v>
      </c>
      <c r="C151" s="7">
        <v>2</v>
      </c>
    </row>
    <row r="152" spans="1:4" x14ac:dyDescent="0.55000000000000004">
      <c r="A152" s="6" t="s">
        <v>64</v>
      </c>
      <c r="C152" s="8">
        <f>$B$9*C151+2</f>
        <v>23.54</v>
      </c>
    </row>
    <row r="153" spans="1:4" x14ac:dyDescent="0.55000000000000004">
      <c r="A153" s="6" t="s">
        <v>115</v>
      </c>
      <c r="C153" s="8">
        <f>C152*C156/1000000</f>
        <v>9.415999999999999E-4</v>
      </c>
    </row>
    <row r="154" spans="1:4" x14ac:dyDescent="0.55000000000000004">
      <c r="A154" s="6" t="s">
        <v>77</v>
      </c>
      <c r="C154" s="7">
        <v>2</v>
      </c>
    </row>
    <row r="155" spans="1:4" x14ac:dyDescent="0.55000000000000004">
      <c r="A155" s="6" t="s">
        <v>82</v>
      </c>
      <c r="C155" s="8">
        <f>B10*C154</f>
        <v>74.599999999999994</v>
      </c>
    </row>
    <row r="156" spans="1:4" x14ac:dyDescent="0.55000000000000004">
      <c r="A156" s="6" t="s">
        <v>124</v>
      </c>
      <c r="C156" s="7">
        <f>B6</f>
        <v>40</v>
      </c>
    </row>
    <row r="157" spans="1:4" x14ac:dyDescent="0.55000000000000004">
      <c r="A157" s="6" t="s">
        <v>116</v>
      </c>
      <c r="C157" s="8">
        <f>C152*C155/1000000</f>
        <v>1.7560839999999998E-3</v>
      </c>
    </row>
    <row r="158" spans="1:4" x14ac:dyDescent="0.55000000000000004">
      <c r="A158" s="6" t="s">
        <v>117</v>
      </c>
      <c r="C158" s="8">
        <f>$B$111*C153</f>
        <v>23539.999999999996</v>
      </c>
    </row>
    <row r="159" spans="1:4" x14ac:dyDescent="0.55000000000000004">
      <c r="A159" s="6" t="s">
        <v>118</v>
      </c>
      <c r="C159" s="17">
        <f>$B$111*C157</f>
        <v>43902.099999999991</v>
      </c>
    </row>
    <row r="160" spans="1:4" x14ac:dyDescent="0.55000000000000004">
      <c r="A160" s="6" t="s">
        <v>119</v>
      </c>
      <c r="C160" s="8">
        <f>C156</f>
        <v>40</v>
      </c>
    </row>
    <row r="161" spans="1:4" x14ac:dyDescent="0.55000000000000004">
      <c r="A161" s="6" t="s">
        <v>120</v>
      </c>
      <c r="C161" s="7">
        <v>4.5209999999999999</v>
      </c>
    </row>
    <row r="162" spans="1:4" x14ac:dyDescent="0.55000000000000004">
      <c r="A162" s="6" t="s">
        <v>121</v>
      </c>
      <c r="C162" s="8">
        <f>ATAN(C161/C160)</f>
        <v>0.11254737065630606</v>
      </c>
    </row>
    <row r="163" spans="1:4" x14ac:dyDescent="0.55000000000000004">
      <c r="A163" s="6" t="s">
        <v>123</v>
      </c>
      <c r="C163" s="8">
        <f>($B$111/C162)/10^6</f>
        <v>222.12868993931704</v>
      </c>
    </row>
    <row r="164" spans="1:4" x14ac:dyDescent="0.55000000000000004">
      <c r="A164" s="6" t="s">
        <v>127</v>
      </c>
      <c r="B164" s="7">
        <v>224.56559999999999</v>
      </c>
    </row>
    <row r="165" spans="1:4" x14ac:dyDescent="0.55000000000000004">
      <c r="A165" s="6" t="s">
        <v>22</v>
      </c>
      <c r="C165" s="8">
        <f>ABS(B164-C163)/C163*100</f>
        <v>1.0970712794230602</v>
      </c>
    </row>
    <row r="166" spans="1:4" x14ac:dyDescent="0.55000000000000004">
      <c r="A166" s="26" t="s">
        <v>208</v>
      </c>
      <c r="B166" s="26"/>
      <c r="C166" s="26">
        <v>1.39</v>
      </c>
      <c r="D166" s="6">
        <v>1.5980000000000001</v>
      </c>
    </row>
    <row r="167" spans="1:4" x14ac:dyDescent="0.55000000000000004">
      <c r="A167" s="26" t="s">
        <v>207</v>
      </c>
      <c r="B167" s="26"/>
      <c r="C167" s="26">
        <v>1.25</v>
      </c>
      <c r="D167" s="6">
        <v>1.44</v>
      </c>
    </row>
    <row r="168" spans="1:4" x14ac:dyDescent="0.55000000000000004">
      <c r="A168" s="26" t="s">
        <v>198</v>
      </c>
      <c r="B168" s="26"/>
      <c r="C168" s="26"/>
    </row>
    <row r="170" spans="1:4" x14ac:dyDescent="0.55000000000000004">
      <c r="C170" s="7">
        <v>6.7606081959999997</v>
      </c>
    </row>
    <row r="178" spans="3:3" ht="33" x14ac:dyDescent="1.1499999999999999">
      <c r="C178" s="25" t="s">
        <v>172</v>
      </c>
    </row>
    <row r="179" spans="3:3" ht="33" x14ac:dyDescent="1.1499999999999999">
      <c r="C179" s="25" t="s">
        <v>173</v>
      </c>
    </row>
    <row r="180" spans="3:3" ht="33" x14ac:dyDescent="1.1499999999999999">
      <c r="C180" s="25" t="s">
        <v>174</v>
      </c>
    </row>
    <row r="181" spans="3:3" ht="33" x14ac:dyDescent="1.1499999999999999">
      <c r="C181" s="25" t="s">
        <v>175</v>
      </c>
    </row>
    <row r="182" spans="3:3" ht="33" x14ac:dyDescent="1.1499999999999999">
      <c r="C182" s="25" t="s">
        <v>171</v>
      </c>
    </row>
    <row r="183" spans="3:3" ht="33" x14ac:dyDescent="1.1499999999999999">
      <c r="C183" s="25" t="s">
        <v>177</v>
      </c>
    </row>
    <row r="184" spans="3:3" ht="33" x14ac:dyDescent="1.1499999999999999">
      <c r="C184" s="25" t="s">
        <v>178</v>
      </c>
    </row>
    <row r="185" spans="3:3" ht="33" x14ac:dyDescent="1.1499999999999999">
      <c r="C185" s="25" t="s">
        <v>176</v>
      </c>
    </row>
    <row r="186" spans="3:3" ht="33" x14ac:dyDescent="1.1499999999999999">
      <c r="C186" s="25" t="s">
        <v>179</v>
      </c>
    </row>
    <row r="187" spans="3:3" ht="33" x14ac:dyDescent="1.1499999999999999">
      <c r="C187" s="25" t="s">
        <v>180</v>
      </c>
    </row>
    <row r="188" spans="3:3" ht="33" x14ac:dyDescent="1.1499999999999999">
      <c r="C188" s="25" t="s">
        <v>181</v>
      </c>
    </row>
    <row r="189" spans="3:3" ht="33" x14ac:dyDescent="1.1499999999999999">
      <c r="C189" s="25" t="s">
        <v>182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2E17-7E2D-4AA5-8646-A6EDD3A44197}">
  <dimension ref="A1:D10"/>
  <sheetViews>
    <sheetView zoomScale="10" zoomScaleNormal="10" workbookViewId="0">
      <selection activeCell="I72" sqref="I72"/>
    </sheetView>
  </sheetViews>
  <sheetFormatPr defaultRowHeight="14.25" x14ac:dyDescent="0.45"/>
  <cols>
    <col min="1" max="1" width="37.265625" customWidth="1"/>
    <col min="2" max="2" width="13.3984375" customWidth="1"/>
    <col min="3" max="3" width="11.86328125" customWidth="1"/>
    <col min="4" max="4" width="18.265625" customWidth="1"/>
  </cols>
  <sheetData>
    <row r="1" spans="1:4" ht="18" x14ac:dyDescent="0.55000000000000004">
      <c r="A1" s="6" t="s">
        <v>0</v>
      </c>
      <c r="B1" s="7">
        <v>1.5</v>
      </c>
      <c r="C1" s="7">
        <v>1.5</v>
      </c>
      <c r="D1" s="6" t="s">
        <v>17</v>
      </c>
    </row>
    <row r="2" spans="1:4" ht="18" x14ac:dyDescent="0.55000000000000004">
      <c r="A2" s="6" t="s">
        <v>1</v>
      </c>
      <c r="B2" s="7">
        <v>0.6</v>
      </c>
      <c r="C2" s="7">
        <v>0.6</v>
      </c>
      <c r="D2" s="6"/>
    </row>
    <row r="3" spans="1:4" ht="18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</row>
    <row r="4" spans="1:4" ht="18" x14ac:dyDescent="0.55000000000000004">
      <c r="A4" s="6" t="s">
        <v>2</v>
      </c>
      <c r="B4" s="7">
        <f>C4</f>
        <v>12.16</v>
      </c>
      <c r="C4" s="7">
        <f>12.16</f>
        <v>12.16</v>
      </c>
      <c r="D4" s="8">
        <f>C1*(1+SIN(C3))/(C2*SIN(C3))</f>
        <v>12.159536609088908</v>
      </c>
    </row>
    <row r="5" spans="1:4" ht="18" x14ac:dyDescent="0.55000000000000004">
      <c r="A5" s="6" t="s">
        <v>4</v>
      </c>
      <c r="B5" s="7">
        <f>C5</f>
        <v>6.3</v>
      </c>
      <c r="C5" s="7">
        <v>6.3</v>
      </c>
      <c r="D5" s="8">
        <f>2*C1*(1+SIN(C3))/C2</f>
        <v>6.2940579352676629</v>
      </c>
    </row>
    <row r="6" spans="1:4" ht="18" x14ac:dyDescent="0.55000000000000004">
      <c r="A6" s="6" t="s">
        <v>11</v>
      </c>
      <c r="B6" s="7">
        <f>8.5</f>
        <v>8.5</v>
      </c>
      <c r="C6" s="8">
        <f>3.75*2</f>
        <v>7.5</v>
      </c>
      <c r="D6" s="6"/>
    </row>
    <row r="7" spans="1:4" ht="18" x14ac:dyDescent="0.55000000000000004">
      <c r="A7" s="6" t="s">
        <v>5</v>
      </c>
      <c r="B7" s="8">
        <f>C7</f>
        <v>6.52</v>
      </c>
      <c r="C7" s="8">
        <v>6.52</v>
      </c>
      <c r="D7" s="7">
        <f>2*TAN(C3)*C4</f>
        <v>6.5163231005496396</v>
      </c>
    </row>
    <row r="8" spans="1:4" ht="18" x14ac:dyDescent="0.55000000000000004">
      <c r="A8" s="6" t="s">
        <v>6</v>
      </c>
      <c r="B8" s="8">
        <f>C8</f>
        <v>12.589</v>
      </c>
      <c r="C8" s="8">
        <v>12.589</v>
      </c>
      <c r="D8" s="7">
        <f>C4/COS(C3)</f>
        <v>12.5889323092822</v>
      </c>
    </row>
    <row r="9" spans="1:4" ht="18" x14ac:dyDescent="0.55000000000000004">
      <c r="A9" s="6" t="s">
        <v>61</v>
      </c>
      <c r="B9" s="8">
        <f>B4</f>
        <v>12.16</v>
      </c>
      <c r="C9" s="8">
        <f>D4</f>
        <v>12.159536609088908</v>
      </c>
      <c r="D9" s="6"/>
    </row>
    <row r="10" spans="1:4" ht="18" x14ac:dyDescent="0.55000000000000004">
      <c r="A10" s="6" t="s">
        <v>62</v>
      </c>
      <c r="B10" s="8">
        <f>B7</f>
        <v>6.52</v>
      </c>
      <c r="C10" s="8">
        <f>D7</f>
        <v>6.5163231005496396</v>
      </c>
      <c r="D10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0AAF-1CB0-420A-8653-BD28C824A6FD}">
  <dimension ref="E1:Z261"/>
  <sheetViews>
    <sheetView topLeftCell="A41" zoomScale="10" zoomScaleNormal="10" workbookViewId="0">
      <selection activeCell="Q37" sqref="Q37"/>
    </sheetView>
  </sheetViews>
  <sheetFormatPr defaultRowHeight="14.25" x14ac:dyDescent="0.45"/>
  <cols>
    <col min="1" max="1" width="23.73046875" customWidth="1"/>
    <col min="6" max="6" width="26" customWidth="1"/>
    <col min="7" max="7" width="9" customWidth="1"/>
    <col min="10" max="10" width="14" customWidth="1"/>
    <col min="11" max="11" width="28" customWidth="1"/>
    <col min="12" max="12" width="26.3984375" customWidth="1"/>
    <col min="17" max="17" width="12.73046875" customWidth="1"/>
    <col min="18" max="18" width="22.59765625" customWidth="1"/>
    <col min="23" max="23" width="27.1328125" customWidth="1"/>
  </cols>
  <sheetData>
    <row r="1" spans="5:13" x14ac:dyDescent="0.45">
      <c r="E1" t="s">
        <v>152</v>
      </c>
      <c r="J1" t="s">
        <v>153</v>
      </c>
    </row>
    <row r="2" spans="5:13" x14ac:dyDescent="0.45">
      <c r="E2" s="34" t="s">
        <v>140</v>
      </c>
      <c r="F2" t="s">
        <v>133</v>
      </c>
      <c r="G2">
        <v>97.28</v>
      </c>
      <c r="H2" t="s">
        <v>13</v>
      </c>
      <c r="J2" s="34" t="s">
        <v>140</v>
      </c>
      <c r="K2" t="s">
        <v>133</v>
      </c>
      <c r="L2">
        <v>97.28</v>
      </c>
      <c r="M2" t="s">
        <v>13</v>
      </c>
    </row>
    <row r="3" spans="5:13" x14ac:dyDescent="0.45">
      <c r="E3" s="34"/>
      <c r="F3" t="s">
        <v>134</v>
      </c>
      <c r="G3">
        <f>21.548</f>
        <v>21.547999999999998</v>
      </c>
      <c r="H3" t="s">
        <v>13</v>
      </c>
      <c r="J3" s="34"/>
      <c r="K3" t="s">
        <v>134</v>
      </c>
      <c r="L3">
        <f>21.548+1.5</f>
        <v>23.047999999999998</v>
      </c>
      <c r="M3" t="s">
        <v>13</v>
      </c>
    </row>
    <row r="4" spans="5:13" x14ac:dyDescent="0.45">
      <c r="E4" s="34"/>
      <c r="F4" t="s">
        <v>135</v>
      </c>
      <c r="G4">
        <v>7.68</v>
      </c>
      <c r="H4" t="s">
        <v>13</v>
      </c>
      <c r="J4" s="34"/>
      <c r="K4" t="s">
        <v>135</v>
      </c>
      <c r="L4">
        <v>8.4</v>
      </c>
      <c r="M4" t="s">
        <v>13</v>
      </c>
    </row>
    <row r="5" spans="5:13" x14ac:dyDescent="0.45">
      <c r="E5" s="34"/>
      <c r="F5" t="s">
        <v>139</v>
      </c>
      <c r="G5">
        <f>G3/1000*G4/1000</f>
        <v>1.6548863999999998E-4</v>
      </c>
      <c r="H5" t="s">
        <v>16</v>
      </c>
      <c r="J5" s="34"/>
      <c r="K5" t="s">
        <v>139</v>
      </c>
      <c r="L5">
        <f>L3/1000*L4/1000</f>
        <v>1.936032E-4</v>
      </c>
      <c r="M5" t="s">
        <v>16</v>
      </c>
    </row>
    <row r="6" spans="5:13" x14ac:dyDescent="0.45">
      <c r="E6" s="34"/>
      <c r="F6" t="s">
        <v>136</v>
      </c>
      <c r="G6">
        <v>2.4545999999999999E-3</v>
      </c>
      <c r="J6" s="34"/>
      <c r="K6" t="s">
        <v>136</v>
      </c>
      <c r="L6">
        <v>2.4545999999999999E-3</v>
      </c>
    </row>
    <row r="7" spans="5:13" x14ac:dyDescent="0.45">
      <c r="E7" s="34"/>
      <c r="F7" t="s">
        <v>137</v>
      </c>
      <c r="G7">
        <v>100</v>
      </c>
      <c r="H7" t="s">
        <v>138</v>
      </c>
      <c r="J7" s="34"/>
      <c r="K7" t="s">
        <v>137</v>
      </c>
      <c r="L7">
        <v>100</v>
      </c>
      <c r="M7" t="s">
        <v>138</v>
      </c>
    </row>
    <row r="8" spans="5:13" x14ac:dyDescent="0.45">
      <c r="E8" s="34"/>
      <c r="J8" s="34"/>
    </row>
    <row r="9" spans="5:13" x14ac:dyDescent="0.45">
      <c r="E9" s="34"/>
      <c r="G9">
        <f>G7*(G2/1000)/(G5*G6/1000)</f>
        <v>23948297531.41</v>
      </c>
      <c r="J9" s="34"/>
      <c r="L9">
        <f>L7*(L2/1000)/(L5*L6/1000)</f>
        <v>20470587205.110233</v>
      </c>
    </row>
    <row r="10" spans="5:13" x14ac:dyDescent="0.45">
      <c r="E10" s="34"/>
      <c r="J10" s="34"/>
    </row>
    <row r="11" spans="5:13" x14ac:dyDescent="0.45">
      <c r="G11">
        <f>G9/10^6</f>
        <v>23948.29753141</v>
      </c>
      <c r="L11">
        <f>L9/10^6</f>
        <v>20470.587205110234</v>
      </c>
    </row>
    <row r="16" spans="5:13" x14ac:dyDescent="0.45">
      <c r="E16" t="s">
        <v>150</v>
      </c>
    </row>
    <row r="17" spans="5:26" ht="15" customHeight="1" x14ac:dyDescent="0.45">
      <c r="E17" s="34" t="s">
        <v>141</v>
      </c>
      <c r="F17" t="s">
        <v>133</v>
      </c>
      <c r="G17">
        <v>97.28</v>
      </c>
      <c r="H17" t="s">
        <v>13</v>
      </c>
      <c r="K17" s="35" t="s">
        <v>148</v>
      </c>
      <c r="L17" t="s">
        <v>133</v>
      </c>
      <c r="M17">
        <v>97.28</v>
      </c>
      <c r="N17" t="s">
        <v>13</v>
      </c>
      <c r="Q17" t="s">
        <v>151</v>
      </c>
      <c r="W17" s="35" t="s">
        <v>154</v>
      </c>
      <c r="X17" t="s">
        <v>133</v>
      </c>
      <c r="Y17">
        <v>97.28</v>
      </c>
      <c r="Z17" t="s">
        <v>13</v>
      </c>
    </row>
    <row r="18" spans="5:26" x14ac:dyDescent="0.45">
      <c r="E18" s="34"/>
      <c r="F18" t="s">
        <v>134</v>
      </c>
      <c r="G18">
        <f>21.548</f>
        <v>21.547999999999998</v>
      </c>
      <c r="H18" t="s">
        <v>13</v>
      </c>
      <c r="K18" s="35"/>
      <c r="L18" t="s">
        <v>134</v>
      </c>
      <c r="M18">
        <f>19.79</f>
        <v>19.79</v>
      </c>
      <c r="N18" t="s">
        <v>13</v>
      </c>
      <c r="Q18" s="34" t="s">
        <v>141</v>
      </c>
      <c r="R18" t="s">
        <v>133</v>
      </c>
      <c r="S18">
        <v>97.28</v>
      </c>
      <c r="T18" t="s">
        <v>13</v>
      </c>
      <c r="W18" s="35"/>
      <c r="X18" t="s">
        <v>134</v>
      </c>
      <c r="Y18">
        <f>19.79</f>
        <v>19.79</v>
      </c>
      <c r="Z18" t="s">
        <v>13</v>
      </c>
    </row>
    <row r="19" spans="5:26" x14ac:dyDescent="0.45">
      <c r="E19" s="34"/>
      <c r="F19" t="s">
        <v>135</v>
      </c>
      <c r="G19">
        <v>7.68</v>
      </c>
      <c r="H19" t="s">
        <v>13</v>
      </c>
      <c r="K19" s="35"/>
      <c r="L19" t="s">
        <v>135</v>
      </c>
      <c r="M19">
        <v>7.68</v>
      </c>
      <c r="N19" t="s">
        <v>13</v>
      </c>
      <c r="Q19" s="34"/>
      <c r="R19" t="s">
        <v>134</v>
      </c>
      <c r="S19">
        <f>23.048</f>
        <v>23.047999999999998</v>
      </c>
      <c r="T19" t="s">
        <v>13</v>
      </c>
      <c r="W19" s="35"/>
      <c r="X19" t="s">
        <v>135</v>
      </c>
      <c r="Y19">
        <v>7.68</v>
      </c>
      <c r="Z19" t="s">
        <v>13</v>
      </c>
    </row>
    <row r="20" spans="5:26" x14ac:dyDescent="0.45">
      <c r="E20" s="34"/>
      <c r="F20" t="s">
        <v>139</v>
      </c>
      <c r="G20">
        <f>G18*G19</f>
        <v>165.48863999999998</v>
      </c>
      <c r="H20" t="s">
        <v>15</v>
      </c>
      <c r="K20" s="35"/>
      <c r="L20" t="s">
        <v>139</v>
      </c>
      <c r="M20">
        <f>M18*M19</f>
        <v>151.9872</v>
      </c>
      <c r="N20" t="s">
        <v>15</v>
      </c>
      <c r="Q20" s="34"/>
      <c r="R20" t="s">
        <v>135</v>
      </c>
      <c r="S20">
        <v>8.4</v>
      </c>
      <c r="T20" t="s">
        <v>13</v>
      </c>
      <c r="W20" s="35"/>
      <c r="X20" t="s">
        <v>139</v>
      </c>
      <c r="Y20">
        <f>Y18*Y19</f>
        <v>151.9872</v>
      </c>
      <c r="Z20" t="s">
        <v>15</v>
      </c>
    </row>
    <row r="21" spans="5:26" x14ac:dyDescent="0.45">
      <c r="E21" s="34"/>
      <c r="F21" t="s">
        <v>136</v>
      </c>
      <c r="G21">
        <v>3.3310000000000002E-3</v>
      </c>
      <c r="H21" t="s">
        <v>13</v>
      </c>
      <c r="K21" s="35"/>
      <c r="L21" t="s">
        <v>136</v>
      </c>
      <c r="M21">
        <v>3.3310000000000002E-3</v>
      </c>
      <c r="N21" t="s">
        <v>13</v>
      </c>
      <c r="Q21" s="34"/>
      <c r="R21" t="s">
        <v>139</v>
      </c>
      <c r="S21">
        <f>S19*S20</f>
        <v>193.60319999999999</v>
      </c>
      <c r="T21" t="s">
        <v>15</v>
      </c>
      <c r="W21" s="35"/>
      <c r="X21" t="s">
        <v>136</v>
      </c>
      <c r="Y21">
        <v>4.9769999999999997E-3</v>
      </c>
      <c r="Z21" t="s">
        <v>13</v>
      </c>
    </row>
    <row r="22" spans="5:26" x14ac:dyDescent="0.45">
      <c r="E22" s="34"/>
      <c r="F22" t="s">
        <v>137</v>
      </c>
      <c r="G22">
        <v>100</v>
      </c>
      <c r="H22" t="s">
        <v>138</v>
      </c>
      <c r="K22" s="35"/>
      <c r="L22" t="s">
        <v>137</v>
      </c>
      <c r="M22">
        <v>100</v>
      </c>
      <c r="N22" t="s">
        <v>138</v>
      </c>
      <c r="Q22" s="34"/>
      <c r="R22" t="s">
        <v>136</v>
      </c>
      <c r="S22">
        <v>2.503E-3</v>
      </c>
      <c r="T22" t="s">
        <v>13</v>
      </c>
      <c r="W22" s="35"/>
      <c r="X22" t="s">
        <v>137</v>
      </c>
      <c r="Y22">
        <v>100</v>
      </c>
      <c r="Z22" t="s">
        <v>138</v>
      </c>
    </row>
    <row r="23" spans="5:26" ht="18" x14ac:dyDescent="0.55000000000000004">
      <c r="E23" s="34"/>
      <c r="K23" s="35"/>
      <c r="L23" s="6"/>
      <c r="Q23" s="34"/>
      <c r="R23" t="s">
        <v>137</v>
      </c>
      <c r="S23">
        <v>100</v>
      </c>
      <c r="T23" t="s">
        <v>138</v>
      </c>
      <c r="W23" s="35"/>
      <c r="X23" s="6"/>
    </row>
    <row r="24" spans="5:26" x14ac:dyDescent="0.45">
      <c r="E24" s="34"/>
      <c r="G24">
        <f>G22*(G17/1000)/(G20*G21/1000)</f>
        <v>17647.400516541271</v>
      </c>
      <c r="K24" s="35"/>
      <c r="M24">
        <f>M22*(M17/1000)/(M20*M21/1000)</f>
        <v>19215.067525539729</v>
      </c>
      <c r="Q24" s="34"/>
      <c r="W24" s="35"/>
      <c r="Y24">
        <f>Y22*(Y17/1000)/(Y20*Y21/1000)</f>
        <v>12860.235066821951</v>
      </c>
    </row>
    <row r="25" spans="5:26" ht="15" customHeight="1" x14ac:dyDescent="0.45">
      <c r="E25" s="34"/>
      <c r="G25">
        <v>15997</v>
      </c>
      <c r="K25" s="35"/>
      <c r="Q25" s="34"/>
      <c r="S25">
        <f>S23*(S18/1000)/(S21*S22/1000)</f>
        <v>20074.751639498034</v>
      </c>
      <c r="W25" s="35"/>
    </row>
    <row r="26" spans="5:26" ht="15" customHeight="1" x14ac:dyDescent="0.45">
      <c r="G26">
        <f>(G24-G25)/G25*100</f>
        <v>10.316937654193104</v>
      </c>
      <c r="Q26" s="34"/>
    </row>
    <row r="30" spans="5:26" ht="15" customHeight="1" x14ac:dyDescent="0.45">
      <c r="E30" s="33" t="s">
        <v>149</v>
      </c>
      <c r="F30" t="s">
        <v>133</v>
      </c>
      <c r="G30">
        <v>97.28</v>
      </c>
      <c r="H30" t="s">
        <v>13</v>
      </c>
    </row>
    <row r="31" spans="5:26" ht="15" customHeight="1" x14ac:dyDescent="0.45">
      <c r="E31" s="33"/>
      <c r="F31" t="s">
        <v>134</v>
      </c>
      <c r="G31">
        <f>21.554+1.5</f>
        <v>23.053999999999998</v>
      </c>
      <c r="H31" t="s">
        <v>13</v>
      </c>
      <c r="K31" t="s">
        <v>165</v>
      </c>
    </row>
    <row r="32" spans="5:26" ht="15" customHeight="1" x14ac:dyDescent="0.45">
      <c r="E32" s="33"/>
      <c r="F32" t="s">
        <v>135</v>
      </c>
      <c r="G32">
        <v>7.68</v>
      </c>
      <c r="H32" t="s">
        <v>13</v>
      </c>
      <c r="K32" s="34" t="s">
        <v>141</v>
      </c>
      <c r="L32" t="s">
        <v>133</v>
      </c>
      <c r="M32">
        <v>97.28</v>
      </c>
      <c r="N32" t="s">
        <v>13</v>
      </c>
    </row>
    <row r="33" spans="5:14" ht="15" customHeight="1" x14ac:dyDescent="0.45">
      <c r="E33" s="33"/>
      <c r="F33" t="s">
        <v>139</v>
      </c>
      <c r="G33">
        <f>G31*G32</f>
        <v>177.05471999999997</v>
      </c>
      <c r="H33" t="s">
        <v>15</v>
      </c>
      <c r="K33" s="34"/>
      <c r="L33" t="s">
        <v>134</v>
      </c>
      <c r="M33">
        <f>21.548</f>
        <v>21.547999999999998</v>
      </c>
      <c r="N33" t="s">
        <v>13</v>
      </c>
    </row>
    <row r="34" spans="5:14" x14ac:dyDescent="0.45">
      <c r="E34" s="33"/>
      <c r="F34" t="s">
        <v>136</v>
      </c>
      <c r="G34">
        <v>2.702E-3</v>
      </c>
      <c r="H34" t="s">
        <v>13</v>
      </c>
      <c r="K34" s="34"/>
      <c r="L34" t="s">
        <v>135</v>
      </c>
      <c r="M34">
        <v>7.68</v>
      </c>
      <c r="N34" t="s">
        <v>13</v>
      </c>
    </row>
    <row r="35" spans="5:14" x14ac:dyDescent="0.45">
      <c r="E35" s="33"/>
      <c r="F35" t="s">
        <v>137</v>
      </c>
      <c r="G35">
        <v>100</v>
      </c>
      <c r="H35" t="s">
        <v>138</v>
      </c>
      <c r="K35" s="34"/>
      <c r="L35" t="s">
        <v>139</v>
      </c>
      <c r="M35">
        <f>M33*M34</f>
        <v>165.48863999999998</v>
      </c>
      <c r="N35" t="s">
        <v>15</v>
      </c>
    </row>
    <row r="36" spans="5:14" x14ac:dyDescent="0.45">
      <c r="E36" s="33"/>
      <c r="K36" s="34"/>
      <c r="L36" t="s">
        <v>136</v>
      </c>
      <c r="M36">
        <v>3.6819999999999999E-3</v>
      </c>
      <c r="N36" t="s">
        <v>13</v>
      </c>
    </row>
    <row r="37" spans="5:14" x14ac:dyDescent="0.45">
      <c r="E37" s="33"/>
      <c r="G37">
        <f>G35*(G30/1000)/(G33*G34/1000)</f>
        <v>20334.369380155556</v>
      </c>
      <c r="K37" s="34"/>
      <c r="L37" t="s">
        <v>137</v>
      </c>
      <c r="M37">
        <v>100</v>
      </c>
      <c r="N37" t="s">
        <v>138</v>
      </c>
    </row>
    <row r="38" spans="5:14" x14ac:dyDescent="0.45">
      <c r="E38" s="33"/>
      <c r="K38" s="34"/>
    </row>
    <row r="39" spans="5:14" x14ac:dyDescent="0.45">
      <c r="K39" s="34"/>
      <c r="M39">
        <f>M37*(M32/1000)/(M35*M36/1000)</f>
        <v>15965.098077294673</v>
      </c>
    </row>
    <row r="40" spans="5:14" x14ac:dyDescent="0.45">
      <c r="K40" s="34"/>
      <c r="M40">
        <v>15997</v>
      </c>
    </row>
    <row r="41" spans="5:14" x14ac:dyDescent="0.45">
      <c r="M41">
        <f>(M39-M40)/M40*100</f>
        <v>-0.19942440898497718</v>
      </c>
    </row>
    <row r="44" spans="5:14" x14ac:dyDescent="0.45">
      <c r="E44" s="34" t="s">
        <v>143</v>
      </c>
      <c r="F44" t="s">
        <v>133</v>
      </c>
      <c r="G44">
        <v>41.1</v>
      </c>
      <c r="H44" t="s">
        <v>13</v>
      </c>
    </row>
    <row r="45" spans="5:14" x14ac:dyDescent="0.45">
      <c r="E45" s="34"/>
      <c r="F45" t="s">
        <v>134</v>
      </c>
      <c r="G45">
        <v>38.979999999999997</v>
      </c>
      <c r="H45" t="s">
        <v>13</v>
      </c>
    </row>
    <row r="46" spans="5:14" x14ac:dyDescent="0.45">
      <c r="E46" s="34"/>
      <c r="F46" t="s">
        <v>135</v>
      </c>
      <c r="G46">
        <v>20.079999999999998</v>
      </c>
      <c r="H46" t="s">
        <v>13</v>
      </c>
    </row>
    <row r="47" spans="5:14" x14ac:dyDescent="0.45">
      <c r="E47" s="34"/>
      <c r="F47" t="s">
        <v>139</v>
      </c>
      <c r="G47">
        <f>G45*G44</f>
        <v>1602.078</v>
      </c>
      <c r="H47" t="s">
        <v>15</v>
      </c>
    </row>
    <row r="48" spans="5:14" x14ac:dyDescent="0.45">
      <c r="E48" s="34"/>
      <c r="F48" t="s">
        <v>136</v>
      </c>
      <c r="G48">
        <v>2.9000000000000001E-2</v>
      </c>
      <c r="H48" t="s">
        <v>13</v>
      </c>
      <c r="K48">
        <v>2.9270000000000001E-2</v>
      </c>
    </row>
    <row r="49" spans="5:10" x14ac:dyDescent="0.45">
      <c r="E49" s="34"/>
      <c r="F49" t="s">
        <v>137</v>
      </c>
      <c r="G49">
        <v>1000</v>
      </c>
      <c r="H49" t="s">
        <v>138</v>
      </c>
    </row>
    <row r="50" spans="5:10" x14ac:dyDescent="0.45">
      <c r="E50" s="34"/>
    </row>
    <row r="51" spans="5:10" x14ac:dyDescent="0.45">
      <c r="E51" s="34"/>
      <c r="F51" t="s">
        <v>144</v>
      </c>
      <c r="G51">
        <f>G49*(G46/1000)/(G47*G48/1000)</f>
        <v>432.19730444051299</v>
      </c>
    </row>
    <row r="52" spans="5:10" x14ac:dyDescent="0.45">
      <c r="E52" s="34"/>
      <c r="F52" t="s">
        <v>145</v>
      </c>
      <c r="G52">
        <v>455</v>
      </c>
    </row>
    <row r="53" spans="5:10" x14ac:dyDescent="0.45">
      <c r="F53" t="s">
        <v>22</v>
      </c>
      <c r="G53">
        <f>(G51-G52)/G52*100</f>
        <v>-5.0115814416454958</v>
      </c>
    </row>
    <row r="54" spans="5:10" x14ac:dyDescent="0.45">
      <c r="F54" s="24" t="s">
        <v>146</v>
      </c>
      <c r="G54" s="24">
        <v>257</v>
      </c>
    </row>
    <row r="55" spans="5:10" x14ac:dyDescent="0.45">
      <c r="F55" s="24" t="s">
        <v>22</v>
      </c>
      <c r="G55" s="24">
        <f>(G51-G54)/G54*100</f>
        <v>68.17015736984942</v>
      </c>
    </row>
    <row r="58" spans="5:10" x14ac:dyDescent="0.45">
      <c r="J58" t="s">
        <v>164</v>
      </c>
    </row>
    <row r="59" spans="5:10" x14ac:dyDescent="0.45">
      <c r="E59" s="34" t="s">
        <v>147</v>
      </c>
      <c r="F59" t="s">
        <v>133</v>
      </c>
      <c r="G59">
        <v>39.1</v>
      </c>
      <c r="H59" t="s">
        <v>13</v>
      </c>
      <c r="J59">
        <f>G63/G48</f>
        <v>1.2482758620689656</v>
      </c>
    </row>
    <row r="60" spans="5:10" x14ac:dyDescent="0.45">
      <c r="E60" s="34"/>
      <c r="F60" t="s">
        <v>134</v>
      </c>
      <c r="G60">
        <v>36.479999999999997</v>
      </c>
      <c r="H60" t="s">
        <v>13</v>
      </c>
    </row>
    <row r="61" spans="5:10" x14ac:dyDescent="0.45">
      <c r="E61" s="34"/>
      <c r="F61" t="s">
        <v>135</v>
      </c>
      <c r="G61">
        <v>20.079999999999998</v>
      </c>
      <c r="H61" t="s">
        <v>13</v>
      </c>
    </row>
    <row r="62" spans="5:10" x14ac:dyDescent="0.45">
      <c r="E62" s="34"/>
      <c r="F62" t="s">
        <v>139</v>
      </c>
      <c r="G62">
        <f>G60*G59</f>
        <v>1426.3679999999999</v>
      </c>
      <c r="H62" t="s">
        <v>15</v>
      </c>
    </row>
    <row r="63" spans="5:10" x14ac:dyDescent="0.45">
      <c r="E63" s="34"/>
      <c r="F63" t="s">
        <v>136</v>
      </c>
      <c r="G63">
        <v>3.6200000000000003E-2</v>
      </c>
      <c r="H63" t="s">
        <v>13</v>
      </c>
    </row>
    <row r="64" spans="5:10" x14ac:dyDescent="0.45">
      <c r="E64" s="34"/>
      <c r="F64" t="s">
        <v>137</v>
      </c>
      <c r="G64">
        <v>1000</v>
      </c>
      <c r="H64" t="s">
        <v>138</v>
      </c>
    </row>
    <row r="65" spans="5:12" x14ac:dyDescent="0.45">
      <c r="E65" s="34"/>
    </row>
    <row r="66" spans="5:12" x14ac:dyDescent="0.45">
      <c r="E66" s="34"/>
      <c r="F66" t="s">
        <v>144</v>
      </c>
      <c r="G66">
        <f>G64*(G61/1000)/(G62*G63/1000)</f>
        <v>388.88711229969061</v>
      </c>
    </row>
    <row r="67" spans="5:12" x14ac:dyDescent="0.45">
      <c r="E67" s="34"/>
      <c r="F67" t="s">
        <v>145</v>
      </c>
      <c r="G67">
        <v>455</v>
      </c>
    </row>
    <row r="68" spans="5:12" x14ac:dyDescent="0.45">
      <c r="F68" t="s">
        <v>22</v>
      </c>
      <c r="G68">
        <f>(G66-G67)/G67*100</f>
        <v>-14.530304989078985</v>
      </c>
    </row>
    <row r="69" spans="5:12" x14ac:dyDescent="0.45">
      <c r="F69" s="24" t="s">
        <v>146</v>
      </c>
      <c r="G69" s="24">
        <v>257</v>
      </c>
    </row>
    <row r="70" spans="5:12" x14ac:dyDescent="0.45">
      <c r="F70" s="24" t="s">
        <v>22</v>
      </c>
      <c r="G70" s="24">
        <f>(G66-G69)/G69*100</f>
        <v>51.317942529062499</v>
      </c>
    </row>
    <row r="74" spans="5:12" x14ac:dyDescent="0.45">
      <c r="E74" t="s">
        <v>156</v>
      </c>
      <c r="G74">
        <v>3</v>
      </c>
      <c r="H74">
        <v>6</v>
      </c>
      <c r="I74">
        <v>9</v>
      </c>
      <c r="J74">
        <v>12</v>
      </c>
      <c r="K74">
        <v>15</v>
      </c>
      <c r="L74">
        <v>18</v>
      </c>
    </row>
    <row r="75" spans="5:12" x14ac:dyDescent="0.45">
      <c r="E75" s="34" t="s">
        <v>155</v>
      </c>
      <c r="F75" t="s">
        <v>133</v>
      </c>
      <c r="G75">
        <v>97.28</v>
      </c>
      <c r="H75">
        <v>97.28</v>
      </c>
      <c r="I75">
        <v>97.28</v>
      </c>
      <c r="J75">
        <v>97.28</v>
      </c>
      <c r="K75">
        <v>97.28</v>
      </c>
      <c r="L75">
        <v>97.28</v>
      </c>
    </row>
    <row r="76" spans="5:12" x14ac:dyDescent="0.45">
      <c r="E76" s="34"/>
      <c r="F76" t="s">
        <v>134</v>
      </c>
      <c r="G76">
        <v>19.548300000000001</v>
      </c>
      <c r="H76">
        <f>$G$76/$G$74*H74</f>
        <v>39.096600000000002</v>
      </c>
      <c r="I76">
        <f>$G$76/$G$74*I74</f>
        <v>58.644900000000007</v>
      </c>
      <c r="J76">
        <f>$G$76/$G$74*J74</f>
        <v>78.193200000000004</v>
      </c>
      <c r="K76">
        <f>$G$76/$G$74*K74</f>
        <v>97.741500000000016</v>
      </c>
      <c r="L76">
        <f>$G$76/$G$74*L74</f>
        <v>117.28980000000001</v>
      </c>
    </row>
    <row r="77" spans="5:12" x14ac:dyDescent="0.45">
      <c r="E77" s="34"/>
      <c r="F77" t="s">
        <v>135</v>
      </c>
      <c r="G77">
        <v>7.68</v>
      </c>
      <c r="H77">
        <v>7.68</v>
      </c>
      <c r="I77">
        <v>7.68</v>
      </c>
      <c r="J77">
        <v>7.68</v>
      </c>
      <c r="K77">
        <v>7.68</v>
      </c>
      <c r="L77">
        <v>7.68</v>
      </c>
    </row>
    <row r="78" spans="5:12" x14ac:dyDescent="0.45">
      <c r="E78" s="34"/>
      <c r="F78" t="s">
        <v>139</v>
      </c>
      <c r="G78">
        <f t="shared" ref="G78:L78" si="0">G76*G77</f>
        <v>150.130944</v>
      </c>
      <c r="H78">
        <f t="shared" si="0"/>
        <v>300.261888</v>
      </c>
      <c r="I78">
        <f t="shared" si="0"/>
        <v>450.39283200000006</v>
      </c>
      <c r="J78">
        <f t="shared" si="0"/>
        <v>600.523776</v>
      </c>
      <c r="K78">
        <f t="shared" si="0"/>
        <v>750.65472000000011</v>
      </c>
      <c r="L78">
        <f t="shared" si="0"/>
        <v>900.78566400000011</v>
      </c>
    </row>
    <row r="79" spans="5:12" x14ac:dyDescent="0.45">
      <c r="E79" s="34"/>
      <c r="F79" t="s">
        <v>136</v>
      </c>
      <c r="G79">
        <v>4.9799999999999997E-2</v>
      </c>
      <c r="H79">
        <v>1.8700000000000001E-2</v>
      </c>
      <c r="I79">
        <v>1.15E-2</v>
      </c>
      <c r="J79">
        <v>8.3149999999999995E-3</v>
      </c>
      <c r="K79">
        <v>6.5069999999999998E-3</v>
      </c>
      <c r="L79">
        <v>5.3439999999999998E-3</v>
      </c>
    </row>
    <row r="80" spans="5:12" x14ac:dyDescent="0.45">
      <c r="E80" s="34"/>
      <c r="F80" t="s">
        <v>137</v>
      </c>
      <c r="G80">
        <v>1000</v>
      </c>
      <c r="H80">
        <v>1000</v>
      </c>
      <c r="I80">
        <v>1000</v>
      </c>
      <c r="J80">
        <v>1000</v>
      </c>
      <c r="K80">
        <v>1000</v>
      </c>
      <c r="L80">
        <v>1000</v>
      </c>
    </row>
    <row r="81" spans="5:12" x14ac:dyDescent="0.45">
      <c r="E81" s="34"/>
    </row>
    <row r="82" spans="5:12" x14ac:dyDescent="0.45">
      <c r="E82" s="34"/>
      <c r="F82" t="s">
        <v>66</v>
      </c>
      <c r="G82">
        <f t="shared" ref="G82:L82" si="1">G80*(G75/1000)/(G78*G79/1000)</f>
        <v>13011.399266352939</v>
      </c>
      <c r="H82">
        <f t="shared" si="1"/>
        <v>17325.339130063534</v>
      </c>
      <c r="I82">
        <f t="shared" si="1"/>
        <v>18781.671984474673</v>
      </c>
      <c r="J82">
        <f t="shared" si="1"/>
        <v>19481.89066339075</v>
      </c>
      <c r="K82">
        <f t="shared" si="1"/>
        <v>19916.01916288232</v>
      </c>
      <c r="L82">
        <f t="shared" si="1"/>
        <v>20208.572962337079</v>
      </c>
    </row>
    <row r="83" spans="5:12" x14ac:dyDescent="0.45">
      <c r="E83" s="34"/>
    </row>
    <row r="110" spans="5:12" x14ac:dyDescent="0.45">
      <c r="E110" t="s">
        <v>156</v>
      </c>
      <c r="G110" s="22">
        <v>3</v>
      </c>
      <c r="H110" s="22">
        <v>6</v>
      </c>
      <c r="I110" s="22">
        <v>9</v>
      </c>
      <c r="J110" s="22">
        <v>12</v>
      </c>
      <c r="K110" s="22">
        <v>15</v>
      </c>
      <c r="L110" s="22">
        <v>18</v>
      </c>
    </row>
    <row r="111" spans="5:12" x14ac:dyDescent="0.45">
      <c r="E111" s="34" t="s">
        <v>157</v>
      </c>
      <c r="F111" t="s">
        <v>133</v>
      </c>
      <c r="G111" s="22">
        <v>97.28</v>
      </c>
      <c r="H111" s="22">
        <v>97.28</v>
      </c>
      <c r="I111" s="22">
        <v>97.28</v>
      </c>
      <c r="J111" s="22">
        <v>97.28</v>
      </c>
      <c r="K111" s="22">
        <v>97.28</v>
      </c>
      <c r="L111" s="22">
        <v>97.28</v>
      </c>
    </row>
    <row r="112" spans="5:12" x14ac:dyDescent="0.45">
      <c r="E112" s="34"/>
      <c r="F112" t="s">
        <v>134</v>
      </c>
      <c r="G112" s="22">
        <v>19.548300000000001</v>
      </c>
      <c r="H112" s="22">
        <f>$G$76/$G$74*H110</f>
        <v>39.096600000000002</v>
      </c>
      <c r="I112" s="22">
        <f>$G$76/$G$74*I110</f>
        <v>58.644900000000007</v>
      </c>
      <c r="J112" s="22">
        <f>$G$76/$G$74*J110</f>
        <v>78.193200000000004</v>
      </c>
      <c r="K112" s="22">
        <f>$G$76/$G$74*K110</f>
        <v>97.741500000000016</v>
      </c>
      <c r="L112" s="22">
        <f>$G$76/$G$74*L110</f>
        <v>117.28980000000001</v>
      </c>
    </row>
    <row r="113" spans="5:12" x14ac:dyDescent="0.45">
      <c r="E113" s="34"/>
      <c r="F113" t="s">
        <v>135</v>
      </c>
      <c r="G113" s="22">
        <v>7.68</v>
      </c>
      <c r="H113" s="22">
        <v>7.68</v>
      </c>
      <c r="I113" s="22">
        <v>7.68</v>
      </c>
      <c r="J113" s="22">
        <v>7.68</v>
      </c>
      <c r="K113" s="22">
        <v>7.68</v>
      </c>
      <c r="L113" s="22">
        <v>7.68</v>
      </c>
    </row>
    <row r="114" spans="5:12" x14ac:dyDescent="0.45">
      <c r="E114" s="34"/>
      <c r="F114" t="s">
        <v>139</v>
      </c>
      <c r="G114" s="22">
        <f t="shared" ref="G114" si="2">G112*G113</f>
        <v>150.130944</v>
      </c>
      <c r="H114" s="22">
        <f t="shared" ref="H114" si="3">H112*H113</f>
        <v>300.261888</v>
      </c>
      <c r="I114" s="22">
        <f t="shared" ref="I114" si="4">I112*I113</f>
        <v>450.39283200000006</v>
      </c>
      <c r="J114" s="22">
        <f t="shared" ref="J114" si="5">J112*J113</f>
        <v>600.523776</v>
      </c>
      <c r="K114" s="22">
        <f t="shared" ref="K114" si="6">K112*K113</f>
        <v>750.65472000000011</v>
      </c>
      <c r="L114" s="22">
        <f t="shared" ref="L114" si="7">L112*L113</f>
        <v>900.78566400000011</v>
      </c>
    </row>
    <row r="115" spans="5:12" x14ac:dyDescent="0.45">
      <c r="E115" s="34"/>
      <c r="F115" t="s">
        <v>136</v>
      </c>
      <c r="G115" s="21">
        <v>3.0300000000000001E-2</v>
      </c>
      <c r="H115" s="21">
        <v>1.8700000000000001E-2</v>
      </c>
      <c r="I115" s="21">
        <v>1.15E-2</v>
      </c>
      <c r="J115" s="21">
        <v>8.3149999999999995E-3</v>
      </c>
      <c r="K115" s="21">
        <v>6.5069999999999998E-3</v>
      </c>
      <c r="L115" s="21">
        <v>5.3439999999999998E-3</v>
      </c>
    </row>
    <row r="116" spans="5:12" x14ac:dyDescent="0.45">
      <c r="E116" s="34"/>
      <c r="F116" t="s">
        <v>137</v>
      </c>
      <c r="G116" s="22">
        <v>1000</v>
      </c>
      <c r="H116" s="22">
        <v>1000</v>
      </c>
      <c r="I116" s="22">
        <v>1000</v>
      </c>
      <c r="J116" s="22">
        <v>1000</v>
      </c>
      <c r="K116" s="22">
        <v>1000</v>
      </c>
      <c r="L116" s="22">
        <v>1000</v>
      </c>
    </row>
    <row r="117" spans="5:12" x14ac:dyDescent="0.45">
      <c r="E117" s="34"/>
    </row>
    <row r="118" spans="5:12" x14ac:dyDescent="0.45">
      <c r="E118" s="34"/>
      <c r="F118" t="s">
        <v>66</v>
      </c>
      <c r="G118" s="22">
        <f t="shared" ref="G118:L118" si="8">G116*(G111/1000)/(G114*G115/1000)</f>
        <v>21385.072061530569</v>
      </c>
      <c r="H118" s="22">
        <f t="shared" si="8"/>
        <v>17325.339130063534</v>
      </c>
      <c r="I118" s="22">
        <f t="shared" si="8"/>
        <v>18781.671984474673</v>
      </c>
      <c r="J118" s="22">
        <f t="shared" si="8"/>
        <v>19481.89066339075</v>
      </c>
      <c r="K118" s="22">
        <f t="shared" si="8"/>
        <v>19916.01916288232</v>
      </c>
      <c r="L118" s="22">
        <f t="shared" si="8"/>
        <v>20208.572962337079</v>
      </c>
    </row>
    <row r="119" spans="5:12" x14ac:dyDescent="0.45">
      <c r="E119" s="34"/>
    </row>
    <row r="142" spans="5:14" x14ac:dyDescent="0.45">
      <c r="E142" t="s">
        <v>150</v>
      </c>
      <c r="K142" t="s">
        <v>150</v>
      </c>
    </row>
    <row r="143" spans="5:14" x14ac:dyDescent="0.45">
      <c r="E143" s="34" t="s">
        <v>141</v>
      </c>
      <c r="F143" t="s">
        <v>133</v>
      </c>
      <c r="G143">
        <v>97.28</v>
      </c>
      <c r="H143" t="s">
        <v>13</v>
      </c>
      <c r="K143" s="34" t="s">
        <v>141</v>
      </c>
      <c r="L143" t="s">
        <v>133</v>
      </c>
      <c r="M143">
        <v>97.28</v>
      </c>
      <c r="N143" t="s">
        <v>13</v>
      </c>
    </row>
    <row r="144" spans="5:14" x14ac:dyDescent="0.45">
      <c r="E144" s="34"/>
      <c r="F144" t="s">
        <v>134</v>
      </c>
      <c r="G144">
        <f>21.548</f>
        <v>21.547999999999998</v>
      </c>
      <c r="H144" t="s">
        <v>13</v>
      </c>
      <c r="K144" s="34"/>
      <c r="L144" t="s">
        <v>134</v>
      </c>
      <c r="M144">
        <f>21.548</f>
        <v>21.547999999999998</v>
      </c>
      <c r="N144" t="s">
        <v>13</v>
      </c>
    </row>
    <row r="145" spans="5:14" x14ac:dyDescent="0.45">
      <c r="E145" s="34"/>
      <c r="F145" t="s">
        <v>135</v>
      </c>
      <c r="G145">
        <v>7.68</v>
      </c>
      <c r="H145" t="s">
        <v>13</v>
      </c>
      <c r="K145" s="34"/>
      <c r="L145" t="s">
        <v>135</v>
      </c>
      <c r="M145">
        <v>7.68</v>
      </c>
      <c r="N145" t="s">
        <v>13</v>
      </c>
    </row>
    <row r="146" spans="5:14" x14ac:dyDescent="0.45">
      <c r="E146" s="34"/>
      <c r="F146" t="s">
        <v>139</v>
      </c>
      <c r="G146">
        <f>G144*G145</f>
        <v>165.48863999999998</v>
      </c>
      <c r="H146" t="s">
        <v>15</v>
      </c>
      <c r="K146" s="34"/>
      <c r="L146" t="s">
        <v>139</v>
      </c>
      <c r="M146">
        <f>M144*M145</f>
        <v>165.48863999999998</v>
      </c>
      <c r="N146" t="s">
        <v>15</v>
      </c>
    </row>
    <row r="147" spans="5:14" x14ac:dyDescent="0.45">
      <c r="E147" s="34"/>
      <c r="F147" t="s">
        <v>136</v>
      </c>
      <c r="G147">
        <v>0.40400000000000003</v>
      </c>
      <c r="H147" t="s">
        <v>13</v>
      </c>
      <c r="K147" s="34"/>
      <c r="L147" t="s">
        <v>136</v>
      </c>
      <c r="M147">
        <v>0.41</v>
      </c>
      <c r="N147" t="s">
        <v>13</v>
      </c>
    </row>
    <row r="148" spans="5:14" x14ac:dyDescent="0.45">
      <c r="E148" s="34"/>
      <c r="F148" t="s">
        <v>137</v>
      </c>
      <c r="G148">
        <v>10000</v>
      </c>
      <c r="H148" t="s">
        <v>138</v>
      </c>
      <c r="K148" s="34"/>
      <c r="L148" t="s">
        <v>137</v>
      </c>
      <c r="M148">
        <v>10000</v>
      </c>
      <c r="N148" t="s">
        <v>138</v>
      </c>
    </row>
    <row r="149" spans="5:14" x14ac:dyDescent="0.45">
      <c r="E149" s="34"/>
      <c r="K149" s="34"/>
    </row>
    <row r="150" spans="5:14" x14ac:dyDescent="0.45">
      <c r="E150" s="34"/>
      <c r="F150" t="s">
        <v>168</v>
      </c>
      <c r="G150">
        <f>G148*(G143/1000)/(G146*G147/1000)</f>
        <v>14550.369089257174</v>
      </c>
      <c r="K150" s="34"/>
      <c r="L150" t="s">
        <v>168</v>
      </c>
      <c r="M150">
        <f>M148*(M143/1000)/(M146*M147/1000)</f>
        <v>14337.43685868268</v>
      </c>
    </row>
    <row r="151" spans="5:14" x14ac:dyDescent="0.45">
      <c r="E151" s="34"/>
      <c r="F151" t="s">
        <v>169</v>
      </c>
      <c r="G151">
        <v>14620</v>
      </c>
      <c r="K151" s="34"/>
      <c r="L151" t="s">
        <v>169</v>
      </c>
      <c r="M151">
        <v>14620</v>
      </c>
    </row>
    <row r="152" spans="5:14" x14ac:dyDescent="0.45">
      <c r="F152" t="s">
        <v>170</v>
      </c>
      <c r="G152">
        <f>(G150-G151)/G151</f>
        <v>-4.7627161930797546E-3</v>
      </c>
      <c r="L152" t="s">
        <v>170</v>
      </c>
      <c r="M152">
        <f>(M150-M151)/M151</f>
        <v>-1.9327164248790669E-2</v>
      </c>
    </row>
    <row r="160" spans="5:14" x14ac:dyDescent="0.45">
      <c r="E160" t="s">
        <v>166</v>
      </c>
    </row>
    <row r="161" spans="5:8" x14ac:dyDescent="0.45">
      <c r="E161" s="34" t="s">
        <v>141</v>
      </c>
      <c r="F161" t="s">
        <v>133</v>
      </c>
      <c r="G161">
        <v>97.28</v>
      </c>
      <c r="H161" t="s">
        <v>13</v>
      </c>
    </row>
    <row r="162" spans="5:8" x14ac:dyDescent="0.45">
      <c r="E162" s="34"/>
      <c r="F162" t="s">
        <v>134</v>
      </c>
      <c r="G162">
        <f>21.548</f>
        <v>21.547999999999998</v>
      </c>
      <c r="H162" t="s">
        <v>13</v>
      </c>
    </row>
    <row r="163" spans="5:8" x14ac:dyDescent="0.45">
      <c r="E163" s="34"/>
      <c r="F163" t="s">
        <v>135</v>
      </c>
      <c r="G163">
        <v>7.68</v>
      </c>
      <c r="H163" t="s">
        <v>13</v>
      </c>
    </row>
    <row r="164" spans="5:8" x14ac:dyDescent="0.45">
      <c r="E164" s="34"/>
      <c r="F164" t="s">
        <v>139</v>
      </c>
      <c r="G164">
        <f>G162*G163</f>
        <v>165.48863999999998</v>
      </c>
      <c r="H164" t="s">
        <v>15</v>
      </c>
    </row>
    <row r="165" spans="5:8" x14ac:dyDescent="0.45">
      <c r="E165" s="34"/>
      <c r="F165" t="s">
        <v>136</v>
      </c>
      <c r="G165">
        <v>3.676E-3</v>
      </c>
      <c r="H165" t="s">
        <v>13</v>
      </c>
    </row>
    <row r="166" spans="5:8" x14ac:dyDescent="0.45">
      <c r="E166" s="34"/>
      <c r="F166" t="s">
        <v>137</v>
      </c>
      <c r="G166">
        <v>100</v>
      </c>
      <c r="H166" t="s">
        <v>138</v>
      </c>
    </row>
    <row r="167" spans="5:8" x14ac:dyDescent="0.45">
      <c r="E167" s="34"/>
    </row>
    <row r="168" spans="5:8" x14ac:dyDescent="0.45">
      <c r="E168" s="34"/>
      <c r="G168">
        <f>G166*(G161/1000)/(G164*G165/1000)</f>
        <v>15991.156452828885</v>
      </c>
    </row>
    <row r="169" spans="5:8" x14ac:dyDescent="0.45">
      <c r="E169" s="34"/>
      <c r="G169">
        <v>15997</v>
      </c>
    </row>
    <row r="170" spans="5:8" x14ac:dyDescent="0.45">
      <c r="G170">
        <f>(G168-G169)/G169*100</f>
        <v>-3.6529019010530413E-2</v>
      </c>
    </row>
    <row r="176" spans="5:8" x14ac:dyDescent="0.45">
      <c r="E176" t="s">
        <v>166</v>
      </c>
    </row>
    <row r="177" spans="5:8" x14ac:dyDescent="0.45">
      <c r="E177" s="34" t="s">
        <v>141</v>
      </c>
      <c r="F177" t="s">
        <v>133</v>
      </c>
      <c r="G177">
        <v>97.28</v>
      </c>
      <c r="H177" t="s">
        <v>13</v>
      </c>
    </row>
    <row r="178" spans="5:8" x14ac:dyDescent="0.45">
      <c r="E178" s="34"/>
      <c r="F178" t="s">
        <v>134</v>
      </c>
      <c r="G178">
        <f>21.548</f>
        <v>21.547999999999998</v>
      </c>
      <c r="H178" t="s">
        <v>13</v>
      </c>
    </row>
    <row r="179" spans="5:8" x14ac:dyDescent="0.45">
      <c r="E179" s="34"/>
      <c r="F179" t="s">
        <v>135</v>
      </c>
      <c r="G179">
        <v>7.68</v>
      </c>
      <c r="H179" t="s">
        <v>13</v>
      </c>
    </row>
    <row r="180" spans="5:8" x14ac:dyDescent="0.45">
      <c r="E180" s="34"/>
      <c r="F180" t="s">
        <v>139</v>
      </c>
      <c r="G180">
        <f>G178*G179</f>
        <v>165.48863999999998</v>
      </c>
      <c r="H180" t="s">
        <v>15</v>
      </c>
    </row>
    <row r="181" spans="5:8" x14ac:dyDescent="0.45">
      <c r="E181" s="34"/>
      <c r="F181" t="s">
        <v>136</v>
      </c>
      <c r="G181">
        <v>3.2499999999999999E-3</v>
      </c>
      <c r="H181" t="s">
        <v>13</v>
      </c>
    </row>
    <row r="182" spans="5:8" x14ac:dyDescent="0.45">
      <c r="E182" s="34"/>
      <c r="F182" t="s">
        <v>137</v>
      </c>
      <c r="G182">
        <v>100</v>
      </c>
      <c r="H182" t="s">
        <v>138</v>
      </c>
    </row>
    <row r="183" spans="5:8" x14ac:dyDescent="0.45">
      <c r="E183" s="34"/>
    </row>
    <row r="184" spans="5:8" x14ac:dyDescent="0.45">
      <c r="E184" s="34"/>
      <c r="G184">
        <f>G182*(G177/1000)/(G180*G181/1000)</f>
        <v>18087.228037107379</v>
      </c>
    </row>
    <row r="185" spans="5:8" x14ac:dyDescent="0.45">
      <c r="E185" s="34"/>
      <c r="G185">
        <v>15997</v>
      </c>
    </row>
    <row r="186" spans="5:8" x14ac:dyDescent="0.45">
      <c r="G186">
        <f>(G184-G185)/G185*100</f>
        <v>13.06637517726686</v>
      </c>
    </row>
    <row r="192" spans="5:8" x14ac:dyDescent="0.45">
      <c r="E192" t="s">
        <v>167</v>
      </c>
    </row>
    <row r="193" spans="5:8" x14ac:dyDescent="0.45">
      <c r="E193" s="34" t="s">
        <v>141</v>
      </c>
      <c r="F193" t="s">
        <v>133</v>
      </c>
      <c r="G193">
        <v>97.28</v>
      </c>
      <c r="H193" t="s">
        <v>13</v>
      </c>
    </row>
    <row r="194" spans="5:8" x14ac:dyDescent="0.45">
      <c r="E194" s="34"/>
      <c r="F194" t="s">
        <v>134</v>
      </c>
      <c r="G194">
        <f>21.548</f>
        <v>21.547999999999998</v>
      </c>
      <c r="H194" t="s">
        <v>13</v>
      </c>
    </row>
    <row r="195" spans="5:8" x14ac:dyDescent="0.45">
      <c r="E195" s="34"/>
      <c r="F195" t="s">
        <v>135</v>
      </c>
      <c r="G195">
        <v>7.68</v>
      </c>
      <c r="H195" t="s">
        <v>13</v>
      </c>
    </row>
    <row r="196" spans="5:8" x14ac:dyDescent="0.45">
      <c r="E196" s="34"/>
      <c r="F196" t="s">
        <v>139</v>
      </c>
      <c r="G196">
        <f>G194*G195</f>
        <v>165.48863999999998</v>
      </c>
      <c r="H196" t="s">
        <v>15</v>
      </c>
    </row>
    <row r="197" spans="5:8" x14ac:dyDescent="0.45">
      <c r="E197" s="34"/>
      <c r="F197" t="s">
        <v>136</v>
      </c>
      <c r="G197">
        <v>3.3300000000000001E-3</v>
      </c>
      <c r="H197" t="s">
        <v>13</v>
      </c>
    </row>
    <row r="198" spans="5:8" x14ac:dyDescent="0.45">
      <c r="E198" s="34"/>
      <c r="F198" t="s">
        <v>137</v>
      </c>
      <c r="G198">
        <v>100</v>
      </c>
      <c r="H198" t="s">
        <v>138</v>
      </c>
    </row>
    <row r="199" spans="5:8" x14ac:dyDescent="0.45">
      <c r="E199" s="34"/>
    </row>
    <row r="200" spans="5:8" x14ac:dyDescent="0.45">
      <c r="E200" s="34"/>
      <c r="G200">
        <f>G198*(G193/1000)/(G196*G197/1000)</f>
        <v>17652.700036215912</v>
      </c>
    </row>
    <row r="201" spans="5:8" x14ac:dyDescent="0.45">
      <c r="E201" s="34"/>
      <c r="G201">
        <v>15997</v>
      </c>
    </row>
    <row r="202" spans="5:8" x14ac:dyDescent="0.45">
      <c r="G202">
        <f>(G200-G201)/G201*100</f>
        <v>10.350065863698896</v>
      </c>
    </row>
    <row r="211" spans="5:13" x14ac:dyDescent="0.45">
      <c r="L211" t="s">
        <v>191</v>
      </c>
    </row>
    <row r="212" spans="5:13" x14ac:dyDescent="0.45">
      <c r="E212" s="33" t="s">
        <v>183</v>
      </c>
      <c r="F212" t="s">
        <v>133</v>
      </c>
      <c r="G212">
        <v>97.28</v>
      </c>
      <c r="H212" t="s">
        <v>13</v>
      </c>
      <c r="J212" t="s">
        <v>185</v>
      </c>
      <c r="K212">
        <f>G216/G212</f>
        <v>4.3893914473684213E-3</v>
      </c>
    </row>
    <row r="213" spans="5:13" x14ac:dyDescent="0.45">
      <c r="E213" s="33"/>
      <c r="F213" t="s">
        <v>134</v>
      </c>
      <c r="G213">
        <v>19.548300000000001</v>
      </c>
      <c r="H213" t="s">
        <v>13</v>
      </c>
      <c r="J213" t="s">
        <v>186</v>
      </c>
      <c r="K213">
        <f>G221/G213</f>
        <v>1.0282224029711023E-3</v>
      </c>
    </row>
    <row r="214" spans="5:13" x14ac:dyDescent="0.45">
      <c r="E214" s="33"/>
      <c r="F214" t="s">
        <v>135</v>
      </c>
      <c r="G214">
        <v>7.68</v>
      </c>
      <c r="H214" t="s">
        <v>13</v>
      </c>
      <c r="J214" t="s">
        <v>74</v>
      </c>
      <c r="K214">
        <f>K213/K212</f>
        <v>0.23425169873777243</v>
      </c>
      <c r="L214">
        <v>0.23449999999999999</v>
      </c>
      <c r="M214">
        <f>(L214-K214)/K214*100</f>
        <v>0.10599763569079025</v>
      </c>
    </row>
    <row r="215" spans="5:13" x14ac:dyDescent="0.45">
      <c r="E215" s="33"/>
      <c r="F215" t="s">
        <v>139</v>
      </c>
      <c r="G215">
        <f>G213*G214</f>
        <v>150.130944</v>
      </c>
      <c r="H215" t="s">
        <v>15</v>
      </c>
    </row>
    <row r="216" spans="5:13" x14ac:dyDescent="0.45">
      <c r="E216" s="33"/>
      <c r="F216" t="s">
        <v>187</v>
      </c>
      <c r="G216">
        <v>0.42699999999999999</v>
      </c>
      <c r="H216" t="s">
        <v>13</v>
      </c>
      <c r="J216" t="s">
        <v>190</v>
      </c>
      <c r="K216">
        <f>G222/G214</f>
        <v>1.29140625E-4</v>
      </c>
    </row>
    <row r="217" spans="5:13" x14ac:dyDescent="0.45">
      <c r="E217" s="33"/>
      <c r="F217" t="s">
        <v>137</v>
      </c>
      <c r="G217">
        <v>10000</v>
      </c>
      <c r="H217" t="s">
        <v>138</v>
      </c>
      <c r="J217" t="s">
        <v>92</v>
      </c>
      <c r="K217">
        <f>K216/K212</f>
        <v>2.9421077283372364E-2</v>
      </c>
      <c r="L217">
        <v>2.9399999999999999E-2</v>
      </c>
      <c r="M217">
        <f>(-L217+K217)/K217*100</f>
        <v>7.1640080236888906E-2</v>
      </c>
    </row>
    <row r="218" spans="5:13" x14ac:dyDescent="0.45">
      <c r="E218" s="33"/>
    </row>
    <row r="219" spans="5:13" x14ac:dyDescent="0.45">
      <c r="E219" s="33"/>
      <c r="G219">
        <f>G217*(G212/1000)/(G215*G216/1000)</f>
        <v>15174.887200570874</v>
      </c>
      <c r="H219">
        <v>15141</v>
      </c>
      <c r="I219">
        <f>(-H219+G219)/G219*100</f>
        <v>0.22331105413158958</v>
      </c>
    </row>
    <row r="220" spans="5:13" x14ac:dyDescent="0.45">
      <c r="E220" s="33"/>
      <c r="L220" t="s">
        <v>66</v>
      </c>
    </row>
    <row r="221" spans="5:13" x14ac:dyDescent="0.45">
      <c r="F221" t="s">
        <v>188</v>
      </c>
      <c r="G221">
        <v>2.01E-2</v>
      </c>
      <c r="L221" t="s">
        <v>192</v>
      </c>
    </row>
    <row r="222" spans="5:13" x14ac:dyDescent="0.45">
      <c r="F222" t="s">
        <v>189</v>
      </c>
      <c r="G222">
        <v>9.9179999999999993E-4</v>
      </c>
      <c r="L222" t="s">
        <v>193</v>
      </c>
    </row>
    <row r="224" spans="5:13" x14ac:dyDescent="0.45">
      <c r="L224" t="s">
        <v>191</v>
      </c>
    </row>
    <row r="225" spans="5:13" x14ac:dyDescent="0.45">
      <c r="E225" s="33" t="s">
        <v>184</v>
      </c>
      <c r="F225" t="s">
        <v>133</v>
      </c>
      <c r="G225">
        <v>97.28</v>
      </c>
      <c r="H225" t="s">
        <v>13</v>
      </c>
      <c r="J225" t="s">
        <v>185</v>
      </c>
      <c r="K225">
        <f>G229/G225</f>
        <v>4.4305098684210521E-3</v>
      </c>
    </row>
    <row r="226" spans="5:13" x14ac:dyDescent="0.45">
      <c r="E226" s="33"/>
      <c r="F226" t="s">
        <v>134</v>
      </c>
      <c r="G226">
        <v>19.548300000000001</v>
      </c>
      <c r="H226" t="s">
        <v>13</v>
      </c>
      <c r="J226" t="s">
        <v>186</v>
      </c>
      <c r="K226">
        <f>G234/G226</f>
        <v>9.7195152519656428E-4</v>
      </c>
    </row>
    <row r="227" spans="5:13" x14ac:dyDescent="0.45">
      <c r="E227" s="33"/>
      <c r="F227" t="s">
        <v>135</v>
      </c>
      <c r="G227">
        <v>7.68</v>
      </c>
      <c r="H227" t="s">
        <v>13</v>
      </c>
      <c r="J227" t="s">
        <v>74</v>
      </c>
      <c r="K227">
        <f>K226/K225</f>
        <v>0.21937690109308999</v>
      </c>
      <c r="L227">
        <v>0.23449999999999999</v>
      </c>
      <c r="M227">
        <f>(L227-K227)/K227*100</f>
        <v>6.8936605593187243</v>
      </c>
    </row>
    <row r="228" spans="5:13" x14ac:dyDescent="0.45">
      <c r="E228" s="33"/>
      <c r="F228" t="s">
        <v>139</v>
      </c>
      <c r="G228">
        <f>G226*G227</f>
        <v>150.130944</v>
      </c>
      <c r="H228" t="s">
        <v>15</v>
      </c>
    </row>
    <row r="229" spans="5:13" x14ac:dyDescent="0.45">
      <c r="E229" s="33"/>
      <c r="F229" t="s">
        <v>136</v>
      </c>
      <c r="G229">
        <v>0.43099999999999999</v>
      </c>
      <c r="H229" t="s">
        <v>13</v>
      </c>
      <c r="J229" t="s">
        <v>190</v>
      </c>
      <c r="K229">
        <f>G235/G227</f>
        <v>1.7708333333333335E-4</v>
      </c>
    </row>
    <row r="230" spans="5:13" x14ac:dyDescent="0.45">
      <c r="E230" s="33"/>
      <c r="F230" t="s">
        <v>137</v>
      </c>
      <c r="G230">
        <v>10000</v>
      </c>
      <c r="H230" t="s">
        <v>138</v>
      </c>
      <c r="J230" t="s">
        <v>92</v>
      </c>
      <c r="K230">
        <f>K229/K225</f>
        <v>3.9969064191802017E-2</v>
      </c>
      <c r="L230">
        <v>2.9399999999999999E-2</v>
      </c>
      <c r="M230">
        <f>(-L230+K230)/K230*100</f>
        <v>26.443111455108376</v>
      </c>
    </row>
    <row r="231" spans="5:13" x14ac:dyDescent="0.45">
      <c r="E231" s="33"/>
    </row>
    <row r="232" spans="5:13" x14ac:dyDescent="0.45">
      <c r="E232" s="33"/>
      <c r="G232">
        <f>G230*(G225/1000)/(G228*G229/1000)</f>
        <v>15034.052980611979</v>
      </c>
      <c r="H232">
        <v>15141</v>
      </c>
      <c r="I232">
        <f>(H232-G232)/G232*100</f>
        <v>0.7113651889210465</v>
      </c>
    </row>
    <row r="233" spans="5:13" x14ac:dyDescent="0.45">
      <c r="E233" s="33"/>
    </row>
    <row r="234" spans="5:13" x14ac:dyDescent="0.45">
      <c r="F234" t="s">
        <v>188</v>
      </c>
      <c r="G234">
        <v>1.9E-2</v>
      </c>
    </row>
    <row r="235" spans="5:13" x14ac:dyDescent="0.45">
      <c r="F235" t="s">
        <v>189</v>
      </c>
      <c r="G235">
        <f>0.00068*2</f>
        <v>1.3600000000000001E-3</v>
      </c>
    </row>
    <row r="244" spans="5:9" x14ac:dyDescent="0.45">
      <c r="E244" s="33" t="s">
        <v>194</v>
      </c>
      <c r="F244" t="s">
        <v>133</v>
      </c>
      <c r="G244">
        <v>97.28</v>
      </c>
      <c r="H244" t="s">
        <v>13</v>
      </c>
    </row>
    <row r="245" spans="5:9" x14ac:dyDescent="0.45">
      <c r="E245" s="33"/>
      <c r="F245" t="s">
        <v>134</v>
      </c>
      <c r="G245">
        <v>19.548300000000001</v>
      </c>
      <c r="H245" t="s">
        <v>13</v>
      </c>
    </row>
    <row r="246" spans="5:9" x14ac:dyDescent="0.45">
      <c r="E246" s="33"/>
      <c r="F246" t="s">
        <v>135</v>
      </c>
      <c r="G246">
        <v>7.68</v>
      </c>
      <c r="H246" t="s">
        <v>13</v>
      </c>
    </row>
    <row r="247" spans="5:9" x14ac:dyDescent="0.45">
      <c r="E247" s="33"/>
      <c r="F247" t="s">
        <v>139</v>
      </c>
      <c r="G247">
        <f>G245*G246</f>
        <v>150.130944</v>
      </c>
      <c r="H247" t="s">
        <v>15</v>
      </c>
    </row>
    <row r="248" spans="5:9" ht="18" x14ac:dyDescent="0.55000000000000004">
      <c r="E248" s="33"/>
      <c r="F248" t="s">
        <v>136</v>
      </c>
      <c r="G248" s="7">
        <f>1.449</f>
        <v>1.4490000000000001</v>
      </c>
      <c r="H248" t="s">
        <v>13</v>
      </c>
    </row>
    <row r="249" spans="5:9" x14ac:dyDescent="0.45">
      <c r="E249" s="33"/>
      <c r="F249" t="s">
        <v>137</v>
      </c>
      <c r="G249">
        <v>10000</v>
      </c>
      <c r="H249" t="s">
        <v>138</v>
      </c>
    </row>
    <row r="250" spans="5:9" x14ac:dyDescent="0.45">
      <c r="E250" s="33"/>
    </row>
    <row r="251" spans="5:9" x14ac:dyDescent="0.45">
      <c r="E251" s="33"/>
      <c r="G251">
        <f>G249*(G244/1000)/(G247*G248/1000)</f>
        <v>4471.8266629701611</v>
      </c>
      <c r="H251">
        <v>15141</v>
      </c>
      <c r="I251">
        <f>(H251-G251)/G251*100</f>
        <v>238.58646904581576</v>
      </c>
    </row>
    <row r="252" spans="5:9" x14ac:dyDescent="0.45">
      <c r="E252" s="33"/>
    </row>
    <row r="253" spans="5:9" x14ac:dyDescent="0.45">
      <c r="F253" t="s">
        <v>188</v>
      </c>
      <c r="G253">
        <v>1.9E-2</v>
      </c>
    </row>
    <row r="254" spans="5:9" x14ac:dyDescent="0.45">
      <c r="F254" t="s">
        <v>189</v>
      </c>
      <c r="G254">
        <f>0.00068*2</f>
        <v>1.3600000000000001E-3</v>
      </c>
    </row>
    <row r="261" spans="6:7" x14ac:dyDescent="0.45">
      <c r="F261" t="s">
        <v>195</v>
      </c>
      <c r="G261" t="s">
        <v>195</v>
      </c>
    </row>
  </sheetData>
  <mergeCells count="20">
    <mergeCell ref="K143:K151"/>
    <mergeCell ref="K17:K25"/>
    <mergeCell ref="Q18:Q26"/>
    <mergeCell ref="W17:W25"/>
    <mergeCell ref="E59:E67"/>
    <mergeCell ref="E44:E52"/>
    <mergeCell ref="K32:K40"/>
    <mergeCell ref="E212:E220"/>
    <mergeCell ref="E225:E233"/>
    <mergeCell ref="E244:E252"/>
    <mergeCell ref="E2:E10"/>
    <mergeCell ref="J2:J10"/>
    <mergeCell ref="E17:E25"/>
    <mergeCell ref="E30:E38"/>
    <mergeCell ref="E75:E83"/>
    <mergeCell ref="E111:E119"/>
    <mergeCell ref="E143:E151"/>
    <mergeCell ref="E161:E169"/>
    <mergeCell ref="E177:E185"/>
    <mergeCell ref="E193:E20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FBA9-2B2C-42C8-9388-705958201D88}">
  <dimension ref="A1:H34"/>
  <sheetViews>
    <sheetView zoomScale="10" zoomScaleNormal="10" workbookViewId="0">
      <selection activeCell="K61" sqref="A1:XFD1048576"/>
    </sheetView>
  </sheetViews>
  <sheetFormatPr defaultRowHeight="14.25" x14ac:dyDescent="0.45"/>
  <cols>
    <col min="1" max="1" width="54.265625" customWidth="1"/>
    <col min="2" max="2" width="22.73046875" customWidth="1"/>
    <col min="3" max="3" width="38.1328125" customWidth="1"/>
    <col min="4" max="4" width="18" customWidth="1"/>
    <col min="5" max="5" width="17.59765625" customWidth="1"/>
    <col min="6" max="6" width="11" customWidth="1"/>
    <col min="7" max="7" width="13.86328125" customWidth="1"/>
    <col min="13" max="13" width="24.73046875" customWidth="1"/>
  </cols>
  <sheetData>
    <row r="1" spans="1:8" ht="18" x14ac:dyDescent="0.55000000000000004">
      <c r="A1" s="6" t="s">
        <v>131</v>
      </c>
      <c r="B1" s="7">
        <v>1.5</v>
      </c>
      <c r="C1" s="7">
        <v>1.5</v>
      </c>
      <c r="D1" s="6" t="s">
        <v>17</v>
      </c>
      <c r="E1" s="7">
        <v>10000</v>
      </c>
      <c r="F1" s="6" t="s">
        <v>132</v>
      </c>
      <c r="G1" s="6">
        <v>2</v>
      </c>
      <c r="H1" s="6"/>
    </row>
    <row r="2" spans="1:8" ht="18" x14ac:dyDescent="0.55000000000000004">
      <c r="A2" s="6" t="s">
        <v>129</v>
      </c>
      <c r="B2" s="7">
        <v>0.6</v>
      </c>
      <c r="C2" s="7">
        <v>0.6</v>
      </c>
      <c r="D2" s="6"/>
      <c r="E2" s="6"/>
      <c r="F2" s="8" t="s">
        <v>130</v>
      </c>
      <c r="G2" s="6">
        <f>(G1/B4)+(2*G1/B5)</f>
        <v>0.79939431913116121</v>
      </c>
      <c r="H2" s="6"/>
    </row>
    <row r="3" spans="1:8" ht="18" x14ac:dyDescent="0.55000000000000004">
      <c r="A3" s="6" t="s">
        <v>3</v>
      </c>
      <c r="B3" s="7">
        <v>15</v>
      </c>
      <c r="C3" s="7">
        <f>D3*3.1415/180</f>
        <v>0.5235833333333334</v>
      </c>
      <c r="D3" s="6">
        <v>30</v>
      </c>
      <c r="E3" s="6"/>
      <c r="F3" s="6"/>
      <c r="G3" s="6"/>
      <c r="H3" s="6"/>
    </row>
    <row r="4" spans="1:8" ht="18" x14ac:dyDescent="0.55000000000000004">
      <c r="A4" s="6" t="s">
        <v>2</v>
      </c>
      <c r="B4" s="7">
        <f>C4</f>
        <v>12.16</v>
      </c>
      <c r="C4" s="7">
        <f>12.16</f>
        <v>12.16</v>
      </c>
      <c r="D4" s="7">
        <f>C1*(1+SIN(C3))/(C2*SIN(C3))</f>
        <v>7.5001337381107547</v>
      </c>
      <c r="E4" s="6"/>
      <c r="F4" s="6"/>
      <c r="G4" s="6"/>
      <c r="H4" s="6"/>
    </row>
    <row r="5" spans="1:8" ht="18" x14ac:dyDescent="0.55000000000000004">
      <c r="A5" s="6" t="s">
        <v>4</v>
      </c>
      <c r="B5" s="7">
        <f>C5</f>
        <v>6.3</v>
      </c>
      <c r="C5" s="7">
        <v>6.3</v>
      </c>
      <c r="D5" s="7">
        <f>2*C1*(1+SIN(C3))/C2</f>
        <v>7.4999331327331626</v>
      </c>
      <c r="E5" s="6"/>
      <c r="F5" s="6"/>
      <c r="G5" s="6"/>
      <c r="H5" s="6"/>
    </row>
    <row r="6" spans="1:8" ht="18" x14ac:dyDescent="0.55000000000000004">
      <c r="A6" s="6" t="s">
        <v>11</v>
      </c>
      <c r="B6" s="7">
        <v>7.68</v>
      </c>
      <c r="C6" s="8">
        <f>3.75*2</f>
        <v>7.5</v>
      </c>
      <c r="D6" s="6"/>
      <c r="E6" s="6"/>
      <c r="F6" s="6"/>
      <c r="G6" s="6"/>
      <c r="H6" s="6"/>
    </row>
    <row r="7" spans="1:8" ht="18" x14ac:dyDescent="0.55000000000000004">
      <c r="A7" s="6" t="s">
        <v>5</v>
      </c>
      <c r="B7" s="8">
        <f>C7</f>
        <v>6.516</v>
      </c>
      <c r="C7" s="8">
        <v>6.516</v>
      </c>
      <c r="D7" s="7">
        <f>2*TAN(C3)*C4</f>
        <v>14.040657809977413</v>
      </c>
      <c r="E7" s="6"/>
      <c r="F7" s="6"/>
      <c r="G7" s="6"/>
      <c r="H7" s="6"/>
    </row>
    <row r="8" spans="1:8" ht="18" x14ac:dyDescent="0.55000000000000004">
      <c r="A8" s="6" t="s">
        <v>6</v>
      </c>
      <c r="B8" s="8">
        <f>C8</f>
        <v>12.589</v>
      </c>
      <c r="C8" s="8">
        <v>12.589</v>
      </c>
      <c r="D8" s="7">
        <f>C4/COS(C3)</f>
        <v>14.041033364187264</v>
      </c>
      <c r="E8" s="6"/>
      <c r="F8" s="6"/>
      <c r="G8" s="6"/>
      <c r="H8" s="6"/>
    </row>
    <row r="9" spans="1:8" ht="18" x14ac:dyDescent="0.55000000000000004">
      <c r="A9" s="6" t="s">
        <v>61</v>
      </c>
      <c r="B9" s="8">
        <f>B4</f>
        <v>12.16</v>
      </c>
      <c r="C9" s="8">
        <f>D4</f>
        <v>7.5001337381107547</v>
      </c>
      <c r="D9" s="6"/>
      <c r="E9" s="6"/>
      <c r="F9" s="6"/>
      <c r="G9" s="6"/>
      <c r="H9" s="6"/>
    </row>
    <row r="10" spans="1:8" ht="18" x14ac:dyDescent="0.55000000000000004">
      <c r="A10" s="6" t="s">
        <v>62</v>
      </c>
      <c r="B10" s="8">
        <f>B7</f>
        <v>6.516</v>
      </c>
      <c r="C10" s="8">
        <f>D7</f>
        <v>14.040657809977413</v>
      </c>
      <c r="D10" s="6"/>
      <c r="E10" s="6"/>
      <c r="F10" s="6"/>
      <c r="G10" s="6"/>
      <c r="H10" s="6"/>
    </row>
    <row r="11" spans="1:8" ht="18" x14ac:dyDescent="0.55000000000000004">
      <c r="A11" s="6" t="s">
        <v>63</v>
      </c>
      <c r="B11" s="6">
        <v>3</v>
      </c>
      <c r="C11" s="6">
        <v>3</v>
      </c>
      <c r="D11" s="6">
        <v>3</v>
      </c>
      <c r="E11" s="6">
        <v>3</v>
      </c>
      <c r="F11" s="6"/>
      <c r="G11" s="6"/>
      <c r="H11" s="6"/>
    </row>
    <row r="12" spans="1:8" ht="18" x14ac:dyDescent="0.55000000000000004">
      <c r="A12" s="6" t="s">
        <v>64</v>
      </c>
      <c r="B12" s="8">
        <v>97.28</v>
      </c>
      <c r="C12" s="8">
        <v>97.28</v>
      </c>
      <c r="D12" s="8">
        <v>97.28</v>
      </c>
      <c r="E12" s="8">
        <v>97.28</v>
      </c>
      <c r="F12" s="8">
        <v>97.28</v>
      </c>
      <c r="G12" s="8">
        <v>97.28</v>
      </c>
      <c r="H12" s="8"/>
    </row>
    <row r="13" spans="1:8" ht="18" x14ac:dyDescent="0.55000000000000004">
      <c r="A13" s="6" t="s">
        <v>77</v>
      </c>
      <c r="B13" s="6">
        <v>3</v>
      </c>
      <c r="C13" s="6">
        <v>6</v>
      </c>
      <c r="D13" s="6">
        <v>9</v>
      </c>
      <c r="E13" s="6">
        <v>12</v>
      </c>
      <c r="F13" s="6">
        <v>15</v>
      </c>
      <c r="G13" s="6">
        <v>18</v>
      </c>
      <c r="H13" s="6"/>
    </row>
    <row r="14" spans="1:8" ht="18" x14ac:dyDescent="0.55000000000000004">
      <c r="A14" s="6" t="s">
        <v>65</v>
      </c>
      <c r="B14" s="8">
        <f>B13*$B$10</f>
        <v>19.548000000000002</v>
      </c>
      <c r="C14" s="8">
        <f t="shared" ref="C14:G14" si="0">C13*$B$10</f>
        <v>39.096000000000004</v>
      </c>
      <c r="D14" s="8">
        <f t="shared" si="0"/>
        <v>58.643999999999998</v>
      </c>
      <c r="E14" s="8">
        <f t="shared" si="0"/>
        <v>78.192000000000007</v>
      </c>
      <c r="F14" s="8">
        <f t="shared" si="0"/>
        <v>97.74</v>
      </c>
      <c r="G14" s="8">
        <f t="shared" si="0"/>
        <v>117.288</v>
      </c>
      <c r="H14" s="8"/>
    </row>
    <row r="15" spans="1:8" ht="18" x14ac:dyDescent="0.55000000000000004">
      <c r="A15" s="6" t="s">
        <v>67</v>
      </c>
      <c r="B15" s="8">
        <f>B14/1000*$B$6/1000</f>
        <v>1.5012864000000001E-4</v>
      </c>
      <c r="C15" s="8">
        <f t="shared" ref="C15:F15" si="1">C14/1000*$B$6/1000</f>
        <v>3.0025728000000003E-4</v>
      </c>
      <c r="D15" s="8">
        <f t="shared" si="1"/>
        <v>4.5038591999999999E-4</v>
      </c>
      <c r="E15" s="8">
        <f t="shared" si="1"/>
        <v>6.0051456000000006E-4</v>
      </c>
      <c r="F15" s="8">
        <f t="shared" si="1"/>
        <v>7.5064319999999991E-4</v>
      </c>
      <c r="G15" s="8">
        <f t="shared" ref="G15" si="2">G14/1000*$B$6/1000</f>
        <v>9.0077183999999998E-4</v>
      </c>
      <c r="H15" s="8"/>
    </row>
    <row r="16" spans="1:8" ht="18" x14ac:dyDescent="0.55000000000000004">
      <c r="A16" s="6" t="s">
        <v>73</v>
      </c>
      <c r="B16" s="7">
        <f>1.449</f>
        <v>1.4490000000000001</v>
      </c>
      <c r="C16" s="7">
        <v>0.34300000000000003</v>
      </c>
      <c r="D16" s="7">
        <v>0.19</v>
      </c>
      <c r="E16" s="7">
        <v>0.13100000000000001</v>
      </c>
      <c r="F16" s="7">
        <v>0.1</v>
      </c>
      <c r="G16" s="7">
        <v>8.1000000000000003E-2</v>
      </c>
      <c r="H16" s="7"/>
    </row>
    <row r="17" spans="1:8" ht="18" x14ac:dyDescent="0.55000000000000004">
      <c r="A17" s="9" t="s">
        <v>66</v>
      </c>
      <c r="B17" s="10">
        <f>($E$1*(B12/1000)/(B15*B16/1000))/(10^6)</f>
        <v>4471.8952913719868</v>
      </c>
      <c r="C17" s="10">
        <f t="shared" ref="C17:G17" si="3">($E$1*(C12/1000)/(C15*C16/1000))/(10^6)</f>
        <v>9445.7380134081741</v>
      </c>
      <c r="D17" s="10">
        <f t="shared" si="3"/>
        <v>11368.028556487736</v>
      </c>
      <c r="E17" s="10">
        <f t="shared" si="3"/>
        <v>12365.98526182826</v>
      </c>
      <c r="F17" s="10">
        <f t="shared" si="3"/>
        <v>12959.552554396018</v>
      </c>
      <c r="G17" s="10">
        <f t="shared" si="3"/>
        <v>13332.872998349814</v>
      </c>
      <c r="H17" s="10"/>
    </row>
    <row r="18" spans="1:8" ht="18" x14ac:dyDescent="0.55000000000000004">
      <c r="A18" s="6" t="s">
        <v>68</v>
      </c>
      <c r="B18">
        <v>15141</v>
      </c>
      <c r="C18">
        <v>15141</v>
      </c>
      <c r="D18">
        <v>15141</v>
      </c>
      <c r="E18">
        <v>15141</v>
      </c>
      <c r="F18">
        <v>15141</v>
      </c>
      <c r="G18">
        <v>15141</v>
      </c>
      <c r="H18" s="6"/>
    </row>
    <row r="19" spans="1:8" ht="18" x14ac:dyDescent="0.55000000000000004">
      <c r="A19" s="8" t="s">
        <v>69</v>
      </c>
      <c r="B19" s="8">
        <f>ABS($B$18-B17)/B17*100</f>
        <v>238.58127289368417</v>
      </c>
      <c r="C19" s="8">
        <f t="shared" ref="C19:G19" si="4">ABS($B$18-C17)/C17*100</f>
        <v>60.294515669473704</v>
      </c>
      <c r="D19" s="8">
        <f t="shared" si="4"/>
        <v>33.189320599999981</v>
      </c>
      <c r="E19" s="8">
        <f t="shared" si="4"/>
        <v>22.440708762105263</v>
      </c>
      <c r="F19" s="8">
        <f t="shared" si="4"/>
        <v>16.832737368421043</v>
      </c>
      <c r="G19" s="8">
        <f t="shared" si="4"/>
        <v>13.561420722105238</v>
      </c>
      <c r="H19" s="8"/>
    </row>
    <row r="25" spans="1:8" ht="21" x14ac:dyDescent="0.65">
      <c r="A25" s="20" t="s">
        <v>142</v>
      </c>
    </row>
    <row r="26" spans="1:8" ht="18" x14ac:dyDescent="0.55000000000000004">
      <c r="A26" s="6" t="s">
        <v>63</v>
      </c>
      <c r="B26" s="6">
        <v>3</v>
      </c>
      <c r="C26" s="6">
        <v>3</v>
      </c>
      <c r="D26" s="6">
        <v>3</v>
      </c>
      <c r="E26" s="6">
        <v>3</v>
      </c>
      <c r="F26" s="6"/>
      <c r="G26" s="6"/>
      <c r="H26" s="6"/>
    </row>
    <row r="27" spans="1:8" ht="18" x14ac:dyDescent="0.55000000000000004">
      <c r="A27" s="6" t="s">
        <v>64</v>
      </c>
      <c r="B27" s="8">
        <f>$B$9*B26</f>
        <v>36.480000000000004</v>
      </c>
      <c r="C27" s="8">
        <f t="shared" ref="C27:E27" si="5">$B$9*C26</f>
        <v>36.480000000000004</v>
      </c>
      <c r="D27" s="8">
        <f t="shared" si="5"/>
        <v>36.480000000000004</v>
      </c>
      <c r="E27" s="8">
        <f t="shared" si="5"/>
        <v>36.480000000000004</v>
      </c>
      <c r="F27" s="8"/>
      <c r="G27" s="8"/>
      <c r="H27" s="8"/>
    </row>
    <row r="28" spans="1:8" ht="18" x14ac:dyDescent="0.55000000000000004">
      <c r="A28" s="6" t="s">
        <v>77</v>
      </c>
      <c r="B28" s="6">
        <v>2</v>
      </c>
      <c r="C28" s="6">
        <v>6</v>
      </c>
      <c r="D28" s="6">
        <v>9</v>
      </c>
      <c r="E28" s="6">
        <v>12</v>
      </c>
      <c r="F28" s="6"/>
      <c r="G28" s="6"/>
      <c r="H28" s="6"/>
    </row>
    <row r="29" spans="1:8" ht="18" x14ac:dyDescent="0.55000000000000004">
      <c r="A29" s="6" t="s">
        <v>65</v>
      </c>
      <c r="B29" s="8">
        <f>$B$10*B28</f>
        <v>13.032</v>
      </c>
      <c r="C29" s="8">
        <f t="shared" ref="C29:E29" si="6">$B$10*C28</f>
        <v>39.096000000000004</v>
      </c>
      <c r="D29" s="8">
        <f t="shared" si="6"/>
        <v>58.643999999999998</v>
      </c>
      <c r="E29" s="8">
        <f t="shared" si="6"/>
        <v>78.192000000000007</v>
      </c>
      <c r="F29" s="8"/>
      <c r="G29" s="8"/>
      <c r="H29" s="8"/>
    </row>
    <row r="30" spans="1:8" ht="18" x14ac:dyDescent="0.55000000000000004">
      <c r="A30" s="6" t="s">
        <v>67</v>
      </c>
      <c r="B30" s="8">
        <f>B29/1000*$B$6/1000</f>
        <v>1.0008576E-4</v>
      </c>
      <c r="C30" s="8">
        <f t="shared" ref="C30:E30" si="7">C29/1000*$B$6/1000</f>
        <v>3.0025728000000003E-4</v>
      </c>
      <c r="D30" s="8">
        <f t="shared" si="7"/>
        <v>4.5038591999999999E-4</v>
      </c>
      <c r="E30" s="8">
        <f t="shared" si="7"/>
        <v>6.0051456000000006E-4</v>
      </c>
      <c r="F30" s="8"/>
      <c r="G30" s="8"/>
      <c r="H30" s="8"/>
    </row>
    <row r="31" spans="1:8" ht="18" x14ac:dyDescent="0.55000000000000004">
      <c r="A31" s="6" t="s">
        <v>73</v>
      </c>
      <c r="B31" s="7">
        <v>4.3030000000000004E-3</v>
      </c>
      <c r="C31" s="7">
        <v>7.0149999999999998E-4</v>
      </c>
      <c r="D31" s="7">
        <v>4.3130000000000002E-4</v>
      </c>
      <c r="E31" s="7">
        <v>3.1129999999999998E-4</v>
      </c>
      <c r="F31" s="7"/>
      <c r="G31" s="7"/>
      <c r="H31" s="7"/>
    </row>
    <row r="32" spans="1:8" ht="18" x14ac:dyDescent="0.55000000000000004">
      <c r="A32" s="9" t="s">
        <v>66</v>
      </c>
      <c r="B32" s="10">
        <f t="shared" ref="B32" si="8">($E$1*(B27/1000)/(B30*B31/1000))/(10^6)</f>
        <v>847054.18450473621</v>
      </c>
      <c r="C32" s="10">
        <f t="shared" ref="C32:E32" si="9">($E$1*(C27/1000)/(C30*C31/1000))/(10^6)</f>
        <v>1731943.053420708</v>
      </c>
      <c r="D32" s="10">
        <f t="shared" si="9"/>
        <v>1877978.2857633922</v>
      </c>
      <c r="E32" s="10">
        <f t="shared" si="9"/>
        <v>1951426.3603832747</v>
      </c>
      <c r="F32" s="10"/>
      <c r="G32" s="10"/>
      <c r="H32" s="10"/>
    </row>
    <row r="33" spans="1:8" ht="18" x14ac:dyDescent="0.55000000000000004">
      <c r="A33" s="6" t="s">
        <v>68</v>
      </c>
      <c r="B33" s="7">
        <v>21502</v>
      </c>
      <c r="C33" s="6"/>
      <c r="D33" s="6"/>
      <c r="E33" s="6"/>
      <c r="F33" s="6"/>
      <c r="G33" s="6"/>
      <c r="H33" s="6"/>
    </row>
    <row r="34" spans="1:8" ht="18" x14ac:dyDescent="0.55000000000000004">
      <c r="A34" s="8" t="s">
        <v>69</v>
      </c>
      <c r="B34" s="8">
        <f>ABS($B$18-B32)/B32*100</f>
        <v>98.212511043924209</v>
      </c>
      <c r="C34" s="8">
        <f t="shared" ref="C34:E34" si="10">ABS($B$18-C32)/C32*100</f>
        <v>99.125779570517892</v>
      </c>
      <c r="D34" s="8">
        <f t="shared" si="10"/>
        <v>99.193760645967998</v>
      </c>
      <c r="E34" s="8">
        <f t="shared" si="10"/>
        <v>99.224106002287158</v>
      </c>
      <c r="F34" s="8"/>
      <c r="G34" s="8"/>
      <c r="H34" s="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C757-A133-419F-A13E-5B2E2356C279}">
  <dimension ref="A1:H34"/>
  <sheetViews>
    <sheetView zoomScale="10" zoomScaleNormal="10" workbookViewId="0">
      <selection activeCell="B21" sqref="B21"/>
    </sheetView>
  </sheetViews>
  <sheetFormatPr defaultRowHeight="14.25" x14ac:dyDescent="0.45"/>
  <cols>
    <col min="1" max="1" width="54.265625" customWidth="1"/>
    <col min="2" max="2" width="22.73046875" customWidth="1"/>
    <col min="3" max="3" width="38.1328125" customWidth="1"/>
    <col min="4" max="4" width="18" customWidth="1"/>
    <col min="5" max="5" width="17.59765625" customWidth="1"/>
    <col min="6" max="6" width="11" customWidth="1"/>
    <col min="7" max="7" width="13.86328125" customWidth="1"/>
    <col min="13" max="13" width="24.73046875" customWidth="1"/>
  </cols>
  <sheetData>
    <row r="1" spans="1:8" ht="18" x14ac:dyDescent="0.55000000000000004">
      <c r="A1" s="6" t="s">
        <v>131</v>
      </c>
      <c r="B1" s="7">
        <v>1.5</v>
      </c>
      <c r="C1" s="7">
        <v>1.5</v>
      </c>
      <c r="D1" s="6" t="s">
        <v>17</v>
      </c>
      <c r="E1" s="7">
        <v>10000</v>
      </c>
      <c r="F1" s="6" t="s">
        <v>132</v>
      </c>
      <c r="G1" s="6">
        <v>2</v>
      </c>
      <c r="H1" s="6"/>
    </row>
    <row r="2" spans="1:8" ht="18" x14ac:dyDescent="0.55000000000000004">
      <c r="A2" s="6" t="s">
        <v>129</v>
      </c>
      <c r="B2" s="7">
        <v>0.6</v>
      </c>
      <c r="C2" s="7">
        <v>0.6</v>
      </c>
      <c r="D2" s="6"/>
      <c r="E2" s="6"/>
      <c r="F2" s="8" t="s">
        <v>130</v>
      </c>
      <c r="G2" s="6">
        <f>(G1/B4)+(2*G1/B5)</f>
        <v>0.79939431913116121</v>
      </c>
      <c r="H2" s="6"/>
    </row>
    <row r="3" spans="1:8" ht="18" x14ac:dyDescent="0.55000000000000004">
      <c r="A3" s="6" t="s">
        <v>3</v>
      </c>
      <c r="B3" s="7">
        <v>15</v>
      </c>
      <c r="C3" s="7">
        <f>D3*3.1415/180</f>
        <v>0.5235833333333334</v>
      </c>
      <c r="D3" s="6">
        <v>30</v>
      </c>
      <c r="E3" s="6"/>
      <c r="F3" s="6"/>
      <c r="G3" s="6"/>
      <c r="H3" s="6"/>
    </row>
    <row r="4" spans="1:8" ht="18" x14ac:dyDescent="0.55000000000000004">
      <c r="A4" s="6" t="s">
        <v>2</v>
      </c>
      <c r="B4" s="7">
        <f>C4</f>
        <v>12.16</v>
      </c>
      <c r="C4" s="7">
        <f>12.16</f>
        <v>12.16</v>
      </c>
      <c r="D4" s="7">
        <f>C1*(1+SIN(C3))/(C2*SIN(C3))</f>
        <v>7.5001337381107547</v>
      </c>
      <c r="E4" s="6"/>
      <c r="F4" s="6"/>
      <c r="G4" s="6"/>
      <c r="H4" s="6"/>
    </row>
    <row r="5" spans="1:8" ht="18" x14ac:dyDescent="0.55000000000000004">
      <c r="A5" s="6" t="s">
        <v>4</v>
      </c>
      <c r="B5" s="7">
        <f>C5</f>
        <v>6.3</v>
      </c>
      <c r="C5" s="7">
        <v>6.3</v>
      </c>
      <c r="D5" s="7">
        <f>2*C1*(1+SIN(C3))/C2</f>
        <v>7.4999331327331626</v>
      </c>
      <c r="E5" s="6"/>
      <c r="F5" s="6"/>
      <c r="G5" s="6"/>
      <c r="H5" s="6"/>
    </row>
    <row r="6" spans="1:8" ht="18" x14ac:dyDescent="0.55000000000000004">
      <c r="A6" s="6" t="s">
        <v>11</v>
      </c>
      <c r="B6" s="7">
        <v>7.68</v>
      </c>
      <c r="C6" s="8">
        <f>3.75*2</f>
        <v>7.5</v>
      </c>
      <c r="D6" s="6"/>
      <c r="E6" s="6"/>
      <c r="F6" s="6"/>
      <c r="G6" s="6"/>
      <c r="H6" s="6"/>
    </row>
    <row r="7" spans="1:8" ht="18" x14ac:dyDescent="0.55000000000000004">
      <c r="A7" s="6" t="s">
        <v>5</v>
      </c>
      <c r="B7" s="8">
        <f>C7</f>
        <v>6.516</v>
      </c>
      <c r="C7" s="8">
        <v>6.516</v>
      </c>
      <c r="D7" s="7">
        <f>2*TAN(C3)*C4</f>
        <v>14.040657809977413</v>
      </c>
      <c r="E7" s="6"/>
      <c r="F7" s="6"/>
      <c r="G7" s="6"/>
      <c r="H7" s="6"/>
    </row>
    <row r="8" spans="1:8" ht="18" x14ac:dyDescent="0.55000000000000004">
      <c r="A8" s="6" t="s">
        <v>6</v>
      </c>
      <c r="B8" s="8">
        <f>C8</f>
        <v>12.589</v>
      </c>
      <c r="C8" s="8">
        <v>12.589</v>
      </c>
      <c r="D8" s="7">
        <f>C4/COS(C3)</f>
        <v>14.041033364187264</v>
      </c>
      <c r="E8" s="6"/>
      <c r="F8" s="6"/>
      <c r="G8" s="6"/>
      <c r="H8" s="6"/>
    </row>
    <row r="9" spans="1:8" ht="18" x14ac:dyDescent="0.55000000000000004">
      <c r="A9" s="6" t="s">
        <v>61</v>
      </c>
      <c r="B9" s="8">
        <f>B4</f>
        <v>12.16</v>
      </c>
      <c r="C9" s="8">
        <f>D4</f>
        <v>7.5001337381107547</v>
      </c>
      <c r="D9" s="6"/>
      <c r="E9" s="6"/>
      <c r="F9" s="6"/>
      <c r="G9" s="6"/>
      <c r="H9" s="6"/>
    </row>
    <row r="10" spans="1:8" ht="18" x14ac:dyDescent="0.55000000000000004">
      <c r="A10" s="6" t="s">
        <v>62</v>
      </c>
      <c r="B10" s="8">
        <f>B7</f>
        <v>6.516</v>
      </c>
      <c r="C10" s="8">
        <f>D7</f>
        <v>14.040657809977413</v>
      </c>
      <c r="D10" s="6"/>
      <c r="E10" s="6"/>
      <c r="F10" s="6"/>
      <c r="G10" s="6"/>
      <c r="H10" s="6"/>
    </row>
    <row r="11" spans="1:8" ht="18" x14ac:dyDescent="0.55000000000000004">
      <c r="A11" s="6" t="s">
        <v>63</v>
      </c>
      <c r="B11" s="6">
        <v>3</v>
      </c>
      <c r="C11" s="6">
        <v>3</v>
      </c>
      <c r="D11" s="6">
        <v>3</v>
      </c>
      <c r="E11" s="6">
        <v>3</v>
      </c>
      <c r="F11" s="6"/>
      <c r="G11" s="6"/>
      <c r="H11" s="6"/>
    </row>
    <row r="12" spans="1:8" ht="18" x14ac:dyDescent="0.55000000000000004">
      <c r="A12" s="6" t="s">
        <v>64</v>
      </c>
      <c r="B12" s="8">
        <v>95.246700000000004</v>
      </c>
      <c r="C12" s="8">
        <v>95.246700000000004</v>
      </c>
      <c r="D12" s="8">
        <v>95.246700000000004</v>
      </c>
      <c r="E12" s="8">
        <v>95.246700000000004</v>
      </c>
      <c r="F12" s="8">
        <v>95.246700000000004</v>
      </c>
      <c r="G12" s="8">
        <v>95.246700000000004</v>
      </c>
      <c r="H12" s="8"/>
    </row>
    <row r="13" spans="1:8" ht="18" x14ac:dyDescent="0.55000000000000004">
      <c r="A13" s="6" t="s">
        <v>77</v>
      </c>
      <c r="B13" s="6">
        <v>3</v>
      </c>
      <c r="C13" s="6">
        <v>6</v>
      </c>
      <c r="D13" s="6">
        <v>9</v>
      </c>
      <c r="E13" s="6">
        <v>12</v>
      </c>
      <c r="F13" s="6">
        <v>15</v>
      </c>
      <c r="G13" s="6">
        <v>18</v>
      </c>
      <c r="H13" s="6"/>
    </row>
    <row r="14" spans="1:8" ht="18" x14ac:dyDescent="0.55000000000000004">
      <c r="A14" s="6" t="s">
        <v>65</v>
      </c>
      <c r="B14" s="8">
        <f>B13*$B$10</f>
        <v>19.548000000000002</v>
      </c>
      <c r="C14" s="8">
        <f t="shared" ref="C14:G14" si="0">C13*$B$10</f>
        <v>39.096000000000004</v>
      </c>
      <c r="D14" s="8">
        <f t="shared" si="0"/>
        <v>58.643999999999998</v>
      </c>
      <c r="E14" s="8">
        <f t="shared" si="0"/>
        <v>78.192000000000007</v>
      </c>
      <c r="F14" s="8">
        <f t="shared" si="0"/>
        <v>97.74</v>
      </c>
      <c r="G14" s="8">
        <f t="shared" si="0"/>
        <v>117.288</v>
      </c>
      <c r="H14" s="8"/>
    </row>
    <row r="15" spans="1:8" ht="18" x14ac:dyDescent="0.55000000000000004">
      <c r="A15" s="6" t="s">
        <v>67</v>
      </c>
      <c r="B15" s="8">
        <f>B14/1000*$B$6/1000</f>
        <v>1.5012864000000001E-4</v>
      </c>
      <c r="C15" s="8">
        <f t="shared" ref="C15:G15" si="1">C14/1000*$B$6/1000</f>
        <v>3.0025728000000003E-4</v>
      </c>
      <c r="D15" s="8">
        <f t="shared" si="1"/>
        <v>4.5038591999999999E-4</v>
      </c>
      <c r="E15" s="8">
        <f t="shared" si="1"/>
        <v>6.0051456000000006E-4</v>
      </c>
      <c r="F15" s="8">
        <f t="shared" si="1"/>
        <v>7.5064319999999991E-4</v>
      </c>
      <c r="G15" s="8">
        <f t="shared" si="1"/>
        <v>9.0077183999999998E-4</v>
      </c>
      <c r="H15" s="8"/>
    </row>
    <row r="16" spans="1:8" ht="18" x14ac:dyDescent="0.55000000000000004">
      <c r="A16" s="6" t="s">
        <v>73</v>
      </c>
      <c r="B16" s="7">
        <v>0.41799999999999998</v>
      </c>
      <c r="C16" s="7">
        <v>0.34300000000000003</v>
      </c>
      <c r="D16" s="7">
        <v>0.19</v>
      </c>
      <c r="E16" s="7">
        <v>0.13100000000000001</v>
      </c>
      <c r="F16" s="7">
        <v>0.1</v>
      </c>
      <c r="G16" s="7">
        <v>8.1000000000000003E-2</v>
      </c>
      <c r="H16" s="7"/>
    </row>
    <row r="17" spans="1:8" ht="18" x14ac:dyDescent="0.55000000000000004">
      <c r="A17" s="9" t="s">
        <v>66</v>
      </c>
      <c r="B17" s="10">
        <f>($E$1*(B12/1000)/(B15*B16/1000))/(10^6)</f>
        <v>15177.844724383509</v>
      </c>
      <c r="C17" s="10">
        <f t="shared" ref="C17:G17" si="2">($E$1*(C12/1000)/(C15*C16/1000))/(10^6)</f>
        <v>9248.3077183561309</v>
      </c>
      <c r="D17" s="10">
        <f t="shared" si="2"/>
        <v>11130.419464547907</v>
      </c>
      <c r="E17" s="10">
        <f t="shared" si="2"/>
        <v>12107.517356473865</v>
      </c>
      <c r="F17" s="10">
        <f t="shared" si="2"/>
        <v>12688.678189584612</v>
      </c>
      <c r="G17" s="10">
        <f t="shared" si="2"/>
        <v>13054.195668296927</v>
      </c>
      <c r="H17" s="10"/>
    </row>
    <row r="18" spans="1:8" ht="18" x14ac:dyDescent="0.55000000000000004">
      <c r="A18" s="6" t="s">
        <v>68</v>
      </c>
      <c r="B18">
        <v>15141</v>
      </c>
      <c r="C18">
        <v>15141</v>
      </c>
      <c r="D18">
        <v>15141</v>
      </c>
      <c r="E18">
        <v>15141</v>
      </c>
      <c r="F18">
        <v>15141</v>
      </c>
      <c r="G18">
        <v>15141</v>
      </c>
      <c r="H18" s="6"/>
    </row>
    <row r="19" spans="1:8" ht="18" x14ac:dyDescent="0.55000000000000004">
      <c r="A19" s="8" t="s">
        <v>69</v>
      </c>
      <c r="B19" s="8">
        <f>ABS($B$18-B17)/B17*100</f>
        <v>0.2427533358825128</v>
      </c>
      <c r="C19" s="8">
        <f t="shared" ref="C19:G19" si="3">ABS($B$18-C17)/C17*100</f>
        <v>63.716438305226333</v>
      </c>
      <c r="D19" s="8">
        <f t="shared" si="3"/>
        <v>36.032609087432924</v>
      </c>
      <c r="E19" s="8">
        <f t="shared" si="3"/>
        <v>25.054538880376974</v>
      </c>
      <c r="F19" s="8">
        <f t="shared" si="3"/>
        <v>19.326850076695568</v>
      </c>
      <c r="G19" s="8">
        <f t="shared" si="3"/>
        <v>15.98569827454809</v>
      </c>
      <c r="H19" s="8"/>
    </row>
    <row r="25" spans="1:8" ht="21" x14ac:dyDescent="0.65">
      <c r="A25" s="20" t="s">
        <v>142</v>
      </c>
    </row>
    <row r="26" spans="1:8" ht="18" x14ac:dyDescent="0.55000000000000004">
      <c r="A26" s="6" t="s">
        <v>63</v>
      </c>
      <c r="B26" s="6">
        <v>3</v>
      </c>
      <c r="C26" s="6">
        <v>3</v>
      </c>
      <c r="D26" s="6">
        <v>3</v>
      </c>
      <c r="E26" s="6">
        <v>3</v>
      </c>
      <c r="F26" s="6"/>
      <c r="G26" s="6"/>
      <c r="H26" s="6"/>
    </row>
    <row r="27" spans="1:8" ht="18" x14ac:dyDescent="0.55000000000000004">
      <c r="A27" s="6" t="s">
        <v>64</v>
      </c>
      <c r="B27" s="8">
        <f>$B$9*B26</f>
        <v>36.480000000000004</v>
      </c>
      <c r="C27" s="8">
        <f t="shared" ref="C27:E27" si="4">$B$9*C26</f>
        <v>36.480000000000004</v>
      </c>
      <c r="D27" s="8">
        <f t="shared" si="4"/>
        <v>36.480000000000004</v>
      </c>
      <c r="E27" s="8">
        <f t="shared" si="4"/>
        <v>36.480000000000004</v>
      </c>
      <c r="F27" s="8"/>
      <c r="G27" s="8"/>
      <c r="H27" s="8"/>
    </row>
    <row r="28" spans="1:8" ht="18" x14ac:dyDescent="0.55000000000000004">
      <c r="A28" s="6" t="s">
        <v>77</v>
      </c>
      <c r="B28" s="6">
        <v>2</v>
      </c>
      <c r="C28" s="6">
        <v>6</v>
      </c>
      <c r="D28" s="6">
        <v>9</v>
      </c>
      <c r="E28" s="6">
        <v>12</v>
      </c>
      <c r="F28" s="6"/>
      <c r="G28" s="6"/>
      <c r="H28" s="6"/>
    </row>
    <row r="29" spans="1:8" ht="18" x14ac:dyDescent="0.55000000000000004">
      <c r="A29" s="6" t="s">
        <v>65</v>
      </c>
      <c r="B29" s="8">
        <f>$B$10*B28</f>
        <v>13.032</v>
      </c>
      <c r="C29" s="8">
        <f t="shared" ref="C29:E29" si="5">$B$10*C28</f>
        <v>39.096000000000004</v>
      </c>
      <c r="D29" s="8">
        <f t="shared" si="5"/>
        <v>58.643999999999998</v>
      </c>
      <c r="E29" s="8">
        <f t="shared" si="5"/>
        <v>78.192000000000007</v>
      </c>
      <c r="F29" s="8"/>
      <c r="G29" s="8"/>
      <c r="H29" s="8"/>
    </row>
    <row r="30" spans="1:8" ht="18" x14ac:dyDescent="0.55000000000000004">
      <c r="A30" s="6" t="s">
        <v>67</v>
      </c>
      <c r="B30" s="8">
        <f>B29/1000*$B$6/1000</f>
        <v>1.0008576E-4</v>
      </c>
      <c r="C30" s="8">
        <f t="shared" ref="C30:E30" si="6">C29/1000*$B$6/1000</f>
        <v>3.0025728000000003E-4</v>
      </c>
      <c r="D30" s="8">
        <f t="shared" si="6"/>
        <v>4.5038591999999999E-4</v>
      </c>
      <c r="E30" s="8">
        <f t="shared" si="6"/>
        <v>6.0051456000000006E-4</v>
      </c>
      <c r="F30" s="8"/>
      <c r="G30" s="8"/>
      <c r="H30" s="8"/>
    </row>
    <row r="31" spans="1:8" ht="18" x14ac:dyDescent="0.55000000000000004">
      <c r="A31" s="6" t="s">
        <v>73</v>
      </c>
      <c r="B31" s="7">
        <v>4.3030000000000004E-3</v>
      </c>
      <c r="C31" s="7">
        <v>7.0149999999999998E-4</v>
      </c>
      <c r="D31" s="7">
        <v>4.3130000000000002E-4</v>
      </c>
      <c r="E31" s="7">
        <v>3.1129999999999998E-4</v>
      </c>
      <c r="F31" s="7"/>
      <c r="G31" s="7"/>
      <c r="H31" s="7"/>
    </row>
    <row r="32" spans="1:8" ht="18" x14ac:dyDescent="0.55000000000000004">
      <c r="A32" s="9" t="s">
        <v>66</v>
      </c>
      <c r="B32" s="10">
        <f t="shared" ref="B32:E32" si="7">($E$1*(B27/1000)/(B30*B31/1000))/(10^6)</f>
        <v>847054.18450473621</v>
      </c>
      <c r="C32" s="10">
        <f t="shared" si="7"/>
        <v>1731943.053420708</v>
      </c>
      <c r="D32" s="10">
        <f t="shared" si="7"/>
        <v>1877978.2857633922</v>
      </c>
      <c r="E32" s="10">
        <f t="shared" si="7"/>
        <v>1951426.3603832747</v>
      </c>
      <c r="F32" s="10"/>
      <c r="G32" s="10"/>
      <c r="H32" s="10"/>
    </row>
    <row r="33" spans="1:8" ht="18" x14ac:dyDescent="0.55000000000000004">
      <c r="A33" s="6" t="s">
        <v>68</v>
      </c>
      <c r="B33" s="7">
        <v>21502</v>
      </c>
      <c r="C33" s="6"/>
      <c r="D33" s="6"/>
      <c r="E33" s="6"/>
      <c r="F33" s="6"/>
      <c r="G33" s="6"/>
      <c r="H33" s="6"/>
    </row>
    <row r="34" spans="1:8" ht="18" x14ac:dyDescent="0.55000000000000004">
      <c r="A34" s="8" t="s">
        <v>69</v>
      </c>
      <c r="B34" s="8">
        <f>ABS($B$18-B32)/B32*100</f>
        <v>98.212511043924209</v>
      </c>
      <c r="C34" s="8">
        <f t="shared" ref="C34:E34" si="8">ABS($B$18-C32)/C32*100</f>
        <v>99.125779570517892</v>
      </c>
      <c r="D34" s="8">
        <f t="shared" si="8"/>
        <v>99.193760645967998</v>
      </c>
      <c r="E34" s="8">
        <f t="shared" si="8"/>
        <v>99.224106002287158</v>
      </c>
      <c r="F34" s="8"/>
      <c r="G34" s="8"/>
      <c r="H34" s="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A26C-AB5D-40DC-B7C7-328BA681B7C9}">
  <dimension ref="A1:G34"/>
  <sheetViews>
    <sheetView zoomScale="40" zoomScaleNormal="40" workbookViewId="0">
      <selection activeCell="C16" sqref="C16"/>
    </sheetView>
  </sheetViews>
  <sheetFormatPr defaultRowHeight="14.25" x14ac:dyDescent="0.45"/>
  <cols>
    <col min="1" max="1" width="44.1328125" customWidth="1"/>
    <col min="2" max="2" width="17.73046875" customWidth="1"/>
    <col min="3" max="3" width="18.265625" customWidth="1"/>
  </cols>
  <sheetData>
    <row r="1" spans="1:7" ht="18" x14ac:dyDescent="0.55000000000000004">
      <c r="A1" s="6" t="s">
        <v>0</v>
      </c>
      <c r="B1" s="7">
        <v>1</v>
      </c>
      <c r="C1" s="7">
        <v>1</v>
      </c>
      <c r="D1" s="6" t="s">
        <v>17</v>
      </c>
      <c r="E1" s="7">
        <v>10000</v>
      </c>
      <c r="F1" s="6" t="s">
        <v>132</v>
      </c>
      <c r="G1" s="6">
        <v>2</v>
      </c>
    </row>
    <row r="2" spans="1:7" ht="18" x14ac:dyDescent="0.55000000000000004">
      <c r="A2" s="6" t="s">
        <v>1</v>
      </c>
      <c r="B2" s="7">
        <v>0.2</v>
      </c>
      <c r="C2" s="7">
        <v>0.2</v>
      </c>
      <c r="D2" s="6"/>
      <c r="E2" s="6"/>
      <c r="F2" s="8" t="s">
        <v>130</v>
      </c>
      <c r="G2" s="6">
        <f>(G1/B4)+(2*G1/B5)</f>
        <v>0.81500755465498775</v>
      </c>
    </row>
    <row r="3" spans="1:7" ht="18" x14ac:dyDescent="0.55000000000000004">
      <c r="A3" s="6" t="s">
        <v>3</v>
      </c>
      <c r="B3" s="7">
        <v>15</v>
      </c>
      <c r="C3" s="7">
        <f>D3*3.1415/180</f>
        <v>0.2617916666666667</v>
      </c>
      <c r="D3" s="6">
        <v>15</v>
      </c>
      <c r="E3" s="6"/>
      <c r="F3" s="6"/>
      <c r="G3" s="6"/>
    </row>
    <row r="4" spans="1:7" ht="18" x14ac:dyDescent="0.55000000000000004">
      <c r="A4" s="6" t="s">
        <v>2</v>
      </c>
      <c r="B4" s="7">
        <v>11.1432</v>
      </c>
      <c r="C4" s="8">
        <v>10.77</v>
      </c>
      <c r="D4" s="7">
        <f>C1*(1+SIN(C3))/(C2*SIN(C3))</f>
        <v>24.319073218177813</v>
      </c>
      <c r="E4" s="6"/>
      <c r="F4" s="6"/>
      <c r="G4" s="6"/>
    </row>
    <row r="5" spans="1:7" ht="18" x14ac:dyDescent="0.55000000000000004">
      <c r="A5" s="6" t="s">
        <v>4</v>
      </c>
      <c r="B5" s="7">
        <v>6.2939999999999996</v>
      </c>
      <c r="C5" s="8">
        <v>18.66</v>
      </c>
      <c r="D5" s="7">
        <f>2*C1*(1+SIN(C3))/C2</f>
        <v>12.588115870535326</v>
      </c>
      <c r="E5" s="6"/>
      <c r="F5" s="6"/>
      <c r="G5" s="6"/>
    </row>
    <row r="6" spans="1:7" ht="18" x14ac:dyDescent="0.55000000000000004">
      <c r="A6" s="6" t="s">
        <v>11</v>
      </c>
      <c r="B6" s="7">
        <v>40</v>
      </c>
      <c r="C6" s="8">
        <f>3.75*2</f>
        <v>7.5</v>
      </c>
      <c r="D6" s="6"/>
      <c r="E6" s="6"/>
      <c r="F6" s="6"/>
      <c r="G6" s="6"/>
    </row>
    <row r="7" spans="1:7" ht="18" x14ac:dyDescent="0.55000000000000004">
      <c r="A7" s="6" t="s">
        <v>5</v>
      </c>
      <c r="B7" s="8">
        <f>C7</f>
        <v>37.299999999999997</v>
      </c>
      <c r="C7" s="8">
        <v>37.299999999999997</v>
      </c>
      <c r="D7" s="7">
        <f>2*TAN(C3)*C4</f>
        <v>5.7714473513914157</v>
      </c>
      <c r="E7" s="6"/>
      <c r="F7" s="6"/>
      <c r="G7" s="6"/>
    </row>
    <row r="8" spans="1:7" ht="18" x14ac:dyDescent="0.55000000000000004">
      <c r="A8" s="6" t="s">
        <v>6</v>
      </c>
      <c r="B8" s="8">
        <f>C8</f>
        <v>21.54</v>
      </c>
      <c r="C8" s="8">
        <v>21.54</v>
      </c>
      <c r="D8" s="7">
        <f>C4/COS(C3)</f>
        <v>11.149901395638921</v>
      </c>
      <c r="E8" s="6"/>
      <c r="F8" s="6"/>
      <c r="G8" s="6"/>
    </row>
    <row r="9" spans="1:7" ht="18" x14ac:dyDescent="0.55000000000000004">
      <c r="A9" s="6" t="s">
        <v>61</v>
      </c>
      <c r="B9" s="8">
        <f>B4</f>
        <v>11.1432</v>
      </c>
      <c r="C9" s="8">
        <f>D4</f>
        <v>24.319073218177813</v>
      </c>
      <c r="D9" s="6"/>
      <c r="E9" s="6"/>
      <c r="F9" s="6"/>
      <c r="G9" s="6"/>
    </row>
    <row r="10" spans="1:7" ht="18" x14ac:dyDescent="0.55000000000000004">
      <c r="A10" s="6" t="s">
        <v>62</v>
      </c>
      <c r="B10" s="8">
        <f>B7</f>
        <v>37.299999999999997</v>
      </c>
      <c r="C10" s="8">
        <f>D7</f>
        <v>5.7714473513914157</v>
      </c>
      <c r="D10" s="6"/>
      <c r="E10" s="6"/>
      <c r="F10" s="6"/>
      <c r="G10" s="6"/>
    </row>
    <row r="19" spans="1:2" x14ac:dyDescent="0.45">
      <c r="A19" t="s">
        <v>161</v>
      </c>
      <c r="B19">
        <v>599</v>
      </c>
    </row>
    <row r="20" spans="1:2" x14ac:dyDescent="0.45">
      <c r="A20" t="s">
        <v>158</v>
      </c>
      <c r="B20">
        <f>SIN(C3)</f>
        <v>0.25881158705353269</v>
      </c>
    </row>
    <row r="21" spans="1:2" x14ac:dyDescent="0.45">
      <c r="A21" t="s">
        <v>159</v>
      </c>
      <c r="B21">
        <f>17.76/100</f>
        <v>0.17760000000000001</v>
      </c>
    </row>
    <row r="24" spans="1:2" x14ac:dyDescent="0.45">
      <c r="A24" s="23" t="s">
        <v>160</v>
      </c>
      <c r="B24">
        <f>(1-3*B21)/(1-2*B21)</f>
        <v>0.72456575682382118</v>
      </c>
    </row>
    <row r="28" spans="1:2" x14ac:dyDescent="0.45">
      <c r="A28" s="23" t="s">
        <v>160</v>
      </c>
      <c r="B28">
        <f>(1+4*B20)/(4*(1+B20)^2)</f>
        <v>0.32109646854722745</v>
      </c>
    </row>
    <row r="32" spans="1:2" x14ac:dyDescent="0.45">
      <c r="A32" t="s">
        <v>162</v>
      </c>
      <c r="B32">
        <f>B24*B28*0.71</f>
        <v>0.16518540907992849</v>
      </c>
    </row>
    <row r="34" spans="1:2" x14ac:dyDescent="0.45">
      <c r="A34" t="s">
        <v>163</v>
      </c>
      <c r="B34">
        <f>(1-B32)*B19</f>
        <v>500.05393996112281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8899-2AA7-41E3-91F0-6B73728029FE}">
  <dimension ref="A1:G45"/>
  <sheetViews>
    <sheetView zoomScale="40" zoomScaleNormal="40" workbookViewId="0">
      <selection activeCell="T12" sqref="T12"/>
    </sheetView>
  </sheetViews>
  <sheetFormatPr defaultRowHeight="14.25" x14ac:dyDescent="0.45"/>
  <cols>
    <col min="1" max="1" width="23.59765625" customWidth="1"/>
    <col min="2" max="2" width="19.3984375" customWidth="1"/>
    <col min="3" max="3" width="14.59765625" customWidth="1"/>
  </cols>
  <sheetData>
    <row r="1" spans="1:7" x14ac:dyDescent="0.45">
      <c r="A1" s="1"/>
      <c r="B1" s="1" t="s">
        <v>213</v>
      </c>
      <c r="C1" s="1" t="s">
        <v>214</v>
      </c>
      <c r="D1" t="s">
        <v>215</v>
      </c>
      <c r="E1" s="1" t="s">
        <v>216</v>
      </c>
      <c r="F1" s="1" t="s">
        <v>217</v>
      </c>
      <c r="G1" s="1" t="s">
        <v>218</v>
      </c>
    </row>
    <row r="2" spans="1:7" x14ac:dyDescent="0.45">
      <c r="A2">
        <v>15</v>
      </c>
      <c r="B2" s="29">
        <f>'15_stress'!C20</f>
        <v>84.27</v>
      </c>
      <c r="C2" s="29">
        <f>'15_stress'!D59</f>
        <v>303.73</v>
      </c>
      <c r="D2" s="29">
        <f>'15_stress'!C88</f>
        <v>62.493000000000002</v>
      </c>
      <c r="E2" s="29">
        <f>'15_stress'!C126</f>
        <v>155.61000000000001</v>
      </c>
      <c r="F2" s="29">
        <f>'15_stress'!C145</f>
        <v>1.63</v>
      </c>
      <c r="G2" s="29">
        <f>'15_stress'!C166</f>
        <v>1.26</v>
      </c>
    </row>
    <row r="3" spans="1:7" x14ac:dyDescent="0.45">
      <c r="A3">
        <v>30</v>
      </c>
      <c r="B3" s="29">
        <f>isorg_30!C20</f>
        <v>124.87</v>
      </c>
      <c r="C3" s="29">
        <f>isorg_30!D59</f>
        <v>187.5</v>
      </c>
      <c r="D3" s="29">
        <f>isogrid_stress!C88</f>
        <v>62.5</v>
      </c>
      <c r="E3" s="29">
        <f>isogrid_stress!C126</f>
        <v>110.88</v>
      </c>
      <c r="F3" s="29">
        <f>isogrid_stress!C145</f>
        <v>2.2559999999999998</v>
      </c>
      <c r="G3" s="29">
        <f>isogrid_stress!C166</f>
        <v>1.262</v>
      </c>
    </row>
    <row r="4" spans="1:7" x14ac:dyDescent="0.45">
      <c r="A4">
        <v>60</v>
      </c>
      <c r="B4" s="29">
        <f>anisogrid120!C20</f>
        <v>453.55799999999999</v>
      </c>
      <c r="C4" s="29">
        <f>anisogrid120!D59</f>
        <v>131.69999999999999</v>
      </c>
      <c r="D4" s="29">
        <f>anisogrid120!C88</f>
        <v>62.478000000000002</v>
      </c>
      <c r="E4" s="29">
        <f>anisogrid120!C126</f>
        <v>136.66999999999999</v>
      </c>
      <c r="F4" s="29">
        <f>anisogrid120!C145</f>
        <v>4.76</v>
      </c>
      <c r="G4" s="29">
        <f>anisogrid120!C166</f>
        <v>1.39</v>
      </c>
    </row>
    <row r="9" spans="1:7" x14ac:dyDescent="0.45">
      <c r="B9" t="s">
        <v>219</v>
      </c>
    </row>
    <row r="10" spans="1:7" x14ac:dyDescent="0.45">
      <c r="B10" t="s">
        <v>220</v>
      </c>
    </row>
    <row r="11" spans="1:7" x14ac:dyDescent="0.45">
      <c r="B11" t="s">
        <v>221</v>
      </c>
    </row>
    <row r="42" spans="1:7" x14ac:dyDescent="0.45">
      <c r="A42" s="1"/>
      <c r="B42" t="s">
        <v>66</v>
      </c>
      <c r="C42" t="s">
        <v>80</v>
      </c>
      <c r="D42" t="s">
        <v>95</v>
      </c>
      <c r="E42" t="s">
        <v>113</v>
      </c>
      <c r="F42" t="s">
        <v>125</v>
      </c>
      <c r="G42" t="s">
        <v>123</v>
      </c>
    </row>
    <row r="43" spans="1:7" x14ac:dyDescent="0.45">
      <c r="A43">
        <v>15</v>
      </c>
    </row>
    <row r="44" spans="1:7" x14ac:dyDescent="0.45">
      <c r="A44">
        <v>30</v>
      </c>
    </row>
    <row r="45" spans="1:7" x14ac:dyDescent="0.45">
      <c r="A45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Лист1</vt:lpstr>
      <vt:lpstr>isogrid</vt:lpstr>
      <vt:lpstr>anisogrid</vt:lpstr>
      <vt:lpstr>anisogrid15</vt:lpstr>
      <vt:lpstr>15_stress</vt:lpstr>
      <vt:lpstr>isorg_30</vt:lpstr>
      <vt:lpstr>isogrid_stress</vt:lpstr>
      <vt:lpstr>anisogrid120</vt:lpstr>
      <vt:lpstr>Лист2</vt:lpstr>
      <vt:lpstr>Сравнение КПО</vt:lpstr>
      <vt:lpstr>Шестигранник</vt:lpstr>
      <vt:lpstr>треуг с смещ</vt:lpstr>
      <vt:lpstr>Лист3</vt:lpstr>
      <vt:lpstr>сводная табл напряжения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mick200029@gmail.com</dc:creator>
  <cp:lastModifiedBy>Kennedy Mick</cp:lastModifiedBy>
  <dcterms:created xsi:type="dcterms:W3CDTF">2025-03-04T08:39:19Z</dcterms:created>
  <dcterms:modified xsi:type="dcterms:W3CDTF">2025-12-28T13:37:10Z</dcterms:modified>
</cp:coreProperties>
</file>